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2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61ce274b2445290/Desktop/Data Analytics/EDA excel/PROYECTO EXCEL/"/>
    </mc:Choice>
  </mc:AlternateContent>
  <xr:revisionPtr revIDLastSave="2" documentId="8_{C8F7D11E-F33E-4A84-BFF6-22BA8C35DD3E}" xr6:coauthVersionLast="47" xr6:coauthVersionMax="47" xr10:uidLastSave="{0D9A0DE3-3F6C-488F-A35E-8281421EAE4B}"/>
  <bookViews>
    <workbookView minimized="1" xWindow="1920" yWindow="1920" windowWidth="17280" windowHeight="8880" activeTab="4" xr2:uid="{E2B4BAAB-0823-4DA1-B581-9ABF8CB9A9FC}"/>
  </bookViews>
  <sheets>
    <sheet name="BBDD_fashion_boutique" sheetId="1" r:id="rId1"/>
    <sheet name="Hoja1" sheetId="2" r:id="rId2"/>
    <sheet name="tablas_dinámicas" sheetId="4" r:id="rId3"/>
    <sheet name="tablas_dinámicas (2)" sheetId="9" r:id="rId4"/>
    <sheet name="Dashboard" sheetId="7" r:id="rId5"/>
  </sheets>
  <externalReferences>
    <externalReference r:id="rId6"/>
  </externalReferences>
  <definedNames>
    <definedName name="SegmentaciónDeDatos_brand">#N/A</definedName>
    <definedName name="SegmentaciónDeDatos_category">#N/A</definedName>
    <definedName name="SegmentaciónDeDatos_color">#N/A</definedName>
    <definedName name="SegmentaciónDeDatos_season">#N/A</definedName>
  </definedNames>
  <calcPr calcId="191029"/>
  <pivotCaches>
    <pivotCache cacheId="13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1" l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U2" i="9"/>
  <c r="T2" i="9"/>
  <c r="S2" i="9"/>
  <c r="R2" i="9"/>
  <c r="Q2" i="9"/>
  <c r="W9" i="1"/>
  <c r="V2177" i="1"/>
  <c r="V2176" i="1"/>
  <c r="V2175" i="1"/>
  <c r="V2174" i="1"/>
  <c r="V2173" i="1"/>
  <c r="V2172" i="1"/>
  <c r="V2171" i="1"/>
  <c r="V2170" i="1"/>
  <c r="V2169" i="1"/>
  <c r="V2168" i="1"/>
  <c r="V2167" i="1"/>
  <c r="V2166" i="1"/>
  <c r="V2165" i="1"/>
  <c r="V2164" i="1"/>
  <c r="V2163" i="1"/>
  <c r="V2162" i="1"/>
  <c r="V2161" i="1"/>
  <c r="V2160" i="1"/>
  <c r="V2159" i="1"/>
  <c r="V2158" i="1"/>
  <c r="V2157" i="1"/>
  <c r="V2156" i="1"/>
  <c r="V2155" i="1"/>
  <c r="V2154" i="1"/>
  <c r="V2153" i="1"/>
  <c r="V2152" i="1"/>
  <c r="V2151" i="1"/>
  <c r="V2150" i="1"/>
  <c r="V2149" i="1"/>
  <c r="V2148" i="1"/>
  <c r="V2147" i="1"/>
  <c r="V2146" i="1"/>
  <c r="V2145" i="1"/>
  <c r="V2144" i="1"/>
  <c r="V2143" i="1"/>
  <c r="V2142" i="1"/>
  <c r="V2141" i="1"/>
  <c r="V2140" i="1"/>
  <c r="V2139" i="1"/>
  <c r="V2138" i="1"/>
  <c r="V2137" i="1"/>
  <c r="V2136" i="1"/>
  <c r="V2135" i="1"/>
  <c r="V2134" i="1"/>
  <c r="V2133" i="1"/>
  <c r="V2132" i="1"/>
  <c r="V2131" i="1"/>
  <c r="V2130" i="1"/>
  <c r="V2129" i="1"/>
  <c r="V2128" i="1"/>
  <c r="V2127" i="1"/>
  <c r="V2126" i="1"/>
  <c r="V2125" i="1"/>
  <c r="V2124" i="1"/>
  <c r="V2123" i="1"/>
  <c r="V2122" i="1"/>
  <c r="V2121" i="1"/>
  <c r="V2120" i="1"/>
  <c r="V2119" i="1"/>
  <c r="V2118" i="1"/>
  <c r="V2117" i="1"/>
  <c r="V2116" i="1"/>
  <c r="V2115" i="1"/>
  <c r="V2114" i="1"/>
  <c r="V2113" i="1"/>
  <c r="V2112" i="1"/>
  <c r="V2111" i="1"/>
  <c r="V2110" i="1"/>
  <c r="V2109" i="1"/>
  <c r="V2108" i="1"/>
  <c r="V2107" i="1"/>
  <c r="V2106" i="1"/>
  <c r="V2105" i="1"/>
  <c r="V2104" i="1"/>
  <c r="V2103" i="1"/>
  <c r="V2102" i="1"/>
  <c r="V2101" i="1"/>
  <c r="V2100" i="1"/>
  <c r="V2099" i="1"/>
  <c r="V2098" i="1"/>
  <c r="V2097" i="1"/>
  <c r="V2096" i="1"/>
  <c r="V2095" i="1"/>
  <c r="V2094" i="1"/>
  <c r="V2093" i="1"/>
  <c r="V2092" i="1"/>
  <c r="V2091" i="1"/>
  <c r="V2090" i="1"/>
  <c r="V2089" i="1"/>
  <c r="V2088" i="1"/>
  <c r="V2087" i="1"/>
  <c r="V2086" i="1"/>
  <c r="V2085" i="1"/>
  <c r="V2084" i="1"/>
  <c r="V2083" i="1"/>
  <c r="V2082" i="1"/>
  <c r="V2081" i="1"/>
  <c r="V2080" i="1"/>
  <c r="V2079" i="1"/>
  <c r="V2078" i="1"/>
  <c r="V2077" i="1"/>
  <c r="V2076" i="1"/>
  <c r="V2075" i="1"/>
  <c r="V2074" i="1"/>
  <c r="V2073" i="1"/>
  <c r="V2072" i="1"/>
  <c r="V2071" i="1"/>
  <c r="V2070" i="1"/>
  <c r="V2069" i="1"/>
  <c r="V2068" i="1"/>
  <c r="V2067" i="1"/>
  <c r="V2066" i="1"/>
  <c r="V2065" i="1"/>
  <c r="V2064" i="1"/>
  <c r="V2063" i="1"/>
  <c r="V2062" i="1"/>
  <c r="V2061" i="1"/>
  <c r="V2060" i="1"/>
  <c r="V2059" i="1"/>
  <c r="V2058" i="1"/>
  <c r="V2057" i="1"/>
  <c r="V2056" i="1"/>
  <c r="V2055" i="1"/>
  <c r="V2054" i="1"/>
  <c r="V2053" i="1"/>
  <c r="V2052" i="1"/>
  <c r="V2051" i="1"/>
  <c r="V2050" i="1"/>
  <c r="V2049" i="1"/>
  <c r="V2048" i="1"/>
  <c r="V2047" i="1"/>
  <c r="V2046" i="1"/>
  <c r="V2045" i="1"/>
  <c r="V2044" i="1"/>
  <c r="V2043" i="1"/>
  <c r="V2042" i="1"/>
  <c r="V2041" i="1"/>
  <c r="V2040" i="1"/>
  <c r="V2039" i="1"/>
  <c r="V2038" i="1"/>
  <c r="V2037" i="1"/>
  <c r="V2036" i="1"/>
  <c r="V2035" i="1"/>
  <c r="V2034" i="1"/>
  <c r="V2033" i="1"/>
  <c r="V2032" i="1"/>
  <c r="V2031" i="1"/>
  <c r="V2030" i="1"/>
  <c r="V2029" i="1"/>
  <c r="V2028" i="1"/>
  <c r="V2027" i="1"/>
  <c r="V2026" i="1"/>
  <c r="V2025" i="1"/>
  <c r="V2024" i="1"/>
  <c r="V2023" i="1"/>
  <c r="V2022" i="1"/>
  <c r="V2021" i="1"/>
  <c r="V2020" i="1"/>
  <c r="V2019" i="1"/>
  <c r="V2018" i="1"/>
  <c r="V2017" i="1"/>
  <c r="V2016" i="1"/>
  <c r="V2015" i="1"/>
  <c r="V2014" i="1"/>
  <c r="V2013" i="1"/>
  <c r="V2012" i="1"/>
  <c r="V2011" i="1"/>
  <c r="V2010" i="1"/>
  <c r="V2009" i="1"/>
  <c r="V2008" i="1"/>
  <c r="V2007" i="1"/>
  <c r="V2006" i="1"/>
  <c r="V2005" i="1"/>
  <c r="V2004" i="1"/>
  <c r="V2003" i="1"/>
  <c r="V2002" i="1"/>
  <c r="V2001" i="1"/>
  <c r="V2000" i="1"/>
  <c r="V1999" i="1"/>
  <c r="V1998" i="1"/>
  <c r="V1997" i="1"/>
  <c r="V1996" i="1"/>
  <c r="V1995" i="1"/>
  <c r="V1994" i="1"/>
  <c r="V1993" i="1"/>
  <c r="V1992" i="1"/>
  <c r="V1991" i="1"/>
  <c r="V1990" i="1"/>
  <c r="V1989" i="1"/>
  <c r="V1988" i="1"/>
  <c r="V1987" i="1"/>
  <c r="V1986" i="1"/>
  <c r="V1985" i="1"/>
  <c r="V1984" i="1"/>
  <c r="V1983" i="1"/>
  <c r="V1982" i="1"/>
  <c r="V1981" i="1"/>
  <c r="V1980" i="1"/>
  <c r="V1979" i="1"/>
  <c r="V1978" i="1"/>
  <c r="V1977" i="1"/>
  <c r="V1976" i="1"/>
  <c r="V1975" i="1"/>
  <c r="V1974" i="1"/>
  <c r="V1973" i="1"/>
  <c r="V1972" i="1"/>
  <c r="V1971" i="1"/>
  <c r="V1970" i="1"/>
  <c r="V1969" i="1"/>
  <c r="V1968" i="1"/>
  <c r="V1967" i="1"/>
  <c r="V1966" i="1"/>
  <c r="V1965" i="1"/>
  <c r="V1964" i="1"/>
  <c r="V1963" i="1"/>
  <c r="V1962" i="1"/>
  <c r="V1961" i="1"/>
  <c r="V1960" i="1"/>
  <c r="V1959" i="1"/>
  <c r="V1958" i="1"/>
  <c r="V1957" i="1"/>
  <c r="V1956" i="1"/>
  <c r="V1955" i="1"/>
  <c r="V1954" i="1"/>
  <c r="V1953" i="1"/>
  <c r="V1952" i="1"/>
  <c r="V1951" i="1"/>
  <c r="V1950" i="1"/>
  <c r="V1949" i="1"/>
  <c r="V1948" i="1"/>
  <c r="V1947" i="1"/>
  <c r="V1946" i="1"/>
  <c r="V1945" i="1"/>
  <c r="V1944" i="1"/>
  <c r="V1943" i="1"/>
  <c r="V1942" i="1"/>
  <c r="V1941" i="1"/>
  <c r="V1940" i="1"/>
  <c r="V1939" i="1"/>
  <c r="V1938" i="1"/>
  <c r="V1937" i="1"/>
  <c r="V1936" i="1"/>
  <c r="V1935" i="1"/>
  <c r="V1934" i="1"/>
  <c r="V1933" i="1"/>
  <c r="V1932" i="1"/>
  <c r="V1931" i="1"/>
  <c r="V1930" i="1"/>
  <c r="V1929" i="1"/>
  <c r="V1928" i="1"/>
  <c r="V1927" i="1"/>
  <c r="V1926" i="1"/>
  <c r="V1925" i="1"/>
  <c r="V1924" i="1"/>
  <c r="V1923" i="1"/>
  <c r="V1922" i="1"/>
  <c r="V1921" i="1"/>
  <c r="V1920" i="1"/>
  <c r="V1919" i="1"/>
  <c r="V1918" i="1"/>
  <c r="V1917" i="1"/>
  <c r="V1916" i="1"/>
  <c r="V1915" i="1"/>
  <c r="V1914" i="1"/>
  <c r="V1913" i="1"/>
  <c r="V1912" i="1"/>
  <c r="V1911" i="1"/>
  <c r="V1910" i="1"/>
  <c r="V1909" i="1"/>
  <c r="V1908" i="1"/>
  <c r="V1907" i="1"/>
  <c r="V1906" i="1"/>
  <c r="V1905" i="1"/>
  <c r="V1904" i="1"/>
  <c r="V1903" i="1"/>
  <c r="V1902" i="1"/>
  <c r="V1901" i="1"/>
  <c r="V1900" i="1"/>
  <c r="V1899" i="1"/>
  <c r="V1898" i="1"/>
  <c r="V1897" i="1"/>
  <c r="V1896" i="1"/>
  <c r="V1895" i="1"/>
  <c r="V1894" i="1"/>
  <c r="V1893" i="1"/>
  <c r="V1892" i="1"/>
  <c r="V1891" i="1"/>
  <c r="V1890" i="1"/>
  <c r="V1889" i="1"/>
  <c r="V1888" i="1"/>
  <c r="V1887" i="1"/>
  <c r="V1886" i="1"/>
  <c r="V1885" i="1"/>
  <c r="V1884" i="1"/>
  <c r="V1883" i="1"/>
  <c r="V1882" i="1"/>
  <c r="V1881" i="1"/>
  <c r="V1880" i="1"/>
  <c r="V1879" i="1"/>
  <c r="V1878" i="1"/>
  <c r="V1877" i="1"/>
  <c r="V1876" i="1"/>
  <c r="V1875" i="1"/>
  <c r="V1874" i="1"/>
  <c r="V1873" i="1"/>
  <c r="V1872" i="1"/>
  <c r="V1871" i="1"/>
  <c r="V1870" i="1"/>
  <c r="V1869" i="1"/>
  <c r="V1868" i="1"/>
  <c r="V1867" i="1"/>
  <c r="V1866" i="1"/>
  <c r="V1865" i="1"/>
  <c r="V1864" i="1"/>
  <c r="V1863" i="1"/>
  <c r="V1862" i="1"/>
  <c r="V1861" i="1"/>
  <c r="V1860" i="1"/>
  <c r="V1859" i="1"/>
  <c r="V1858" i="1"/>
  <c r="V1857" i="1"/>
  <c r="V1856" i="1"/>
  <c r="V1855" i="1"/>
  <c r="V1854" i="1"/>
  <c r="V1853" i="1"/>
  <c r="V1852" i="1"/>
  <c r="V1851" i="1"/>
  <c r="V1850" i="1"/>
  <c r="V1849" i="1"/>
  <c r="V1848" i="1"/>
  <c r="V1847" i="1"/>
  <c r="V1846" i="1"/>
  <c r="V1845" i="1"/>
  <c r="V1844" i="1"/>
  <c r="V1843" i="1"/>
  <c r="V1842" i="1"/>
  <c r="V1841" i="1"/>
  <c r="V1840" i="1"/>
  <c r="V1839" i="1"/>
  <c r="V1838" i="1"/>
  <c r="V1837" i="1"/>
  <c r="V1836" i="1"/>
  <c r="V1835" i="1"/>
  <c r="V1834" i="1"/>
  <c r="V1833" i="1"/>
  <c r="V1832" i="1"/>
  <c r="V1831" i="1"/>
  <c r="V1830" i="1"/>
  <c r="V1829" i="1"/>
  <c r="V1828" i="1"/>
  <c r="V1827" i="1"/>
  <c r="V1826" i="1"/>
  <c r="V1825" i="1"/>
  <c r="V1824" i="1"/>
  <c r="V1823" i="1"/>
  <c r="V1822" i="1"/>
  <c r="V1821" i="1"/>
  <c r="V1820" i="1"/>
  <c r="V1819" i="1"/>
  <c r="V1818" i="1"/>
  <c r="V1817" i="1"/>
  <c r="V1816" i="1"/>
  <c r="V1815" i="1"/>
  <c r="V1814" i="1"/>
  <c r="V1813" i="1"/>
  <c r="V1812" i="1"/>
  <c r="V1811" i="1"/>
  <c r="V1810" i="1"/>
  <c r="V1809" i="1"/>
  <c r="V1808" i="1"/>
  <c r="V1807" i="1"/>
  <c r="V1806" i="1"/>
  <c r="V1805" i="1"/>
  <c r="V1804" i="1"/>
  <c r="V1803" i="1"/>
  <c r="V1802" i="1"/>
  <c r="V1801" i="1"/>
  <c r="V1800" i="1"/>
  <c r="V1799" i="1"/>
  <c r="V1798" i="1"/>
  <c r="V1797" i="1"/>
  <c r="V1796" i="1"/>
  <c r="V1795" i="1"/>
  <c r="V1794" i="1"/>
  <c r="V1793" i="1"/>
  <c r="V1792" i="1"/>
  <c r="V1791" i="1"/>
  <c r="V1790" i="1"/>
  <c r="V1789" i="1"/>
  <c r="V1788" i="1"/>
  <c r="V1787" i="1"/>
  <c r="V1786" i="1"/>
  <c r="V1785" i="1"/>
  <c r="V1784" i="1"/>
  <c r="V1783" i="1"/>
  <c r="V1782" i="1"/>
  <c r="V1781" i="1"/>
  <c r="V1780" i="1"/>
  <c r="V1779" i="1"/>
  <c r="V1778" i="1"/>
  <c r="V1777" i="1"/>
  <c r="V1776" i="1"/>
  <c r="V1775" i="1"/>
  <c r="V1774" i="1"/>
  <c r="V1773" i="1"/>
  <c r="V1772" i="1"/>
  <c r="V1771" i="1"/>
  <c r="V1770" i="1"/>
  <c r="V1769" i="1"/>
  <c r="V1768" i="1"/>
  <c r="V1767" i="1"/>
  <c r="V1766" i="1"/>
  <c r="V1765" i="1"/>
  <c r="V1764" i="1"/>
  <c r="V1763" i="1"/>
  <c r="V1762" i="1"/>
  <c r="V1761" i="1"/>
  <c r="V1760" i="1"/>
  <c r="V1759" i="1"/>
  <c r="V1758" i="1"/>
  <c r="V1757" i="1"/>
  <c r="V1756" i="1"/>
  <c r="V1755" i="1"/>
  <c r="V1754" i="1"/>
  <c r="V1753" i="1"/>
  <c r="V1752" i="1"/>
  <c r="V1751" i="1"/>
  <c r="V1750" i="1"/>
  <c r="V1749" i="1"/>
  <c r="V1748" i="1"/>
  <c r="V1747" i="1"/>
  <c r="V1746" i="1"/>
  <c r="V1745" i="1"/>
  <c r="V1744" i="1"/>
  <c r="V1743" i="1"/>
  <c r="V1742" i="1"/>
  <c r="V1741" i="1"/>
  <c r="V1740" i="1"/>
  <c r="V1739" i="1"/>
  <c r="V1738" i="1"/>
  <c r="V1737" i="1"/>
  <c r="V1736" i="1"/>
  <c r="V1735" i="1"/>
  <c r="V1734" i="1"/>
  <c r="V1733" i="1"/>
  <c r="V1732" i="1"/>
  <c r="V1731" i="1"/>
  <c r="V1730" i="1"/>
  <c r="V1729" i="1"/>
  <c r="V1728" i="1"/>
  <c r="V1727" i="1"/>
  <c r="V1726" i="1"/>
  <c r="V1725" i="1"/>
  <c r="V1724" i="1"/>
  <c r="V1723" i="1"/>
  <c r="V1722" i="1"/>
  <c r="V1721" i="1"/>
  <c r="V1720" i="1"/>
  <c r="V1719" i="1"/>
  <c r="V1718" i="1"/>
  <c r="V1717" i="1"/>
  <c r="V1716" i="1"/>
  <c r="V1715" i="1"/>
  <c r="V1714" i="1"/>
  <c r="V1713" i="1"/>
  <c r="V1712" i="1"/>
  <c r="V1711" i="1"/>
  <c r="V1710" i="1"/>
  <c r="V1709" i="1"/>
  <c r="V1708" i="1"/>
  <c r="V1707" i="1"/>
  <c r="V1706" i="1"/>
  <c r="V1705" i="1"/>
  <c r="V1704" i="1"/>
  <c r="V1703" i="1"/>
  <c r="V1702" i="1"/>
  <c r="V1701" i="1"/>
  <c r="V1700" i="1"/>
  <c r="V1699" i="1"/>
  <c r="V1698" i="1"/>
  <c r="V1697" i="1"/>
  <c r="V1696" i="1"/>
  <c r="V1695" i="1"/>
  <c r="V1694" i="1"/>
  <c r="V1693" i="1"/>
  <c r="V1692" i="1"/>
  <c r="V1691" i="1"/>
  <c r="V1690" i="1"/>
  <c r="V1689" i="1"/>
  <c r="V1688" i="1"/>
  <c r="V1687" i="1"/>
  <c r="V1686" i="1"/>
  <c r="V1685" i="1"/>
  <c r="V1684" i="1"/>
  <c r="V1683" i="1"/>
  <c r="V1682" i="1"/>
  <c r="V1681" i="1"/>
  <c r="V1680" i="1"/>
  <c r="V1679" i="1"/>
  <c r="V1678" i="1"/>
  <c r="V1677" i="1"/>
  <c r="V1676" i="1"/>
  <c r="V1675" i="1"/>
  <c r="V1674" i="1"/>
  <c r="V1673" i="1"/>
  <c r="V1672" i="1"/>
  <c r="V1671" i="1"/>
  <c r="V1670" i="1"/>
  <c r="V1669" i="1"/>
  <c r="V1668" i="1"/>
  <c r="V1667" i="1"/>
  <c r="V1666" i="1"/>
  <c r="V1665" i="1"/>
  <c r="V1664" i="1"/>
  <c r="V1663" i="1"/>
  <c r="V1662" i="1"/>
  <c r="V1661" i="1"/>
  <c r="V1660" i="1"/>
  <c r="V1659" i="1"/>
  <c r="V1658" i="1"/>
  <c r="V1657" i="1"/>
  <c r="V1656" i="1"/>
  <c r="V1655" i="1"/>
  <c r="V1654" i="1"/>
  <c r="V1653" i="1"/>
  <c r="V1652" i="1"/>
  <c r="V1651" i="1"/>
  <c r="V1650" i="1"/>
  <c r="V1649" i="1"/>
  <c r="V1648" i="1"/>
  <c r="V1647" i="1"/>
  <c r="V1646" i="1"/>
  <c r="V1645" i="1"/>
  <c r="V1644" i="1"/>
  <c r="V1643" i="1"/>
  <c r="V1642" i="1"/>
  <c r="V1641" i="1"/>
  <c r="V1640" i="1"/>
  <c r="V1639" i="1"/>
  <c r="V1638" i="1"/>
  <c r="V1637" i="1"/>
  <c r="V1636" i="1"/>
  <c r="V1635" i="1"/>
  <c r="V1634" i="1"/>
  <c r="V1633" i="1"/>
  <c r="V1632" i="1"/>
  <c r="V1631" i="1"/>
  <c r="V1630" i="1"/>
  <c r="V1629" i="1"/>
  <c r="V1628" i="1"/>
  <c r="V1627" i="1"/>
  <c r="V1626" i="1"/>
  <c r="V1625" i="1"/>
  <c r="V1624" i="1"/>
  <c r="V1623" i="1"/>
  <c r="V1622" i="1"/>
  <c r="V1621" i="1"/>
  <c r="V1620" i="1"/>
  <c r="V1619" i="1"/>
  <c r="V1618" i="1"/>
  <c r="V1617" i="1"/>
  <c r="V1616" i="1"/>
  <c r="V1615" i="1"/>
  <c r="V1614" i="1"/>
  <c r="V1613" i="1"/>
  <c r="V1612" i="1"/>
  <c r="V1611" i="1"/>
  <c r="V1610" i="1"/>
  <c r="V1609" i="1"/>
  <c r="V1608" i="1"/>
  <c r="V1607" i="1"/>
  <c r="V1606" i="1"/>
  <c r="V1605" i="1"/>
  <c r="V1604" i="1"/>
  <c r="V1603" i="1"/>
  <c r="V1602" i="1"/>
  <c r="V1601" i="1"/>
  <c r="V1600" i="1"/>
  <c r="V1599" i="1"/>
  <c r="V1598" i="1"/>
  <c r="V1597" i="1"/>
  <c r="V1596" i="1"/>
  <c r="V1595" i="1"/>
  <c r="V1594" i="1"/>
  <c r="V1593" i="1"/>
  <c r="V1592" i="1"/>
  <c r="V1591" i="1"/>
  <c r="V1590" i="1"/>
  <c r="V1589" i="1"/>
  <c r="V1588" i="1"/>
  <c r="V1587" i="1"/>
  <c r="V1586" i="1"/>
  <c r="V1585" i="1"/>
  <c r="V1584" i="1"/>
  <c r="V1583" i="1"/>
  <c r="V1582" i="1"/>
  <c r="V1581" i="1"/>
  <c r="V1580" i="1"/>
  <c r="V1579" i="1"/>
  <c r="V1578" i="1"/>
  <c r="V1577" i="1"/>
  <c r="V1576" i="1"/>
  <c r="V1575" i="1"/>
  <c r="V1574" i="1"/>
  <c r="V1573" i="1"/>
  <c r="V1572" i="1"/>
  <c r="V1571" i="1"/>
  <c r="V1570" i="1"/>
  <c r="V1569" i="1"/>
  <c r="V1568" i="1"/>
  <c r="V1567" i="1"/>
  <c r="V1566" i="1"/>
  <c r="V1565" i="1"/>
  <c r="V1564" i="1"/>
  <c r="V1563" i="1"/>
  <c r="V1562" i="1"/>
  <c r="V1561" i="1"/>
  <c r="V1560" i="1"/>
  <c r="V1559" i="1"/>
  <c r="V1558" i="1"/>
  <c r="V1557" i="1"/>
  <c r="V1556" i="1"/>
  <c r="V1555" i="1"/>
  <c r="V1554" i="1"/>
  <c r="V1553" i="1"/>
  <c r="V1552" i="1"/>
  <c r="V1551" i="1"/>
  <c r="V1550" i="1"/>
  <c r="V1549" i="1"/>
  <c r="V1548" i="1"/>
  <c r="V1547" i="1"/>
  <c r="V1546" i="1"/>
  <c r="V1545" i="1"/>
  <c r="V1544" i="1"/>
  <c r="V1543" i="1"/>
  <c r="V1542" i="1"/>
  <c r="V1541" i="1"/>
  <c r="V1540" i="1"/>
  <c r="V1539" i="1"/>
  <c r="V1538" i="1"/>
  <c r="V1537" i="1"/>
  <c r="V1536" i="1"/>
  <c r="V1535" i="1"/>
  <c r="V1534" i="1"/>
  <c r="V1533" i="1"/>
  <c r="V1532" i="1"/>
  <c r="V1531" i="1"/>
  <c r="V1530" i="1"/>
  <c r="V1529" i="1"/>
  <c r="V1528" i="1"/>
  <c r="V1527" i="1"/>
  <c r="V1526" i="1"/>
  <c r="V1525" i="1"/>
  <c r="V1524" i="1"/>
  <c r="V1523" i="1"/>
  <c r="V1522" i="1"/>
  <c r="V1521" i="1"/>
  <c r="V1520" i="1"/>
  <c r="V1519" i="1"/>
  <c r="V1518" i="1"/>
  <c r="V1517" i="1"/>
  <c r="V1516" i="1"/>
  <c r="V1515" i="1"/>
  <c r="V1514" i="1"/>
  <c r="V1513" i="1"/>
  <c r="V1512" i="1"/>
  <c r="V1511" i="1"/>
  <c r="V1510" i="1"/>
  <c r="V1509" i="1"/>
  <c r="V1508" i="1"/>
  <c r="V1507" i="1"/>
  <c r="V1506" i="1"/>
  <c r="V1505" i="1"/>
  <c r="V1504" i="1"/>
  <c r="V1503" i="1"/>
  <c r="V1502" i="1"/>
  <c r="V1501" i="1"/>
  <c r="V1500" i="1"/>
  <c r="V1499" i="1"/>
  <c r="V1498" i="1"/>
  <c r="V1497" i="1"/>
  <c r="V1496" i="1"/>
  <c r="V1495" i="1"/>
  <c r="V1494" i="1"/>
  <c r="V1493" i="1"/>
  <c r="V1492" i="1"/>
  <c r="V1491" i="1"/>
  <c r="V1490" i="1"/>
  <c r="V1489" i="1"/>
  <c r="V1488" i="1"/>
  <c r="V1487" i="1"/>
  <c r="V1486" i="1"/>
  <c r="V1485" i="1"/>
  <c r="V1484" i="1"/>
  <c r="V1483" i="1"/>
  <c r="V1482" i="1"/>
  <c r="V1481" i="1"/>
  <c r="V1480" i="1"/>
  <c r="V1479" i="1"/>
  <c r="V1478" i="1"/>
  <c r="V1477" i="1"/>
  <c r="V1476" i="1"/>
  <c r="V1475" i="1"/>
  <c r="V1474" i="1"/>
  <c r="V1473" i="1"/>
  <c r="V1472" i="1"/>
  <c r="V1471" i="1"/>
  <c r="V1470" i="1"/>
  <c r="V1469" i="1"/>
  <c r="V1468" i="1"/>
  <c r="V1467" i="1"/>
  <c r="V1466" i="1"/>
  <c r="V1465" i="1"/>
  <c r="V1464" i="1"/>
  <c r="V1463" i="1"/>
  <c r="V1462" i="1"/>
  <c r="V1461" i="1"/>
  <c r="V1460" i="1"/>
  <c r="V1459" i="1"/>
  <c r="V1458" i="1"/>
  <c r="V1457" i="1"/>
  <c r="V1456" i="1"/>
  <c r="V1455" i="1"/>
  <c r="V1454" i="1"/>
  <c r="V1453" i="1"/>
  <c r="V1452" i="1"/>
  <c r="V1451" i="1"/>
  <c r="V1450" i="1"/>
  <c r="V1449" i="1"/>
  <c r="V1448" i="1"/>
  <c r="V1447" i="1"/>
  <c r="V1446" i="1"/>
  <c r="V1445" i="1"/>
  <c r="V1444" i="1"/>
  <c r="V1443" i="1"/>
  <c r="V1442" i="1"/>
  <c r="V1441" i="1"/>
  <c r="V1440" i="1"/>
  <c r="V1439" i="1"/>
  <c r="V1438" i="1"/>
  <c r="V1437" i="1"/>
  <c r="V1436" i="1"/>
  <c r="V1435" i="1"/>
  <c r="V1434" i="1"/>
  <c r="V1433" i="1"/>
  <c r="V1432" i="1"/>
  <c r="V1431" i="1"/>
  <c r="V1430" i="1"/>
  <c r="V1429" i="1"/>
  <c r="V1428" i="1"/>
  <c r="V1427" i="1"/>
  <c r="V1426" i="1"/>
  <c r="V1425" i="1"/>
  <c r="V1424" i="1"/>
  <c r="V1423" i="1"/>
  <c r="V1422" i="1"/>
  <c r="V1421" i="1"/>
  <c r="V1420" i="1"/>
  <c r="V1419" i="1"/>
  <c r="V1418" i="1"/>
  <c r="V1417" i="1"/>
  <c r="V1416" i="1"/>
  <c r="V1415" i="1"/>
  <c r="V1414" i="1"/>
  <c r="V1413" i="1"/>
  <c r="V1412" i="1"/>
  <c r="V1411" i="1"/>
  <c r="V1410" i="1"/>
  <c r="V1409" i="1"/>
  <c r="V1408" i="1"/>
  <c r="V1407" i="1"/>
  <c r="V1406" i="1"/>
  <c r="V1405" i="1"/>
  <c r="V1404" i="1"/>
  <c r="V1403" i="1"/>
  <c r="V1402" i="1"/>
  <c r="V1401" i="1"/>
  <c r="V1400" i="1"/>
  <c r="V1399" i="1"/>
  <c r="V1398" i="1"/>
  <c r="V1397" i="1"/>
  <c r="V1396" i="1"/>
  <c r="V1395" i="1"/>
  <c r="V1394" i="1"/>
  <c r="V1393" i="1"/>
  <c r="V1392" i="1"/>
  <c r="V1391" i="1"/>
  <c r="V1390" i="1"/>
  <c r="V1389" i="1"/>
  <c r="V1388" i="1"/>
  <c r="V1387" i="1"/>
  <c r="V1386" i="1"/>
  <c r="V1385" i="1"/>
  <c r="V1384" i="1"/>
  <c r="V1383" i="1"/>
  <c r="V1382" i="1"/>
  <c r="V1381" i="1"/>
  <c r="V1380" i="1"/>
  <c r="V1379" i="1"/>
  <c r="V1378" i="1"/>
  <c r="V1377" i="1"/>
  <c r="V1376" i="1"/>
  <c r="V1375" i="1"/>
  <c r="V1374" i="1"/>
  <c r="V1373" i="1"/>
  <c r="V1372" i="1"/>
  <c r="V1371" i="1"/>
  <c r="V1370" i="1"/>
  <c r="V1369" i="1"/>
  <c r="V1368" i="1"/>
  <c r="V1367" i="1"/>
  <c r="V1366" i="1"/>
  <c r="V1365" i="1"/>
  <c r="V1364" i="1"/>
  <c r="V1363" i="1"/>
  <c r="V1362" i="1"/>
  <c r="V1361" i="1"/>
  <c r="V1360" i="1"/>
  <c r="V1359" i="1"/>
  <c r="V1358" i="1"/>
  <c r="V1357" i="1"/>
  <c r="V1356" i="1"/>
  <c r="V1355" i="1"/>
  <c r="V1354" i="1"/>
  <c r="V1353" i="1"/>
  <c r="V1352" i="1"/>
  <c r="V1351" i="1"/>
  <c r="V1350" i="1"/>
  <c r="V1349" i="1"/>
  <c r="V1348" i="1"/>
  <c r="V1347" i="1"/>
  <c r="V1346" i="1"/>
  <c r="V1345" i="1"/>
  <c r="V1344" i="1"/>
  <c r="V1343" i="1"/>
  <c r="V1342" i="1"/>
  <c r="V1341" i="1"/>
  <c r="V1340" i="1"/>
  <c r="V1339" i="1"/>
  <c r="V1338" i="1"/>
  <c r="V1337" i="1"/>
  <c r="V1336" i="1"/>
  <c r="V1335" i="1"/>
  <c r="V1334" i="1"/>
  <c r="V1333" i="1"/>
  <c r="V1332" i="1"/>
  <c r="V1331" i="1"/>
  <c r="V1330" i="1"/>
  <c r="V1329" i="1"/>
  <c r="V1328" i="1"/>
  <c r="V1327" i="1"/>
  <c r="V1326" i="1"/>
  <c r="V1325" i="1"/>
  <c r="V1324" i="1"/>
  <c r="V1323" i="1"/>
  <c r="V1322" i="1"/>
  <c r="V1321" i="1"/>
  <c r="V1320" i="1"/>
  <c r="V1319" i="1"/>
  <c r="V1318" i="1"/>
  <c r="V1317" i="1"/>
  <c r="V1316" i="1"/>
  <c r="V1315" i="1"/>
  <c r="V1314" i="1"/>
  <c r="V1313" i="1"/>
  <c r="V1312" i="1"/>
  <c r="V1311" i="1"/>
  <c r="V1310" i="1"/>
  <c r="V1309" i="1"/>
  <c r="V1308" i="1"/>
  <c r="V1307" i="1"/>
  <c r="V1306" i="1"/>
  <c r="V1305" i="1"/>
  <c r="V1304" i="1"/>
  <c r="V1303" i="1"/>
  <c r="V1302" i="1"/>
  <c r="V1301" i="1"/>
  <c r="V1300" i="1"/>
  <c r="V1299" i="1"/>
  <c r="V1298" i="1"/>
  <c r="V1297" i="1"/>
  <c r="V1296" i="1"/>
  <c r="V1295" i="1"/>
  <c r="V1294" i="1"/>
  <c r="V1293" i="1"/>
  <c r="V1292" i="1"/>
  <c r="V1291" i="1"/>
  <c r="V1290" i="1"/>
  <c r="V1289" i="1"/>
  <c r="V1288" i="1"/>
  <c r="V1287" i="1"/>
  <c r="V1286" i="1"/>
  <c r="V1285" i="1"/>
  <c r="V1284" i="1"/>
  <c r="V1283" i="1"/>
  <c r="V1282" i="1"/>
  <c r="V1281" i="1"/>
  <c r="V1280" i="1"/>
  <c r="V1279" i="1"/>
  <c r="V1278" i="1"/>
  <c r="V1277" i="1"/>
  <c r="V1276" i="1"/>
  <c r="V1275" i="1"/>
  <c r="V1274" i="1"/>
  <c r="V1273" i="1"/>
  <c r="V1272" i="1"/>
  <c r="V1271" i="1"/>
  <c r="V1270" i="1"/>
  <c r="V1269" i="1"/>
  <c r="V1268" i="1"/>
  <c r="V1267" i="1"/>
  <c r="V1266" i="1"/>
  <c r="V1265" i="1"/>
  <c r="V1264" i="1"/>
  <c r="V1263" i="1"/>
  <c r="V1262" i="1"/>
  <c r="V1261" i="1"/>
  <c r="V1260" i="1"/>
  <c r="V1259" i="1"/>
  <c r="V1258" i="1"/>
  <c r="V1257" i="1"/>
  <c r="V1256" i="1"/>
  <c r="V1255" i="1"/>
  <c r="V1254" i="1"/>
  <c r="V1253" i="1"/>
  <c r="V1252" i="1"/>
  <c r="V1251" i="1"/>
  <c r="V1250" i="1"/>
  <c r="V1249" i="1"/>
  <c r="V1248" i="1"/>
  <c r="V1247" i="1"/>
  <c r="V1246" i="1"/>
  <c r="V1245" i="1"/>
  <c r="V1244" i="1"/>
  <c r="V1243" i="1"/>
  <c r="V1242" i="1"/>
  <c r="V1241" i="1"/>
  <c r="V1240" i="1"/>
  <c r="V1239" i="1"/>
  <c r="V1238" i="1"/>
  <c r="V1237" i="1"/>
  <c r="V1236" i="1"/>
  <c r="V1235" i="1"/>
  <c r="V1234" i="1"/>
  <c r="V1233" i="1"/>
  <c r="V1232" i="1"/>
  <c r="V1231" i="1"/>
  <c r="V1230" i="1"/>
  <c r="V1229" i="1"/>
  <c r="V1228" i="1"/>
  <c r="V1227" i="1"/>
  <c r="V1226" i="1"/>
  <c r="V1225" i="1"/>
  <c r="V1224" i="1"/>
  <c r="V1223" i="1"/>
  <c r="V1222" i="1"/>
  <c r="V1221" i="1"/>
  <c r="V1220" i="1"/>
  <c r="V1219" i="1"/>
  <c r="V1218" i="1"/>
  <c r="V1217" i="1"/>
  <c r="V1216" i="1"/>
  <c r="V1215" i="1"/>
  <c r="V1214" i="1"/>
  <c r="V1213" i="1"/>
  <c r="V1212" i="1"/>
  <c r="V1211" i="1"/>
  <c r="V1210" i="1"/>
  <c r="V1209" i="1"/>
  <c r="V1208" i="1"/>
  <c r="V1207" i="1"/>
  <c r="V1206" i="1"/>
  <c r="V1205" i="1"/>
  <c r="V1204" i="1"/>
  <c r="V1203" i="1"/>
  <c r="V1202" i="1"/>
  <c r="V1201" i="1"/>
  <c r="V1200" i="1"/>
  <c r="V1199" i="1"/>
  <c r="V1198" i="1"/>
  <c r="V1197" i="1"/>
  <c r="V1196" i="1"/>
  <c r="V1195" i="1"/>
  <c r="V1194" i="1"/>
  <c r="V1193" i="1"/>
  <c r="V1192" i="1"/>
  <c r="V1191" i="1"/>
  <c r="V1190" i="1"/>
  <c r="V1189" i="1"/>
  <c r="V1188" i="1"/>
  <c r="V1187" i="1"/>
  <c r="V1186" i="1"/>
  <c r="V1185" i="1"/>
  <c r="V1184" i="1"/>
  <c r="V1183" i="1"/>
  <c r="V1182" i="1"/>
  <c r="V1181" i="1"/>
  <c r="V1180" i="1"/>
  <c r="V1179" i="1"/>
  <c r="V1178" i="1"/>
  <c r="V1177" i="1"/>
  <c r="V1176" i="1"/>
  <c r="V1175" i="1"/>
  <c r="V1174" i="1"/>
  <c r="V1173" i="1"/>
  <c r="V1172" i="1"/>
  <c r="V1171" i="1"/>
  <c r="V1170" i="1"/>
  <c r="V1169" i="1"/>
  <c r="V1168" i="1"/>
  <c r="V1167" i="1"/>
  <c r="V1166" i="1"/>
  <c r="V1165" i="1"/>
  <c r="V1164" i="1"/>
  <c r="V1163" i="1"/>
  <c r="V1162" i="1"/>
  <c r="V1161" i="1"/>
  <c r="V1160" i="1"/>
  <c r="V1159" i="1"/>
  <c r="V1158" i="1"/>
  <c r="V1157" i="1"/>
  <c r="V1156" i="1"/>
  <c r="V1155" i="1"/>
  <c r="V1154" i="1"/>
  <c r="V1153" i="1"/>
  <c r="V1152" i="1"/>
  <c r="V1151" i="1"/>
  <c r="V1150" i="1"/>
  <c r="V1149" i="1"/>
  <c r="V1148" i="1"/>
  <c r="V1147" i="1"/>
  <c r="V1146" i="1"/>
  <c r="V1145" i="1"/>
  <c r="V1144" i="1"/>
  <c r="V1143" i="1"/>
  <c r="V1142" i="1"/>
  <c r="V1141" i="1"/>
  <c r="V1140" i="1"/>
  <c r="V1139" i="1"/>
  <c r="V1138" i="1"/>
  <c r="V1137" i="1"/>
  <c r="V1136" i="1"/>
  <c r="V1135" i="1"/>
  <c r="V1134" i="1"/>
  <c r="V1133" i="1"/>
  <c r="V1132" i="1"/>
  <c r="V1131" i="1"/>
  <c r="V1130" i="1"/>
  <c r="V1129" i="1"/>
  <c r="V1128" i="1"/>
  <c r="V1127" i="1"/>
  <c r="V1126" i="1"/>
  <c r="V1125" i="1"/>
  <c r="V1124" i="1"/>
  <c r="V1123" i="1"/>
  <c r="V1122" i="1"/>
  <c r="V1121" i="1"/>
  <c r="V1120" i="1"/>
  <c r="V1119" i="1"/>
  <c r="V1118" i="1"/>
  <c r="V1117" i="1"/>
  <c r="V1116" i="1"/>
  <c r="V1115" i="1"/>
  <c r="V1114" i="1"/>
  <c r="V1113" i="1"/>
  <c r="V1112" i="1"/>
  <c r="V1111" i="1"/>
  <c r="V1110" i="1"/>
  <c r="V1109" i="1"/>
  <c r="V1108" i="1"/>
  <c r="V1107" i="1"/>
  <c r="V1106" i="1"/>
  <c r="V1105" i="1"/>
  <c r="V1104" i="1"/>
  <c r="V1103" i="1"/>
  <c r="V1102" i="1"/>
  <c r="V1101" i="1"/>
  <c r="V1100" i="1"/>
  <c r="V1099" i="1"/>
  <c r="V1098" i="1"/>
  <c r="V1097" i="1"/>
  <c r="V1096" i="1"/>
  <c r="V1095" i="1"/>
  <c r="V1094" i="1"/>
  <c r="V1093" i="1"/>
  <c r="V1092" i="1"/>
  <c r="V1091" i="1"/>
  <c r="V1090" i="1"/>
  <c r="V1089" i="1"/>
  <c r="V1088" i="1"/>
  <c r="V1087" i="1"/>
  <c r="V1086" i="1"/>
  <c r="V1085" i="1"/>
  <c r="V1084" i="1"/>
  <c r="V1083" i="1"/>
  <c r="V1082" i="1"/>
  <c r="V1081" i="1"/>
  <c r="V1080" i="1"/>
  <c r="V1079" i="1"/>
  <c r="V1078" i="1"/>
  <c r="V1077" i="1"/>
  <c r="V1076" i="1"/>
  <c r="V1075" i="1"/>
  <c r="V1074" i="1"/>
  <c r="V1073" i="1"/>
  <c r="V1072" i="1"/>
  <c r="V1071" i="1"/>
  <c r="V1070" i="1"/>
  <c r="V1069" i="1"/>
  <c r="V1068" i="1"/>
  <c r="V1067" i="1"/>
  <c r="V1066" i="1"/>
  <c r="V1065" i="1"/>
  <c r="V1064" i="1"/>
  <c r="V1063" i="1"/>
  <c r="V1062" i="1"/>
  <c r="V1061" i="1"/>
  <c r="V1060" i="1"/>
  <c r="V1059" i="1"/>
  <c r="V1058" i="1"/>
  <c r="V1057" i="1"/>
  <c r="V1056" i="1"/>
  <c r="V1055" i="1"/>
  <c r="V1054" i="1"/>
  <c r="V1053" i="1"/>
  <c r="V1052" i="1"/>
  <c r="V1051" i="1"/>
  <c r="V1050" i="1"/>
  <c r="V1049" i="1"/>
  <c r="V1048" i="1"/>
  <c r="V1047" i="1"/>
  <c r="V1046" i="1"/>
  <c r="V1045" i="1"/>
  <c r="V1044" i="1"/>
  <c r="V1043" i="1"/>
  <c r="V1042" i="1"/>
  <c r="V1041" i="1"/>
  <c r="V1040" i="1"/>
  <c r="V1039" i="1"/>
  <c r="V1038" i="1"/>
  <c r="V1037" i="1"/>
  <c r="V1036" i="1"/>
  <c r="V1035" i="1"/>
  <c r="V1034" i="1"/>
  <c r="V1033" i="1"/>
  <c r="V1032" i="1"/>
  <c r="V1031" i="1"/>
  <c r="V1030" i="1"/>
  <c r="V1029" i="1"/>
  <c r="V1028" i="1"/>
  <c r="V1027" i="1"/>
  <c r="V1026" i="1"/>
  <c r="V1025" i="1"/>
  <c r="V1024" i="1"/>
  <c r="V1023" i="1"/>
  <c r="V1022" i="1"/>
  <c r="V1021" i="1"/>
  <c r="V1020" i="1"/>
  <c r="V1019" i="1"/>
  <c r="V1018" i="1"/>
  <c r="V1017" i="1"/>
  <c r="V1016" i="1"/>
  <c r="V1015" i="1"/>
  <c r="V1014" i="1"/>
  <c r="V1013" i="1"/>
  <c r="V1012" i="1"/>
  <c r="V1011" i="1"/>
  <c r="V1010" i="1"/>
  <c r="V1009" i="1"/>
  <c r="V1008" i="1"/>
  <c r="V1007" i="1"/>
  <c r="V1006" i="1"/>
  <c r="V1005" i="1"/>
  <c r="V1004" i="1"/>
  <c r="V1003" i="1"/>
  <c r="V1002" i="1"/>
  <c r="V1001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  <c r="W2177" i="1"/>
  <c r="W2176" i="1"/>
  <c r="W2175" i="1"/>
  <c r="W2174" i="1"/>
  <c r="W2173" i="1"/>
  <c r="W2172" i="1"/>
  <c r="W2171" i="1"/>
  <c r="W2170" i="1"/>
  <c r="W2169" i="1"/>
  <c r="W2168" i="1"/>
  <c r="W2167" i="1"/>
  <c r="W2166" i="1"/>
  <c r="W2165" i="1"/>
  <c r="W2164" i="1"/>
  <c r="W2163" i="1"/>
  <c r="W2162" i="1"/>
  <c r="W2161" i="1"/>
  <c r="W2160" i="1"/>
  <c r="W2159" i="1"/>
  <c r="W2158" i="1"/>
  <c r="W2157" i="1"/>
  <c r="W2156" i="1"/>
  <c r="W2155" i="1"/>
  <c r="W2154" i="1"/>
  <c r="W2153" i="1"/>
  <c r="W2152" i="1"/>
  <c r="W2151" i="1"/>
  <c r="W2150" i="1"/>
  <c r="W2149" i="1"/>
  <c r="W2148" i="1"/>
  <c r="W2147" i="1"/>
  <c r="W2146" i="1"/>
  <c r="W2145" i="1"/>
  <c r="W2144" i="1"/>
  <c r="W2143" i="1"/>
  <c r="W2142" i="1"/>
  <c r="W2141" i="1"/>
  <c r="W2140" i="1"/>
  <c r="W2139" i="1"/>
  <c r="W2138" i="1"/>
  <c r="W2137" i="1"/>
  <c r="W2136" i="1"/>
  <c r="W2135" i="1"/>
  <c r="W2134" i="1"/>
  <c r="W2133" i="1"/>
  <c r="W2132" i="1"/>
  <c r="W2131" i="1"/>
  <c r="W2130" i="1"/>
  <c r="W2129" i="1"/>
  <c r="W2128" i="1"/>
  <c r="W2127" i="1"/>
  <c r="W2126" i="1"/>
  <c r="W2125" i="1"/>
  <c r="W2124" i="1"/>
  <c r="W2123" i="1"/>
  <c r="W2122" i="1"/>
  <c r="W2121" i="1"/>
  <c r="W2120" i="1"/>
  <c r="W2119" i="1"/>
  <c r="W2118" i="1"/>
  <c r="W2117" i="1"/>
  <c r="W2116" i="1"/>
  <c r="W2115" i="1"/>
  <c r="W2114" i="1"/>
  <c r="W2113" i="1"/>
  <c r="W2112" i="1"/>
  <c r="W2111" i="1"/>
  <c r="W2110" i="1"/>
  <c r="W2109" i="1"/>
  <c r="W2108" i="1"/>
  <c r="W2107" i="1"/>
  <c r="W2106" i="1"/>
  <c r="W2105" i="1"/>
  <c r="W2104" i="1"/>
  <c r="W2103" i="1"/>
  <c r="W2102" i="1"/>
  <c r="W2101" i="1"/>
  <c r="W2100" i="1"/>
  <c r="W2099" i="1"/>
  <c r="W2098" i="1"/>
  <c r="W2097" i="1"/>
  <c r="W2096" i="1"/>
  <c r="W2095" i="1"/>
  <c r="W2094" i="1"/>
  <c r="W2093" i="1"/>
  <c r="W2092" i="1"/>
  <c r="W2091" i="1"/>
  <c r="W2090" i="1"/>
  <c r="W2089" i="1"/>
  <c r="W2088" i="1"/>
  <c r="W2087" i="1"/>
  <c r="W2086" i="1"/>
  <c r="W2085" i="1"/>
  <c r="W2084" i="1"/>
  <c r="W2083" i="1"/>
  <c r="W2082" i="1"/>
  <c r="W2081" i="1"/>
  <c r="W2080" i="1"/>
  <c r="W2079" i="1"/>
  <c r="W2078" i="1"/>
  <c r="W2077" i="1"/>
  <c r="W2076" i="1"/>
  <c r="W2075" i="1"/>
  <c r="W2074" i="1"/>
  <c r="W2073" i="1"/>
  <c r="W2072" i="1"/>
  <c r="W2071" i="1"/>
  <c r="W2070" i="1"/>
  <c r="W2069" i="1"/>
  <c r="W2068" i="1"/>
  <c r="W2067" i="1"/>
  <c r="W2066" i="1"/>
  <c r="W2065" i="1"/>
  <c r="W2064" i="1"/>
  <c r="W2063" i="1"/>
  <c r="W2062" i="1"/>
  <c r="W2061" i="1"/>
  <c r="W2060" i="1"/>
  <c r="W2059" i="1"/>
  <c r="W2058" i="1"/>
  <c r="W2057" i="1"/>
  <c r="W2056" i="1"/>
  <c r="W2055" i="1"/>
  <c r="W2054" i="1"/>
  <c r="W2053" i="1"/>
  <c r="W2052" i="1"/>
  <c r="W2051" i="1"/>
  <c r="W2050" i="1"/>
  <c r="W2049" i="1"/>
  <c r="W2048" i="1"/>
  <c r="W2047" i="1"/>
  <c r="W2046" i="1"/>
  <c r="W2045" i="1"/>
  <c r="W2044" i="1"/>
  <c r="W2043" i="1"/>
  <c r="W2042" i="1"/>
  <c r="W2041" i="1"/>
  <c r="W2040" i="1"/>
  <c r="W2039" i="1"/>
  <c r="W2038" i="1"/>
  <c r="W2037" i="1"/>
  <c r="W2036" i="1"/>
  <c r="W2035" i="1"/>
  <c r="W2034" i="1"/>
  <c r="W2033" i="1"/>
  <c r="W2032" i="1"/>
  <c r="W2031" i="1"/>
  <c r="W2030" i="1"/>
  <c r="W2029" i="1"/>
  <c r="W2028" i="1"/>
  <c r="W2027" i="1"/>
  <c r="W2026" i="1"/>
  <c r="W2025" i="1"/>
  <c r="W2024" i="1"/>
  <c r="W2023" i="1"/>
  <c r="W2022" i="1"/>
  <c r="W2021" i="1"/>
  <c r="W2020" i="1"/>
  <c r="W2019" i="1"/>
  <c r="W2018" i="1"/>
  <c r="W2017" i="1"/>
  <c r="W2016" i="1"/>
  <c r="W2015" i="1"/>
  <c r="W2014" i="1"/>
  <c r="W2013" i="1"/>
  <c r="W2012" i="1"/>
  <c r="W2011" i="1"/>
  <c r="W2010" i="1"/>
  <c r="W2009" i="1"/>
  <c r="W2008" i="1"/>
  <c r="W2007" i="1"/>
  <c r="W2006" i="1"/>
  <c r="W2005" i="1"/>
  <c r="W2004" i="1"/>
  <c r="W2003" i="1"/>
  <c r="W2002" i="1"/>
  <c r="W2001" i="1"/>
  <c r="W2000" i="1"/>
  <c r="W1999" i="1"/>
  <c r="W1998" i="1"/>
  <c r="W1997" i="1"/>
  <c r="W1996" i="1"/>
  <c r="W1995" i="1"/>
  <c r="W1994" i="1"/>
  <c r="W1993" i="1"/>
  <c r="W1992" i="1"/>
  <c r="W1991" i="1"/>
  <c r="W1990" i="1"/>
  <c r="W1989" i="1"/>
  <c r="W1988" i="1"/>
  <c r="W1987" i="1"/>
  <c r="W1986" i="1"/>
  <c r="W1985" i="1"/>
  <c r="W1984" i="1"/>
  <c r="W1983" i="1"/>
  <c r="W1982" i="1"/>
  <c r="W1981" i="1"/>
  <c r="W1980" i="1"/>
  <c r="W1979" i="1"/>
  <c r="W1978" i="1"/>
  <c r="W1977" i="1"/>
  <c r="W1976" i="1"/>
  <c r="W1975" i="1"/>
  <c r="W1974" i="1"/>
  <c r="W1973" i="1"/>
  <c r="W1972" i="1"/>
  <c r="W1971" i="1"/>
  <c r="W1970" i="1"/>
  <c r="W1969" i="1"/>
  <c r="W1968" i="1"/>
  <c r="W1967" i="1"/>
  <c r="W1966" i="1"/>
  <c r="W1965" i="1"/>
  <c r="W1964" i="1"/>
  <c r="W1963" i="1"/>
  <c r="W1962" i="1"/>
  <c r="W1961" i="1"/>
  <c r="W1960" i="1"/>
  <c r="W1959" i="1"/>
  <c r="W1958" i="1"/>
  <c r="W1957" i="1"/>
  <c r="W1956" i="1"/>
  <c r="W1955" i="1"/>
  <c r="W1954" i="1"/>
  <c r="W1953" i="1"/>
  <c r="W1952" i="1"/>
  <c r="W1951" i="1"/>
  <c r="W1950" i="1"/>
  <c r="W1949" i="1"/>
  <c r="W1948" i="1"/>
  <c r="W1947" i="1"/>
  <c r="W1946" i="1"/>
  <c r="W1945" i="1"/>
  <c r="W1944" i="1"/>
  <c r="W1943" i="1"/>
  <c r="W1942" i="1"/>
  <c r="W1941" i="1"/>
  <c r="W1940" i="1"/>
  <c r="W1939" i="1"/>
  <c r="W1938" i="1"/>
  <c r="W1937" i="1"/>
  <c r="W1936" i="1"/>
  <c r="W1935" i="1"/>
  <c r="W1934" i="1"/>
  <c r="W1933" i="1"/>
  <c r="W1932" i="1"/>
  <c r="W1931" i="1"/>
  <c r="W1930" i="1"/>
  <c r="W1929" i="1"/>
  <c r="W1928" i="1"/>
  <c r="W1927" i="1"/>
  <c r="W1926" i="1"/>
  <c r="W1925" i="1"/>
  <c r="W1924" i="1"/>
  <c r="W1923" i="1"/>
  <c r="W1922" i="1"/>
  <c r="W1921" i="1"/>
  <c r="W1920" i="1"/>
  <c r="W1919" i="1"/>
  <c r="W1918" i="1"/>
  <c r="W1917" i="1"/>
  <c r="W1916" i="1"/>
  <c r="W1915" i="1"/>
  <c r="W1914" i="1"/>
  <c r="W1913" i="1"/>
  <c r="W1912" i="1"/>
  <c r="W1911" i="1"/>
  <c r="W1910" i="1"/>
  <c r="W1909" i="1"/>
  <c r="W1908" i="1"/>
  <c r="W1907" i="1"/>
  <c r="W1906" i="1"/>
  <c r="W1905" i="1"/>
  <c r="W1904" i="1"/>
  <c r="W1903" i="1"/>
  <c r="W1902" i="1"/>
  <c r="W1901" i="1"/>
  <c r="W1900" i="1"/>
  <c r="W1899" i="1"/>
  <c r="W1898" i="1"/>
  <c r="W1897" i="1"/>
  <c r="W1896" i="1"/>
  <c r="W1895" i="1"/>
  <c r="W1894" i="1"/>
  <c r="W1893" i="1"/>
  <c r="W1892" i="1"/>
  <c r="W1891" i="1"/>
  <c r="W1890" i="1"/>
  <c r="W1889" i="1"/>
  <c r="W1888" i="1"/>
  <c r="W1887" i="1"/>
  <c r="W1886" i="1"/>
  <c r="W1885" i="1"/>
  <c r="W1884" i="1"/>
  <c r="W1883" i="1"/>
  <c r="W1882" i="1"/>
  <c r="W1881" i="1"/>
  <c r="W1880" i="1"/>
  <c r="W1879" i="1"/>
  <c r="W1878" i="1"/>
  <c r="W1877" i="1"/>
  <c r="W1876" i="1"/>
  <c r="W1875" i="1"/>
  <c r="W1874" i="1"/>
  <c r="W1873" i="1"/>
  <c r="W1872" i="1"/>
  <c r="W1871" i="1"/>
  <c r="W1870" i="1"/>
  <c r="W1869" i="1"/>
  <c r="W1868" i="1"/>
  <c r="W1867" i="1"/>
  <c r="W1866" i="1"/>
  <c r="W1865" i="1"/>
  <c r="W1864" i="1"/>
  <c r="W1863" i="1"/>
  <c r="W1862" i="1"/>
  <c r="W1861" i="1"/>
  <c r="W1860" i="1"/>
  <c r="W1859" i="1"/>
  <c r="W1858" i="1"/>
  <c r="W1857" i="1"/>
  <c r="W1856" i="1"/>
  <c r="W1855" i="1"/>
  <c r="W1854" i="1"/>
  <c r="W1853" i="1"/>
  <c r="W1852" i="1"/>
  <c r="W1851" i="1"/>
  <c r="W1850" i="1"/>
  <c r="W1849" i="1"/>
  <c r="W1848" i="1"/>
  <c r="W1847" i="1"/>
  <c r="W1846" i="1"/>
  <c r="W1845" i="1"/>
  <c r="W1844" i="1"/>
  <c r="W1843" i="1"/>
  <c r="W1842" i="1"/>
  <c r="W1841" i="1"/>
  <c r="W1840" i="1"/>
  <c r="W1839" i="1"/>
  <c r="W1838" i="1"/>
  <c r="W1837" i="1"/>
  <c r="W1836" i="1"/>
  <c r="W1835" i="1"/>
  <c r="W1834" i="1"/>
  <c r="W1833" i="1"/>
  <c r="W1832" i="1"/>
  <c r="W1831" i="1"/>
  <c r="W1830" i="1"/>
  <c r="W1829" i="1"/>
  <c r="W1828" i="1"/>
  <c r="W1827" i="1"/>
  <c r="W1826" i="1"/>
  <c r="W1825" i="1"/>
  <c r="W1824" i="1"/>
  <c r="W1823" i="1"/>
  <c r="W1822" i="1"/>
  <c r="W1821" i="1"/>
  <c r="W1820" i="1"/>
  <c r="W1819" i="1"/>
  <c r="W1818" i="1"/>
  <c r="W1817" i="1"/>
  <c r="W1816" i="1"/>
  <c r="W1815" i="1"/>
  <c r="W1814" i="1"/>
  <c r="W1813" i="1"/>
  <c r="W1812" i="1"/>
  <c r="W1811" i="1"/>
  <c r="W1810" i="1"/>
  <c r="W1809" i="1"/>
  <c r="W1808" i="1"/>
  <c r="W1807" i="1"/>
  <c r="W1806" i="1"/>
  <c r="W1805" i="1"/>
  <c r="W1804" i="1"/>
  <c r="W1803" i="1"/>
  <c r="W1802" i="1"/>
  <c r="W1801" i="1"/>
  <c r="W1800" i="1"/>
  <c r="W1799" i="1"/>
  <c r="W1798" i="1"/>
  <c r="W1797" i="1"/>
  <c r="W1796" i="1"/>
  <c r="W1795" i="1"/>
  <c r="W1794" i="1"/>
  <c r="W1793" i="1"/>
  <c r="W1792" i="1"/>
  <c r="W1791" i="1"/>
  <c r="W1790" i="1"/>
  <c r="W1789" i="1"/>
  <c r="W1788" i="1"/>
  <c r="W1787" i="1"/>
  <c r="W1786" i="1"/>
  <c r="W1785" i="1"/>
  <c r="W1784" i="1"/>
  <c r="W1783" i="1"/>
  <c r="W1782" i="1"/>
  <c r="W1781" i="1"/>
  <c r="W1780" i="1"/>
  <c r="W1779" i="1"/>
  <c r="W1778" i="1"/>
  <c r="W1777" i="1"/>
  <c r="W1776" i="1"/>
  <c r="W1775" i="1"/>
  <c r="W1774" i="1"/>
  <c r="W1773" i="1"/>
  <c r="W1772" i="1"/>
  <c r="W1771" i="1"/>
  <c r="W1770" i="1"/>
  <c r="W1769" i="1"/>
  <c r="W1768" i="1"/>
  <c r="W1767" i="1"/>
  <c r="W1766" i="1"/>
  <c r="W1765" i="1"/>
  <c r="W1764" i="1"/>
  <c r="W1763" i="1"/>
  <c r="W1762" i="1"/>
  <c r="W1761" i="1"/>
  <c r="W1760" i="1"/>
  <c r="W1759" i="1"/>
  <c r="W1758" i="1"/>
  <c r="W1757" i="1"/>
  <c r="W1756" i="1"/>
  <c r="W1755" i="1"/>
  <c r="W1754" i="1"/>
  <c r="W1753" i="1"/>
  <c r="W1752" i="1"/>
  <c r="W1751" i="1"/>
  <c r="W1750" i="1"/>
  <c r="W1749" i="1"/>
  <c r="W1748" i="1"/>
  <c r="W1747" i="1"/>
  <c r="W1746" i="1"/>
  <c r="W1745" i="1"/>
  <c r="W1744" i="1"/>
  <c r="W1743" i="1"/>
  <c r="W1742" i="1"/>
  <c r="W1741" i="1"/>
  <c r="W1740" i="1"/>
  <c r="W1739" i="1"/>
  <c r="W1738" i="1"/>
  <c r="W1737" i="1"/>
  <c r="W1736" i="1"/>
  <c r="W1735" i="1"/>
  <c r="W1734" i="1"/>
  <c r="W1733" i="1"/>
  <c r="W1732" i="1"/>
  <c r="W1731" i="1"/>
  <c r="W1730" i="1"/>
  <c r="W1729" i="1"/>
  <c r="W1728" i="1"/>
  <c r="W1727" i="1"/>
  <c r="W1726" i="1"/>
  <c r="W1725" i="1"/>
  <c r="W1724" i="1"/>
  <c r="W1723" i="1"/>
  <c r="W1722" i="1"/>
  <c r="W1721" i="1"/>
  <c r="W1720" i="1"/>
  <c r="W1719" i="1"/>
  <c r="W1718" i="1"/>
  <c r="W1717" i="1"/>
  <c r="W1716" i="1"/>
  <c r="W1715" i="1"/>
  <c r="W1714" i="1"/>
  <c r="W1713" i="1"/>
  <c r="W1712" i="1"/>
  <c r="W1711" i="1"/>
  <c r="W1710" i="1"/>
  <c r="W1709" i="1"/>
  <c r="W1708" i="1"/>
  <c r="W1707" i="1"/>
  <c r="W1706" i="1"/>
  <c r="W1705" i="1"/>
  <c r="W1704" i="1"/>
  <c r="W1703" i="1"/>
  <c r="W1702" i="1"/>
  <c r="W1701" i="1"/>
  <c r="W1700" i="1"/>
  <c r="W1699" i="1"/>
  <c r="W1698" i="1"/>
  <c r="W1697" i="1"/>
  <c r="W1696" i="1"/>
  <c r="W1695" i="1"/>
  <c r="W1694" i="1"/>
  <c r="W1693" i="1"/>
  <c r="W1692" i="1"/>
  <c r="W1691" i="1"/>
  <c r="W1690" i="1"/>
  <c r="W1689" i="1"/>
  <c r="W1688" i="1"/>
  <c r="W1687" i="1"/>
  <c r="W1686" i="1"/>
  <c r="W1685" i="1"/>
  <c r="W1684" i="1"/>
  <c r="W1683" i="1"/>
  <c r="W1682" i="1"/>
  <c r="W1681" i="1"/>
  <c r="W1680" i="1"/>
  <c r="W1679" i="1"/>
  <c r="W1678" i="1"/>
  <c r="W1677" i="1"/>
  <c r="W1676" i="1"/>
  <c r="W1675" i="1"/>
  <c r="W1674" i="1"/>
  <c r="W1673" i="1"/>
  <c r="W1672" i="1"/>
  <c r="W1671" i="1"/>
  <c r="W1670" i="1"/>
  <c r="W1669" i="1"/>
  <c r="W1668" i="1"/>
  <c r="W1667" i="1"/>
  <c r="W1666" i="1"/>
  <c r="W1665" i="1"/>
  <c r="W1664" i="1"/>
  <c r="W1663" i="1"/>
  <c r="W1662" i="1"/>
  <c r="W1661" i="1"/>
  <c r="W1660" i="1"/>
  <c r="W1659" i="1"/>
  <c r="W1658" i="1"/>
  <c r="W1657" i="1"/>
  <c r="W1656" i="1"/>
  <c r="W1655" i="1"/>
  <c r="W1654" i="1"/>
  <c r="W1653" i="1"/>
  <c r="W1652" i="1"/>
  <c r="W1651" i="1"/>
  <c r="W1650" i="1"/>
  <c r="W1649" i="1"/>
  <c r="W1648" i="1"/>
  <c r="W1647" i="1"/>
  <c r="W1646" i="1"/>
  <c r="W1645" i="1"/>
  <c r="W1644" i="1"/>
  <c r="W1643" i="1"/>
  <c r="W1642" i="1"/>
  <c r="W1641" i="1"/>
  <c r="W1640" i="1"/>
  <c r="W1639" i="1"/>
  <c r="W1638" i="1"/>
  <c r="W1637" i="1"/>
  <c r="W1636" i="1"/>
  <c r="W1635" i="1"/>
  <c r="W1634" i="1"/>
  <c r="W1633" i="1"/>
  <c r="W1632" i="1"/>
  <c r="W1631" i="1"/>
  <c r="W1630" i="1"/>
  <c r="W1629" i="1"/>
  <c r="W1628" i="1"/>
  <c r="W1627" i="1"/>
  <c r="W1626" i="1"/>
  <c r="W1625" i="1"/>
  <c r="W1624" i="1"/>
  <c r="W1623" i="1"/>
  <c r="W1622" i="1"/>
  <c r="W1621" i="1"/>
  <c r="W1620" i="1"/>
  <c r="W1619" i="1"/>
  <c r="W1618" i="1"/>
  <c r="W1617" i="1"/>
  <c r="W1616" i="1"/>
  <c r="W1615" i="1"/>
  <c r="W1614" i="1"/>
  <c r="W1613" i="1"/>
  <c r="W1612" i="1"/>
  <c r="W1611" i="1"/>
  <c r="W1610" i="1"/>
  <c r="W1609" i="1"/>
  <c r="W1608" i="1"/>
  <c r="W1607" i="1"/>
  <c r="W1606" i="1"/>
  <c r="W1605" i="1"/>
  <c r="W1604" i="1"/>
  <c r="W1603" i="1"/>
  <c r="W1602" i="1"/>
  <c r="W1601" i="1"/>
  <c r="W1600" i="1"/>
  <c r="W1599" i="1"/>
  <c r="W1598" i="1"/>
  <c r="W1597" i="1"/>
  <c r="W1596" i="1"/>
  <c r="W1595" i="1"/>
  <c r="W1594" i="1"/>
  <c r="W1593" i="1"/>
  <c r="W1592" i="1"/>
  <c r="W1591" i="1"/>
  <c r="W1590" i="1"/>
  <c r="W1589" i="1"/>
  <c r="W1588" i="1"/>
  <c r="W1587" i="1"/>
  <c r="W1586" i="1"/>
  <c r="W1585" i="1"/>
  <c r="W1584" i="1"/>
  <c r="W1583" i="1"/>
  <c r="W1582" i="1"/>
  <c r="W1581" i="1"/>
  <c r="W1580" i="1"/>
  <c r="W1579" i="1"/>
  <c r="W1578" i="1"/>
  <c r="W1577" i="1"/>
  <c r="W1576" i="1"/>
  <c r="W1575" i="1"/>
  <c r="W1574" i="1"/>
  <c r="W1573" i="1"/>
  <c r="W1572" i="1"/>
  <c r="W1571" i="1"/>
  <c r="W1570" i="1"/>
  <c r="W1569" i="1"/>
  <c r="W1568" i="1"/>
  <c r="W1567" i="1"/>
  <c r="W1566" i="1"/>
  <c r="W1565" i="1"/>
  <c r="W1564" i="1"/>
  <c r="W1563" i="1"/>
  <c r="W1562" i="1"/>
  <c r="W1561" i="1"/>
  <c r="W1560" i="1"/>
  <c r="W1559" i="1"/>
  <c r="W1558" i="1"/>
  <c r="W1557" i="1"/>
  <c r="W1556" i="1"/>
  <c r="W1555" i="1"/>
  <c r="W1554" i="1"/>
  <c r="W1553" i="1"/>
  <c r="W1552" i="1"/>
  <c r="W1551" i="1"/>
  <c r="W1550" i="1"/>
  <c r="W1549" i="1"/>
  <c r="W1548" i="1"/>
  <c r="W1547" i="1"/>
  <c r="W1546" i="1"/>
  <c r="W1545" i="1"/>
  <c r="W1544" i="1"/>
  <c r="W1543" i="1"/>
  <c r="W1542" i="1"/>
  <c r="W1541" i="1"/>
  <c r="W1540" i="1"/>
  <c r="W1539" i="1"/>
  <c r="W1538" i="1"/>
  <c r="W1537" i="1"/>
  <c r="W1536" i="1"/>
  <c r="W1535" i="1"/>
  <c r="W1534" i="1"/>
  <c r="W1533" i="1"/>
  <c r="W1532" i="1"/>
  <c r="W1531" i="1"/>
  <c r="W1530" i="1"/>
  <c r="W1529" i="1"/>
  <c r="W1528" i="1"/>
  <c r="W1527" i="1"/>
  <c r="W1526" i="1"/>
  <c r="W1525" i="1"/>
  <c r="W1524" i="1"/>
  <c r="W1523" i="1"/>
  <c r="W1522" i="1"/>
  <c r="W1521" i="1"/>
  <c r="W1520" i="1"/>
  <c r="W1519" i="1"/>
  <c r="W1518" i="1"/>
  <c r="W1517" i="1"/>
  <c r="W1516" i="1"/>
  <c r="W1515" i="1"/>
  <c r="W1514" i="1"/>
  <c r="W1513" i="1"/>
  <c r="W1512" i="1"/>
  <c r="W1511" i="1"/>
  <c r="W1510" i="1"/>
  <c r="W1509" i="1"/>
  <c r="W1508" i="1"/>
  <c r="W1507" i="1"/>
  <c r="W1506" i="1"/>
  <c r="W1505" i="1"/>
  <c r="W1504" i="1"/>
  <c r="W1503" i="1"/>
  <c r="W1502" i="1"/>
  <c r="W1501" i="1"/>
  <c r="W1500" i="1"/>
  <c r="W1499" i="1"/>
  <c r="W1498" i="1"/>
  <c r="W1497" i="1"/>
  <c r="W1496" i="1"/>
  <c r="W1495" i="1"/>
  <c r="W1494" i="1"/>
  <c r="W1493" i="1"/>
  <c r="W1492" i="1"/>
  <c r="W1491" i="1"/>
  <c r="W1490" i="1"/>
  <c r="W1489" i="1"/>
  <c r="W1488" i="1"/>
  <c r="W1487" i="1"/>
  <c r="W1486" i="1"/>
  <c r="W1485" i="1"/>
  <c r="W1484" i="1"/>
  <c r="W1483" i="1"/>
  <c r="W1482" i="1"/>
  <c r="W1481" i="1"/>
  <c r="W1480" i="1"/>
  <c r="W1479" i="1"/>
  <c r="W1478" i="1"/>
  <c r="W1477" i="1"/>
  <c r="W1476" i="1"/>
  <c r="W1475" i="1"/>
  <c r="W1474" i="1"/>
  <c r="W1473" i="1"/>
  <c r="W1472" i="1"/>
  <c r="W1471" i="1"/>
  <c r="W1470" i="1"/>
  <c r="W1469" i="1"/>
  <c r="W1468" i="1"/>
  <c r="W1467" i="1"/>
  <c r="W1466" i="1"/>
  <c r="W1465" i="1"/>
  <c r="W1464" i="1"/>
  <c r="W1463" i="1"/>
  <c r="W1462" i="1"/>
  <c r="W1461" i="1"/>
  <c r="W1460" i="1"/>
  <c r="W1459" i="1"/>
  <c r="W1458" i="1"/>
  <c r="W1457" i="1"/>
  <c r="W1456" i="1"/>
  <c r="W1455" i="1"/>
  <c r="W1454" i="1"/>
  <c r="W1453" i="1"/>
  <c r="W1452" i="1"/>
  <c r="W1451" i="1"/>
  <c r="W1450" i="1"/>
  <c r="W1449" i="1"/>
  <c r="W1448" i="1"/>
  <c r="W1447" i="1"/>
  <c r="W1446" i="1"/>
  <c r="W1445" i="1"/>
  <c r="W1444" i="1"/>
  <c r="W1443" i="1"/>
  <c r="W1442" i="1"/>
  <c r="W1441" i="1"/>
  <c r="W1440" i="1"/>
  <c r="W1439" i="1"/>
  <c r="W1438" i="1"/>
  <c r="W1437" i="1"/>
  <c r="W1436" i="1"/>
  <c r="W1435" i="1"/>
  <c r="W1434" i="1"/>
  <c r="W1433" i="1"/>
  <c r="W1432" i="1"/>
  <c r="W1431" i="1"/>
  <c r="W1430" i="1"/>
  <c r="W1429" i="1"/>
  <c r="W1428" i="1"/>
  <c r="W1427" i="1"/>
  <c r="W1426" i="1"/>
  <c r="W1425" i="1"/>
  <c r="W1424" i="1"/>
  <c r="W1423" i="1"/>
  <c r="W1422" i="1"/>
  <c r="W1421" i="1"/>
  <c r="W1420" i="1"/>
  <c r="W1419" i="1"/>
  <c r="W1418" i="1"/>
  <c r="W1417" i="1"/>
  <c r="W1416" i="1"/>
  <c r="W1415" i="1"/>
  <c r="W1414" i="1"/>
  <c r="W1413" i="1"/>
  <c r="W1412" i="1"/>
  <c r="W1411" i="1"/>
  <c r="W1410" i="1"/>
  <c r="W1409" i="1"/>
  <c r="W1408" i="1"/>
  <c r="W1407" i="1"/>
  <c r="W1406" i="1"/>
  <c r="W1405" i="1"/>
  <c r="W1404" i="1"/>
  <c r="W1403" i="1"/>
  <c r="W1402" i="1"/>
  <c r="W1401" i="1"/>
  <c r="W1400" i="1"/>
  <c r="W1399" i="1"/>
  <c r="W1398" i="1"/>
  <c r="W1397" i="1"/>
  <c r="W1396" i="1"/>
  <c r="W1395" i="1"/>
  <c r="W1394" i="1"/>
  <c r="W1393" i="1"/>
  <c r="W1392" i="1"/>
  <c r="W1391" i="1"/>
  <c r="W1390" i="1"/>
  <c r="W1389" i="1"/>
  <c r="W1388" i="1"/>
  <c r="W1387" i="1"/>
  <c r="W1386" i="1"/>
  <c r="W1385" i="1"/>
  <c r="W1384" i="1"/>
  <c r="W1383" i="1"/>
  <c r="W1382" i="1"/>
  <c r="W1381" i="1"/>
  <c r="W1380" i="1"/>
  <c r="W1379" i="1"/>
  <c r="W1378" i="1"/>
  <c r="W1377" i="1"/>
  <c r="W1376" i="1"/>
  <c r="W1375" i="1"/>
  <c r="W1374" i="1"/>
  <c r="W1373" i="1"/>
  <c r="W1372" i="1"/>
  <c r="W1371" i="1"/>
  <c r="W1370" i="1"/>
  <c r="W1369" i="1"/>
  <c r="W1368" i="1"/>
  <c r="W1367" i="1"/>
  <c r="W1366" i="1"/>
  <c r="W1365" i="1"/>
  <c r="W1364" i="1"/>
  <c r="W1363" i="1"/>
  <c r="W1362" i="1"/>
  <c r="W1361" i="1"/>
  <c r="W1360" i="1"/>
  <c r="W1359" i="1"/>
  <c r="W1358" i="1"/>
  <c r="W1357" i="1"/>
  <c r="W1356" i="1"/>
  <c r="W1355" i="1"/>
  <c r="W1354" i="1"/>
  <c r="W1353" i="1"/>
  <c r="W1352" i="1"/>
  <c r="W1351" i="1"/>
  <c r="W1350" i="1"/>
  <c r="W1349" i="1"/>
  <c r="W1348" i="1"/>
  <c r="W1347" i="1"/>
  <c r="W1346" i="1"/>
  <c r="W1345" i="1"/>
  <c r="W1344" i="1"/>
  <c r="W1343" i="1"/>
  <c r="W1342" i="1"/>
  <c r="W1341" i="1"/>
  <c r="W1340" i="1"/>
  <c r="W1339" i="1"/>
  <c r="W1338" i="1"/>
  <c r="W1337" i="1"/>
  <c r="W1336" i="1"/>
  <c r="W1335" i="1"/>
  <c r="W1334" i="1"/>
  <c r="W1333" i="1"/>
  <c r="W1332" i="1"/>
  <c r="W1331" i="1"/>
  <c r="W1330" i="1"/>
  <c r="W1329" i="1"/>
  <c r="W1328" i="1"/>
  <c r="W1327" i="1"/>
  <c r="W1326" i="1"/>
  <c r="W1325" i="1"/>
  <c r="W1324" i="1"/>
  <c r="W1323" i="1"/>
  <c r="W1322" i="1"/>
  <c r="W1321" i="1"/>
  <c r="W1320" i="1"/>
  <c r="W1319" i="1"/>
  <c r="W1318" i="1"/>
  <c r="W1317" i="1"/>
  <c r="W1316" i="1"/>
  <c r="W1315" i="1"/>
  <c r="W1314" i="1"/>
  <c r="W1313" i="1"/>
  <c r="W1312" i="1"/>
  <c r="W1311" i="1"/>
  <c r="W1310" i="1"/>
  <c r="W1309" i="1"/>
  <c r="W1308" i="1"/>
  <c r="W1307" i="1"/>
  <c r="W1306" i="1"/>
  <c r="W1305" i="1"/>
  <c r="W1304" i="1"/>
  <c r="W1303" i="1"/>
  <c r="W1302" i="1"/>
  <c r="W1301" i="1"/>
  <c r="W1300" i="1"/>
  <c r="W1299" i="1"/>
  <c r="W1298" i="1"/>
  <c r="W1297" i="1"/>
  <c r="W1296" i="1"/>
  <c r="W1295" i="1"/>
  <c r="W1294" i="1"/>
  <c r="W1293" i="1"/>
  <c r="W1292" i="1"/>
  <c r="W1291" i="1"/>
  <c r="W1290" i="1"/>
  <c r="W1289" i="1"/>
  <c r="W1288" i="1"/>
  <c r="W1287" i="1"/>
  <c r="W1286" i="1"/>
  <c r="W1285" i="1"/>
  <c r="W1284" i="1"/>
  <c r="W1283" i="1"/>
  <c r="W1282" i="1"/>
  <c r="W1281" i="1"/>
  <c r="W1280" i="1"/>
  <c r="W1279" i="1"/>
  <c r="W1278" i="1"/>
  <c r="W1277" i="1"/>
  <c r="W1276" i="1"/>
  <c r="W1275" i="1"/>
  <c r="W1274" i="1"/>
  <c r="W1273" i="1"/>
  <c r="W1272" i="1"/>
  <c r="W1271" i="1"/>
  <c r="W1270" i="1"/>
  <c r="W1269" i="1"/>
  <c r="W1268" i="1"/>
  <c r="W1267" i="1"/>
  <c r="W1266" i="1"/>
  <c r="W1265" i="1"/>
  <c r="W1264" i="1"/>
  <c r="W1263" i="1"/>
  <c r="W1262" i="1"/>
  <c r="W1261" i="1"/>
  <c r="W1260" i="1"/>
  <c r="W1259" i="1"/>
  <c r="W1258" i="1"/>
  <c r="W1257" i="1"/>
  <c r="W1256" i="1"/>
  <c r="W1255" i="1"/>
  <c r="W1254" i="1"/>
  <c r="W1253" i="1"/>
  <c r="W1252" i="1"/>
  <c r="W1251" i="1"/>
  <c r="W1250" i="1"/>
  <c r="W1249" i="1"/>
  <c r="W1248" i="1"/>
  <c r="W1247" i="1"/>
  <c r="W1246" i="1"/>
  <c r="W1245" i="1"/>
  <c r="W1244" i="1"/>
  <c r="W1243" i="1"/>
  <c r="W1242" i="1"/>
  <c r="W1241" i="1"/>
  <c r="W1240" i="1"/>
  <c r="W1239" i="1"/>
  <c r="W1238" i="1"/>
  <c r="W1237" i="1"/>
  <c r="W1236" i="1"/>
  <c r="W1235" i="1"/>
  <c r="W1234" i="1"/>
  <c r="W1233" i="1"/>
  <c r="W1232" i="1"/>
  <c r="W1231" i="1"/>
  <c r="W1230" i="1"/>
  <c r="W1229" i="1"/>
  <c r="W1228" i="1"/>
  <c r="W1227" i="1"/>
  <c r="W1226" i="1"/>
  <c r="W1225" i="1"/>
  <c r="W1224" i="1"/>
  <c r="W1223" i="1"/>
  <c r="W1222" i="1"/>
  <c r="W1221" i="1"/>
  <c r="W1220" i="1"/>
  <c r="W1219" i="1"/>
  <c r="W1218" i="1"/>
  <c r="W1217" i="1"/>
  <c r="W1216" i="1"/>
  <c r="W1215" i="1"/>
  <c r="W1214" i="1"/>
  <c r="W1213" i="1"/>
  <c r="W1212" i="1"/>
  <c r="W1211" i="1"/>
  <c r="W1210" i="1"/>
  <c r="W1209" i="1"/>
  <c r="W1208" i="1"/>
  <c r="W1207" i="1"/>
  <c r="W1206" i="1"/>
  <c r="W1205" i="1"/>
  <c r="W1204" i="1"/>
  <c r="W1203" i="1"/>
  <c r="W1202" i="1"/>
  <c r="W1201" i="1"/>
  <c r="W1200" i="1"/>
  <c r="W1199" i="1"/>
  <c r="W1198" i="1"/>
  <c r="W1197" i="1"/>
  <c r="W1196" i="1"/>
  <c r="W1195" i="1"/>
  <c r="W1194" i="1"/>
  <c r="W1193" i="1"/>
  <c r="W1192" i="1"/>
  <c r="W1191" i="1"/>
  <c r="W1190" i="1"/>
  <c r="W1189" i="1"/>
  <c r="W1188" i="1"/>
  <c r="W1187" i="1"/>
  <c r="W1186" i="1"/>
  <c r="W1185" i="1"/>
  <c r="W1184" i="1"/>
  <c r="W1183" i="1"/>
  <c r="W1182" i="1"/>
  <c r="W1181" i="1"/>
  <c r="W1180" i="1"/>
  <c r="W1179" i="1"/>
  <c r="W1178" i="1"/>
  <c r="W1177" i="1"/>
  <c r="W1176" i="1"/>
  <c r="W1175" i="1"/>
  <c r="W1174" i="1"/>
  <c r="W1173" i="1"/>
  <c r="W1172" i="1"/>
  <c r="W1171" i="1"/>
  <c r="W1170" i="1"/>
  <c r="W1169" i="1"/>
  <c r="W1168" i="1"/>
  <c r="W1167" i="1"/>
  <c r="W1166" i="1"/>
  <c r="W1165" i="1"/>
  <c r="W1164" i="1"/>
  <c r="W1163" i="1"/>
  <c r="W1162" i="1"/>
  <c r="W1161" i="1"/>
  <c r="W1160" i="1"/>
  <c r="W1159" i="1"/>
  <c r="W1158" i="1"/>
  <c r="W1157" i="1"/>
  <c r="W1156" i="1"/>
  <c r="W1155" i="1"/>
  <c r="W1154" i="1"/>
  <c r="W1153" i="1"/>
  <c r="W1152" i="1"/>
  <c r="W1151" i="1"/>
  <c r="W1150" i="1"/>
  <c r="W1149" i="1"/>
  <c r="W1148" i="1"/>
  <c r="W1147" i="1"/>
  <c r="W1146" i="1"/>
  <c r="W1145" i="1"/>
  <c r="W1144" i="1"/>
  <c r="W1143" i="1"/>
  <c r="W1142" i="1"/>
  <c r="W1141" i="1"/>
  <c r="W1140" i="1"/>
  <c r="W1139" i="1"/>
  <c r="W1138" i="1"/>
  <c r="W1137" i="1"/>
  <c r="W1136" i="1"/>
  <c r="W1135" i="1"/>
  <c r="W1134" i="1"/>
  <c r="W1133" i="1"/>
  <c r="W1132" i="1"/>
  <c r="W1131" i="1"/>
  <c r="W1130" i="1"/>
  <c r="W1129" i="1"/>
  <c r="W1128" i="1"/>
  <c r="W1127" i="1"/>
  <c r="W1126" i="1"/>
  <c r="W1125" i="1"/>
  <c r="W1124" i="1"/>
  <c r="W1123" i="1"/>
  <c r="W1122" i="1"/>
  <c r="W1121" i="1"/>
  <c r="W1120" i="1"/>
  <c r="W1119" i="1"/>
  <c r="W1118" i="1"/>
  <c r="W1117" i="1"/>
  <c r="W1116" i="1"/>
  <c r="W1115" i="1"/>
  <c r="W1114" i="1"/>
  <c r="W1113" i="1"/>
  <c r="W1112" i="1"/>
  <c r="W1111" i="1"/>
  <c r="W1110" i="1"/>
  <c r="W1109" i="1"/>
  <c r="W1108" i="1"/>
  <c r="W1107" i="1"/>
  <c r="W1106" i="1"/>
  <c r="W1105" i="1"/>
  <c r="W1104" i="1"/>
  <c r="W1103" i="1"/>
  <c r="W1102" i="1"/>
  <c r="W1101" i="1"/>
  <c r="W1100" i="1"/>
  <c r="W1099" i="1"/>
  <c r="W1098" i="1"/>
  <c r="W1097" i="1"/>
  <c r="W1096" i="1"/>
  <c r="W1095" i="1"/>
  <c r="W1094" i="1"/>
  <c r="W1093" i="1"/>
  <c r="W1092" i="1"/>
  <c r="W1091" i="1"/>
  <c r="W1090" i="1"/>
  <c r="W1089" i="1"/>
  <c r="W1088" i="1"/>
  <c r="W1087" i="1"/>
  <c r="W1086" i="1"/>
  <c r="W1085" i="1"/>
  <c r="W1084" i="1"/>
  <c r="W1083" i="1"/>
  <c r="W1082" i="1"/>
  <c r="W1081" i="1"/>
  <c r="W1080" i="1"/>
  <c r="W1079" i="1"/>
  <c r="W1078" i="1"/>
  <c r="W1077" i="1"/>
  <c r="W1076" i="1"/>
  <c r="W1075" i="1"/>
  <c r="W1074" i="1"/>
  <c r="W1073" i="1"/>
  <c r="W1072" i="1"/>
  <c r="W1071" i="1"/>
  <c r="W1070" i="1"/>
  <c r="W1069" i="1"/>
  <c r="W1068" i="1"/>
  <c r="W1067" i="1"/>
  <c r="W1066" i="1"/>
  <c r="W1065" i="1"/>
  <c r="W1064" i="1"/>
  <c r="W1063" i="1"/>
  <c r="W1062" i="1"/>
  <c r="W1061" i="1"/>
  <c r="W1060" i="1"/>
  <c r="W1059" i="1"/>
  <c r="W1058" i="1"/>
  <c r="W1057" i="1"/>
  <c r="W1056" i="1"/>
  <c r="W1055" i="1"/>
  <c r="W1054" i="1"/>
  <c r="W1053" i="1"/>
  <c r="W1052" i="1"/>
  <c r="W1051" i="1"/>
  <c r="W1050" i="1"/>
  <c r="W1049" i="1"/>
  <c r="W1048" i="1"/>
  <c r="W1047" i="1"/>
  <c r="W1046" i="1"/>
  <c r="W1045" i="1"/>
  <c r="W1044" i="1"/>
  <c r="W1043" i="1"/>
  <c r="W1042" i="1"/>
  <c r="W1041" i="1"/>
  <c r="W1040" i="1"/>
  <c r="W1039" i="1"/>
  <c r="W1038" i="1"/>
  <c r="W1037" i="1"/>
  <c r="W1036" i="1"/>
  <c r="W1035" i="1"/>
  <c r="W1034" i="1"/>
  <c r="W1033" i="1"/>
  <c r="W1032" i="1"/>
  <c r="W1031" i="1"/>
  <c r="W1030" i="1"/>
  <c r="W1029" i="1"/>
  <c r="W1028" i="1"/>
  <c r="W1027" i="1"/>
  <c r="W1026" i="1"/>
  <c r="W1025" i="1"/>
  <c r="W1024" i="1"/>
  <c r="W1023" i="1"/>
  <c r="W1022" i="1"/>
  <c r="W1021" i="1"/>
  <c r="W1020" i="1"/>
  <c r="W1019" i="1"/>
  <c r="W1018" i="1"/>
  <c r="W1017" i="1"/>
  <c r="W1016" i="1"/>
  <c r="W1015" i="1"/>
  <c r="W1014" i="1"/>
  <c r="W1013" i="1"/>
  <c r="W1012" i="1"/>
  <c r="W1011" i="1"/>
  <c r="W1010" i="1"/>
  <c r="W1009" i="1"/>
  <c r="W1008" i="1"/>
  <c r="W1007" i="1"/>
  <c r="W1006" i="1"/>
  <c r="W1005" i="1"/>
  <c r="W1004" i="1"/>
  <c r="W1003" i="1"/>
  <c r="W1002" i="1"/>
  <c r="W1001" i="1"/>
  <c r="W1000" i="1"/>
  <c r="W999" i="1"/>
  <c r="W998" i="1"/>
  <c r="W997" i="1"/>
  <c r="W996" i="1"/>
  <c r="W995" i="1"/>
  <c r="W994" i="1"/>
  <c r="W993" i="1"/>
  <c r="W992" i="1"/>
  <c r="W991" i="1"/>
  <c r="W990" i="1"/>
  <c r="W989" i="1"/>
  <c r="W988" i="1"/>
  <c r="W987" i="1"/>
  <c r="W986" i="1"/>
  <c r="W985" i="1"/>
  <c r="W984" i="1"/>
  <c r="W983" i="1"/>
  <c r="W982" i="1"/>
  <c r="W981" i="1"/>
  <c r="W980" i="1"/>
  <c r="W979" i="1"/>
  <c r="W978" i="1"/>
  <c r="W977" i="1"/>
  <c r="W976" i="1"/>
  <c r="W975" i="1"/>
  <c r="W974" i="1"/>
  <c r="W973" i="1"/>
  <c r="W972" i="1"/>
  <c r="W971" i="1"/>
  <c r="W970" i="1"/>
  <c r="W969" i="1"/>
  <c r="W968" i="1"/>
  <c r="W967" i="1"/>
  <c r="W966" i="1"/>
  <c r="W965" i="1"/>
  <c r="W964" i="1"/>
  <c r="W963" i="1"/>
  <c r="W962" i="1"/>
  <c r="W961" i="1"/>
  <c r="W960" i="1"/>
  <c r="W959" i="1"/>
  <c r="W958" i="1"/>
  <c r="W957" i="1"/>
  <c r="W956" i="1"/>
  <c r="W955" i="1"/>
  <c r="W954" i="1"/>
  <c r="W953" i="1"/>
  <c r="W952" i="1"/>
  <c r="W951" i="1"/>
  <c r="W950" i="1"/>
  <c r="W949" i="1"/>
  <c r="W948" i="1"/>
  <c r="W947" i="1"/>
  <c r="W946" i="1"/>
  <c r="W945" i="1"/>
  <c r="W944" i="1"/>
  <c r="W943" i="1"/>
  <c r="W942" i="1"/>
  <c r="W941" i="1"/>
  <c r="W940" i="1"/>
  <c r="W939" i="1"/>
  <c r="W938" i="1"/>
  <c r="W937" i="1"/>
  <c r="W936" i="1"/>
  <c r="W935" i="1"/>
  <c r="W934" i="1"/>
  <c r="W933" i="1"/>
  <c r="W932" i="1"/>
  <c r="W931" i="1"/>
  <c r="W930" i="1"/>
  <c r="W929" i="1"/>
  <c r="W928" i="1"/>
  <c r="W927" i="1"/>
  <c r="W926" i="1"/>
  <c r="W925" i="1"/>
  <c r="W924" i="1"/>
  <c r="W923" i="1"/>
  <c r="W922" i="1"/>
  <c r="W921" i="1"/>
  <c r="W920" i="1"/>
  <c r="W919" i="1"/>
  <c r="W918" i="1"/>
  <c r="W917" i="1"/>
  <c r="W916" i="1"/>
  <c r="W915" i="1"/>
  <c r="W914" i="1"/>
  <c r="W913" i="1"/>
  <c r="W912" i="1"/>
  <c r="W911" i="1"/>
  <c r="W910" i="1"/>
  <c r="W909" i="1"/>
  <c r="W908" i="1"/>
  <c r="W907" i="1"/>
  <c r="W906" i="1"/>
  <c r="W905" i="1"/>
  <c r="W904" i="1"/>
  <c r="W903" i="1"/>
  <c r="W902" i="1"/>
  <c r="W901" i="1"/>
  <c r="W900" i="1"/>
  <c r="W899" i="1"/>
  <c r="W898" i="1"/>
  <c r="W897" i="1"/>
  <c r="W896" i="1"/>
  <c r="W895" i="1"/>
  <c r="W894" i="1"/>
  <c r="W893" i="1"/>
  <c r="W892" i="1"/>
  <c r="W891" i="1"/>
  <c r="W890" i="1"/>
  <c r="W889" i="1"/>
  <c r="W888" i="1"/>
  <c r="W887" i="1"/>
  <c r="W886" i="1"/>
  <c r="W885" i="1"/>
  <c r="W884" i="1"/>
  <c r="W883" i="1"/>
  <c r="W882" i="1"/>
  <c r="W881" i="1"/>
  <c r="W880" i="1"/>
  <c r="W879" i="1"/>
  <c r="W878" i="1"/>
  <c r="W877" i="1"/>
  <c r="W876" i="1"/>
  <c r="W875" i="1"/>
  <c r="W874" i="1"/>
  <c r="W873" i="1"/>
  <c r="W872" i="1"/>
  <c r="W871" i="1"/>
  <c r="W870" i="1"/>
  <c r="W869" i="1"/>
  <c r="W868" i="1"/>
  <c r="W867" i="1"/>
  <c r="W866" i="1"/>
  <c r="W865" i="1"/>
  <c r="W864" i="1"/>
  <c r="W863" i="1"/>
  <c r="W862" i="1"/>
  <c r="W861" i="1"/>
  <c r="W860" i="1"/>
  <c r="W859" i="1"/>
  <c r="W858" i="1"/>
  <c r="W857" i="1"/>
  <c r="W856" i="1"/>
  <c r="W855" i="1"/>
  <c r="W854" i="1"/>
  <c r="W853" i="1"/>
  <c r="W852" i="1"/>
  <c r="W851" i="1"/>
  <c r="W850" i="1"/>
  <c r="W849" i="1"/>
  <c r="W848" i="1"/>
  <c r="W847" i="1"/>
  <c r="W846" i="1"/>
  <c r="W845" i="1"/>
  <c r="W844" i="1"/>
  <c r="W843" i="1"/>
  <c r="W842" i="1"/>
  <c r="W841" i="1"/>
  <c r="W840" i="1"/>
  <c r="W839" i="1"/>
  <c r="W838" i="1"/>
  <c r="W837" i="1"/>
  <c r="W836" i="1"/>
  <c r="W835" i="1"/>
  <c r="W834" i="1"/>
  <c r="W833" i="1"/>
  <c r="W832" i="1"/>
  <c r="W831" i="1"/>
  <c r="W830" i="1"/>
  <c r="W829" i="1"/>
  <c r="W828" i="1"/>
  <c r="W827" i="1"/>
  <c r="W826" i="1"/>
  <c r="W825" i="1"/>
  <c r="W824" i="1"/>
  <c r="W823" i="1"/>
  <c r="W822" i="1"/>
  <c r="W821" i="1"/>
  <c r="W820" i="1"/>
  <c r="W819" i="1"/>
  <c r="W818" i="1"/>
  <c r="W817" i="1"/>
  <c r="W816" i="1"/>
  <c r="W815" i="1"/>
  <c r="W814" i="1"/>
  <c r="W813" i="1"/>
  <c r="W812" i="1"/>
  <c r="W811" i="1"/>
  <c r="W810" i="1"/>
  <c r="W809" i="1"/>
  <c r="W808" i="1"/>
  <c r="W807" i="1"/>
  <c r="W806" i="1"/>
  <c r="W805" i="1"/>
  <c r="W804" i="1"/>
  <c r="W803" i="1"/>
  <c r="W802" i="1"/>
  <c r="W801" i="1"/>
  <c r="W800" i="1"/>
  <c r="W799" i="1"/>
  <c r="W798" i="1"/>
  <c r="W797" i="1"/>
  <c r="W796" i="1"/>
  <c r="W795" i="1"/>
  <c r="W794" i="1"/>
  <c r="W793" i="1"/>
  <c r="W792" i="1"/>
  <c r="W791" i="1"/>
  <c r="W790" i="1"/>
  <c r="W789" i="1"/>
  <c r="W788" i="1"/>
  <c r="W787" i="1"/>
  <c r="W786" i="1"/>
  <c r="W785" i="1"/>
  <c r="W784" i="1"/>
  <c r="W783" i="1"/>
  <c r="W782" i="1"/>
  <c r="W781" i="1"/>
  <c r="W780" i="1"/>
  <c r="W779" i="1"/>
  <c r="W778" i="1"/>
  <c r="W777" i="1"/>
  <c r="W776" i="1"/>
  <c r="W775" i="1"/>
  <c r="W774" i="1"/>
  <c r="W773" i="1"/>
  <c r="W772" i="1"/>
  <c r="W771" i="1"/>
  <c r="W770" i="1"/>
  <c r="W769" i="1"/>
  <c r="W768" i="1"/>
  <c r="W767" i="1"/>
  <c r="W766" i="1"/>
  <c r="W765" i="1"/>
  <c r="W764" i="1"/>
  <c r="W763" i="1"/>
  <c r="W762" i="1"/>
  <c r="W761" i="1"/>
  <c r="W760" i="1"/>
  <c r="W759" i="1"/>
  <c r="W758" i="1"/>
  <c r="W757" i="1"/>
  <c r="W756" i="1"/>
  <c r="W755" i="1"/>
  <c r="W754" i="1"/>
  <c r="W753" i="1"/>
  <c r="W752" i="1"/>
  <c r="W751" i="1"/>
  <c r="W750" i="1"/>
  <c r="W749" i="1"/>
  <c r="W748" i="1"/>
  <c r="W747" i="1"/>
  <c r="W746" i="1"/>
  <c r="W745" i="1"/>
  <c r="W744" i="1"/>
  <c r="W743" i="1"/>
  <c r="W742" i="1"/>
  <c r="W741" i="1"/>
  <c r="W740" i="1"/>
  <c r="W739" i="1"/>
  <c r="W738" i="1"/>
  <c r="W737" i="1"/>
  <c r="W736" i="1"/>
  <c r="W735" i="1"/>
  <c r="W734" i="1"/>
  <c r="W733" i="1"/>
  <c r="W732" i="1"/>
  <c r="W731" i="1"/>
  <c r="W730" i="1"/>
  <c r="W729" i="1"/>
  <c r="W728" i="1"/>
  <c r="W727" i="1"/>
  <c r="W726" i="1"/>
  <c r="W725" i="1"/>
  <c r="W724" i="1"/>
  <c r="W723" i="1"/>
  <c r="W722" i="1"/>
  <c r="W721" i="1"/>
  <c r="W720" i="1"/>
  <c r="W719" i="1"/>
  <c r="W718" i="1"/>
  <c r="W717" i="1"/>
  <c r="W716" i="1"/>
  <c r="W715" i="1"/>
  <c r="W714" i="1"/>
  <c r="W713" i="1"/>
  <c r="W712" i="1"/>
  <c r="W711" i="1"/>
  <c r="W710" i="1"/>
  <c r="W709" i="1"/>
  <c r="W708" i="1"/>
  <c r="W707" i="1"/>
  <c r="W706" i="1"/>
  <c r="W705" i="1"/>
  <c r="W704" i="1"/>
  <c r="W703" i="1"/>
  <c r="W702" i="1"/>
  <c r="W701" i="1"/>
  <c r="W700" i="1"/>
  <c r="W699" i="1"/>
  <c r="W698" i="1"/>
  <c r="W697" i="1"/>
  <c r="W696" i="1"/>
  <c r="W695" i="1"/>
  <c r="W694" i="1"/>
  <c r="W693" i="1"/>
  <c r="W692" i="1"/>
  <c r="W691" i="1"/>
  <c r="W690" i="1"/>
  <c r="W689" i="1"/>
  <c r="W688" i="1"/>
  <c r="W687" i="1"/>
  <c r="W686" i="1"/>
  <c r="W685" i="1"/>
  <c r="W684" i="1"/>
  <c r="W683" i="1"/>
  <c r="W682" i="1"/>
  <c r="W681" i="1"/>
  <c r="W680" i="1"/>
  <c r="W679" i="1"/>
  <c r="W678" i="1"/>
  <c r="W677" i="1"/>
  <c r="W676" i="1"/>
  <c r="W675" i="1"/>
  <c r="W674" i="1"/>
  <c r="W673" i="1"/>
  <c r="W672" i="1"/>
  <c r="W671" i="1"/>
  <c r="W670" i="1"/>
  <c r="W669" i="1"/>
  <c r="W668" i="1"/>
  <c r="W667" i="1"/>
  <c r="W666" i="1"/>
  <c r="W665" i="1"/>
  <c r="W664" i="1"/>
  <c r="W663" i="1"/>
  <c r="W662" i="1"/>
  <c r="W661" i="1"/>
  <c r="W660" i="1"/>
  <c r="W659" i="1"/>
  <c r="W658" i="1"/>
  <c r="W657" i="1"/>
  <c r="W656" i="1"/>
  <c r="W655" i="1"/>
  <c r="W654" i="1"/>
  <c r="W653" i="1"/>
  <c r="W652" i="1"/>
  <c r="W651" i="1"/>
  <c r="W650" i="1"/>
  <c r="W649" i="1"/>
  <c r="W648" i="1"/>
  <c r="W647" i="1"/>
  <c r="W646" i="1"/>
  <c r="W645" i="1"/>
  <c r="W644" i="1"/>
  <c r="W643" i="1"/>
  <c r="W642" i="1"/>
  <c r="W641" i="1"/>
  <c r="W640" i="1"/>
  <c r="W639" i="1"/>
  <c r="W638" i="1"/>
  <c r="W637" i="1"/>
  <c r="W636" i="1"/>
  <c r="W635" i="1"/>
  <c r="W634" i="1"/>
  <c r="W633" i="1"/>
  <c r="W632" i="1"/>
  <c r="W631" i="1"/>
  <c r="W630" i="1"/>
  <c r="W629" i="1"/>
  <c r="W628" i="1"/>
  <c r="W627" i="1"/>
  <c r="W626" i="1"/>
  <c r="W625" i="1"/>
  <c r="W624" i="1"/>
  <c r="W623" i="1"/>
  <c r="W622" i="1"/>
  <c r="W621" i="1"/>
  <c r="W620" i="1"/>
  <c r="W619" i="1"/>
  <c r="W618" i="1"/>
  <c r="W617" i="1"/>
  <c r="W616" i="1"/>
  <c r="W615" i="1"/>
  <c r="W614" i="1"/>
  <c r="W613" i="1"/>
  <c r="W612" i="1"/>
  <c r="W611" i="1"/>
  <c r="W610" i="1"/>
  <c r="W609" i="1"/>
  <c r="W608" i="1"/>
  <c r="W607" i="1"/>
  <c r="W606" i="1"/>
  <c r="W605" i="1"/>
  <c r="W604" i="1"/>
  <c r="W603" i="1"/>
  <c r="W602" i="1"/>
  <c r="W601" i="1"/>
  <c r="W600" i="1"/>
  <c r="W599" i="1"/>
  <c r="W598" i="1"/>
  <c r="W597" i="1"/>
  <c r="W596" i="1"/>
  <c r="W595" i="1"/>
  <c r="W594" i="1"/>
  <c r="W593" i="1"/>
  <c r="W592" i="1"/>
  <c r="W591" i="1"/>
  <c r="W590" i="1"/>
  <c r="W589" i="1"/>
  <c r="W588" i="1"/>
  <c r="W587" i="1"/>
  <c r="W586" i="1"/>
  <c r="W585" i="1"/>
  <c r="W584" i="1"/>
  <c r="W583" i="1"/>
  <c r="W582" i="1"/>
  <c r="W581" i="1"/>
  <c r="W580" i="1"/>
  <c r="W579" i="1"/>
  <c r="W578" i="1"/>
  <c r="W577" i="1"/>
  <c r="W576" i="1"/>
  <c r="W575" i="1"/>
  <c r="W574" i="1"/>
  <c r="W573" i="1"/>
  <c r="W572" i="1"/>
  <c r="W571" i="1"/>
  <c r="W570" i="1"/>
  <c r="W569" i="1"/>
  <c r="W568" i="1"/>
  <c r="W567" i="1"/>
  <c r="W566" i="1"/>
  <c r="W565" i="1"/>
  <c r="W564" i="1"/>
  <c r="W563" i="1"/>
  <c r="W562" i="1"/>
  <c r="W561" i="1"/>
  <c r="W560" i="1"/>
  <c r="W559" i="1"/>
  <c r="W558" i="1"/>
  <c r="W557" i="1"/>
  <c r="W556" i="1"/>
  <c r="W555" i="1"/>
  <c r="W554" i="1"/>
  <c r="W553" i="1"/>
  <c r="W552" i="1"/>
  <c r="W551" i="1"/>
  <c r="W550" i="1"/>
  <c r="W549" i="1"/>
  <c r="W548" i="1"/>
  <c r="W547" i="1"/>
  <c r="W546" i="1"/>
  <c r="W545" i="1"/>
  <c r="W544" i="1"/>
  <c r="W543" i="1"/>
  <c r="W542" i="1"/>
  <c r="W541" i="1"/>
  <c r="W540" i="1"/>
  <c r="W539" i="1"/>
  <c r="W538" i="1"/>
  <c r="W537" i="1"/>
  <c r="W536" i="1"/>
  <c r="W535" i="1"/>
  <c r="W534" i="1"/>
  <c r="W533" i="1"/>
  <c r="W532" i="1"/>
  <c r="W531" i="1"/>
  <c r="W530" i="1"/>
  <c r="W529" i="1"/>
  <c r="W528" i="1"/>
  <c r="W527" i="1"/>
  <c r="W526" i="1"/>
  <c r="W525" i="1"/>
  <c r="W524" i="1"/>
  <c r="W523" i="1"/>
  <c r="W522" i="1"/>
  <c r="W521" i="1"/>
  <c r="W520" i="1"/>
  <c r="W519" i="1"/>
  <c r="W518" i="1"/>
  <c r="W517" i="1"/>
  <c r="W516" i="1"/>
  <c r="W515" i="1"/>
  <c r="W514" i="1"/>
  <c r="W513" i="1"/>
  <c r="W512" i="1"/>
  <c r="W511" i="1"/>
  <c r="W510" i="1"/>
  <c r="W509" i="1"/>
  <c r="W508" i="1"/>
  <c r="W507" i="1"/>
  <c r="W506" i="1"/>
  <c r="W505" i="1"/>
  <c r="W504" i="1"/>
  <c r="W503" i="1"/>
  <c r="W502" i="1"/>
  <c r="W501" i="1"/>
  <c r="W500" i="1"/>
  <c r="W499" i="1"/>
  <c r="W498" i="1"/>
  <c r="W497" i="1"/>
  <c r="W496" i="1"/>
  <c r="W495" i="1"/>
  <c r="W494" i="1"/>
  <c r="W493" i="1"/>
  <c r="W492" i="1"/>
  <c r="W491" i="1"/>
  <c r="W490" i="1"/>
  <c r="W489" i="1"/>
  <c r="W488" i="1"/>
  <c r="W487" i="1"/>
  <c r="W486" i="1"/>
  <c r="W485" i="1"/>
  <c r="W484" i="1"/>
  <c r="W483" i="1"/>
  <c r="W482" i="1"/>
  <c r="W481" i="1"/>
  <c r="W480" i="1"/>
  <c r="W479" i="1"/>
  <c r="W478" i="1"/>
  <c r="W477" i="1"/>
  <c r="W476" i="1"/>
  <c r="W475" i="1"/>
  <c r="W474" i="1"/>
  <c r="W473" i="1"/>
  <c r="W472" i="1"/>
  <c r="W471" i="1"/>
  <c r="W470" i="1"/>
  <c r="W469" i="1"/>
  <c r="W468" i="1"/>
  <c r="W467" i="1"/>
  <c r="W466" i="1"/>
  <c r="W465" i="1"/>
  <c r="W464" i="1"/>
  <c r="W463" i="1"/>
  <c r="W462" i="1"/>
  <c r="W461" i="1"/>
  <c r="W460" i="1"/>
  <c r="W459" i="1"/>
  <c r="W458" i="1"/>
  <c r="W457" i="1"/>
  <c r="W456" i="1"/>
  <c r="W455" i="1"/>
  <c r="W454" i="1"/>
  <c r="W453" i="1"/>
  <c r="W452" i="1"/>
  <c r="W451" i="1"/>
  <c r="W450" i="1"/>
  <c r="W449" i="1"/>
  <c r="W448" i="1"/>
  <c r="W447" i="1"/>
  <c r="W446" i="1"/>
  <c r="W445" i="1"/>
  <c r="W444" i="1"/>
  <c r="W443" i="1"/>
  <c r="W442" i="1"/>
  <c r="W441" i="1"/>
  <c r="W440" i="1"/>
  <c r="W439" i="1"/>
  <c r="W438" i="1"/>
  <c r="W437" i="1"/>
  <c r="W436" i="1"/>
  <c r="W435" i="1"/>
  <c r="W434" i="1"/>
  <c r="W433" i="1"/>
  <c r="W432" i="1"/>
  <c r="W431" i="1"/>
  <c r="W430" i="1"/>
  <c r="W429" i="1"/>
  <c r="W428" i="1"/>
  <c r="W427" i="1"/>
  <c r="W426" i="1"/>
  <c r="W425" i="1"/>
  <c r="W424" i="1"/>
  <c r="W423" i="1"/>
  <c r="W422" i="1"/>
  <c r="W421" i="1"/>
  <c r="W420" i="1"/>
  <c r="W419" i="1"/>
  <c r="W418" i="1"/>
  <c r="W417" i="1"/>
  <c r="W416" i="1"/>
  <c r="W415" i="1"/>
  <c r="W414" i="1"/>
  <c r="W413" i="1"/>
  <c r="W412" i="1"/>
  <c r="W411" i="1"/>
  <c r="W410" i="1"/>
  <c r="W409" i="1"/>
  <c r="W408" i="1"/>
  <c r="W407" i="1"/>
  <c r="W406" i="1"/>
  <c r="W405" i="1"/>
  <c r="W404" i="1"/>
  <c r="W403" i="1"/>
  <c r="W402" i="1"/>
  <c r="W401" i="1"/>
  <c r="W400" i="1"/>
  <c r="W399" i="1"/>
  <c r="W398" i="1"/>
  <c r="W397" i="1"/>
  <c r="W396" i="1"/>
  <c r="W395" i="1"/>
  <c r="W394" i="1"/>
  <c r="W393" i="1"/>
  <c r="W392" i="1"/>
  <c r="W391" i="1"/>
  <c r="W390" i="1"/>
  <c r="W389" i="1"/>
  <c r="W388" i="1"/>
  <c r="W387" i="1"/>
  <c r="W386" i="1"/>
  <c r="W385" i="1"/>
  <c r="W384" i="1"/>
  <c r="W383" i="1"/>
  <c r="W382" i="1"/>
  <c r="W381" i="1"/>
  <c r="W380" i="1"/>
  <c r="W379" i="1"/>
  <c r="W378" i="1"/>
  <c r="W377" i="1"/>
  <c r="W376" i="1"/>
  <c r="W375" i="1"/>
  <c r="W374" i="1"/>
  <c r="W373" i="1"/>
  <c r="W372" i="1"/>
  <c r="W371" i="1"/>
  <c r="W370" i="1"/>
  <c r="W369" i="1"/>
  <c r="W368" i="1"/>
  <c r="W367" i="1"/>
  <c r="W366" i="1"/>
  <c r="W365" i="1"/>
  <c r="W364" i="1"/>
  <c r="W363" i="1"/>
  <c r="W362" i="1"/>
  <c r="W361" i="1"/>
  <c r="W360" i="1"/>
  <c r="W359" i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W344" i="1"/>
  <c r="W343" i="1"/>
  <c r="W342" i="1"/>
  <c r="W341" i="1"/>
  <c r="W340" i="1"/>
  <c r="W339" i="1"/>
  <c r="W338" i="1"/>
  <c r="W337" i="1"/>
  <c r="W336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8" i="1"/>
  <c r="W7" i="1"/>
  <c r="W6" i="1"/>
  <c r="W5" i="1"/>
  <c r="W4" i="1"/>
  <c r="W3" i="1"/>
  <c r="W2" i="1"/>
  <c r="H4" i="9"/>
  <c r="B4" i="9"/>
  <c r="J4" i="4"/>
  <c r="H4" i="4"/>
  <c r="B4" i="4"/>
  <c r="F4" i="9"/>
  <c r="J4" i="9"/>
  <c r="F4" i="4"/>
  <c r="C13" i="2" l="1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Y13" i="2"/>
  <c r="Z13" i="2"/>
  <c r="Y5" i="1" l="1"/>
  <c r="Y3" i="1"/>
  <c r="Y4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" i="1"/>
  <c r="B13" i="2"/>
  <c r="B12" i="2" a="1"/>
  <c r="B12" i="2" s="1"/>
  <c r="B10" i="2"/>
  <c r="X13" i="2" l="1"/>
  <c r="C1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<sst xmlns="http://schemas.openxmlformats.org/spreadsheetml/2006/main" count="15384" uniqueCount="2279">
  <si>
    <t>product_id</t>
  </si>
  <si>
    <t>category</t>
  </si>
  <si>
    <t>brand</t>
  </si>
  <si>
    <t>season</t>
  </si>
  <si>
    <t>size</t>
  </si>
  <si>
    <t>Size_Accesorio</t>
  </si>
  <si>
    <t>color</t>
  </si>
  <si>
    <t>original_price</t>
  </si>
  <si>
    <t>markdown_percentage</t>
  </si>
  <si>
    <t>current_price</t>
  </si>
  <si>
    <t>purchase_date</t>
  </si>
  <si>
    <t>stock_quantity</t>
  </si>
  <si>
    <t>customer_rating</t>
  </si>
  <si>
    <t>Customer_rating2</t>
  </si>
  <si>
    <t>is_returned</t>
  </si>
  <si>
    <t>return_reason</t>
  </si>
  <si>
    <t>Return_Reason2</t>
  </si>
  <si>
    <t>Duplicados</t>
  </si>
  <si>
    <t>FB000001</t>
  </si>
  <si>
    <t>Outerwear</t>
  </si>
  <si>
    <t>Zara</t>
  </si>
  <si>
    <t>Spring</t>
  </si>
  <si>
    <t>XL</t>
  </si>
  <si>
    <t>Red</t>
  </si>
  <si>
    <t>False</t>
  </si>
  <si>
    <t>FB000002</t>
  </si>
  <si>
    <t>Tops</t>
  </si>
  <si>
    <t>Uniqlo</t>
  </si>
  <si>
    <t>Winter</t>
  </si>
  <si>
    <t>L</t>
  </si>
  <si>
    <t>Pink</t>
  </si>
  <si>
    <t>FB000003</t>
  </si>
  <si>
    <t>Accessories</t>
  </si>
  <si>
    <t>Black</t>
  </si>
  <si>
    <t>FB000004</t>
  </si>
  <si>
    <t>Shoes</t>
  </si>
  <si>
    <t>FB000005</t>
  </si>
  <si>
    <t>Banana Republic</t>
  </si>
  <si>
    <t>FB000006</t>
  </si>
  <si>
    <t>Fall</t>
  </si>
  <si>
    <t>White</t>
  </si>
  <si>
    <t>True</t>
  </si>
  <si>
    <t>Color Mismatch</t>
  </si>
  <si>
    <t>FB000007</t>
  </si>
  <si>
    <t>Bottoms</t>
  </si>
  <si>
    <t>S</t>
  </si>
  <si>
    <t>Gray</t>
  </si>
  <si>
    <t>FB000008</t>
  </si>
  <si>
    <t>Dresses</t>
  </si>
  <si>
    <t>Mango</t>
  </si>
  <si>
    <t>Blue</t>
  </si>
  <si>
    <t>FB000009</t>
  </si>
  <si>
    <t>Green</t>
  </si>
  <si>
    <t>FB000010</t>
  </si>
  <si>
    <t>H&amp;M</t>
  </si>
  <si>
    <t>XXL</t>
  </si>
  <si>
    <t>FB000011</t>
  </si>
  <si>
    <t>FB000012</t>
  </si>
  <si>
    <t>FB000013</t>
  </si>
  <si>
    <t>Ann Taylor</t>
  </si>
  <si>
    <t>FB000014</t>
  </si>
  <si>
    <t>XS</t>
  </si>
  <si>
    <t>Beige</t>
  </si>
  <si>
    <t>FB000015</t>
  </si>
  <si>
    <t>M</t>
  </si>
  <si>
    <t>FB000016</t>
  </si>
  <si>
    <t>FB000017</t>
  </si>
  <si>
    <t>Gap</t>
  </si>
  <si>
    <t>Summer</t>
  </si>
  <si>
    <t>FB000018</t>
  </si>
  <si>
    <t>Navy</t>
  </si>
  <si>
    <t>FB000019</t>
  </si>
  <si>
    <t>Purple</t>
  </si>
  <si>
    <t>FB000020</t>
  </si>
  <si>
    <t>FB000021</t>
  </si>
  <si>
    <t>FB000022</t>
  </si>
  <si>
    <t>Brown</t>
  </si>
  <si>
    <t>FB000023</t>
  </si>
  <si>
    <t>FB000024</t>
  </si>
  <si>
    <t>Size Issue</t>
  </si>
  <si>
    <t>FB000025</t>
  </si>
  <si>
    <t>Forever21</t>
  </si>
  <si>
    <t>FB000026</t>
  </si>
  <si>
    <t>FB000027</t>
  </si>
  <si>
    <t>Damaged</t>
  </si>
  <si>
    <t>FB000028</t>
  </si>
  <si>
    <t>FB000029</t>
  </si>
  <si>
    <t>FB000030</t>
  </si>
  <si>
    <t>FB000031</t>
  </si>
  <si>
    <t>Quality Issue</t>
  </si>
  <si>
    <t>FB000032</t>
  </si>
  <si>
    <t>FB000033</t>
  </si>
  <si>
    <t>FB000034</t>
  </si>
  <si>
    <t>FB000035</t>
  </si>
  <si>
    <t>FB000036</t>
  </si>
  <si>
    <t>FB000037</t>
  </si>
  <si>
    <t>FB000038</t>
  </si>
  <si>
    <t>FB000039</t>
  </si>
  <si>
    <t>FB000040</t>
  </si>
  <si>
    <t>FB000041</t>
  </si>
  <si>
    <t>FB000042</t>
  </si>
  <si>
    <t>FB000043</t>
  </si>
  <si>
    <t>FB000044</t>
  </si>
  <si>
    <t>FB000045</t>
  </si>
  <si>
    <t>FB000046</t>
  </si>
  <si>
    <t>FB000047</t>
  </si>
  <si>
    <t>FB000048</t>
  </si>
  <si>
    <t>FB000049</t>
  </si>
  <si>
    <t>FB000050</t>
  </si>
  <si>
    <t>FB000051</t>
  </si>
  <si>
    <t>FB000052</t>
  </si>
  <si>
    <t>FB000053</t>
  </si>
  <si>
    <t>FB000054</t>
  </si>
  <si>
    <t>FB000055</t>
  </si>
  <si>
    <t>FB000056</t>
  </si>
  <si>
    <t>FB000057</t>
  </si>
  <si>
    <t>FB000058</t>
  </si>
  <si>
    <t>FB000059</t>
  </si>
  <si>
    <t>FB000060</t>
  </si>
  <si>
    <t>FB000061</t>
  </si>
  <si>
    <t>FB000062</t>
  </si>
  <si>
    <t>Changed Mind</t>
  </si>
  <si>
    <t>FB000063</t>
  </si>
  <si>
    <t>FB000064</t>
  </si>
  <si>
    <t>FB000065</t>
  </si>
  <si>
    <t>FB000066</t>
  </si>
  <si>
    <t>FB000067</t>
  </si>
  <si>
    <t>FB000068</t>
  </si>
  <si>
    <t>FB000069</t>
  </si>
  <si>
    <t>FB000070</t>
  </si>
  <si>
    <t>FB000071</t>
  </si>
  <si>
    <t>Wrong Item</t>
  </si>
  <si>
    <t>FB000072</t>
  </si>
  <si>
    <t>FB000073</t>
  </si>
  <si>
    <t>FB000074</t>
  </si>
  <si>
    <t>FB000075</t>
  </si>
  <si>
    <t>FB000076</t>
  </si>
  <si>
    <t>FB000077</t>
  </si>
  <si>
    <t>FB000078</t>
  </si>
  <si>
    <t>FB000079</t>
  </si>
  <si>
    <t>FB000080</t>
  </si>
  <si>
    <t>FB000081</t>
  </si>
  <si>
    <t>FB000082</t>
  </si>
  <si>
    <t>FB000083</t>
  </si>
  <si>
    <t>FB000084</t>
  </si>
  <si>
    <t>FB000085</t>
  </si>
  <si>
    <t>FB000086</t>
  </si>
  <si>
    <t>FB000087</t>
  </si>
  <si>
    <t>FB000088</t>
  </si>
  <si>
    <t>FB000089</t>
  </si>
  <si>
    <t>FB000090</t>
  </si>
  <si>
    <t>FB000091</t>
  </si>
  <si>
    <t>FB000092</t>
  </si>
  <si>
    <t>FB000093</t>
  </si>
  <si>
    <t>FB000094</t>
  </si>
  <si>
    <t>FB000095</t>
  </si>
  <si>
    <t>FB000096</t>
  </si>
  <si>
    <t>FB000097</t>
  </si>
  <si>
    <t>FB000098</t>
  </si>
  <si>
    <t>FB000099</t>
  </si>
  <si>
    <t>FB000100</t>
  </si>
  <si>
    <t>FB000101</t>
  </si>
  <si>
    <t>FB000102</t>
  </si>
  <si>
    <t>FB000103</t>
  </si>
  <si>
    <t>FB000104</t>
  </si>
  <si>
    <t>FB000105</t>
  </si>
  <si>
    <t>FB000106</t>
  </si>
  <si>
    <t>FB000107</t>
  </si>
  <si>
    <t>FB000108</t>
  </si>
  <si>
    <t>FB000109</t>
  </si>
  <si>
    <t>FB000110</t>
  </si>
  <si>
    <t>FB000111</t>
  </si>
  <si>
    <t>FB000112</t>
  </si>
  <si>
    <t>FB000113</t>
  </si>
  <si>
    <t>FB000114</t>
  </si>
  <si>
    <t>FB000115</t>
  </si>
  <si>
    <t>FB000116</t>
  </si>
  <si>
    <t>FB000117</t>
  </si>
  <si>
    <t>FB000118</t>
  </si>
  <si>
    <t>FB000119</t>
  </si>
  <si>
    <t>FB000120</t>
  </si>
  <si>
    <t>FB000121</t>
  </si>
  <si>
    <t>FB000122</t>
  </si>
  <si>
    <t>FB000123</t>
  </si>
  <si>
    <t>FB000124</t>
  </si>
  <si>
    <t>FB000125</t>
  </si>
  <si>
    <t>FB000126</t>
  </si>
  <si>
    <t>FB000127</t>
  </si>
  <si>
    <t>FB000128</t>
  </si>
  <si>
    <t>FB000129</t>
  </si>
  <si>
    <t>FB000130</t>
  </si>
  <si>
    <t>FB000131</t>
  </si>
  <si>
    <t>FB000132</t>
  </si>
  <si>
    <t>FB000133</t>
  </si>
  <si>
    <t>FB000134</t>
  </si>
  <si>
    <t>FB000135</t>
  </si>
  <si>
    <t>FB000136</t>
  </si>
  <si>
    <t>FB000137</t>
  </si>
  <si>
    <t>FB000138</t>
  </si>
  <si>
    <t>FB000139</t>
  </si>
  <si>
    <t>FB000140</t>
  </si>
  <si>
    <t>FB000141</t>
  </si>
  <si>
    <t>FB000142</t>
  </si>
  <si>
    <t>FB000143</t>
  </si>
  <si>
    <t>FB000144</t>
  </si>
  <si>
    <t>FB000145</t>
  </si>
  <si>
    <t>FB000146</t>
  </si>
  <si>
    <t>FB000147</t>
  </si>
  <si>
    <t>FB000148</t>
  </si>
  <si>
    <t>FB000149</t>
  </si>
  <si>
    <t>FB000150</t>
  </si>
  <si>
    <t>FB000151</t>
  </si>
  <si>
    <t>FB000152</t>
  </si>
  <si>
    <t>FB000153</t>
  </si>
  <si>
    <t>FB000154</t>
  </si>
  <si>
    <t>FB000155</t>
  </si>
  <si>
    <t>FB000156</t>
  </si>
  <si>
    <t>FB000157</t>
  </si>
  <si>
    <t>FB000158</t>
  </si>
  <si>
    <t>FB000159</t>
  </si>
  <si>
    <t>FB000160</t>
  </si>
  <si>
    <t>FB000161</t>
  </si>
  <si>
    <t>FB000162</t>
  </si>
  <si>
    <t>FB000163</t>
  </si>
  <si>
    <t>FB000164</t>
  </si>
  <si>
    <t>FB000165</t>
  </si>
  <si>
    <t>FB000166</t>
  </si>
  <si>
    <t>FB000167</t>
  </si>
  <si>
    <t>FB000168</t>
  </si>
  <si>
    <t>FB000169</t>
  </si>
  <si>
    <t>FB000170</t>
  </si>
  <si>
    <t>FB000171</t>
  </si>
  <si>
    <t>FB000172</t>
  </si>
  <si>
    <t>FB000173</t>
  </si>
  <si>
    <t>FB000174</t>
  </si>
  <si>
    <t>FB000175</t>
  </si>
  <si>
    <t>FB000176</t>
  </si>
  <si>
    <t>FB000177</t>
  </si>
  <si>
    <t>FB000178</t>
  </si>
  <si>
    <t>FB000179</t>
  </si>
  <si>
    <t>FB000180</t>
  </si>
  <si>
    <t>FB000181</t>
  </si>
  <si>
    <t>FB000182</t>
  </si>
  <si>
    <t>FB000183</t>
  </si>
  <si>
    <t>FB000184</t>
  </si>
  <si>
    <t>FB000185</t>
  </si>
  <si>
    <t>FB000186</t>
  </si>
  <si>
    <t>FB000187</t>
  </si>
  <si>
    <t>FB000188</t>
  </si>
  <si>
    <t>FB000189</t>
  </si>
  <si>
    <t>FB000190</t>
  </si>
  <si>
    <t>FB000191</t>
  </si>
  <si>
    <t>FB000192</t>
  </si>
  <si>
    <t>FB000193</t>
  </si>
  <si>
    <t>FB000194</t>
  </si>
  <si>
    <t>FB000195</t>
  </si>
  <si>
    <t>FB000196</t>
  </si>
  <si>
    <t>FB000197</t>
  </si>
  <si>
    <t>FB000198</t>
  </si>
  <si>
    <t>FB000199</t>
  </si>
  <si>
    <t>FB000200</t>
  </si>
  <si>
    <t>FB000201</t>
  </si>
  <si>
    <t>FB000202</t>
  </si>
  <si>
    <t>FB000203</t>
  </si>
  <si>
    <t>FB000204</t>
  </si>
  <si>
    <t>FB000205</t>
  </si>
  <si>
    <t>FB000206</t>
  </si>
  <si>
    <t>FB000207</t>
  </si>
  <si>
    <t>FB000208</t>
  </si>
  <si>
    <t>FB000209</t>
  </si>
  <si>
    <t>FB000210</t>
  </si>
  <si>
    <t>FB000211</t>
  </si>
  <si>
    <t>FB000212</t>
  </si>
  <si>
    <t>FB000213</t>
  </si>
  <si>
    <t>FB000214</t>
  </si>
  <si>
    <t>FB000215</t>
  </si>
  <si>
    <t>FB000216</t>
  </si>
  <si>
    <t>FB000217</t>
  </si>
  <si>
    <t>FB000218</t>
  </si>
  <si>
    <t>FB000219</t>
  </si>
  <si>
    <t>FB000220</t>
  </si>
  <si>
    <t>FB000221</t>
  </si>
  <si>
    <t>FB000222</t>
  </si>
  <si>
    <t>FB000223</t>
  </si>
  <si>
    <t>FB000224</t>
  </si>
  <si>
    <t>FB000225</t>
  </si>
  <si>
    <t>FB000226</t>
  </si>
  <si>
    <t>FB000227</t>
  </si>
  <si>
    <t>FB000228</t>
  </si>
  <si>
    <t>FB000229</t>
  </si>
  <si>
    <t>FB000230</t>
  </si>
  <si>
    <t>FB000231</t>
  </si>
  <si>
    <t>FB000232</t>
  </si>
  <si>
    <t>FB000233</t>
  </si>
  <si>
    <t>FB000234</t>
  </si>
  <si>
    <t>FB000235</t>
  </si>
  <si>
    <t>FB000236</t>
  </si>
  <si>
    <t>FB000237</t>
  </si>
  <si>
    <t>FB000238</t>
  </si>
  <si>
    <t>FB000239</t>
  </si>
  <si>
    <t>FB000240</t>
  </si>
  <si>
    <t>FB000241</t>
  </si>
  <si>
    <t>FB000242</t>
  </si>
  <si>
    <t>FB000243</t>
  </si>
  <si>
    <t>FB000244</t>
  </si>
  <si>
    <t>FB000245</t>
  </si>
  <si>
    <t>FB000246</t>
  </si>
  <si>
    <t>FB000247</t>
  </si>
  <si>
    <t>FB000248</t>
  </si>
  <si>
    <t>FB000249</t>
  </si>
  <si>
    <t>FB000250</t>
  </si>
  <si>
    <t>FB000251</t>
  </si>
  <si>
    <t>FB000252</t>
  </si>
  <si>
    <t>FB000253</t>
  </si>
  <si>
    <t>FB000254</t>
  </si>
  <si>
    <t>FB000255</t>
  </si>
  <si>
    <t>FB000256</t>
  </si>
  <si>
    <t>FB000257</t>
  </si>
  <si>
    <t>FB000258</t>
  </si>
  <si>
    <t>FB000259</t>
  </si>
  <si>
    <t>FB000260</t>
  </si>
  <si>
    <t>FB000261</t>
  </si>
  <si>
    <t>FB000262</t>
  </si>
  <si>
    <t>FB000263</t>
  </si>
  <si>
    <t>FB000264</t>
  </si>
  <si>
    <t>FB000265</t>
  </si>
  <si>
    <t>FB000266</t>
  </si>
  <si>
    <t>FB000267</t>
  </si>
  <si>
    <t>FB000268</t>
  </si>
  <si>
    <t>FB000269</t>
  </si>
  <si>
    <t>FB000270</t>
  </si>
  <si>
    <t>FB000271</t>
  </si>
  <si>
    <t>FB000272</t>
  </si>
  <si>
    <t>FB000273</t>
  </si>
  <si>
    <t>FB000274</t>
  </si>
  <si>
    <t>FB000275</t>
  </si>
  <si>
    <t>FB000276</t>
  </si>
  <si>
    <t>FB000277</t>
  </si>
  <si>
    <t>FB000278</t>
  </si>
  <si>
    <t>FB000279</t>
  </si>
  <si>
    <t>FB000280</t>
  </si>
  <si>
    <t>FB000281</t>
  </si>
  <si>
    <t>FB000282</t>
  </si>
  <si>
    <t>FB000283</t>
  </si>
  <si>
    <t>FB000284</t>
  </si>
  <si>
    <t>FB000285</t>
  </si>
  <si>
    <t>FB000286</t>
  </si>
  <si>
    <t>FB000287</t>
  </si>
  <si>
    <t>FB000288</t>
  </si>
  <si>
    <t>FB000289</t>
  </si>
  <si>
    <t>FB000290</t>
  </si>
  <si>
    <t>FB000291</t>
  </si>
  <si>
    <t>FB000292</t>
  </si>
  <si>
    <t>FB000293</t>
  </si>
  <si>
    <t>FB000294</t>
  </si>
  <si>
    <t>FB000295</t>
  </si>
  <si>
    <t>FB000296</t>
  </si>
  <si>
    <t>FB000297</t>
  </si>
  <si>
    <t>FB000298</t>
  </si>
  <si>
    <t>FB000299</t>
  </si>
  <si>
    <t>FB000300</t>
  </si>
  <si>
    <t>FB000301</t>
  </si>
  <si>
    <t>FB000302</t>
  </si>
  <si>
    <t>FB000303</t>
  </si>
  <si>
    <t>FB000304</t>
  </si>
  <si>
    <t>FB000305</t>
  </si>
  <si>
    <t>FB000306</t>
  </si>
  <si>
    <t>FB000307</t>
  </si>
  <si>
    <t>FB000308</t>
  </si>
  <si>
    <t>FB000309</t>
  </si>
  <si>
    <t>FB000310</t>
  </si>
  <si>
    <t>FB000311</t>
  </si>
  <si>
    <t>FB000312</t>
  </si>
  <si>
    <t>FB000313</t>
  </si>
  <si>
    <t>FB000314</t>
  </si>
  <si>
    <t>FB000315</t>
  </si>
  <si>
    <t>FB000316</t>
  </si>
  <si>
    <t>FB000317</t>
  </si>
  <si>
    <t>FB000318</t>
  </si>
  <si>
    <t>FB000319</t>
  </si>
  <si>
    <t>FB000320</t>
  </si>
  <si>
    <t>FB000321</t>
  </si>
  <si>
    <t>FB000322</t>
  </si>
  <si>
    <t>FB000323</t>
  </si>
  <si>
    <t>FB000324</t>
  </si>
  <si>
    <t>FB000325</t>
  </si>
  <si>
    <t>FB000326</t>
  </si>
  <si>
    <t>FB000327</t>
  </si>
  <si>
    <t>FB000328</t>
  </si>
  <si>
    <t>FB000329</t>
  </si>
  <si>
    <t>FB000330</t>
  </si>
  <si>
    <t>FB000331</t>
  </si>
  <si>
    <t>FB000332</t>
  </si>
  <si>
    <t>FB000333</t>
  </si>
  <si>
    <t>FB000334</t>
  </si>
  <si>
    <t>FB000335</t>
  </si>
  <si>
    <t>FB000336</t>
  </si>
  <si>
    <t>FB000337</t>
  </si>
  <si>
    <t>FB000338</t>
  </si>
  <si>
    <t>FB000339</t>
  </si>
  <si>
    <t>FB000340</t>
  </si>
  <si>
    <t>FB000341</t>
  </si>
  <si>
    <t>FB000342</t>
  </si>
  <si>
    <t>FB000343</t>
  </si>
  <si>
    <t>FB000344</t>
  </si>
  <si>
    <t>FB000345</t>
  </si>
  <si>
    <t>FB000346</t>
  </si>
  <si>
    <t>FB000347</t>
  </si>
  <si>
    <t>FB000348</t>
  </si>
  <si>
    <t>FB000349</t>
  </si>
  <si>
    <t>FB000350</t>
  </si>
  <si>
    <t>FB000351</t>
  </si>
  <si>
    <t>FB000352</t>
  </si>
  <si>
    <t>FB000353</t>
  </si>
  <si>
    <t>FB000354</t>
  </si>
  <si>
    <t>FB000355</t>
  </si>
  <si>
    <t>FB000356</t>
  </si>
  <si>
    <t>FB000357</t>
  </si>
  <si>
    <t>FB000358</t>
  </si>
  <si>
    <t>FB000359</t>
  </si>
  <si>
    <t>FB000360</t>
  </si>
  <si>
    <t>FB000361</t>
  </si>
  <si>
    <t>FB000362</t>
  </si>
  <si>
    <t>FB000363</t>
  </si>
  <si>
    <t>FB000364</t>
  </si>
  <si>
    <t>FB000365</t>
  </si>
  <si>
    <t>FB000366</t>
  </si>
  <si>
    <t>FB000367</t>
  </si>
  <si>
    <t>FB000368</t>
  </si>
  <si>
    <t>FB000369</t>
  </si>
  <si>
    <t>FB000370</t>
  </si>
  <si>
    <t>FB000371</t>
  </si>
  <si>
    <t>FB000372</t>
  </si>
  <si>
    <t>FB000373</t>
  </si>
  <si>
    <t>FB000374</t>
  </si>
  <si>
    <t>FB000375</t>
  </si>
  <si>
    <t>FB000376</t>
  </si>
  <si>
    <t>FB000377</t>
  </si>
  <si>
    <t>FB000378</t>
  </si>
  <si>
    <t>FB000379</t>
  </si>
  <si>
    <t>FB000380</t>
  </si>
  <si>
    <t>FB000381</t>
  </si>
  <si>
    <t>FB000382</t>
  </si>
  <si>
    <t>FB000383</t>
  </si>
  <si>
    <t>FB000384</t>
  </si>
  <si>
    <t>FB000385</t>
  </si>
  <si>
    <t>FB000386</t>
  </si>
  <si>
    <t>FB000387</t>
  </si>
  <si>
    <t>FB000388</t>
  </si>
  <si>
    <t>FB000389</t>
  </si>
  <si>
    <t>FB000390</t>
  </si>
  <si>
    <t>FB000391</t>
  </si>
  <si>
    <t>FB000392</t>
  </si>
  <si>
    <t>FB000393</t>
  </si>
  <si>
    <t>FB000394</t>
  </si>
  <si>
    <t>FB000395</t>
  </si>
  <si>
    <t>FB000396</t>
  </si>
  <si>
    <t>FB000397</t>
  </si>
  <si>
    <t>FB000398</t>
  </si>
  <si>
    <t>FB000399</t>
  </si>
  <si>
    <t>FB000400</t>
  </si>
  <si>
    <t>FB000401</t>
  </si>
  <si>
    <t>FB000402</t>
  </si>
  <si>
    <t>FB000403</t>
  </si>
  <si>
    <t>FB000404</t>
  </si>
  <si>
    <t>FB000405</t>
  </si>
  <si>
    <t>FB000406</t>
  </si>
  <si>
    <t>FB000407</t>
  </si>
  <si>
    <t>FB000408</t>
  </si>
  <si>
    <t>FB000409</t>
  </si>
  <si>
    <t>FB000410</t>
  </si>
  <si>
    <t>FB000411</t>
  </si>
  <si>
    <t>FB000412</t>
  </si>
  <si>
    <t>FB000413</t>
  </si>
  <si>
    <t>FB000414</t>
  </si>
  <si>
    <t>FB000415</t>
  </si>
  <si>
    <t>FB000416</t>
  </si>
  <si>
    <t>FB000417</t>
  </si>
  <si>
    <t>FB000418</t>
  </si>
  <si>
    <t>FB000419</t>
  </si>
  <si>
    <t>FB000420</t>
  </si>
  <si>
    <t>FB000421</t>
  </si>
  <si>
    <t>FB000422</t>
  </si>
  <si>
    <t>FB000423</t>
  </si>
  <si>
    <t>FB000424</t>
  </si>
  <si>
    <t>FB000425</t>
  </si>
  <si>
    <t>FB000426</t>
  </si>
  <si>
    <t>FB000427</t>
  </si>
  <si>
    <t>FB000428</t>
  </si>
  <si>
    <t>FB000429</t>
  </si>
  <si>
    <t>FB000430</t>
  </si>
  <si>
    <t>FB000431</t>
  </si>
  <si>
    <t>FB000432</t>
  </si>
  <si>
    <t>FB000433</t>
  </si>
  <si>
    <t>FB000434</t>
  </si>
  <si>
    <t>FB000435</t>
  </si>
  <si>
    <t>FB000436</t>
  </si>
  <si>
    <t>FB000437</t>
  </si>
  <si>
    <t>FB000438</t>
  </si>
  <si>
    <t>FB000439</t>
  </si>
  <si>
    <t>FB000440</t>
  </si>
  <si>
    <t>FB000441</t>
  </si>
  <si>
    <t>FB000442</t>
  </si>
  <si>
    <t>FB000443</t>
  </si>
  <si>
    <t>FB000444</t>
  </si>
  <si>
    <t>FB000445</t>
  </si>
  <si>
    <t>FB000446</t>
  </si>
  <si>
    <t>FB000447</t>
  </si>
  <si>
    <t>FB000448</t>
  </si>
  <si>
    <t>FB000449</t>
  </si>
  <si>
    <t>FB000450</t>
  </si>
  <si>
    <t>FB000451</t>
  </si>
  <si>
    <t>FB000452</t>
  </si>
  <si>
    <t>FB000453</t>
  </si>
  <si>
    <t>FB000454</t>
  </si>
  <si>
    <t>FB000455</t>
  </si>
  <si>
    <t>FB000456</t>
  </si>
  <si>
    <t>FB000457</t>
  </si>
  <si>
    <t>FB000458</t>
  </si>
  <si>
    <t>FB000459</t>
  </si>
  <si>
    <t>FB000460</t>
  </si>
  <si>
    <t>FB000461</t>
  </si>
  <si>
    <t>FB000462</t>
  </si>
  <si>
    <t>FB000463</t>
  </si>
  <si>
    <t>FB000464</t>
  </si>
  <si>
    <t>FB000465</t>
  </si>
  <si>
    <t>FB000466</t>
  </si>
  <si>
    <t>FB000467</t>
  </si>
  <si>
    <t>FB000468</t>
  </si>
  <si>
    <t>FB000469</t>
  </si>
  <si>
    <t>FB000470</t>
  </si>
  <si>
    <t>FB000471</t>
  </si>
  <si>
    <t>FB000472</t>
  </si>
  <si>
    <t>FB000473</t>
  </si>
  <si>
    <t>FB000474</t>
  </si>
  <si>
    <t>FB000475</t>
  </si>
  <si>
    <t>FB000476</t>
  </si>
  <si>
    <t>FB000477</t>
  </si>
  <si>
    <t>FB000478</t>
  </si>
  <si>
    <t>FB000479</t>
  </si>
  <si>
    <t>FB000480</t>
  </si>
  <si>
    <t>FB000481</t>
  </si>
  <si>
    <t>FB000482</t>
  </si>
  <si>
    <t>FB000483</t>
  </si>
  <si>
    <t>FB000484</t>
  </si>
  <si>
    <t>FB000485</t>
  </si>
  <si>
    <t>FB000486</t>
  </si>
  <si>
    <t>FB000487</t>
  </si>
  <si>
    <t>FB000488</t>
  </si>
  <si>
    <t>FB000489</t>
  </si>
  <si>
    <t>FB000490</t>
  </si>
  <si>
    <t>FB000491</t>
  </si>
  <si>
    <t>FB000492</t>
  </si>
  <si>
    <t>FB000493</t>
  </si>
  <si>
    <t>FB000494</t>
  </si>
  <si>
    <t>FB000495</t>
  </si>
  <si>
    <t>FB000496</t>
  </si>
  <si>
    <t>FB000497</t>
  </si>
  <si>
    <t>FB000498</t>
  </si>
  <si>
    <t>FB000499</t>
  </si>
  <si>
    <t>FB000500</t>
  </si>
  <si>
    <t>FB000501</t>
  </si>
  <si>
    <t>FB000502</t>
  </si>
  <si>
    <t>FB000503</t>
  </si>
  <si>
    <t>FB000504</t>
  </si>
  <si>
    <t>FB000505</t>
  </si>
  <si>
    <t>FB000506</t>
  </si>
  <si>
    <t>FB000507</t>
  </si>
  <si>
    <t>FB000508</t>
  </si>
  <si>
    <t>FB000509</t>
  </si>
  <si>
    <t>FB000510</t>
  </si>
  <si>
    <t>FB000511</t>
  </si>
  <si>
    <t>FB000512</t>
  </si>
  <si>
    <t>FB000513</t>
  </si>
  <si>
    <t>FB000514</t>
  </si>
  <si>
    <t>FB000515</t>
  </si>
  <si>
    <t>FB000516</t>
  </si>
  <si>
    <t>FB000517</t>
  </si>
  <si>
    <t>FB000518</t>
  </si>
  <si>
    <t>FB000519</t>
  </si>
  <si>
    <t>FB000520</t>
  </si>
  <si>
    <t>FB000521</t>
  </si>
  <si>
    <t>FB000522</t>
  </si>
  <si>
    <t>FB000523</t>
  </si>
  <si>
    <t>FB000524</t>
  </si>
  <si>
    <t>FB000525</t>
  </si>
  <si>
    <t>FB000526</t>
  </si>
  <si>
    <t>FB000527</t>
  </si>
  <si>
    <t>FB000528</t>
  </si>
  <si>
    <t>FB000529</t>
  </si>
  <si>
    <t>FB000530</t>
  </si>
  <si>
    <t>FB000531</t>
  </si>
  <si>
    <t>FB000532</t>
  </si>
  <si>
    <t>FB000533</t>
  </si>
  <si>
    <t>FB000534</t>
  </si>
  <si>
    <t>FB000535</t>
  </si>
  <si>
    <t>FB000536</t>
  </si>
  <si>
    <t>FB000537</t>
  </si>
  <si>
    <t>FB000538</t>
  </si>
  <si>
    <t>FB000539</t>
  </si>
  <si>
    <t>FB000540</t>
  </si>
  <si>
    <t>FB000541</t>
  </si>
  <si>
    <t>FB000542</t>
  </si>
  <si>
    <t>FB000543</t>
  </si>
  <si>
    <t>FB000544</t>
  </si>
  <si>
    <t>FB000545</t>
  </si>
  <si>
    <t>FB000546</t>
  </si>
  <si>
    <t>FB000547</t>
  </si>
  <si>
    <t>FB000548</t>
  </si>
  <si>
    <t>FB000549</t>
  </si>
  <si>
    <t>FB000550</t>
  </si>
  <si>
    <t>FB000551</t>
  </si>
  <si>
    <t>FB000552</t>
  </si>
  <si>
    <t>FB000553</t>
  </si>
  <si>
    <t>FB000554</t>
  </si>
  <si>
    <t>FB000555</t>
  </si>
  <si>
    <t>FB000556</t>
  </si>
  <si>
    <t>FB000557</t>
  </si>
  <si>
    <t>FB000558</t>
  </si>
  <si>
    <t>FB000559</t>
  </si>
  <si>
    <t>FB000560</t>
  </si>
  <si>
    <t>FB000561</t>
  </si>
  <si>
    <t>FB000562</t>
  </si>
  <si>
    <t>FB000563</t>
  </si>
  <si>
    <t>FB000564</t>
  </si>
  <si>
    <t>FB000565</t>
  </si>
  <si>
    <t>FB000566</t>
  </si>
  <si>
    <t>FB000567</t>
  </si>
  <si>
    <t>FB000568</t>
  </si>
  <si>
    <t>FB000569</t>
  </si>
  <si>
    <t>FB000570</t>
  </si>
  <si>
    <t>FB000571</t>
  </si>
  <si>
    <t>FB000572</t>
  </si>
  <si>
    <t>FB000573</t>
  </si>
  <si>
    <t>FB000574</t>
  </si>
  <si>
    <t>FB000575</t>
  </si>
  <si>
    <t>FB000576</t>
  </si>
  <si>
    <t>FB000577</t>
  </si>
  <si>
    <t>FB000578</t>
  </si>
  <si>
    <t>FB000579</t>
  </si>
  <si>
    <t>FB000580</t>
  </si>
  <si>
    <t>FB000581</t>
  </si>
  <si>
    <t>FB000582</t>
  </si>
  <si>
    <t>FB000583</t>
  </si>
  <si>
    <t>FB000584</t>
  </si>
  <si>
    <t>FB000585</t>
  </si>
  <si>
    <t>FB000586</t>
  </si>
  <si>
    <t>FB000587</t>
  </si>
  <si>
    <t>FB000588</t>
  </si>
  <si>
    <t>FB000589</t>
  </si>
  <si>
    <t>FB000590</t>
  </si>
  <si>
    <t>FB000591</t>
  </si>
  <si>
    <t>FB000592</t>
  </si>
  <si>
    <t>FB000593</t>
  </si>
  <si>
    <t>FB000594</t>
  </si>
  <si>
    <t>FB000595</t>
  </si>
  <si>
    <t>FB000596</t>
  </si>
  <si>
    <t>FB000597</t>
  </si>
  <si>
    <t>FB000598</t>
  </si>
  <si>
    <t>FB000599</t>
  </si>
  <si>
    <t>FB000600</t>
  </si>
  <si>
    <t>FB000601</t>
  </si>
  <si>
    <t>FB000602</t>
  </si>
  <si>
    <t>FB000603</t>
  </si>
  <si>
    <t>FB000604</t>
  </si>
  <si>
    <t>FB000605</t>
  </si>
  <si>
    <t>FB000606</t>
  </si>
  <si>
    <t>FB000607</t>
  </si>
  <si>
    <t>FB000608</t>
  </si>
  <si>
    <t>FB000609</t>
  </si>
  <si>
    <t>FB000610</t>
  </si>
  <si>
    <t>FB000611</t>
  </si>
  <si>
    <t>FB000612</t>
  </si>
  <si>
    <t>FB000613</t>
  </si>
  <si>
    <t>FB000614</t>
  </si>
  <si>
    <t>FB000615</t>
  </si>
  <si>
    <t>FB000616</t>
  </si>
  <si>
    <t>FB000617</t>
  </si>
  <si>
    <t>FB000618</t>
  </si>
  <si>
    <t>FB000619</t>
  </si>
  <si>
    <t>FB000620</t>
  </si>
  <si>
    <t>FB000621</t>
  </si>
  <si>
    <t>FB000622</t>
  </si>
  <si>
    <t>FB000623</t>
  </si>
  <si>
    <t>FB000624</t>
  </si>
  <si>
    <t>FB000625</t>
  </si>
  <si>
    <t>FB000626</t>
  </si>
  <si>
    <t>FB000627</t>
  </si>
  <si>
    <t>FB000628</t>
  </si>
  <si>
    <t>FB000629</t>
  </si>
  <si>
    <t>FB000630</t>
  </si>
  <si>
    <t>FB000631</t>
  </si>
  <si>
    <t>FB000632</t>
  </si>
  <si>
    <t>FB000633</t>
  </si>
  <si>
    <t>FB000634</t>
  </si>
  <si>
    <t>FB000635</t>
  </si>
  <si>
    <t>FB000636</t>
  </si>
  <si>
    <t>FB000637</t>
  </si>
  <si>
    <t>FB000638</t>
  </si>
  <si>
    <t>FB000639</t>
  </si>
  <si>
    <t>FB000640</t>
  </si>
  <si>
    <t>FB000641</t>
  </si>
  <si>
    <t>FB000642</t>
  </si>
  <si>
    <t>FB000643</t>
  </si>
  <si>
    <t>FB000644</t>
  </si>
  <si>
    <t>FB000645</t>
  </si>
  <si>
    <t>FB000646</t>
  </si>
  <si>
    <t>FB000647</t>
  </si>
  <si>
    <t>FB000648</t>
  </si>
  <si>
    <t>FB000649</t>
  </si>
  <si>
    <t>FB000650</t>
  </si>
  <si>
    <t>FB000651</t>
  </si>
  <si>
    <t>FB000652</t>
  </si>
  <si>
    <t>FB000653</t>
  </si>
  <si>
    <t>FB000654</t>
  </si>
  <si>
    <t>FB000655</t>
  </si>
  <si>
    <t>FB000656</t>
  </si>
  <si>
    <t>FB000657</t>
  </si>
  <si>
    <t>FB000658</t>
  </si>
  <si>
    <t>FB000659</t>
  </si>
  <si>
    <t>FB000660</t>
  </si>
  <si>
    <t>FB000661</t>
  </si>
  <si>
    <t>FB000662</t>
  </si>
  <si>
    <t>FB000663</t>
  </si>
  <si>
    <t>FB000664</t>
  </si>
  <si>
    <t>FB000665</t>
  </si>
  <si>
    <t>FB000666</t>
  </si>
  <si>
    <t>FB000667</t>
  </si>
  <si>
    <t>FB000668</t>
  </si>
  <si>
    <t>FB000669</t>
  </si>
  <si>
    <t>FB000670</t>
  </si>
  <si>
    <t>FB000671</t>
  </si>
  <si>
    <t>FB000672</t>
  </si>
  <si>
    <t>FB000673</t>
  </si>
  <si>
    <t>FB000674</t>
  </si>
  <si>
    <t>FB000675</t>
  </si>
  <si>
    <t>FB000676</t>
  </si>
  <si>
    <t>FB000677</t>
  </si>
  <si>
    <t>FB000678</t>
  </si>
  <si>
    <t>FB000679</t>
  </si>
  <si>
    <t>FB000680</t>
  </si>
  <si>
    <t>FB000681</t>
  </si>
  <si>
    <t>FB000682</t>
  </si>
  <si>
    <t>FB000683</t>
  </si>
  <si>
    <t>FB000684</t>
  </si>
  <si>
    <t>FB000685</t>
  </si>
  <si>
    <t>FB000686</t>
  </si>
  <si>
    <t>FB000687</t>
  </si>
  <si>
    <t>FB000688</t>
  </si>
  <si>
    <t>FB000689</t>
  </si>
  <si>
    <t>FB000690</t>
  </si>
  <si>
    <t>FB000691</t>
  </si>
  <si>
    <t>FB000692</t>
  </si>
  <si>
    <t>FB000693</t>
  </si>
  <si>
    <t>FB000694</t>
  </si>
  <si>
    <t>FB000695</t>
  </si>
  <si>
    <t>FB000696</t>
  </si>
  <si>
    <t>FB000697</t>
  </si>
  <si>
    <t>FB000698</t>
  </si>
  <si>
    <t>FB000699</t>
  </si>
  <si>
    <t>FB000700</t>
  </si>
  <si>
    <t>FB000701</t>
  </si>
  <si>
    <t>FB000702</t>
  </si>
  <si>
    <t>FB000703</t>
  </si>
  <si>
    <t>FB000704</t>
  </si>
  <si>
    <t>FB000705</t>
  </si>
  <si>
    <t>FB000706</t>
  </si>
  <si>
    <t>FB000707</t>
  </si>
  <si>
    <t>FB000708</t>
  </si>
  <si>
    <t>FB000709</t>
  </si>
  <si>
    <t>FB000710</t>
  </si>
  <si>
    <t>FB000711</t>
  </si>
  <si>
    <t>FB000712</t>
  </si>
  <si>
    <t>FB000713</t>
  </si>
  <si>
    <t>FB000714</t>
  </si>
  <si>
    <t>FB000715</t>
  </si>
  <si>
    <t>FB000716</t>
  </si>
  <si>
    <t>FB000717</t>
  </si>
  <si>
    <t>FB000718</t>
  </si>
  <si>
    <t>FB000719</t>
  </si>
  <si>
    <t>FB000720</t>
  </si>
  <si>
    <t>FB000721</t>
  </si>
  <si>
    <t>FB000722</t>
  </si>
  <si>
    <t>FB000723</t>
  </si>
  <si>
    <t>FB000724</t>
  </si>
  <si>
    <t>FB000725</t>
  </si>
  <si>
    <t>FB000726</t>
  </si>
  <si>
    <t>FB000727</t>
  </si>
  <si>
    <t>FB000728</t>
  </si>
  <si>
    <t>FB000729</t>
  </si>
  <si>
    <t>FB000730</t>
  </si>
  <si>
    <t>FB000731</t>
  </si>
  <si>
    <t>FB000732</t>
  </si>
  <si>
    <t>FB000733</t>
  </si>
  <si>
    <t>FB000734</t>
  </si>
  <si>
    <t>FB000735</t>
  </si>
  <si>
    <t>FB000736</t>
  </si>
  <si>
    <t>FB000737</t>
  </si>
  <si>
    <t>FB000738</t>
  </si>
  <si>
    <t>FB000739</t>
  </si>
  <si>
    <t>FB000740</t>
  </si>
  <si>
    <t>FB000741</t>
  </si>
  <si>
    <t>FB000742</t>
  </si>
  <si>
    <t>FB000743</t>
  </si>
  <si>
    <t>FB000744</t>
  </si>
  <si>
    <t>FB000745</t>
  </si>
  <si>
    <t>FB000746</t>
  </si>
  <si>
    <t>FB000747</t>
  </si>
  <si>
    <t>FB000748</t>
  </si>
  <si>
    <t>FB000749</t>
  </si>
  <si>
    <t>FB000750</t>
  </si>
  <si>
    <t>FB000751</t>
  </si>
  <si>
    <t>FB000752</t>
  </si>
  <si>
    <t>FB000753</t>
  </si>
  <si>
    <t>FB000754</t>
  </si>
  <si>
    <t>FB000755</t>
  </si>
  <si>
    <t>FB000756</t>
  </si>
  <si>
    <t>FB000757</t>
  </si>
  <si>
    <t>FB000758</t>
  </si>
  <si>
    <t>FB000759</t>
  </si>
  <si>
    <t>FB000760</t>
  </si>
  <si>
    <t>FB000761</t>
  </si>
  <si>
    <t>FB000762</t>
  </si>
  <si>
    <t>FB000763</t>
  </si>
  <si>
    <t>FB000764</t>
  </si>
  <si>
    <t>FB000765</t>
  </si>
  <si>
    <t>FB000766</t>
  </si>
  <si>
    <t>FB000767</t>
  </si>
  <si>
    <t>FB000768</t>
  </si>
  <si>
    <t>FB000769</t>
  </si>
  <si>
    <t>FB000770</t>
  </si>
  <si>
    <t>FB000771</t>
  </si>
  <si>
    <t>FB000772</t>
  </si>
  <si>
    <t>FB000773</t>
  </si>
  <si>
    <t>FB000774</t>
  </si>
  <si>
    <t>FB000775</t>
  </si>
  <si>
    <t>FB000776</t>
  </si>
  <si>
    <t>FB000777</t>
  </si>
  <si>
    <t>FB000778</t>
  </si>
  <si>
    <t>FB000779</t>
  </si>
  <si>
    <t>FB000780</t>
  </si>
  <si>
    <t>FB000781</t>
  </si>
  <si>
    <t>FB000782</t>
  </si>
  <si>
    <t>FB000783</t>
  </si>
  <si>
    <t>FB000784</t>
  </si>
  <si>
    <t>FB000785</t>
  </si>
  <si>
    <t>FB000786</t>
  </si>
  <si>
    <t>FB000787</t>
  </si>
  <si>
    <t>FB000788</t>
  </si>
  <si>
    <t>FB000789</t>
  </si>
  <si>
    <t>FB000790</t>
  </si>
  <si>
    <t>FB000791</t>
  </si>
  <si>
    <t>FB000792</t>
  </si>
  <si>
    <t>FB000793</t>
  </si>
  <si>
    <t>FB000794</t>
  </si>
  <si>
    <t>FB000795</t>
  </si>
  <si>
    <t>FB000796</t>
  </si>
  <si>
    <t>FB000797</t>
  </si>
  <si>
    <t>FB000798</t>
  </si>
  <si>
    <t>FB000799</t>
  </si>
  <si>
    <t>FB000800</t>
  </si>
  <si>
    <t>FB000801</t>
  </si>
  <si>
    <t>FB000802</t>
  </si>
  <si>
    <t>FB000803</t>
  </si>
  <si>
    <t>FB000804</t>
  </si>
  <si>
    <t>FB000805</t>
  </si>
  <si>
    <t>FB000806</t>
  </si>
  <si>
    <t>FB000807</t>
  </si>
  <si>
    <t>FB000808</t>
  </si>
  <si>
    <t>FB000809</t>
  </si>
  <si>
    <t>FB000810</t>
  </si>
  <si>
    <t>FB000811</t>
  </si>
  <si>
    <t>FB000812</t>
  </si>
  <si>
    <t>FB000813</t>
  </si>
  <si>
    <t>FB000814</t>
  </si>
  <si>
    <t>FB000815</t>
  </si>
  <si>
    <t>FB000816</t>
  </si>
  <si>
    <t>FB000817</t>
  </si>
  <si>
    <t>FB000818</t>
  </si>
  <si>
    <t>FB000819</t>
  </si>
  <si>
    <t>FB000820</t>
  </si>
  <si>
    <t>FB000821</t>
  </si>
  <si>
    <t>FB000822</t>
  </si>
  <si>
    <t>FB000823</t>
  </si>
  <si>
    <t>FB000824</t>
  </si>
  <si>
    <t>FB000825</t>
  </si>
  <si>
    <t>FB000826</t>
  </si>
  <si>
    <t>FB000827</t>
  </si>
  <si>
    <t>FB000828</t>
  </si>
  <si>
    <t>FB000829</t>
  </si>
  <si>
    <t>FB000830</t>
  </si>
  <si>
    <t>FB000831</t>
  </si>
  <si>
    <t>FB000832</t>
  </si>
  <si>
    <t>FB000833</t>
  </si>
  <si>
    <t>FB000834</t>
  </si>
  <si>
    <t>FB000835</t>
  </si>
  <si>
    <t>FB000836</t>
  </si>
  <si>
    <t>FB000837</t>
  </si>
  <si>
    <t>FB000838</t>
  </si>
  <si>
    <t>FB000839</t>
  </si>
  <si>
    <t>FB000840</t>
  </si>
  <si>
    <t>FB000841</t>
  </si>
  <si>
    <t>FB000842</t>
  </si>
  <si>
    <t>FB000843</t>
  </si>
  <si>
    <t>FB000844</t>
  </si>
  <si>
    <t>FB000845</t>
  </si>
  <si>
    <t>FB000846</t>
  </si>
  <si>
    <t>FB000847</t>
  </si>
  <si>
    <t>FB000848</t>
  </si>
  <si>
    <t>FB000849</t>
  </si>
  <si>
    <t>FB000850</t>
  </si>
  <si>
    <t>FB000851</t>
  </si>
  <si>
    <t>FB000852</t>
  </si>
  <si>
    <t>FB000853</t>
  </si>
  <si>
    <t>FB000854</t>
  </si>
  <si>
    <t>FB000855</t>
  </si>
  <si>
    <t>FB000856</t>
  </si>
  <si>
    <t>FB000857</t>
  </si>
  <si>
    <t>FB000858</t>
  </si>
  <si>
    <t>FB000859</t>
  </si>
  <si>
    <t>FB000860</t>
  </si>
  <si>
    <t>FB000861</t>
  </si>
  <si>
    <t>FB000862</t>
  </si>
  <si>
    <t>FB000863</t>
  </si>
  <si>
    <t>FB000864</t>
  </si>
  <si>
    <t>FB000865</t>
  </si>
  <si>
    <t>FB000866</t>
  </si>
  <si>
    <t>FB000867</t>
  </si>
  <si>
    <t>FB000868</t>
  </si>
  <si>
    <t>FB000869</t>
  </si>
  <si>
    <t>FB000870</t>
  </si>
  <si>
    <t>FB000871</t>
  </si>
  <si>
    <t>FB000872</t>
  </si>
  <si>
    <t>FB000873</t>
  </si>
  <si>
    <t>FB000874</t>
  </si>
  <si>
    <t>FB000875</t>
  </si>
  <si>
    <t>FB000876</t>
  </si>
  <si>
    <t>FB000877</t>
  </si>
  <si>
    <t>FB000878</t>
  </si>
  <si>
    <t>FB000879</t>
  </si>
  <si>
    <t>FB000880</t>
  </si>
  <si>
    <t>FB000881</t>
  </si>
  <si>
    <t>FB000882</t>
  </si>
  <si>
    <t>FB000883</t>
  </si>
  <si>
    <t>FB000884</t>
  </si>
  <si>
    <t>FB000885</t>
  </si>
  <si>
    <t>FB000886</t>
  </si>
  <si>
    <t>FB000887</t>
  </si>
  <si>
    <t>FB000888</t>
  </si>
  <si>
    <t>FB000889</t>
  </si>
  <si>
    <t>FB000890</t>
  </si>
  <si>
    <t>FB000891</t>
  </si>
  <si>
    <t>FB000892</t>
  </si>
  <si>
    <t>FB000893</t>
  </si>
  <si>
    <t>FB000894</t>
  </si>
  <si>
    <t>FB000895</t>
  </si>
  <si>
    <t>FB000896</t>
  </si>
  <si>
    <t>FB000897</t>
  </si>
  <si>
    <t>FB000898</t>
  </si>
  <si>
    <t>FB000899</t>
  </si>
  <si>
    <t>FB000900</t>
  </si>
  <si>
    <t>FB000901</t>
  </si>
  <si>
    <t>FB000902</t>
  </si>
  <si>
    <t>FB000903</t>
  </si>
  <si>
    <t>FB000904</t>
  </si>
  <si>
    <t>FB000905</t>
  </si>
  <si>
    <t>FB000906</t>
  </si>
  <si>
    <t>FB000907</t>
  </si>
  <si>
    <t>FB000908</t>
  </si>
  <si>
    <t>FB000909</t>
  </si>
  <si>
    <t>FB000910</t>
  </si>
  <si>
    <t>FB000911</t>
  </si>
  <si>
    <t>FB000912</t>
  </si>
  <si>
    <t>FB000913</t>
  </si>
  <si>
    <t>FB000914</t>
  </si>
  <si>
    <t>FB000915</t>
  </si>
  <si>
    <t>FB000916</t>
  </si>
  <si>
    <t>FB000917</t>
  </si>
  <si>
    <t>FB000918</t>
  </si>
  <si>
    <t>FB000919</t>
  </si>
  <si>
    <t>FB000920</t>
  </si>
  <si>
    <t>FB000921</t>
  </si>
  <si>
    <t>FB000922</t>
  </si>
  <si>
    <t>FB000923</t>
  </si>
  <si>
    <t>FB000924</t>
  </si>
  <si>
    <t>FB000925</t>
  </si>
  <si>
    <t>FB000926</t>
  </si>
  <si>
    <t>FB000927</t>
  </si>
  <si>
    <t>FB000928</t>
  </si>
  <si>
    <t>FB000929</t>
  </si>
  <si>
    <t>FB000930</t>
  </si>
  <si>
    <t>FB000931</t>
  </si>
  <si>
    <t>FB000932</t>
  </si>
  <si>
    <t>FB000933</t>
  </si>
  <si>
    <t>FB000934</t>
  </si>
  <si>
    <t>FB000935</t>
  </si>
  <si>
    <t>FB000936</t>
  </si>
  <si>
    <t>FB000937</t>
  </si>
  <si>
    <t>FB000938</t>
  </si>
  <si>
    <t>FB000939</t>
  </si>
  <si>
    <t>FB000940</t>
  </si>
  <si>
    <t>FB000941</t>
  </si>
  <si>
    <t>FB000942</t>
  </si>
  <si>
    <t>FB000943</t>
  </si>
  <si>
    <t>FB000944</t>
  </si>
  <si>
    <t>FB000945</t>
  </si>
  <si>
    <t>FB000946</t>
  </si>
  <si>
    <t>FB000947</t>
  </si>
  <si>
    <t>FB000948</t>
  </si>
  <si>
    <t>FB000949</t>
  </si>
  <si>
    <t>FB000950</t>
  </si>
  <si>
    <t>FB000951</t>
  </si>
  <si>
    <t>FB000952</t>
  </si>
  <si>
    <t>FB000953</t>
  </si>
  <si>
    <t>FB000954</t>
  </si>
  <si>
    <t>FB000955</t>
  </si>
  <si>
    <t>FB000956</t>
  </si>
  <si>
    <t>FB000957</t>
  </si>
  <si>
    <t>FB000958</t>
  </si>
  <si>
    <t>FB000959</t>
  </si>
  <si>
    <t>FB000960</t>
  </si>
  <si>
    <t>FB000961</t>
  </si>
  <si>
    <t>FB000962</t>
  </si>
  <si>
    <t>FB000963</t>
  </si>
  <si>
    <t>FB000964</t>
  </si>
  <si>
    <t>FB000965</t>
  </si>
  <si>
    <t>FB000966</t>
  </si>
  <si>
    <t>FB000967</t>
  </si>
  <si>
    <t>FB000968</t>
  </si>
  <si>
    <t>FB000969</t>
  </si>
  <si>
    <t>FB000970</t>
  </si>
  <si>
    <t>FB000971</t>
  </si>
  <si>
    <t>FB000972</t>
  </si>
  <si>
    <t>FB000973</t>
  </si>
  <si>
    <t>FB000974</t>
  </si>
  <si>
    <t>FB000975</t>
  </si>
  <si>
    <t>FB000976</t>
  </si>
  <si>
    <t>FB000977</t>
  </si>
  <si>
    <t>FB000978</t>
  </si>
  <si>
    <t>FB000979</t>
  </si>
  <si>
    <t>FB000980</t>
  </si>
  <si>
    <t>FB000981</t>
  </si>
  <si>
    <t>FB000982</t>
  </si>
  <si>
    <t>FB000983</t>
  </si>
  <si>
    <t>FB000984</t>
  </si>
  <si>
    <t>FB000985</t>
  </si>
  <si>
    <t>FB000986</t>
  </si>
  <si>
    <t>FB000987</t>
  </si>
  <si>
    <t>FB000988</t>
  </si>
  <si>
    <t>FB000989</t>
  </si>
  <si>
    <t>FB000990</t>
  </si>
  <si>
    <t>FB000991</t>
  </si>
  <si>
    <t>FB000992</t>
  </si>
  <si>
    <t>FB000993</t>
  </si>
  <si>
    <t>FB000994</t>
  </si>
  <si>
    <t>FB000995</t>
  </si>
  <si>
    <t>FB000996</t>
  </si>
  <si>
    <t>FB000997</t>
  </si>
  <si>
    <t>FB000998</t>
  </si>
  <si>
    <t>FB000999</t>
  </si>
  <si>
    <t>FB001000</t>
  </si>
  <si>
    <t>FB001001</t>
  </si>
  <si>
    <t>FB001002</t>
  </si>
  <si>
    <t>FB001003</t>
  </si>
  <si>
    <t>FB001004</t>
  </si>
  <si>
    <t>FB001005</t>
  </si>
  <si>
    <t>FB001006</t>
  </si>
  <si>
    <t>FB001007</t>
  </si>
  <si>
    <t>FB001008</t>
  </si>
  <si>
    <t>FB001009</t>
  </si>
  <si>
    <t>FB001010</t>
  </si>
  <si>
    <t>FB001011</t>
  </si>
  <si>
    <t>FB001012</t>
  </si>
  <si>
    <t>FB001013</t>
  </si>
  <si>
    <t>FB001014</t>
  </si>
  <si>
    <t>FB001015</t>
  </si>
  <si>
    <t>FB001016</t>
  </si>
  <si>
    <t>FB001017</t>
  </si>
  <si>
    <t>FB001018</t>
  </si>
  <si>
    <t>FB001019</t>
  </si>
  <si>
    <t>FB001020</t>
  </si>
  <si>
    <t>FB001021</t>
  </si>
  <si>
    <t>FB001022</t>
  </si>
  <si>
    <t>FB001023</t>
  </si>
  <si>
    <t>FB001024</t>
  </si>
  <si>
    <t>FB001025</t>
  </si>
  <si>
    <t>FB001026</t>
  </si>
  <si>
    <t>FB001027</t>
  </si>
  <si>
    <t>FB001028</t>
  </si>
  <si>
    <t>FB001029</t>
  </si>
  <si>
    <t>FB001030</t>
  </si>
  <si>
    <t>FB001031</t>
  </si>
  <si>
    <t>FB001032</t>
  </si>
  <si>
    <t>FB001033</t>
  </si>
  <si>
    <t>FB001034</t>
  </si>
  <si>
    <t>FB001035</t>
  </si>
  <si>
    <t>FB001036</t>
  </si>
  <si>
    <t>FB001037</t>
  </si>
  <si>
    <t>FB001038</t>
  </si>
  <si>
    <t>FB001039</t>
  </si>
  <si>
    <t>FB001040</t>
  </si>
  <si>
    <t>FB001041</t>
  </si>
  <si>
    <t>FB001042</t>
  </si>
  <si>
    <t>FB001043</t>
  </si>
  <si>
    <t>FB001044</t>
  </si>
  <si>
    <t>FB001045</t>
  </si>
  <si>
    <t>FB001046</t>
  </si>
  <si>
    <t>FB001047</t>
  </si>
  <si>
    <t>FB001048</t>
  </si>
  <si>
    <t>FB001049</t>
  </si>
  <si>
    <t>FB001050</t>
  </si>
  <si>
    <t>FB001051</t>
  </si>
  <si>
    <t>FB001052</t>
  </si>
  <si>
    <t>FB001053</t>
  </si>
  <si>
    <t>FB001054</t>
  </si>
  <si>
    <t>FB001055</t>
  </si>
  <si>
    <t>FB001056</t>
  </si>
  <si>
    <t>FB001057</t>
  </si>
  <si>
    <t>FB001058</t>
  </si>
  <si>
    <t>FB001059</t>
  </si>
  <si>
    <t>FB001060</t>
  </si>
  <si>
    <t>FB001061</t>
  </si>
  <si>
    <t>FB001062</t>
  </si>
  <si>
    <t>FB001063</t>
  </si>
  <si>
    <t>FB001064</t>
  </si>
  <si>
    <t>FB001065</t>
  </si>
  <si>
    <t>FB001066</t>
  </si>
  <si>
    <t>FB001067</t>
  </si>
  <si>
    <t>FB001068</t>
  </si>
  <si>
    <t>FB001069</t>
  </si>
  <si>
    <t>FB001070</t>
  </si>
  <si>
    <t>FB001071</t>
  </si>
  <si>
    <t>FB001072</t>
  </si>
  <si>
    <t>FB001073</t>
  </si>
  <si>
    <t>FB001074</t>
  </si>
  <si>
    <t>FB001075</t>
  </si>
  <si>
    <t>FB001076</t>
  </si>
  <si>
    <t>FB001077</t>
  </si>
  <si>
    <t>FB001078</t>
  </si>
  <si>
    <t>FB001079</t>
  </si>
  <si>
    <t>FB001080</t>
  </si>
  <si>
    <t>FB001081</t>
  </si>
  <si>
    <t>FB001082</t>
  </si>
  <si>
    <t>FB001083</t>
  </si>
  <si>
    <t>FB001084</t>
  </si>
  <si>
    <t>FB001085</t>
  </si>
  <si>
    <t>FB001086</t>
  </si>
  <si>
    <t>FB001087</t>
  </si>
  <si>
    <t>FB001088</t>
  </si>
  <si>
    <t>FB001089</t>
  </si>
  <si>
    <t>FB001090</t>
  </si>
  <si>
    <t>FB001091</t>
  </si>
  <si>
    <t>FB001092</t>
  </si>
  <si>
    <t>FB001093</t>
  </si>
  <si>
    <t>FB001094</t>
  </si>
  <si>
    <t>FB001095</t>
  </si>
  <si>
    <t>FB001096</t>
  </si>
  <si>
    <t>FB001097</t>
  </si>
  <si>
    <t>FB001098</t>
  </si>
  <si>
    <t>FB001099</t>
  </si>
  <si>
    <t>FB001100</t>
  </si>
  <si>
    <t>FB001101</t>
  </si>
  <si>
    <t>FB001102</t>
  </si>
  <si>
    <t>FB001103</t>
  </si>
  <si>
    <t>FB001104</t>
  </si>
  <si>
    <t>FB001105</t>
  </si>
  <si>
    <t>FB001106</t>
  </si>
  <si>
    <t>FB001107</t>
  </si>
  <si>
    <t>FB001108</t>
  </si>
  <si>
    <t>FB001109</t>
  </si>
  <si>
    <t>FB001110</t>
  </si>
  <si>
    <t>FB001111</t>
  </si>
  <si>
    <t>FB001112</t>
  </si>
  <si>
    <t>FB001113</t>
  </si>
  <si>
    <t>FB001114</t>
  </si>
  <si>
    <t>FB001115</t>
  </si>
  <si>
    <t>FB001116</t>
  </si>
  <si>
    <t>FB001117</t>
  </si>
  <si>
    <t>FB001118</t>
  </si>
  <si>
    <t>FB001119</t>
  </si>
  <si>
    <t>FB001120</t>
  </si>
  <si>
    <t>FB001121</t>
  </si>
  <si>
    <t>FB001122</t>
  </si>
  <si>
    <t>FB001123</t>
  </si>
  <si>
    <t>FB001124</t>
  </si>
  <si>
    <t>FB001125</t>
  </si>
  <si>
    <t>FB001126</t>
  </si>
  <si>
    <t>FB001127</t>
  </si>
  <si>
    <t>FB001128</t>
  </si>
  <si>
    <t>FB001129</t>
  </si>
  <si>
    <t>FB001130</t>
  </si>
  <si>
    <t>FB001131</t>
  </si>
  <si>
    <t>FB001132</t>
  </si>
  <si>
    <t>FB001133</t>
  </si>
  <si>
    <t>FB001134</t>
  </si>
  <si>
    <t>FB001135</t>
  </si>
  <si>
    <t>FB001136</t>
  </si>
  <si>
    <t>FB001137</t>
  </si>
  <si>
    <t>FB001138</t>
  </si>
  <si>
    <t>FB001139</t>
  </si>
  <si>
    <t>FB001140</t>
  </si>
  <si>
    <t>FB001141</t>
  </si>
  <si>
    <t>FB001142</t>
  </si>
  <si>
    <t>FB001143</t>
  </si>
  <si>
    <t>FB001144</t>
  </si>
  <si>
    <t>FB001145</t>
  </si>
  <si>
    <t>FB001146</t>
  </si>
  <si>
    <t>FB001147</t>
  </si>
  <si>
    <t>FB001148</t>
  </si>
  <si>
    <t>FB001149</t>
  </si>
  <si>
    <t>FB001150</t>
  </si>
  <si>
    <t>FB001151</t>
  </si>
  <si>
    <t>FB001152</t>
  </si>
  <si>
    <t>FB001153</t>
  </si>
  <si>
    <t>FB001154</t>
  </si>
  <si>
    <t>FB001155</t>
  </si>
  <si>
    <t>FB001156</t>
  </si>
  <si>
    <t>FB001157</t>
  </si>
  <si>
    <t>FB001158</t>
  </si>
  <si>
    <t>FB001159</t>
  </si>
  <si>
    <t>FB001160</t>
  </si>
  <si>
    <t>FB001161</t>
  </si>
  <si>
    <t>FB001162</t>
  </si>
  <si>
    <t>FB001163</t>
  </si>
  <si>
    <t>FB001164</t>
  </si>
  <si>
    <t>FB001165</t>
  </si>
  <si>
    <t>FB001166</t>
  </si>
  <si>
    <t>FB001167</t>
  </si>
  <si>
    <t>FB001168</t>
  </si>
  <si>
    <t>FB001169</t>
  </si>
  <si>
    <t>FB001170</t>
  </si>
  <si>
    <t>FB001171</t>
  </si>
  <si>
    <t>FB001172</t>
  </si>
  <si>
    <t>FB001173</t>
  </si>
  <si>
    <t>FB001174</t>
  </si>
  <si>
    <t>FB001175</t>
  </si>
  <si>
    <t>FB001176</t>
  </si>
  <si>
    <t>FB001177</t>
  </si>
  <si>
    <t>FB001178</t>
  </si>
  <si>
    <t>FB001179</t>
  </si>
  <si>
    <t>FB001180</t>
  </si>
  <si>
    <t>FB001181</t>
  </si>
  <si>
    <t>FB001182</t>
  </si>
  <si>
    <t>FB001183</t>
  </si>
  <si>
    <t>FB001184</t>
  </si>
  <si>
    <t>FB001185</t>
  </si>
  <si>
    <t>FB001186</t>
  </si>
  <si>
    <t>FB001187</t>
  </si>
  <si>
    <t>FB001188</t>
  </si>
  <si>
    <t>FB001189</t>
  </si>
  <si>
    <t>FB001190</t>
  </si>
  <si>
    <t>FB001191</t>
  </si>
  <si>
    <t>FB001192</t>
  </si>
  <si>
    <t>FB001193</t>
  </si>
  <si>
    <t>FB001194</t>
  </si>
  <si>
    <t>FB001195</t>
  </si>
  <si>
    <t>FB001196</t>
  </si>
  <si>
    <t>FB001197</t>
  </si>
  <si>
    <t>FB001198</t>
  </si>
  <si>
    <t>FB001199</t>
  </si>
  <si>
    <t>FB001200</t>
  </si>
  <si>
    <t>FB001201</t>
  </si>
  <si>
    <t>FB001202</t>
  </si>
  <si>
    <t>FB001203</t>
  </si>
  <si>
    <t>FB001204</t>
  </si>
  <si>
    <t>FB001205</t>
  </si>
  <si>
    <t>FB001206</t>
  </si>
  <si>
    <t>FB001207</t>
  </si>
  <si>
    <t>FB001208</t>
  </si>
  <si>
    <t>FB001209</t>
  </si>
  <si>
    <t>FB001210</t>
  </si>
  <si>
    <t>FB001211</t>
  </si>
  <si>
    <t>FB001212</t>
  </si>
  <si>
    <t>FB001213</t>
  </si>
  <si>
    <t>FB001214</t>
  </si>
  <si>
    <t>FB001215</t>
  </si>
  <si>
    <t>FB001216</t>
  </si>
  <si>
    <t>FB001217</t>
  </si>
  <si>
    <t>FB001218</t>
  </si>
  <si>
    <t>FB001219</t>
  </si>
  <si>
    <t>FB001220</t>
  </si>
  <si>
    <t>FB001221</t>
  </si>
  <si>
    <t>FB001222</t>
  </si>
  <si>
    <t>FB001223</t>
  </si>
  <si>
    <t>FB001224</t>
  </si>
  <si>
    <t>FB001225</t>
  </si>
  <si>
    <t>FB001226</t>
  </si>
  <si>
    <t>FB001227</t>
  </si>
  <si>
    <t>FB001228</t>
  </si>
  <si>
    <t>FB001229</t>
  </si>
  <si>
    <t>FB001230</t>
  </si>
  <si>
    <t>FB001231</t>
  </si>
  <si>
    <t>FB001232</t>
  </si>
  <si>
    <t>FB001233</t>
  </si>
  <si>
    <t>FB001234</t>
  </si>
  <si>
    <t>FB001235</t>
  </si>
  <si>
    <t>FB001236</t>
  </si>
  <si>
    <t>FB001237</t>
  </si>
  <si>
    <t>FB001238</t>
  </si>
  <si>
    <t>FB001239</t>
  </si>
  <si>
    <t>FB001240</t>
  </si>
  <si>
    <t>FB001241</t>
  </si>
  <si>
    <t>FB001242</t>
  </si>
  <si>
    <t>FB001243</t>
  </si>
  <si>
    <t>FB001244</t>
  </si>
  <si>
    <t>FB001245</t>
  </si>
  <si>
    <t>FB001246</t>
  </si>
  <si>
    <t>FB001247</t>
  </si>
  <si>
    <t>FB001248</t>
  </si>
  <si>
    <t>FB001249</t>
  </si>
  <si>
    <t>FB001250</t>
  </si>
  <si>
    <t>FB001251</t>
  </si>
  <si>
    <t>FB001252</t>
  </si>
  <si>
    <t>FB001253</t>
  </si>
  <si>
    <t>FB001254</t>
  </si>
  <si>
    <t>FB001255</t>
  </si>
  <si>
    <t>FB001256</t>
  </si>
  <si>
    <t>FB001257</t>
  </si>
  <si>
    <t>FB001258</t>
  </si>
  <si>
    <t>FB001259</t>
  </si>
  <si>
    <t>FB001260</t>
  </si>
  <si>
    <t>FB001261</t>
  </si>
  <si>
    <t>FB001262</t>
  </si>
  <si>
    <t>FB001263</t>
  </si>
  <si>
    <t>FB001264</t>
  </si>
  <si>
    <t>FB001265</t>
  </si>
  <si>
    <t>FB001266</t>
  </si>
  <si>
    <t>FB001267</t>
  </si>
  <si>
    <t>FB001268</t>
  </si>
  <si>
    <t>FB001269</t>
  </si>
  <si>
    <t>FB001270</t>
  </si>
  <si>
    <t>FB001271</t>
  </si>
  <si>
    <t>FB001272</t>
  </si>
  <si>
    <t>FB001273</t>
  </si>
  <si>
    <t>FB001274</t>
  </si>
  <si>
    <t>FB001275</t>
  </si>
  <si>
    <t>FB001276</t>
  </si>
  <si>
    <t>FB001277</t>
  </si>
  <si>
    <t>FB001278</t>
  </si>
  <si>
    <t>FB001279</t>
  </si>
  <si>
    <t>FB001280</t>
  </si>
  <si>
    <t>FB001281</t>
  </si>
  <si>
    <t>FB001282</t>
  </si>
  <si>
    <t>FB001283</t>
  </si>
  <si>
    <t>FB001284</t>
  </si>
  <si>
    <t>FB001285</t>
  </si>
  <si>
    <t>FB001286</t>
  </si>
  <si>
    <t>FB001287</t>
  </si>
  <si>
    <t>FB001288</t>
  </si>
  <si>
    <t>FB001289</t>
  </si>
  <si>
    <t>FB001290</t>
  </si>
  <si>
    <t>FB001291</t>
  </si>
  <si>
    <t>FB001292</t>
  </si>
  <si>
    <t>FB001293</t>
  </si>
  <si>
    <t>FB001294</t>
  </si>
  <si>
    <t>FB001295</t>
  </si>
  <si>
    <t>FB001296</t>
  </si>
  <si>
    <t>FB001297</t>
  </si>
  <si>
    <t>FB001298</t>
  </si>
  <si>
    <t>FB001299</t>
  </si>
  <si>
    <t>FB001300</t>
  </si>
  <si>
    <t>FB001301</t>
  </si>
  <si>
    <t>FB001302</t>
  </si>
  <si>
    <t>FB001303</t>
  </si>
  <si>
    <t>FB001304</t>
  </si>
  <si>
    <t>FB001305</t>
  </si>
  <si>
    <t>FB001306</t>
  </si>
  <si>
    <t>FB001307</t>
  </si>
  <si>
    <t>FB001308</t>
  </si>
  <si>
    <t>FB001309</t>
  </si>
  <si>
    <t>FB001310</t>
  </si>
  <si>
    <t>FB001311</t>
  </si>
  <si>
    <t>FB001312</t>
  </si>
  <si>
    <t>FB001313</t>
  </si>
  <si>
    <t>FB001314</t>
  </si>
  <si>
    <t>FB001315</t>
  </si>
  <si>
    <t>FB001316</t>
  </si>
  <si>
    <t>FB001317</t>
  </si>
  <si>
    <t>FB001318</t>
  </si>
  <si>
    <t>FB001319</t>
  </si>
  <si>
    <t>FB001320</t>
  </si>
  <si>
    <t>FB001321</t>
  </si>
  <si>
    <t>FB001322</t>
  </si>
  <si>
    <t>FB001323</t>
  </si>
  <si>
    <t>FB001324</t>
  </si>
  <si>
    <t>FB001325</t>
  </si>
  <si>
    <t>FB001326</t>
  </si>
  <si>
    <t>FB001327</t>
  </si>
  <si>
    <t>FB001328</t>
  </si>
  <si>
    <t>FB001329</t>
  </si>
  <si>
    <t>FB001330</t>
  </si>
  <si>
    <t>FB001331</t>
  </si>
  <si>
    <t>FB001332</t>
  </si>
  <si>
    <t>FB001333</t>
  </si>
  <si>
    <t>FB001334</t>
  </si>
  <si>
    <t>FB001335</t>
  </si>
  <si>
    <t>FB001336</t>
  </si>
  <si>
    <t>FB001337</t>
  </si>
  <si>
    <t>FB001338</t>
  </si>
  <si>
    <t>FB001339</t>
  </si>
  <si>
    <t>FB001340</t>
  </si>
  <si>
    <t>FB001341</t>
  </si>
  <si>
    <t>FB001342</t>
  </si>
  <si>
    <t>FB001343</t>
  </si>
  <si>
    <t>FB001344</t>
  </si>
  <si>
    <t>FB001345</t>
  </si>
  <si>
    <t>FB001346</t>
  </si>
  <si>
    <t>FB001347</t>
  </si>
  <si>
    <t>FB001348</t>
  </si>
  <si>
    <t>FB001349</t>
  </si>
  <si>
    <t>FB001350</t>
  </si>
  <si>
    <t>FB001351</t>
  </si>
  <si>
    <t>FB001352</t>
  </si>
  <si>
    <t>FB001353</t>
  </si>
  <si>
    <t>FB001354</t>
  </si>
  <si>
    <t>FB001355</t>
  </si>
  <si>
    <t>FB001356</t>
  </si>
  <si>
    <t>FB001357</t>
  </si>
  <si>
    <t>FB001358</t>
  </si>
  <si>
    <t>FB001359</t>
  </si>
  <si>
    <t>FB001360</t>
  </si>
  <si>
    <t>FB001361</t>
  </si>
  <si>
    <t>FB001362</t>
  </si>
  <si>
    <t>FB001363</t>
  </si>
  <si>
    <t>FB001364</t>
  </si>
  <si>
    <t>FB001365</t>
  </si>
  <si>
    <t>FB001366</t>
  </si>
  <si>
    <t>FB001367</t>
  </si>
  <si>
    <t>FB001368</t>
  </si>
  <si>
    <t>FB001369</t>
  </si>
  <si>
    <t>FB001370</t>
  </si>
  <si>
    <t>FB001371</t>
  </si>
  <si>
    <t>FB001372</t>
  </si>
  <si>
    <t>FB001373</t>
  </si>
  <si>
    <t>FB001374</t>
  </si>
  <si>
    <t>FB001375</t>
  </si>
  <si>
    <t>FB001376</t>
  </si>
  <si>
    <t>FB001377</t>
  </si>
  <si>
    <t>FB001378</t>
  </si>
  <si>
    <t>FB001379</t>
  </si>
  <si>
    <t>FB001380</t>
  </si>
  <si>
    <t>FB001381</t>
  </si>
  <si>
    <t>FB001382</t>
  </si>
  <si>
    <t>FB001383</t>
  </si>
  <si>
    <t>FB001384</t>
  </si>
  <si>
    <t>FB001385</t>
  </si>
  <si>
    <t>FB001386</t>
  </si>
  <si>
    <t>FB001387</t>
  </si>
  <si>
    <t>FB001388</t>
  </si>
  <si>
    <t>FB001389</t>
  </si>
  <si>
    <t>FB001390</t>
  </si>
  <si>
    <t>FB001391</t>
  </si>
  <si>
    <t>FB001392</t>
  </si>
  <si>
    <t>FB001393</t>
  </si>
  <si>
    <t>FB001394</t>
  </si>
  <si>
    <t>FB001395</t>
  </si>
  <si>
    <t>FB001396</t>
  </si>
  <si>
    <t>FB001397</t>
  </si>
  <si>
    <t>FB001398</t>
  </si>
  <si>
    <t>FB001399</t>
  </si>
  <si>
    <t>FB001400</t>
  </si>
  <si>
    <t>FB001401</t>
  </si>
  <si>
    <t>FB001402</t>
  </si>
  <si>
    <t>FB001403</t>
  </si>
  <si>
    <t>FB001404</t>
  </si>
  <si>
    <t>FB001405</t>
  </si>
  <si>
    <t>FB001406</t>
  </si>
  <si>
    <t>FB001407</t>
  </si>
  <si>
    <t>FB001408</t>
  </si>
  <si>
    <t>FB001409</t>
  </si>
  <si>
    <t>FB001410</t>
  </si>
  <si>
    <t>FB001411</t>
  </si>
  <si>
    <t>FB001412</t>
  </si>
  <si>
    <t>FB001413</t>
  </si>
  <si>
    <t>FB001414</t>
  </si>
  <si>
    <t>FB001415</t>
  </si>
  <si>
    <t>FB001416</t>
  </si>
  <si>
    <t>FB001417</t>
  </si>
  <si>
    <t>FB001418</t>
  </si>
  <si>
    <t>FB001419</t>
  </si>
  <si>
    <t>FB001420</t>
  </si>
  <si>
    <t>FB001421</t>
  </si>
  <si>
    <t>FB001422</t>
  </si>
  <si>
    <t>FB001423</t>
  </si>
  <si>
    <t>FB001424</t>
  </si>
  <si>
    <t>FB001425</t>
  </si>
  <si>
    <t>FB001426</t>
  </si>
  <si>
    <t>FB001427</t>
  </si>
  <si>
    <t>FB001428</t>
  </si>
  <si>
    <t>FB001429</t>
  </si>
  <si>
    <t>FB001430</t>
  </si>
  <si>
    <t>FB001431</t>
  </si>
  <si>
    <t>FB001432</t>
  </si>
  <si>
    <t>FB001433</t>
  </si>
  <si>
    <t>FB001434</t>
  </si>
  <si>
    <t>FB001435</t>
  </si>
  <si>
    <t>FB001436</t>
  </si>
  <si>
    <t>FB001437</t>
  </si>
  <si>
    <t>FB001438</t>
  </si>
  <si>
    <t>FB001439</t>
  </si>
  <si>
    <t>FB001440</t>
  </si>
  <si>
    <t>FB001441</t>
  </si>
  <si>
    <t>FB001442</t>
  </si>
  <si>
    <t>FB001443</t>
  </si>
  <si>
    <t>FB001444</t>
  </si>
  <si>
    <t>FB001445</t>
  </si>
  <si>
    <t>FB001446</t>
  </si>
  <si>
    <t>FB001447</t>
  </si>
  <si>
    <t>FB001448</t>
  </si>
  <si>
    <t>FB001449</t>
  </si>
  <si>
    <t>FB001450</t>
  </si>
  <si>
    <t>FB001451</t>
  </si>
  <si>
    <t>FB001452</t>
  </si>
  <si>
    <t>FB001453</t>
  </si>
  <si>
    <t>FB001454</t>
  </si>
  <si>
    <t>FB001455</t>
  </si>
  <si>
    <t>FB001456</t>
  </si>
  <si>
    <t>FB001457</t>
  </si>
  <si>
    <t>FB001458</t>
  </si>
  <si>
    <t>FB001459</t>
  </si>
  <si>
    <t>FB001460</t>
  </si>
  <si>
    <t>FB001461</t>
  </si>
  <si>
    <t>FB001462</t>
  </si>
  <si>
    <t>FB001463</t>
  </si>
  <si>
    <t>FB001464</t>
  </si>
  <si>
    <t>FB001465</t>
  </si>
  <si>
    <t>FB001466</t>
  </si>
  <si>
    <t>FB001467</t>
  </si>
  <si>
    <t>FB001468</t>
  </si>
  <si>
    <t>FB001469</t>
  </si>
  <si>
    <t>FB001470</t>
  </si>
  <si>
    <t>FB001471</t>
  </si>
  <si>
    <t>FB001472</t>
  </si>
  <si>
    <t>FB001473</t>
  </si>
  <si>
    <t>FB001474</t>
  </si>
  <si>
    <t>FB001475</t>
  </si>
  <si>
    <t>FB001476</t>
  </si>
  <si>
    <t>FB001477</t>
  </si>
  <si>
    <t>FB001478</t>
  </si>
  <si>
    <t>FB001479</t>
  </si>
  <si>
    <t>FB001480</t>
  </si>
  <si>
    <t>FB001481</t>
  </si>
  <si>
    <t>FB001482</t>
  </si>
  <si>
    <t>FB001483</t>
  </si>
  <si>
    <t>FB001484</t>
  </si>
  <si>
    <t>FB001485</t>
  </si>
  <si>
    <t>FB001486</t>
  </si>
  <si>
    <t>FB001487</t>
  </si>
  <si>
    <t>FB001488</t>
  </si>
  <si>
    <t>FB001489</t>
  </si>
  <si>
    <t>FB001490</t>
  </si>
  <si>
    <t>FB001491</t>
  </si>
  <si>
    <t>FB001492</t>
  </si>
  <si>
    <t>FB001493</t>
  </si>
  <si>
    <t>FB001494</t>
  </si>
  <si>
    <t>FB001495</t>
  </si>
  <si>
    <t>FB001496</t>
  </si>
  <si>
    <t>FB001497</t>
  </si>
  <si>
    <t>FB001498</t>
  </si>
  <si>
    <t>FB001499</t>
  </si>
  <si>
    <t>FB001500</t>
  </si>
  <si>
    <t>FB001501</t>
  </si>
  <si>
    <t>FB001502</t>
  </si>
  <si>
    <t>FB001503</t>
  </si>
  <si>
    <t>FB001504</t>
  </si>
  <si>
    <t>FB001505</t>
  </si>
  <si>
    <t>FB001506</t>
  </si>
  <si>
    <t>FB001507</t>
  </si>
  <si>
    <t>FB001508</t>
  </si>
  <si>
    <t>FB001509</t>
  </si>
  <si>
    <t>FB001510</t>
  </si>
  <si>
    <t>FB001511</t>
  </si>
  <si>
    <t>FB001512</t>
  </si>
  <si>
    <t>FB001513</t>
  </si>
  <si>
    <t>FB001514</t>
  </si>
  <si>
    <t>FB001515</t>
  </si>
  <si>
    <t>FB001516</t>
  </si>
  <si>
    <t>FB001517</t>
  </si>
  <si>
    <t>FB001518</t>
  </si>
  <si>
    <t>FB001519</t>
  </si>
  <si>
    <t>FB001520</t>
  </si>
  <si>
    <t>FB001521</t>
  </si>
  <si>
    <t>FB001522</t>
  </si>
  <si>
    <t>FB001523</t>
  </si>
  <si>
    <t>FB001524</t>
  </si>
  <si>
    <t>FB001525</t>
  </si>
  <si>
    <t>FB001526</t>
  </si>
  <si>
    <t>FB001527</t>
  </si>
  <si>
    <t>FB001528</t>
  </si>
  <si>
    <t>FB001529</t>
  </si>
  <si>
    <t>FB001530</t>
  </si>
  <si>
    <t>FB001531</t>
  </si>
  <si>
    <t>FB001532</t>
  </si>
  <si>
    <t>FB001533</t>
  </si>
  <si>
    <t>FB001534</t>
  </si>
  <si>
    <t>FB001535</t>
  </si>
  <si>
    <t>FB001536</t>
  </si>
  <si>
    <t>FB001537</t>
  </si>
  <si>
    <t>FB001538</t>
  </si>
  <si>
    <t>FB001539</t>
  </si>
  <si>
    <t>FB001540</t>
  </si>
  <si>
    <t>FB001541</t>
  </si>
  <si>
    <t>FB001542</t>
  </si>
  <si>
    <t>FB001543</t>
  </si>
  <si>
    <t>FB001544</t>
  </si>
  <si>
    <t>FB001545</t>
  </si>
  <si>
    <t>FB001546</t>
  </si>
  <si>
    <t>FB001547</t>
  </si>
  <si>
    <t>FB001548</t>
  </si>
  <si>
    <t>FB001549</t>
  </si>
  <si>
    <t>FB001550</t>
  </si>
  <si>
    <t>FB001551</t>
  </si>
  <si>
    <t>FB001552</t>
  </si>
  <si>
    <t>FB001553</t>
  </si>
  <si>
    <t>FB001554</t>
  </si>
  <si>
    <t>FB001555</t>
  </si>
  <si>
    <t>FB001556</t>
  </si>
  <si>
    <t>FB001557</t>
  </si>
  <si>
    <t>FB001558</t>
  </si>
  <si>
    <t>FB001559</t>
  </si>
  <si>
    <t>FB001560</t>
  </si>
  <si>
    <t>FB001561</t>
  </si>
  <si>
    <t>FB001562</t>
  </si>
  <si>
    <t>FB001563</t>
  </si>
  <si>
    <t>FB001564</t>
  </si>
  <si>
    <t>FB001565</t>
  </si>
  <si>
    <t>FB001566</t>
  </si>
  <si>
    <t>FB001567</t>
  </si>
  <si>
    <t>FB001568</t>
  </si>
  <si>
    <t>FB001569</t>
  </si>
  <si>
    <t>FB001570</t>
  </si>
  <si>
    <t>FB001571</t>
  </si>
  <si>
    <t>FB001572</t>
  </si>
  <si>
    <t>FB001573</t>
  </si>
  <si>
    <t>FB001574</t>
  </si>
  <si>
    <t>FB001575</t>
  </si>
  <si>
    <t>FB001576</t>
  </si>
  <si>
    <t>FB001577</t>
  </si>
  <si>
    <t>FB001578</t>
  </si>
  <si>
    <t>FB001579</t>
  </si>
  <si>
    <t>FB001580</t>
  </si>
  <si>
    <t>FB001581</t>
  </si>
  <si>
    <t>FB001582</t>
  </si>
  <si>
    <t>FB001583</t>
  </si>
  <si>
    <t>FB001584</t>
  </si>
  <si>
    <t>FB001585</t>
  </si>
  <si>
    <t>FB001586</t>
  </si>
  <si>
    <t>FB001587</t>
  </si>
  <si>
    <t>FB001588</t>
  </si>
  <si>
    <t>FB001589</t>
  </si>
  <si>
    <t>FB001590</t>
  </si>
  <si>
    <t>FB001591</t>
  </si>
  <si>
    <t>FB001592</t>
  </si>
  <si>
    <t>FB001593</t>
  </si>
  <si>
    <t>FB001594</t>
  </si>
  <si>
    <t>FB001595</t>
  </si>
  <si>
    <t>FB001596</t>
  </si>
  <si>
    <t>FB001597</t>
  </si>
  <si>
    <t>FB001598</t>
  </si>
  <si>
    <t>FB001599</t>
  </si>
  <si>
    <t>FB001600</t>
  </si>
  <si>
    <t>FB001601</t>
  </si>
  <si>
    <t>FB001602</t>
  </si>
  <si>
    <t>FB001603</t>
  </si>
  <si>
    <t>FB001604</t>
  </si>
  <si>
    <t>FB001605</t>
  </si>
  <si>
    <t>FB001606</t>
  </si>
  <si>
    <t>FB001607</t>
  </si>
  <si>
    <t>FB001608</t>
  </si>
  <si>
    <t>FB001609</t>
  </si>
  <si>
    <t>FB001610</t>
  </si>
  <si>
    <t>FB001611</t>
  </si>
  <si>
    <t>FB001612</t>
  </si>
  <si>
    <t>FB001613</t>
  </si>
  <si>
    <t>FB001614</t>
  </si>
  <si>
    <t>FB001615</t>
  </si>
  <si>
    <t>FB001616</t>
  </si>
  <si>
    <t>FB001617</t>
  </si>
  <si>
    <t>FB001618</t>
  </si>
  <si>
    <t>FB001619</t>
  </si>
  <si>
    <t>FB001620</t>
  </si>
  <si>
    <t>FB001621</t>
  </si>
  <si>
    <t>FB001622</t>
  </si>
  <si>
    <t>FB001623</t>
  </si>
  <si>
    <t>FB001624</t>
  </si>
  <si>
    <t>FB001625</t>
  </si>
  <si>
    <t>FB001626</t>
  </si>
  <si>
    <t>FB001627</t>
  </si>
  <si>
    <t>FB001628</t>
  </si>
  <si>
    <t>FB001629</t>
  </si>
  <si>
    <t>FB001630</t>
  </si>
  <si>
    <t>FB001631</t>
  </si>
  <si>
    <t>FB001632</t>
  </si>
  <si>
    <t>FB001633</t>
  </si>
  <si>
    <t>FB001634</t>
  </si>
  <si>
    <t>FB001635</t>
  </si>
  <si>
    <t>FB001636</t>
  </si>
  <si>
    <t>FB001637</t>
  </si>
  <si>
    <t>FB001638</t>
  </si>
  <si>
    <t>FB001639</t>
  </si>
  <si>
    <t>FB001640</t>
  </si>
  <si>
    <t>FB001641</t>
  </si>
  <si>
    <t>FB001642</t>
  </si>
  <si>
    <t>FB001643</t>
  </si>
  <si>
    <t>FB001644</t>
  </si>
  <si>
    <t>FB001645</t>
  </si>
  <si>
    <t>FB001646</t>
  </si>
  <si>
    <t>FB001647</t>
  </si>
  <si>
    <t>FB001648</t>
  </si>
  <si>
    <t>FB001649</t>
  </si>
  <si>
    <t>FB001650</t>
  </si>
  <si>
    <t>FB001651</t>
  </si>
  <si>
    <t>FB001652</t>
  </si>
  <si>
    <t>FB001653</t>
  </si>
  <si>
    <t>FB001654</t>
  </si>
  <si>
    <t>FB001655</t>
  </si>
  <si>
    <t>FB001656</t>
  </si>
  <si>
    <t>FB001657</t>
  </si>
  <si>
    <t>FB001658</t>
  </si>
  <si>
    <t>FB001659</t>
  </si>
  <si>
    <t>FB001660</t>
  </si>
  <si>
    <t>FB001661</t>
  </si>
  <si>
    <t>FB001662</t>
  </si>
  <si>
    <t>FB001663</t>
  </si>
  <si>
    <t>FB001664</t>
  </si>
  <si>
    <t>FB001665</t>
  </si>
  <si>
    <t>FB001666</t>
  </si>
  <si>
    <t>FB001667</t>
  </si>
  <si>
    <t>FB001668</t>
  </si>
  <si>
    <t>FB001669</t>
  </si>
  <si>
    <t>FB001670</t>
  </si>
  <si>
    <t>FB001671</t>
  </si>
  <si>
    <t>FB001672</t>
  </si>
  <si>
    <t>FB001673</t>
  </si>
  <si>
    <t>FB001674</t>
  </si>
  <si>
    <t>FB001675</t>
  </si>
  <si>
    <t>FB001676</t>
  </si>
  <si>
    <t>FB001677</t>
  </si>
  <si>
    <t>FB001678</t>
  </si>
  <si>
    <t>FB001679</t>
  </si>
  <si>
    <t>FB001680</t>
  </si>
  <si>
    <t>FB001681</t>
  </si>
  <si>
    <t>FB001682</t>
  </si>
  <si>
    <t>FB001683</t>
  </si>
  <si>
    <t>FB001684</t>
  </si>
  <si>
    <t>FB001685</t>
  </si>
  <si>
    <t>FB001686</t>
  </si>
  <si>
    <t>FB001687</t>
  </si>
  <si>
    <t>FB001688</t>
  </si>
  <si>
    <t>FB001689</t>
  </si>
  <si>
    <t>FB001690</t>
  </si>
  <si>
    <t>FB001691</t>
  </si>
  <si>
    <t>FB001692</t>
  </si>
  <si>
    <t>FB001693</t>
  </si>
  <si>
    <t>FB001694</t>
  </si>
  <si>
    <t>FB001695</t>
  </si>
  <si>
    <t>FB001696</t>
  </si>
  <si>
    <t>FB001697</t>
  </si>
  <si>
    <t>FB001698</t>
  </si>
  <si>
    <t>FB001699</t>
  </si>
  <si>
    <t>FB001700</t>
  </si>
  <si>
    <t>FB001701</t>
  </si>
  <si>
    <t>FB001702</t>
  </si>
  <si>
    <t>FB001703</t>
  </si>
  <si>
    <t>FB001704</t>
  </si>
  <si>
    <t>FB001705</t>
  </si>
  <si>
    <t>FB001706</t>
  </si>
  <si>
    <t>FB001707</t>
  </si>
  <si>
    <t>FB001708</t>
  </si>
  <si>
    <t>FB001709</t>
  </si>
  <si>
    <t>FB001710</t>
  </si>
  <si>
    <t>FB001711</t>
  </si>
  <si>
    <t>FB001712</t>
  </si>
  <si>
    <t>FB001713</t>
  </si>
  <si>
    <t>FB001714</t>
  </si>
  <si>
    <t>FB001715</t>
  </si>
  <si>
    <t>FB001716</t>
  </si>
  <si>
    <t>FB001717</t>
  </si>
  <si>
    <t>FB001718</t>
  </si>
  <si>
    <t>FB001719</t>
  </si>
  <si>
    <t>FB001720</t>
  </si>
  <si>
    <t>FB001721</t>
  </si>
  <si>
    <t>FB001722</t>
  </si>
  <si>
    <t>FB001723</t>
  </si>
  <si>
    <t>FB001724</t>
  </si>
  <si>
    <t>FB001725</t>
  </si>
  <si>
    <t>FB001726</t>
  </si>
  <si>
    <t>FB001727</t>
  </si>
  <si>
    <t>FB001728</t>
  </si>
  <si>
    <t>FB001729</t>
  </si>
  <si>
    <t>FB001730</t>
  </si>
  <si>
    <t>FB001731</t>
  </si>
  <si>
    <t>FB001732</t>
  </si>
  <si>
    <t>FB001733</t>
  </si>
  <si>
    <t>FB001734</t>
  </si>
  <si>
    <t>FB001735</t>
  </si>
  <si>
    <t>FB001736</t>
  </si>
  <si>
    <t>FB001737</t>
  </si>
  <si>
    <t>FB001738</t>
  </si>
  <si>
    <t>FB001739</t>
  </si>
  <si>
    <t>FB001740</t>
  </si>
  <si>
    <t>FB001741</t>
  </si>
  <si>
    <t>FB001742</t>
  </si>
  <si>
    <t>FB001743</t>
  </si>
  <si>
    <t>FB001744</t>
  </si>
  <si>
    <t>FB001745</t>
  </si>
  <si>
    <t>FB001746</t>
  </si>
  <si>
    <t>FB001747</t>
  </si>
  <si>
    <t>FB001748</t>
  </si>
  <si>
    <t>FB001749</t>
  </si>
  <si>
    <t>FB001750</t>
  </si>
  <si>
    <t>FB001751</t>
  </si>
  <si>
    <t>FB001752</t>
  </si>
  <si>
    <t>FB001753</t>
  </si>
  <si>
    <t>FB001754</t>
  </si>
  <si>
    <t>FB001755</t>
  </si>
  <si>
    <t>FB001756</t>
  </si>
  <si>
    <t>FB001757</t>
  </si>
  <si>
    <t>FB001758</t>
  </si>
  <si>
    <t>FB001759</t>
  </si>
  <si>
    <t>FB001760</t>
  </si>
  <si>
    <t>FB001761</t>
  </si>
  <si>
    <t>FB001762</t>
  </si>
  <si>
    <t>FB001763</t>
  </si>
  <si>
    <t>FB001764</t>
  </si>
  <si>
    <t>FB001765</t>
  </si>
  <si>
    <t>FB001766</t>
  </si>
  <si>
    <t>FB001767</t>
  </si>
  <si>
    <t>FB001768</t>
  </si>
  <si>
    <t>FB001769</t>
  </si>
  <si>
    <t>FB001770</t>
  </si>
  <si>
    <t>FB001771</t>
  </si>
  <si>
    <t>FB001772</t>
  </si>
  <si>
    <t>FB001773</t>
  </si>
  <si>
    <t>FB001774</t>
  </si>
  <si>
    <t>FB001775</t>
  </si>
  <si>
    <t>FB001776</t>
  </si>
  <si>
    <t>FB001777</t>
  </si>
  <si>
    <t>FB001778</t>
  </si>
  <si>
    <t>FB001779</t>
  </si>
  <si>
    <t>FB001780</t>
  </si>
  <si>
    <t>FB001781</t>
  </si>
  <si>
    <t>FB001782</t>
  </si>
  <si>
    <t>FB001783</t>
  </si>
  <si>
    <t>FB001784</t>
  </si>
  <si>
    <t>FB001785</t>
  </si>
  <si>
    <t>FB001786</t>
  </si>
  <si>
    <t>FB001787</t>
  </si>
  <si>
    <t>FB001788</t>
  </si>
  <si>
    <t>FB001789</t>
  </si>
  <si>
    <t>FB001790</t>
  </si>
  <si>
    <t>FB001791</t>
  </si>
  <si>
    <t>FB001792</t>
  </si>
  <si>
    <t>FB001793</t>
  </si>
  <si>
    <t>FB001794</t>
  </si>
  <si>
    <t>FB001795</t>
  </si>
  <si>
    <t>FB001796</t>
  </si>
  <si>
    <t>FB001797</t>
  </si>
  <si>
    <t>FB001798</t>
  </si>
  <si>
    <t>FB001799</t>
  </si>
  <si>
    <t>FB001800</t>
  </si>
  <si>
    <t>FB001801</t>
  </si>
  <si>
    <t>FB001802</t>
  </si>
  <si>
    <t>FB001803</t>
  </si>
  <si>
    <t>FB001804</t>
  </si>
  <si>
    <t>FB001805</t>
  </si>
  <si>
    <t>FB001806</t>
  </si>
  <si>
    <t>FB001807</t>
  </si>
  <si>
    <t>FB001808</t>
  </si>
  <si>
    <t>FB001809</t>
  </si>
  <si>
    <t>FB001810</t>
  </si>
  <si>
    <t>FB001811</t>
  </si>
  <si>
    <t>FB001812</t>
  </si>
  <si>
    <t>FB001813</t>
  </si>
  <si>
    <t>FB001814</t>
  </si>
  <si>
    <t>FB001815</t>
  </si>
  <si>
    <t>FB001816</t>
  </si>
  <si>
    <t>FB001817</t>
  </si>
  <si>
    <t>FB001818</t>
  </si>
  <si>
    <t>FB001819</t>
  </si>
  <si>
    <t>FB001820</t>
  </si>
  <si>
    <t>FB001821</t>
  </si>
  <si>
    <t>FB001822</t>
  </si>
  <si>
    <t>FB001823</t>
  </si>
  <si>
    <t>FB001824</t>
  </si>
  <si>
    <t>FB001825</t>
  </si>
  <si>
    <t>FB001826</t>
  </si>
  <si>
    <t>FB001827</t>
  </si>
  <si>
    <t>FB001828</t>
  </si>
  <si>
    <t>FB001829</t>
  </si>
  <si>
    <t>FB001830</t>
  </si>
  <si>
    <t>FB001831</t>
  </si>
  <si>
    <t>FB001832</t>
  </si>
  <si>
    <t>FB001833</t>
  </si>
  <si>
    <t>FB001834</t>
  </si>
  <si>
    <t>FB001835</t>
  </si>
  <si>
    <t>FB001836</t>
  </si>
  <si>
    <t>FB001837</t>
  </si>
  <si>
    <t>FB001838</t>
  </si>
  <si>
    <t>FB001839</t>
  </si>
  <si>
    <t>FB001840</t>
  </si>
  <si>
    <t>FB001841</t>
  </si>
  <si>
    <t>FB001842</t>
  </si>
  <si>
    <t>FB001843</t>
  </si>
  <si>
    <t>FB001844</t>
  </si>
  <si>
    <t>FB001845</t>
  </si>
  <si>
    <t>FB001846</t>
  </si>
  <si>
    <t>FB001847</t>
  </si>
  <si>
    <t>FB001848</t>
  </si>
  <si>
    <t>FB001849</t>
  </si>
  <si>
    <t>FB001850</t>
  </si>
  <si>
    <t>FB001851</t>
  </si>
  <si>
    <t>FB001852</t>
  </si>
  <si>
    <t>FB001853</t>
  </si>
  <si>
    <t>FB001854</t>
  </si>
  <si>
    <t>FB001855</t>
  </si>
  <si>
    <t>FB001856</t>
  </si>
  <si>
    <t>FB001857</t>
  </si>
  <si>
    <t>FB001858</t>
  </si>
  <si>
    <t>FB001859</t>
  </si>
  <si>
    <t>FB001860</t>
  </si>
  <si>
    <t>FB001861</t>
  </si>
  <si>
    <t>FB001862</t>
  </si>
  <si>
    <t>FB001863</t>
  </si>
  <si>
    <t>FB001864</t>
  </si>
  <si>
    <t>FB001865</t>
  </si>
  <si>
    <t>FB001866</t>
  </si>
  <si>
    <t>FB001867</t>
  </si>
  <si>
    <t>FB001868</t>
  </si>
  <si>
    <t>FB001869</t>
  </si>
  <si>
    <t>FB001870</t>
  </si>
  <si>
    <t>FB001871</t>
  </si>
  <si>
    <t>FB001872</t>
  </si>
  <si>
    <t>FB001873</t>
  </si>
  <si>
    <t>FB001874</t>
  </si>
  <si>
    <t>FB001875</t>
  </si>
  <si>
    <t>FB001876</t>
  </si>
  <si>
    <t>FB001877</t>
  </si>
  <si>
    <t>FB001878</t>
  </si>
  <si>
    <t>FB001879</t>
  </si>
  <si>
    <t>FB001880</t>
  </si>
  <si>
    <t>FB001881</t>
  </si>
  <si>
    <t>FB001882</t>
  </si>
  <si>
    <t>FB001883</t>
  </si>
  <si>
    <t>FB001884</t>
  </si>
  <si>
    <t>FB001885</t>
  </si>
  <si>
    <t>FB001886</t>
  </si>
  <si>
    <t>FB001887</t>
  </si>
  <si>
    <t>FB001888</t>
  </si>
  <si>
    <t>FB001889</t>
  </si>
  <si>
    <t>FB001890</t>
  </si>
  <si>
    <t>FB001891</t>
  </si>
  <si>
    <t>FB001892</t>
  </si>
  <si>
    <t>FB001893</t>
  </si>
  <si>
    <t>FB001894</t>
  </si>
  <si>
    <t>FB001895</t>
  </si>
  <si>
    <t>FB001896</t>
  </si>
  <si>
    <t>FB001897</t>
  </si>
  <si>
    <t>FB001898</t>
  </si>
  <si>
    <t>FB001899</t>
  </si>
  <si>
    <t>FB001900</t>
  </si>
  <si>
    <t>FB001901</t>
  </si>
  <si>
    <t>FB001902</t>
  </si>
  <si>
    <t>FB001903</t>
  </si>
  <si>
    <t>FB001904</t>
  </si>
  <si>
    <t>FB001905</t>
  </si>
  <si>
    <t>FB001906</t>
  </si>
  <si>
    <t>FB001907</t>
  </si>
  <si>
    <t>FB001908</t>
  </si>
  <si>
    <t>FB001909</t>
  </si>
  <si>
    <t>FB001910</t>
  </si>
  <si>
    <t>FB001911</t>
  </si>
  <si>
    <t>FB001912</t>
  </si>
  <si>
    <t>FB001913</t>
  </si>
  <si>
    <t>FB001914</t>
  </si>
  <si>
    <t>FB001915</t>
  </si>
  <si>
    <t>FB001916</t>
  </si>
  <si>
    <t>FB001917</t>
  </si>
  <si>
    <t>FB001918</t>
  </si>
  <si>
    <t>FB001919</t>
  </si>
  <si>
    <t>FB001920</t>
  </si>
  <si>
    <t>FB001921</t>
  </si>
  <si>
    <t>FB001922</t>
  </si>
  <si>
    <t>FB001923</t>
  </si>
  <si>
    <t>FB001924</t>
  </si>
  <si>
    <t>FB001925</t>
  </si>
  <si>
    <t>FB001926</t>
  </si>
  <si>
    <t>FB001927</t>
  </si>
  <si>
    <t>FB001928</t>
  </si>
  <si>
    <t>FB001929</t>
  </si>
  <si>
    <t>FB001930</t>
  </si>
  <si>
    <t>FB001931</t>
  </si>
  <si>
    <t>FB001932</t>
  </si>
  <si>
    <t>FB001933</t>
  </si>
  <si>
    <t>FB001934</t>
  </si>
  <si>
    <t>FB001935</t>
  </si>
  <si>
    <t>FB001936</t>
  </si>
  <si>
    <t>FB001937</t>
  </si>
  <si>
    <t>FB001938</t>
  </si>
  <si>
    <t>FB001939</t>
  </si>
  <si>
    <t>FB001940</t>
  </si>
  <si>
    <t>FB001941</t>
  </si>
  <si>
    <t>FB001942</t>
  </si>
  <si>
    <t>FB001943</t>
  </si>
  <si>
    <t>FB001944</t>
  </si>
  <si>
    <t>FB001945</t>
  </si>
  <si>
    <t>FB001946</t>
  </si>
  <si>
    <t>FB001947</t>
  </si>
  <si>
    <t>FB001948</t>
  </si>
  <si>
    <t>FB001949</t>
  </si>
  <si>
    <t>FB001950</t>
  </si>
  <si>
    <t>FB001951</t>
  </si>
  <si>
    <t>FB001952</t>
  </si>
  <si>
    <t>FB001953</t>
  </si>
  <si>
    <t>FB001954</t>
  </si>
  <si>
    <t>FB001955</t>
  </si>
  <si>
    <t>FB001956</t>
  </si>
  <si>
    <t>FB001957</t>
  </si>
  <si>
    <t>FB001958</t>
  </si>
  <si>
    <t>FB001959</t>
  </si>
  <si>
    <t>FB001960</t>
  </si>
  <si>
    <t>FB001961</t>
  </si>
  <si>
    <t>FB001962</t>
  </si>
  <si>
    <t>FB001963</t>
  </si>
  <si>
    <t>FB001964</t>
  </si>
  <si>
    <t>FB001965</t>
  </si>
  <si>
    <t>FB001966</t>
  </si>
  <si>
    <t>FB001967</t>
  </si>
  <si>
    <t>FB001968</t>
  </si>
  <si>
    <t>FB001969</t>
  </si>
  <si>
    <t>FB001970</t>
  </si>
  <si>
    <t>FB001971</t>
  </si>
  <si>
    <t>FB001972</t>
  </si>
  <si>
    <t>FB001973</t>
  </si>
  <si>
    <t>FB001974</t>
  </si>
  <si>
    <t>FB001975</t>
  </si>
  <si>
    <t>FB001976</t>
  </si>
  <si>
    <t>FB001977</t>
  </si>
  <si>
    <t>FB001978</t>
  </si>
  <si>
    <t>FB001979</t>
  </si>
  <si>
    <t>FB001980</t>
  </si>
  <si>
    <t>FB001981</t>
  </si>
  <si>
    <t>FB001982</t>
  </si>
  <si>
    <t>FB001983</t>
  </si>
  <si>
    <t>FB001984</t>
  </si>
  <si>
    <t>FB001985</t>
  </si>
  <si>
    <t>FB001986</t>
  </si>
  <si>
    <t>FB001987</t>
  </si>
  <si>
    <t>FB001988</t>
  </si>
  <si>
    <t>FB001989</t>
  </si>
  <si>
    <t>FB001990</t>
  </si>
  <si>
    <t>FB001991</t>
  </si>
  <si>
    <t>FB001992</t>
  </si>
  <si>
    <t>FB001993</t>
  </si>
  <si>
    <t>FB001994</t>
  </si>
  <si>
    <t>FB001995</t>
  </si>
  <si>
    <t>FB001996</t>
  </si>
  <si>
    <t>FB001997</t>
  </si>
  <si>
    <t>FB001998</t>
  </si>
  <si>
    <t>FB001999</t>
  </si>
  <si>
    <t>FB002000</t>
  </si>
  <si>
    <t>FB002001</t>
  </si>
  <si>
    <t>FB002002</t>
  </si>
  <si>
    <t>FB002003</t>
  </si>
  <si>
    <t>FB002004</t>
  </si>
  <si>
    <t>FB002005</t>
  </si>
  <si>
    <t>FB002006</t>
  </si>
  <si>
    <t>FB002007</t>
  </si>
  <si>
    <t>FB002008</t>
  </si>
  <si>
    <t>FB002009</t>
  </si>
  <si>
    <t>FB002010</t>
  </si>
  <si>
    <t>FB002011</t>
  </si>
  <si>
    <t>FB002012</t>
  </si>
  <si>
    <t>FB002013</t>
  </si>
  <si>
    <t>FB002014</t>
  </si>
  <si>
    <t>FB002015</t>
  </si>
  <si>
    <t>FB002016</t>
  </si>
  <si>
    <t>FB002017</t>
  </si>
  <si>
    <t>FB002018</t>
  </si>
  <si>
    <t>FB002019</t>
  </si>
  <si>
    <t>FB002020</t>
  </si>
  <si>
    <t>FB002021</t>
  </si>
  <si>
    <t>FB002022</t>
  </si>
  <si>
    <t>FB002023</t>
  </si>
  <si>
    <t>FB002024</t>
  </si>
  <si>
    <t>FB002025</t>
  </si>
  <si>
    <t>FB002026</t>
  </si>
  <si>
    <t>FB002027</t>
  </si>
  <si>
    <t>FB002028</t>
  </si>
  <si>
    <t>FB002029</t>
  </si>
  <si>
    <t>FB002030</t>
  </si>
  <si>
    <t>FB002031</t>
  </si>
  <si>
    <t>FB002032</t>
  </si>
  <si>
    <t>FB002033</t>
  </si>
  <si>
    <t>FB002034</t>
  </si>
  <si>
    <t>FB002035</t>
  </si>
  <si>
    <t>FB002036</t>
  </si>
  <si>
    <t>FB002037</t>
  </si>
  <si>
    <t>FB002038</t>
  </si>
  <si>
    <t>FB002039</t>
  </si>
  <si>
    <t>FB002040</t>
  </si>
  <si>
    <t>FB002041</t>
  </si>
  <si>
    <t>FB002042</t>
  </si>
  <si>
    <t>FB002043</t>
  </si>
  <si>
    <t>FB002044</t>
  </si>
  <si>
    <t>FB002045</t>
  </si>
  <si>
    <t>FB002046</t>
  </si>
  <si>
    <t>FB002047</t>
  </si>
  <si>
    <t>FB002048</t>
  </si>
  <si>
    <t>FB002049</t>
  </si>
  <si>
    <t>FB002050</t>
  </si>
  <si>
    <t>FB002051</t>
  </si>
  <si>
    <t>FB002052</t>
  </si>
  <si>
    <t>FB002053</t>
  </si>
  <si>
    <t>FB002054</t>
  </si>
  <si>
    <t>FB002055</t>
  </si>
  <si>
    <t>FB002056</t>
  </si>
  <si>
    <t>FB002057</t>
  </si>
  <si>
    <t>FB002058</t>
  </si>
  <si>
    <t>FB002059</t>
  </si>
  <si>
    <t>FB002060</t>
  </si>
  <si>
    <t>FB002061</t>
  </si>
  <si>
    <t>FB002062</t>
  </si>
  <si>
    <t>FB002063</t>
  </si>
  <si>
    <t>FB002064</t>
  </si>
  <si>
    <t>FB002065</t>
  </si>
  <si>
    <t>FB002066</t>
  </si>
  <si>
    <t>FB002067</t>
  </si>
  <si>
    <t>FB002068</t>
  </si>
  <si>
    <t>FB002069</t>
  </si>
  <si>
    <t>FB002070</t>
  </si>
  <si>
    <t>FB002071</t>
  </si>
  <si>
    <t>FB002072</t>
  </si>
  <si>
    <t>FB002073</t>
  </si>
  <si>
    <t>FB002074</t>
  </si>
  <si>
    <t>FB002075</t>
  </si>
  <si>
    <t>FB002076</t>
  </si>
  <si>
    <t>FB002077</t>
  </si>
  <si>
    <t>FB002078</t>
  </si>
  <si>
    <t>FB002079</t>
  </si>
  <si>
    <t>FB002080</t>
  </si>
  <si>
    <t>FB002081</t>
  </si>
  <si>
    <t>FB002082</t>
  </si>
  <si>
    <t>FB002083</t>
  </si>
  <si>
    <t>FB002084</t>
  </si>
  <si>
    <t>FB002085</t>
  </si>
  <si>
    <t>FB002086</t>
  </si>
  <si>
    <t>FB002087</t>
  </si>
  <si>
    <t>FB002088</t>
  </si>
  <si>
    <t>FB002089</t>
  </si>
  <si>
    <t>FB002090</t>
  </si>
  <si>
    <t>FB002091</t>
  </si>
  <si>
    <t>FB002092</t>
  </si>
  <si>
    <t>FB002093</t>
  </si>
  <si>
    <t>FB002094</t>
  </si>
  <si>
    <t>FB002095</t>
  </si>
  <si>
    <t>FB002096</t>
  </si>
  <si>
    <t>FB002097</t>
  </si>
  <si>
    <t>FB002098</t>
  </si>
  <si>
    <t>FB002099</t>
  </si>
  <si>
    <t>FB002100</t>
  </si>
  <si>
    <t>FB002101</t>
  </si>
  <si>
    <t>FB002102</t>
  </si>
  <si>
    <t>FB002103</t>
  </si>
  <si>
    <t>FB002104</t>
  </si>
  <si>
    <t>FB002105</t>
  </si>
  <si>
    <t>FB002106</t>
  </si>
  <si>
    <t>FB002107</t>
  </si>
  <si>
    <t>FB002108</t>
  </si>
  <si>
    <t>FB002109</t>
  </si>
  <si>
    <t>FB002110</t>
  </si>
  <si>
    <t>FB002111</t>
  </si>
  <si>
    <t>FB002112</t>
  </si>
  <si>
    <t>FB002113</t>
  </si>
  <si>
    <t>FB002114</t>
  </si>
  <si>
    <t>FB002115</t>
  </si>
  <si>
    <t>FB002116</t>
  </si>
  <si>
    <t>FB002117</t>
  </si>
  <si>
    <t>FB002118</t>
  </si>
  <si>
    <t>FB002119</t>
  </si>
  <si>
    <t>FB002120</t>
  </si>
  <si>
    <t>FB002121</t>
  </si>
  <si>
    <t>FB002122</t>
  </si>
  <si>
    <t>FB002123</t>
  </si>
  <si>
    <t>FB002124</t>
  </si>
  <si>
    <t>FB002125</t>
  </si>
  <si>
    <t>FB002126</t>
  </si>
  <si>
    <t>FB002127</t>
  </si>
  <si>
    <t>FB002128</t>
  </si>
  <si>
    <t>FB002129</t>
  </si>
  <si>
    <t>FB002130</t>
  </si>
  <si>
    <t>FB002131</t>
  </si>
  <si>
    <t>FB002132</t>
  </si>
  <si>
    <t>FB002133</t>
  </si>
  <si>
    <t>FB002134</t>
  </si>
  <si>
    <t>FB002135</t>
  </si>
  <si>
    <t>FB002136</t>
  </si>
  <si>
    <t>FB002137</t>
  </si>
  <si>
    <t>FB002138</t>
  </si>
  <si>
    <t>FB002139</t>
  </si>
  <si>
    <t>FB002140</t>
  </si>
  <si>
    <t>FB002141</t>
  </si>
  <si>
    <t>FB002142</t>
  </si>
  <si>
    <t>FB002143</t>
  </si>
  <si>
    <t>FB002144</t>
  </si>
  <si>
    <t>FB002145</t>
  </si>
  <si>
    <t>FB002146</t>
  </si>
  <si>
    <t>FB002147</t>
  </si>
  <si>
    <t>FB002148</t>
  </si>
  <si>
    <t>FB002149</t>
  </si>
  <si>
    <t>FB002150</t>
  </si>
  <si>
    <t>FB002151</t>
  </si>
  <si>
    <t>FB002152</t>
  </si>
  <si>
    <t>FB002153</t>
  </si>
  <si>
    <t>FB002154</t>
  </si>
  <si>
    <t>FB002155</t>
  </si>
  <si>
    <t>FB002156</t>
  </si>
  <si>
    <t>FB002157</t>
  </si>
  <si>
    <t>FB002158</t>
  </si>
  <si>
    <t>FB002159</t>
  </si>
  <si>
    <t>FB002160</t>
  </si>
  <si>
    <t>FB002161</t>
  </si>
  <si>
    <t>FB002162</t>
  </si>
  <si>
    <t>FB002163</t>
  </si>
  <si>
    <t>FB002164</t>
  </si>
  <si>
    <t>FB002165</t>
  </si>
  <si>
    <t>FB002166</t>
  </si>
  <si>
    <t>FB002167</t>
  </si>
  <si>
    <t>FB002168</t>
  </si>
  <si>
    <t>FB002169</t>
  </si>
  <si>
    <t>FB002170</t>
  </si>
  <si>
    <t>FB002171</t>
  </si>
  <si>
    <t>FB002172</t>
  </si>
  <si>
    <t>FB002173</t>
  </si>
  <si>
    <t>FB002174</t>
  </si>
  <si>
    <t>FB002175</t>
  </si>
  <si>
    <t>FB002176</t>
  </si>
  <si>
    <t>Usuarios</t>
  </si>
  <si>
    <t>Porcentaje_Descuento</t>
  </si>
  <si>
    <t>Cantidad_Descuento</t>
  </si>
  <si>
    <t>Día_Compra</t>
  </si>
  <si>
    <t>Mes_Compra</t>
  </si>
  <si>
    <t>Devuelto_Número</t>
  </si>
  <si>
    <t>Estado_Stock</t>
  </si>
  <si>
    <t>Ingreso_Marca</t>
  </si>
  <si>
    <t>Etiquetas de fila</t>
  </si>
  <si>
    <t>Total general</t>
  </si>
  <si>
    <t>Ventas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</si>
  <si>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</si>
  <si>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</si>
  <si>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</si>
  <si>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</si>
  <si>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</si>
  <si>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</si>
  <si>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</si>
  <si>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</si>
  <si>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</si>
  <si>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</si>
  <si>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</si>
  <si>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</si>
  <si>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Lunes</t>
  </si>
  <si>
    <t>Martes</t>
  </si>
  <si>
    <t>Miércoles</t>
  </si>
  <si>
    <t>Jueves</t>
  </si>
  <si>
    <t>Viernes</t>
  </si>
  <si>
    <t>Sábado</t>
  </si>
  <si>
    <t>Domingo</t>
  </si>
  <si>
    <t>Suma de Cantidad_Descuento</t>
  </si>
  <si>
    <t>Ingresos</t>
  </si>
  <si>
    <t>Accesorio</t>
  </si>
  <si>
    <t>Desconocido</t>
  </si>
  <si>
    <t>(Varios elementos)</t>
  </si>
  <si>
    <t>Número_Devoluciones</t>
  </si>
  <si>
    <t>Promedio_Porcentaje_Descuento</t>
  </si>
  <si>
    <t>Promedio_Valoracion</t>
  </si>
  <si>
    <t>Tasa de Devolución</t>
  </si>
  <si>
    <t>Ticket Promedio</t>
  </si>
  <si>
    <t>Marca</t>
  </si>
  <si>
    <t>Suma de Ingreso_Marca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</si>
</sst>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* #,##0.00\ &quot;€&quot;_-;\-* #,##0.00\ &quot;€&quot;_-;_-* &quot;-&quot;??\ &quot;€&quot;_-;_-@_-"/>
    <numFmt numFmtId="164" formatCode="0.0"/>
    <numFmt numFmtId="165" formatCode="0.0%"/>
    <numFmt numFmtId="166" formatCode="0.00&quot;%&quot;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2"/>
      <color rgb="FF000000"/>
      <name val="Aptos Narrow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8" tint="0.59999389629810485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</borders>
  <cellStyleXfs count="4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20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66" fontId="0" fillId="0" borderId="0" xfId="0" applyNumberFormat="1"/>
    <xf numFmtId="10" fontId="0" fillId="0" borderId="0" xfId="1" applyNumberFormat="1" applyFont="1"/>
    <xf numFmtId="0" fontId="0" fillId="0" borderId="0" xfId="0" applyAlignment="1">
      <alignment vertical="center"/>
    </xf>
    <xf numFmtId="44" fontId="0" fillId="0" borderId="0" xfId="43" applyFont="1"/>
    <xf numFmtId="0" fontId="0" fillId="0" borderId="10" xfId="0" applyBorder="1"/>
    <xf numFmtId="0" fontId="0" fillId="0" borderId="11" xfId="0" applyBorder="1"/>
    <xf numFmtId="0" fontId="19" fillId="33" borderId="11" xfId="0" applyFont="1" applyFill="1" applyBorder="1" applyAlignment="1">
      <alignment horizontal="left"/>
    </xf>
    <xf numFmtId="2" fontId="0" fillId="33" borderId="11" xfId="0" applyNumberFormat="1" applyFill="1" applyBorder="1"/>
    <xf numFmtId="0" fontId="0" fillId="33" borderId="11" xfId="0" applyFill="1" applyBorder="1" applyAlignment="1">
      <alignment horizontal="left"/>
    </xf>
    <xf numFmtId="0" fontId="0" fillId="0" borderId="11" xfId="0" pivotButton="1" applyBorder="1"/>
    <xf numFmtId="0" fontId="0" fillId="0" borderId="0" xfId="0" applyNumberFormat="1"/>
  </cellXfs>
  <cellStyles count="44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Moneda" xfId="43" builtinId="4"/>
    <cellStyle name="Neutral" xfId="9" builtinId="28" customBuiltin="1"/>
    <cellStyle name="Normal" xfId="0" builtinId="0"/>
    <cellStyle name="Notas" xfId="16" builtinId="10" customBuiltin="1"/>
    <cellStyle name="Porcentaje" xfId="1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76">
    <dxf>
      <numFmt numFmtId="166" formatCode="0.00&quot;%&quot;"/>
    </dxf>
    <dxf>
      <numFmt numFmtId="2" formatCode="0.00"/>
    </dxf>
    <dxf>
      <numFmt numFmtId="2" formatCode="0.00"/>
    </dxf>
    <dxf>
      <numFmt numFmtId="167" formatCode="0.000"/>
    </dxf>
    <dxf>
      <numFmt numFmtId="14" formatCode="0.00%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i/>
      </font>
    </dxf>
    <dxf>
      <font>
        <i val="0"/>
      </font>
    </dxf>
    <dxf>
      <border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vertical style="thin">
          <color theme="8" tint="0.59999389629810485"/>
        </vertical>
        <horizontal style="thin">
          <color theme="8" tint="0.59999389629810485"/>
        </horizontal>
      </border>
    </dxf>
    <dxf>
      <border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vertical style="thin">
          <color theme="8" tint="0.59999389629810485"/>
        </vertical>
        <horizontal style="thin">
          <color theme="8" tint="0.59999389629810485"/>
        </horizontal>
      </border>
    </dxf>
    <dxf>
      <border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vertical style="thin">
          <color theme="8" tint="0.59999389629810485"/>
        </vertical>
        <horizontal style="thin">
          <color theme="8" tint="0.59999389629810485"/>
        </horizontal>
      </border>
    </dxf>
    <dxf>
      <border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vertical style="thin">
          <color theme="8" tint="0.59999389629810485"/>
        </vertical>
        <horizontal style="thin">
          <color theme="8" tint="0.59999389629810485"/>
        </horizontal>
      </border>
    </dxf>
    <dxf>
      <border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vertical style="thin">
          <color theme="8" tint="0.59999389629810485"/>
        </vertical>
        <horizontal style="thin">
          <color theme="8" tint="0.59999389629810485"/>
        </horizontal>
      </border>
    </dxf>
    <dxf>
      <border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vertical style="thin">
          <color theme="8" tint="0.59999389629810485"/>
        </vertical>
        <horizontal style="thin">
          <color theme="8" tint="0.59999389629810485"/>
        </horizontal>
      </border>
    </dxf>
    <dxf>
      <border>
        <bottom style="thin">
          <color theme="8" tint="0.59999389629810485"/>
        </bottom>
      </border>
    </dxf>
    <dxf>
      <border>
        <bottom style="thin">
          <color theme="8" tint="0.59999389629810485"/>
        </bottom>
      </border>
    </dxf>
    <dxf>
      <border>
        <bottom style="thin">
          <color theme="8" tint="0.59999389629810485"/>
        </bottom>
      </border>
    </dxf>
    <dxf>
      <border>
        <bottom style="thin">
          <color theme="8" tint="0.59999389629810485"/>
        </bottom>
      </border>
    </dxf>
    <dxf>
      <border>
        <bottom style="thin">
          <color theme="8" tint="0.59999389629810485"/>
        </bottom>
      </border>
    </dxf>
    <dxf>
      <border>
        <bottom style="thin">
          <color theme="8" tint="0.59999389629810485"/>
        </bottom>
      </border>
    </dxf>
    <dxf>
      <border>
        <bottom style="thin">
          <color theme="8" tint="0.59999389629810485"/>
        </bottom>
      </border>
    </dxf>
    <dxf>
      <border>
        <bottom style="thin">
          <color theme="8" tint="0.59999389629810485"/>
        </bottom>
      </border>
    </dxf>
    <dxf>
      <border>
        <bottom style="thin">
          <color theme="8" tint="0.59999389629810485"/>
        </bottom>
      </border>
    </dxf>
    <dxf>
      <border>
        <bottom style="thin">
          <color theme="8" tint="0.59999389629810485"/>
        </bottom>
      </border>
    </dxf>
    <dxf>
      <border>
        <bottom style="thin">
          <color theme="8" tint="0.59999389629810485"/>
        </bottom>
      </border>
    </dxf>
    <dxf>
      <border>
        <bottom style="thin">
          <color theme="8" tint="0.59999389629810485"/>
        </bottom>
      </border>
    </dxf>
    <dxf>
      <border>
        <bottom style="thin">
          <color theme="8" tint="0.59999389629810485"/>
        </bottom>
      </border>
    </dxf>
    <dxf>
      <border>
        <bottom style="thin">
          <color theme="8" tint="0.59999389629810485"/>
        </bottom>
      </border>
    </dxf>
    <dxf>
      <border>
        <bottom style="thin">
          <color theme="8" tint="0.59999389629810485"/>
        </bottom>
      </border>
    </dxf>
    <dxf>
      <border>
        <bottom style="thin">
          <color theme="8" tint="0.59999389629810485"/>
        </bottom>
      </border>
    </dxf>
    <dxf>
      <border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0&quot;%&quot;"/>
    </dxf>
    <dxf>
      <numFmt numFmtId="2" formatCode="0.00"/>
    </dxf>
    <dxf>
      <numFmt numFmtId="2" formatCode="0.00"/>
    </dxf>
    <dxf>
      <numFmt numFmtId="167" formatCode="0.000"/>
    </dxf>
    <dxf>
      <numFmt numFmtId="2" formatCode="0.00"/>
    </dxf>
    <dxf>
      <numFmt numFmtId="2" formatCode="0.00"/>
    </dxf>
    <dxf>
      <numFmt numFmtId="14" formatCode="0.00%"/>
    </dxf>
    <dxf>
      <numFmt numFmtId="0" formatCode="General"/>
    </dxf>
    <dxf>
      <numFmt numFmtId="0" formatCode="General"/>
    </dxf>
    <dxf>
      <numFmt numFmtId="164" formatCode="0.0"/>
    </dxf>
    <dxf>
      <numFmt numFmtId="0" formatCode="General"/>
    </dxf>
    <dxf>
      <numFmt numFmtId="2" formatCode="0.00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2" formatCode="0.00"/>
    </dxf>
    <dxf>
      <numFmt numFmtId="2" formatCode="0.00"/>
    </dxf>
    <dxf>
      <numFmt numFmtId="165" formatCode="0.0%"/>
    </dxf>
    <dxf>
      <numFmt numFmtId="0" formatCode="General"/>
    </dxf>
    <dxf>
      <numFmt numFmtId="2" formatCode="0.00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39994506668294322"/>
        </patternFill>
      </fill>
    </dxf>
  </dxfs>
  <tableStyles count="1" defaultTableStyle="TableStyleMedium2" defaultPivotStyle="PivotStyleLight16">
    <tableStyle name="Estilo de tabla dinámica 1" table="0" count="2" xr9:uid="{46703BC3-58D4-4A27-BA60-3DF64D65F899}">
      <tableStyleElement type="pageFieldLabels" dxfId="75"/>
      <tableStyleElement type="pageFieldValues" dxfId="74"/>
    </tableStyle>
  </tableStyles>
  <colors>
    <mruColors>
      <color rgb="FFFFCC66"/>
      <color rgb="FFB5976B"/>
      <color rgb="FF663300"/>
      <color rgb="FFCC9900"/>
      <color rgb="FFFF66CC"/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microsoft.com/office/2007/relationships/slicerCache" Target="slicerCaches/slicerCache3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[fashion_boutique_macros_habilitados.xlsm]tablas_dinámicas!Ventas_marca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tablas_dinámicas!$C$6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tablas_dinámicas!$B$7:$B$15</c:f>
              <c:strCache>
                <c:ptCount val="8"/>
                <c:pt idx="0">
                  <c:v>Ann Taylor</c:v>
                </c:pt>
                <c:pt idx="1">
                  <c:v>Banana Republic</c:v>
                </c:pt>
                <c:pt idx="2">
                  <c:v>Forever21</c:v>
                </c:pt>
                <c:pt idx="3">
                  <c:v>Gap</c:v>
                </c:pt>
                <c:pt idx="4">
                  <c:v>H&amp;M</c:v>
                </c:pt>
                <c:pt idx="5">
                  <c:v>Mango</c:v>
                </c:pt>
                <c:pt idx="6">
                  <c:v>Uniqlo</c:v>
                </c:pt>
                <c:pt idx="7">
                  <c:v>Zara</c:v>
                </c:pt>
              </c:strCache>
            </c:strRef>
          </c:cat>
          <c:val>
            <c:numRef>
              <c:f>tablas_dinámicas!$C$7:$C$15</c:f>
              <c:numCache>
                <c:formatCode>General</c:formatCode>
                <c:ptCount val="8"/>
                <c:pt idx="0">
                  <c:v>257</c:v>
                </c:pt>
                <c:pt idx="1">
                  <c:v>285</c:v>
                </c:pt>
                <c:pt idx="2">
                  <c:v>250</c:v>
                </c:pt>
                <c:pt idx="3">
                  <c:v>244</c:v>
                </c:pt>
                <c:pt idx="4">
                  <c:v>283</c:v>
                </c:pt>
                <c:pt idx="5">
                  <c:v>284</c:v>
                </c:pt>
                <c:pt idx="6">
                  <c:v>260</c:v>
                </c:pt>
                <c:pt idx="7">
                  <c:v>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68-485E-AFE4-03CD7050E64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2805552"/>
        <c:axId val="142802672"/>
      </c:barChart>
      <c:catAx>
        <c:axId val="14280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802672"/>
        <c:crosses val="autoZero"/>
        <c:auto val="1"/>
        <c:lblAlgn val="ctr"/>
        <c:lblOffset val="100"/>
        <c:noMultiLvlLbl val="0"/>
      </c:catAx>
      <c:valAx>
        <c:axId val="142802672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80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[fashion_boutique_macros_habilitados.xlsm]tablas_dinámicas!Ingresos_marca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Ingresos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tablas_dinámicas!$G$6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tablas_dinámicas!$F$7:$F$15</c:f>
              <c:strCache>
                <c:ptCount val="8"/>
                <c:pt idx="0">
                  <c:v>Ann Taylor</c:v>
                </c:pt>
                <c:pt idx="1">
                  <c:v>Banana Republic</c:v>
                </c:pt>
                <c:pt idx="2">
                  <c:v>Forever21</c:v>
                </c:pt>
                <c:pt idx="3">
                  <c:v>Gap</c:v>
                </c:pt>
                <c:pt idx="4">
                  <c:v>H&amp;M</c:v>
                </c:pt>
                <c:pt idx="5">
                  <c:v>Mango</c:v>
                </c:pt>
                <c:pt idx="6">
                  <c:v>Uniqlo</c:v>
                </c:pt>
                <c:pt idx="7">
                  <c:v>Zara</c:v>
                </c:pt>
              </c:strCache>
            </c:strRef>
          </c:cat>
          <c:val>
            <c:numRef>
              <c:f>tablas_dinámicas!$G$7:$G$15</c:f>
              <c:numCache>
                <c:formatCode>General</c:formatCode>
                <c:ptCount val="8"/>
                <c:pt idx="0">
                  <c:v>17391.88</c:v>
                </c:pt>
                <c:pt idx="1">
                  <c:v>21376.660000000014</c:v>
                </c:pt>
                <c:pt idx="2">
                  <c:v>18061.239999999987</c:v>
                </c:pt>
                <c:pt idx="3">
                  <c:v>15802.240000000002</c:v>
                </c:pt>
                <c:pt idx="4">
                  <c:v>20882.020000000008</c:v>
                </c:pt>
                <c:pt idx="5">
                  <c:v>22281.430000000011</c:v>
                </c:pt>
                <c:pt idx="6">
                  <c:v>20969.759999999998</c:v>
                </c:pt>
                <c:pt idx="7">
                  <c:v>22737.4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47-4456-9DF5-518E68362D9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341984"/>
        <c:axId val="3339104"/>
      </c:barChart>
      <c:catAx>
        <c:axId val="3341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339104"/>
        <c:crosses val="autoZero"/>
        <c:auto val="1"/>
        <c:lblAlgn val="ctr"/>
        <c:lblOffset val="100"/>
        <c:noMultiLvlLbl val="0"/>
      </c:catAx>
      <c:valAx>
        <c:axId val="3339104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34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[fashion_boutique_macros_habilitados.xlsm]tablas_dinámicas!ventas_categoria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tablas_dinámicas!$C$26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tablas_dinámicas!$B$27:$B$33</c:f>
              <c:strCache>
                <c:ptCount val="6"/>
                <c:pt idx="0">
                  <c:v>Dresses</c:v>
                </c:pt>
                <c:pt idx="1">
                  <c:v>Outerwear</c:v>
                </c:pt>
                <c:pt idx="2">
                  <c:v>Tops</c:v>
                </c:pt>
                <c:pt idx="3">
                  <c:v>Shoes</c:v>
                </c:pt>
                <c:pt idx="4">
                  <c:v>Bottoms</c:v>
                </c:pt>
                <c:pt idx="5">
                  <c:v>Accessories</c:v>
                </c:pt>
              </c:strCache>
            </c:strRef>
          </c:cat>
          <c:val>
            <c:numRef>
              <c:f>tablas_dinámicas!$C$27:$C$33</c:f>
              <c:numCache>
                <c:formatCode>General</c:formatCode>
                <c:ptCount val="6"/>
                <c:pt idx="0">
                  <c:v>317</c:v>
                </c:pt>
                <c:pt idx="1">
                  <c:v>334</c:v>
                </c:pt>
                <c:pt idx="2">
                  <c:v>359</c:v>
                </c:pt>
                <c:pt idx="3">
                  <c:v>372</c:v>
                </c:pt>
                <c:pt idx="4">
                  <c:v>392</c:v>
                </c:pt>
                <c:pt idx="5">
                  <c:v>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3-429C-9807-BF4A4FF97F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22521280"/>
        <c:axId val="1522520800"/>
      </c:barChart>
      <c:catAx>
        <c:axId val="152252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22520800"/>
        <c:crosses val="autoZero"/>
        <c:auto val="1"/>
        <c:lblAlgn val="ctr"/>
        <c:lblOffset val="100"/>
        <c:noMultiLvlLbl val="0"/>
      </c:catAx>
      <c:valAx>
        <c:axId val="152252080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2252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[fashion_boutique_macros_habilitados.xlsm]tablas_dinámicas!ingresos_categoria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Ingresos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tablas_dinámicas!$G$26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tablas_dinámicas!$F$27:$F$33</c:f>
              <c:strCache>
                <c:ptCount val="6"/>
                <c:pt idx="0">
                  <c:v>Accessories</c:v>
                </c:pt>
                <c:pt idx="1">
                  <c:v>Bottoms</c:v>
                </c:pt>
                <c:pt idx="2">
                  <c:v>Tops</c:v>
                </c:pt>
                <c:pt idx="3">
                  <c:v>Dresses</c:v>
                </c:pt>
                <c:pt idx="4">
                  <c:v>Shoes</c:v>
                </c:pt>
                <c:pt idx="5">
                  <c:v>Outerwear</c:v>
                </c:pt>
              </c:strCache>
            </c:strRef>
          </c:cat>
          <c:val>
            <c:numRef>
              <c:f>tablas_dinámicas!$G$27:$G$33</c:f>
              <c:numCache>
                <c:formatCode>General</c:formatCode>
                <c:ptCount val="6"/>
                <c:pt idx="0">
                  <c:v>15058.939999999999</c:v>
                </c:pt>
                <c:pt idx="1">
                  <c:v>20474.36</c:v>
                </c:pt>
                <c:pt idx="2">
                  <c:v>20841.859999999982</c:v>
                </c:pt>
                <c:pt idx="3">
                  <c:v>26806.609999999997</c:v>
                </c:pt>
                <c:pt idx="4">
                  <c:v>35179.429999999986</c:v>
                </c:pt>
                <c:pt idx="5">
                  <c:v>41141.430000000008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2F-4B35-9AF7-E57FC399F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3411328"/>
        <c:axId val="1810450800"/>
      </c:barChart>
      <c:catAx>
        <c:axId val="14341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0450800"/>
        <c:crosses val="autoZero"/>
        <c:auto val="1"/>
        <c:lblAlgn val="ctr"/>
        <c:lblOffset val="100"/>
        <c:noMultiLvlLbl val="0"/>
      </c:catAx>
      <c:valAx>
        <c:axId val="181045080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341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[fashion_boutique_macros_habilitados.xlsm]tablas_dinámicas!ventas_season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tablas_dinámicas!$C$44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tablas_dinámicas!$B$45:$B$49</c:f>
              <c:strCache>
                <c:ptCount val="4"/>
                <c:pt idx="0">
                  <c:v>Fall</c:v>
                </c:pt>
                <c:pt idx="1">
                  <c:v>Winter</c:v>
                </c:pt>
                <c:pt idx="2">
                  <c:v>Spring</c:v>
                </c:pt>
                <c:pt idx="3">
                  <c:v>Summer</c:v>
                </c:pt>
              </c:strCache>
            </c:strRef>
          </c:cat>
          <c:val>
            <c:numRef>
              <c:f>tablas_dinámicas!$C$45:$C$49</c:f>
              <c:numCache>
                <c:formatCode>General</c:formatCode>
                <c:ptCount val="4"/>
                <c:pt idx="0">
                  <c:v>544</c:v>
                </c:pt>
                <c:pt idx="1">
                  <c:v>522</c:v>
                </c:pt>
                <c:pt idx="2">
                  <c:v>535</c:v>
                </c:pt>
                <c:pt idx="3">
                  <c:v>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4-4956-82F8-C5B8E26952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909728"/>
        <c:axId val="138910208"/>
      </c:lineChart>
      <c:catAx>
        <c:axId val="13890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8910208"/>
        <c:crosses val="autoZero"/>
        <c:auto val="1"/>
        <c:lblAlgn val="ctr"/>
        <c:lblOffset val="100"/>
        <c:noMultiLvlLbl val="0"/>
      </c:catAx>
      <c:valAx>
        <c:axId val="138910208"/>
        <c:scaling>
          <c:orientation val="minMax"/>
          <c:max val="700"/>
          <c:min val="40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890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[fashion_boutique_macros_habilitados.xlsm]tablas_dinámicas!ingresos_season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ES">
                <a:solidFill>
                  <a:sysClr val="windowText" lastClr="000000"/>
                </a:solidFill>
              </a:rPr>
              <a:t>Ingresos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layout>
            <c:manualLayout>
              <c:x val="-6.5703715419801925E-2"/>
              <c:y val="-5.293416405148092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tablas_dinámicas!$G$44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AD3-498D-A068-D27171CBE4AF}"/>
              </c:ext>
            </c:extLst>
          </c:dPt>
          <c:dLbls>
            <c:dLbl>
              <c:idx val="1"/>
              <c:layout>
                <c:manualLayout>
                  <c:x val="-6.5703715419801925E-2"/>
                  <c:y val="-5.29341640514809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D3-498D-A068-D27171CBE4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tablas_dinámicas!$F$45:$F$49</c:f>
              <c:strCache>
                <c:ptCount val="4"/>
                <c:pt idx="0">
                  <c:v>Fall</c:v>
                </c:pt>
                <c:pt idx="1">
                  <c:v>Winter</c:v>
                </c:pt>
                <c:pt idx="2">
                  <c:v>Spring</c:v>
                </c:pt>
                <c:pt idx="3">
                  <c:v>Summer</c:v>
                </c:pt>
              </c:strCache>
            </c:strRef>
          </c:cat>
          <c:val>
            <c:numRef>
              <c:f>tablas_dinámicas!$G$45:$G$49</c:f>
              <c:numCache>
                <c:formatCode>General</c:formatCode>
                <c:ptCount val="4"/>
                <c:pt idx="0">
                  <c:v>41994.890000000007</c:v>
                </c:pt>
                <c:pt idx="1">
                  <c:v>37336.110000000015</c:v>
                </c:pt>
                <c:pt idx="2">
                  <c:v>40043.939999999973</c:v>
                </c:pt>
                <c:pt idx="3">
                  <c:v>40127.689999999995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D3-498D-A068-D27171CBE4A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44956784"/>
        <c:axId val="444959664"/>
      </c:lineChart>
      <c:catAx>
        <c:axId val="444956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4959664"/>
        <c:crosses val="autoZero"/>
        <c:auto val="1"/>
        <c:lblAlgn val="ctr"/>
        <c:lblOffset val="100"/>
        <c:noMultiLvlLbl val="0"/>
      </c:catAx>
      <c:valAx>
        <c:axId val="444959664"/>
        <c:scaling>
          <c:orientation val="minMax"/>
          <c:max val="60000"/>
          <c:min val="1500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495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[fashion_boutique_macros_habilitados.xlsm]tablas_dinámicas!ventas_color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ES">
                <a:solidFill>
                  <a:sysClr val="windowText" lastClr="000000"/>
                </a:solidFill>
              </a:rPr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tablas_dinámicas!$C$60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tablas_dinámicas!$B$61:$B$66</c:f>
              <c:strCache>
                <c:ptCount val="5"/>
                <c:pt idx="0">
                  <c:v>Black</c:v>
                </c:pt>
                <c:pt idx="1">
                  <c:v>Green</c:v>
                </c:pt>
                <c:pt idx="2">
                  <c:v>Pink</c:v>
                </c:pt>
                <c:pt idx="3">
                  <c:v>Red</c:v>
                </c:pt>
                <c:pt idx="4">
                  <c:v>White</c:v>
                </c:pt>
              </c:strCache>
            </c:strRef>
          </c:cat>
          <c:val>
            <c:numRef>
              <c:f>tablas_dinámicas!$C$61:$C$66</c:f>
              <c:numCache>
                <c:formatCode>General</c:formatCode>
                <c:ptCount val="5"/>
                <c:pt idx="0">
                  <c:v>216</c:v>
                </c:pt>
                <c:pt idx="1">
                  <c:v>222</c:v>
                </c:pt>
                <c:pt idx="2">
                  <c:v>204</c:v>
                </c:pt>
                <c:pt idx="3">
                  <c:v>212</c:v>
                </c:pt>
                <c:pt idx="4">
                  <c:v>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8C-4AB5-AB5F-4B9BB90652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388571440"/>
        <c:axId val="388571920"/>
      </c:barChart>
      <c:catAx>
        <c:axId val="38857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8571920"/>
        <c:crosses val="autoZero"/>
        <c:auto val="1"/>
        <c:lblAlgn val="ctr"/>
        <c:lblOffset val="100"/>
        <c:noMultiLvlLbl val="0"/>
      </c:catAx>
      <c:valAx>
        <c:axId val="38857192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85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[fashion_boutique_macros_habilitados.xlsm]tablas_dinámicas!ingresos_color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Ingresos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tablas_dinámicas!$G$60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tablas_dinámicas!$F$61:$F$66</c:f>
              <c:strCache>
                <c:ptCount val="5"/>
                <c:pt idx="0">
                  <c:v>Black</c:v>
                </c:pt>
                <c:pt idx="1">
                  <c:v>Green</c:v>
                </c:pt>
                <c:pt idx="2">
                  <c:v>Pink</c:v>
                </c:pt>
                <c:pt idx="3">
                  <c:v>Red</c:v>
                </c:pt>
                <c:pt idx="4">
                  <c:v>White</c:v>
                </c:pt>
              </c:strCache>
            </c:strRef>
          </c:cat>
          <c:val>
            <c:numRef>
              <c:f>tablas_dinámicas!$G$61:$G$66</c:f>
              <c:numCache>
                <c:formatCode>General</c:formatCode>
                <c:ptCount val="5"/>
                <c:pt idx="0">
                  <c:v>14731.779999999995</c:v>
                </c:pt>
                <c:pt idx="1">
                  <c:v>16254.759999999998</c:v>
                </c:pt>
                <c:pt idx="2">
                  <c:v>15838.409999999996</c:v>
                </c:pt>
                <c:pt idx="3">
                  <c:v>15043.680000000002</c:v>
                </c:pt>
                <c:pt idx="4">
                  <c:v>16631.000000000004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06-493B-AA79-9083D12564A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86253328"/>
        <c:axId val="386257648"/>
      </c:barChart>
      <c:catAx>
        <c:axId val="38625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6257648"/>
        <c:crosses val="autoZero"/>
        <c:auto val="1"/>
        <c:lblAlgn val="ctr"/>
        <c:lblOffset val="100"/>
        <c:noMultiLvlLbl val="0"/>
      </c:catAx>
      <c:valAx>
        <c:axId val="386257648"/>
        <c:scaling>
          <c:orientation val="minMax"/>
          <c:max val="18000"/>
          <c:min val="0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625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[fashion_boutique_macros_habilitados.xlsm]tablas_dinámicas!marca_ndevoluciones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ysClr val="windowText" lastClr="000000"/>
                </a:solidFill>
              </a:rPr>
              <a:t>Marca-Número Devoluciones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tablas_dinámicas!$G$107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tablas_dinámicas!$F$108:$F$116</c:f>
              <c:strCache>
                <c:ptCount val="8"/>
                <c:pt idx="0">
                  <c:v>Ann Taylor</c:v>
                </c:pt>
                <c:pt idx="1">
                  <c:v>Banana Republic</c:v>
                </c:pt>
                <c:pt idx="2">
                  <c:v>Forever21</c:v>
                </c:pt>
                <c:pt idx="3">
                  <c:v>Gap</c:v>
                </c:pt>
                <c:pt idx="4">
                  <c:v>H&amp;M</c:v>
                </c:pt>
                <c:pt idx="5">
                  <c:v>Mango</c:v>
                </c:pt>
                <c:pt idx="6">
                  <c:v>Uniqlo</c:v>
                </c:pt>
                <c:pt idx="7">
                  <c:v>Zara</c:v>
                </c:pt>
              </c:strCache>
            </c:strRef>
          </c:cat>
          <c:val>
            <c:numRef>
              <c:f>tablas_dinámicas!$G$108:$G$116</c:f>
              <c:numCache>
                <c:formatCode>General</c:formatCode>
                <c:ptCount val="8"/>
                <c:pt idx="0">
                  <c:v>51</c:v>
                </c:pt>
                <c:pt idx="1">
                  <c:v>47</c:v>
                </c:pt>
                <c:pt idx="2">
                  <c:v>34</c:v>
                </c:pt>
                <c:pt idx="3">
                  <c:v>36</c:v>
                </c:pt>
                <c:pt idx="4">
                  <c:v>39</c:v>
                </c:pt>
                <c:pt idx="5">
                  <c:v>32</c:v>
                </c:pt>
                <c:pt idx="6">
                  <c:v>33</c:v>
                </c:pt>
                <c:pt idx="7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3A-4B83-BFD5-A9730940A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6249008"/>
        <c:axId val="386253808"/>
      </c:barChart>
      <c:catAx>
        <c:axId val="38624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6253808"/>
        <c:crosses val="autoZero"/>
        <c:auto val="1"/>
        <c:lblAlgn val="ctr"/>
        <c:lblOffset val="100"/>
        <c:noMultiLvlLbl val="0"/>
      </c:catAx>
      <c:valAx>
        <c:axId val="386253808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624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[fashion_boutique_macros_habilitados.xlsm]tablas_dinámicas!ventas_razóndevol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ysClr val="windowText" lastClr="000000"/>
                </a:solidFill>
              </a:rPr>
              <a:t>Razón-Número Devoluciones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</c:pivotFmt>
      <c:pivotFmt>
        <c:idx val="2"/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5">
              <a:shade val="9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0341881989083207E-2"/>
              <c:y val="-5.2544715759980706E-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5">
              <a:shade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5">
              <a:shade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5">
              <a:tint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5">
              <a:shade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5">
              <a:shade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5">
              <a:tint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5">
              <a:shade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5">
              <a:shade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5">
              <a:tint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tablas_dinámicas!$K$107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A04-4EE0-8023-7AB48807E32C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04-4EE0-8023-7AB48807E32C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91-4EA7-9DEE-604CEC1F2A2C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8391-4EA7-9DEE-604CEC1F2A2C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A04-4EE0-8023-7AB48807E32C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A04-4EE0-8023-7AB48807E32C}"/>
              </c:ext>
            </c:extLst>
          </c:dPt>
          <c:dLbls>
            <c:dLbl>
              <c:idx val="2"/>
              <c:layout>
                <c:manualLayout>
                  <c:x val="1.0341881989083207E-2"/>
                  <c:y val="-5.2544715759980706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91-4EA7-9DEE-604CEC1F2A2C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tablas_dinámicas!$J$108:$J$114</c:f>
              <c:strCache>
                <c:ptCount val="6"/>
                <c:pt idx="0">
                  <c:v>Wrong Item</c:v>
                </c:pt>
                <c:pt idx="1">
                  <c:v>Size Issue</c:v>
                </c:pt>
                <c:pt idx="2">
                  <c:v>Quality Issue</c:v>
                </c:pt>
                <c:pt idx="3">
                  <c:v>Damaged</c:v>
                </c:pt>
                <c:pt idx="4">
                  <c:v>Color Mismatch</c:v>
                </c:pt>
                <c:pt idx="5">
                  <c:v>Changed Mind</c:v>
                </c:pt>
              </c:strCache>
            </c:strRef>
          </c:cat>
          <c:val>
            <c:numRef>
              <c:f>tablas_dinámicas!$K$108:$K$114</c:f>
              <c:numCache>
                <c:formatCode>General</c:formatCode>
                <c:ptCount val="6"/>
                <c:pt idx="0">
                  <c:v>47</c:v>
                </c:pt>
                <c:pt idx="1">
                  <c:v>60</c:v>
                </c:pt>
                <c:pt idx="2">
                  <c:v>55</c:v>
                </c:pt>
                <c:pt idx="3">
                  <c:v>44</c:v>
                </c:pt>
                <c:pt idx="4">
                  <c:v>46</c:v>
                </c:pt>
                <c:pt idx="5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91-4EA7-9DEE-604CEC1F2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[fashion_boutique_macros_habilitados.xlsm]tablas_dinámicas!marca_cantidad_desc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ysClr val="windowText" lastClr="000000"/>
                </a:solidFill>
              </a:rPr>
              <a:t>Marca-Cantidad</a:t>
            </a:r>
            <a:r>
              <a:rPr lang="en-US" sz="1200" baseline="0">
                <a:solidFill>
                  <a:sysClr val="windowText" lastClr="000000"/>
                </a:solidFill>
              </a:rPr>
              <a:t> </a:t>
            </a:r>
            <a:r>
              <a:rPr lang="en-US" sz="1200">
                <a:solidFill>
                  <a:sysClr val="windowText" lastClr="000000"/>
                </a:solidFill>
              </a:rPr>
              <a:t>Descuento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tablas_dinámicas!$C$127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tablas_dinámicas!$B$128:$B$136</c:f>
              <c:strCache>
                <c:ptCount val="8"/>
                <c:pt idx="0">
                  <c:v>Ann Taylor</c:v>
                </c:pt>
                <c:pt idx="1">
                  <c:v>Banana Republic</c:v>
                </c:pt>
                <c:pt idx="2">
                  <c:v>Forever21</c:v>
                </c:pt>
                <c:pt idx="3">
                  <c:v>Gap</c:v>
                </c:pt>
                <c:pt idx="4">
                  <c:v>H&amp;M</c:v>
                </c:pt>
                <c:pt idx="5">
                  <c:v>Mango</c:v>
                </c:pt>
                <c:pt idx="6">
                  <c:v>Uniqlo</c:v>
                </c:pt>
                <c:pt idx="7">
                  <c:v>Zara</c:v>
                </c:pt>
              </c:strCache>
            </c:strRef>
          </c:cat>
          <c:val>
            <c:numRef>
              <c:f>tablas_dinámicas!$C$128:$C$136</c:f>
              <c:numCache>
                <c:formatCode>0.00</c:formatCode>
                <c:ptCount val="8"/>
                <c:pt idx="0">
                  <c:v>2581.1899999999991</c:v>
                </c:pt>
                <c:pt idx="1">
                  <c:v>3540.58</c:v>
                </c:pt>
                <c:pt idx="2">
                  <c:v>3261.3899999999994</c:v>
                </c:pt>
                <c:pt idx="3">
                  <c:v>3274.8999999999987</c:v>
                </c:pt>
                <c:pt idx="4">
                  <c:v>3396.0500000000006</c:v>
                </c:pt>
                <c:pt idx="5">
                  <c:v>3621.5000000000005</c:v>
                </c:pt>
                <c:pt idx="6">
                  <c:v>2361.4299999999998</c:v>
                </c:pt>
                <c:pt idx="7">
                  <c:v>3423.78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3-481A-ABF6-58F272C310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53454896"/>
        <c:axId val="453457296"/>
      </c:barChart>
      <c:catAx>
        <c:axId val="45345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3457296"/>
        <c:crosses val="autoZero"/>
        <c:auto val="1"/>
        <c:lblAlgn val="ctr"/>
        <c:lblOffset val="100"/>
        <c:noMultiLvlLbl val="0"/>
      </c:catAx>
      <c:valAx>
        <c:axId val="453457296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345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[fashion_boutique_macros_habilitados.xlsm]tablas_dinámicas!ventas_size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ysClr val="windowText" lastClr="000000"/>
                </a:solidFill>
              </a:rPr>
              <a:t>Talla-Ventas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tablas_dinámicas!$C$147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tablas_dinámicas!$B$148:$B$156</c:f>
              <c:strCache>
                <c:ptCount val="8"/>
                <c:pt idx="0">
                  <c:v>XS</c:v>
                </c:pt>
                <c:pt idx="1">
                  <c:v>S</c:v>
                </c:pt>
                <c:pt idx="2">
                  <c:v>M</c:v>
                </c:pt>
                <c:pt idx="3">
                  <c:v>L</c:v>
                </c:pt>
                <c:pt idx="4">
                  <c:v>XL</c:v>
                </c:pt>
                <c:pt idx="5">
                  <c:v>XXL</c:v>
                </c:pt>
                <c:pt idx="6">
                  <c:v>Accesorio</c:v>
                </c:pt>
                <c:pt idx="7">
                  <c:v>Desconocido</c:v>
                </c:pt>
              </c:strCache>
            </c:strRef>
          </c:cat>
          <c:val>
            <c:numRef>
              <c:f>tablas_dinámicas!$C$148:$C$156</c:f>
              <c:numCache>
                <c:formatCode>General</c:formatCode>
                <c:ptCount val="8"/>
                <c:pt idx="0">
                  <c:v>301</c:v>
                </c:pt>
                <c:pt idx="1">
                  <c:v>294</c:v>
                </c:pt>
                <c:pt idx="2">
                  <c:v>255</c:v>
                </c:pt>
                <c:pt idx="3">
                  <c:v>273</c:v>
                </c:pt>
                <c:pt idx="4">
                  <c:v>283</c:v>
                </c:pt>
                <c:pt idx="5">
                  <c:v>279</c:v>
                </c:pt>
                <c:pt idx="6">
                  <c:v>402</c:v>
                </c:pt>
                <c:pt idx="7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E1-453A-B790-3A4298D1CF2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08818864"/>
        <c:axId val="308817424"/>
      </c:barChart>
      <c:catAx>
        <c:axId val="30881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08817424"/>
        <c:crosses val="autoZero"/>
        <c:auto val="1"/>
        <c:lblAlgn val="ctr"/>
        <c:lblOffset val="100"/>
        <c:noMultiLvlLbl val="0"/>
      </c:catAx>
      <c:valAx>
        <c:axId val="308817424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08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[fashion_boutique_macros_habilitados.xlsm]tablas_dinámicas!marca_prom_desc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ysClr val="windowText" lastClr="000000"/>
                </a:solidFill>
              </a:rPr>
              <a:t>Promedio Descuento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tablas_dinámicas!$C$167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tablas_dinámicas!$B$168:$B$176</c:f>
              <c:strCache>
                <c:ptCount val="8"/>
                <c:pt idx="0">
                  <c:v>Ann Taylor</c:v>
                </c:pt>
                <c:pt idx="1">
                  <c:v>Banana Republic</c:v>
                </c:pt>
                <c:pt idx="2">
                  <c:v>Forever21</c:v>
                </c:pt>
                <c:pt idx="3">
                  <c:v>Gap</c:v>
                </c:pt>
                <c:pt idx="4">
                  <c:v>H&amp;M</c:v>
                </c:pt>
                <c:pt idx="5">
                  <c:v>Mango</c:v>
                </c:pt>
                <c:pt idx="6">
                  <c:v>Uniqlo</c:v>
                </c:pt>
                <c:pt idx="7">
                  <c:v>Zara</c:v>
                </c:pt>
              </c:strCache>
            </c:strRef>
          </c:cat>
          <c:val>
            <c:numRef>
              <c:f>tablas_dinámicas!$C$168:$C$176</c:f>
              <c:numCache>
                <c:formatCode>0.00"%"</c:formatCode>
                <c:ptCount val="8"/>
                <c:pt idx="0">
                  <c:v>31.26808510638298</c:v>
                </c:pt>
                <c:pt idx="1">
                  <c:v>31.607142857142861</c:v>
                </c:pt>
                <c:pt idx="2">
                  <c:v>32.468627450980392</c:v>
                </c:pt>
                <c:pt idx="3">
                  <c:v>31.881481481481494</c:v>
                </c:pt>
                <c:pt idx="4">
                  <c:v>30.442982456140356</c:v>
                </c:pt>
                <c:pt idx="5">
                  <c:v>29.250000000000004</c:v>
                </c:pt>
                <c:pt idx="6">
                  <c:v>24.873118279569891</c:v>
                </c:pt>
                <c:pt idx="7">
                  <c:v>28.870229007633597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CA-4CB4-AA69-865DF11122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6817792"/>
        <c:axId val="226827392"/>
      </c:barChart>
      <c:catAx>
        <c:axId val="226817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6827392"/>
        <c:crosses val="autoZero"/>
        <c:auto val="1"/>
        <c:lblAlgn val="ctr"/>
        <c:lblOffset val="100"/>
        <c:noMultiLvlLbl val="0"/>
      </c:catAx>
      <c:valAx>
        <c:axId val="226827392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681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 (2)!Ventas_marca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'tablas_dinámicas (2)'!$C$6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'tablas_dinámicas (2)'!$B$7:$B$15</c:f>
              <c:strCache>
                <c:ptCount val="8"/>
                <c:pt idx="0">
                  <c:v>Ann Taylor</c:v>
                </c:pt>
                <c:pt idx="1">
                  <c:v>Banana Republic</c:v>
                </c:pt>
                <c:pt idx="2">
                  <c:v>Forever21</c:v>
                </c:pt>
                <c:pt idx="3">
                  <c:v>Gap</c:v>
                </c:pt>
                <c:pt idx="4">
                  <c:v>H&amp;M</c:v>
                </c:pt>
                <c:pt idx="5">
                  <c:v>Mango</c:v>
                </c:pt>
                <c:pt idx="6">
                  <c:v>Uniqlo</c:v>
                </c:pt>
                <c:pt idx="7">
                  <c:v>Zara</c:v>
                </c:pt>
              </c:strCache>
            </c:strRef>
          </c:cat>
          <c:val>
            <c:numRef>
              <c:f>'tablas_dinámicas (2)'!$C$7:$C$15</c:f>
              <c:numCache>
                <c:formatCode>General</c:formatCode>
                <c:ptCount val="8"/>
                <c:pt idx="0">
                  <c:v>17391.88</c:v>
                </c:pt>
                <c:pt idx="1">
                  <c:v>21376.660000000014</c:v>
                </c:pt>
                <c:pt idx="2">
                  <c:v>18061.239999999987</c:v>
                </c:pt>
                <c:pt idx="3">
                  <c:v>15802.240000000002</c:v>
                </c:pt>
                <c:pt idx="4">
                  <c:v>20882.020000000008</c:v>
                </c:pt>
                <c:pt idx="5">
                  <c:v>22281.430000000011</c:v>
                </c:pt>
                <c:pt idx="6">
                  <c:v>20969.759999999998</c:v>
                </c:pt>
                <c:pt idx="7">
                  <c:v>22737.4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AE-4918-AD26-98667CDCEF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2805552"/>
        <c:axId val="142802672"/>
      </c:barChart>
      <c:catAx>
        <c:axId val="14280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802672"/>
        <c:crosses val="autoZero"/>
        <c:auto val="1"/>
        <c:lblAlgn val="ctr"/>
        <c:lblOffset val="100"/>
        <c:noMultiLvlLbl val="0"/>
      </c:catAx>
      <c:valAx>
        <c:axId val="142802672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80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 (2)!ventas_categoria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'tablas_dinámicas (2)'!$C$26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'tablas_dinámicas (2)'!$B$27:$B$33</c:f>
              <c:strCache>
                <c:ptCount val="6"/>
                <c:pt idx="0">
                  <c:v>Dresses</c:v>
                </c:pt>
                <c:pt idx="1">
                  <c:v>Outerwear</c:v>
                </c:pt>
                <c:pt idx="2">
                  <c:v>Tops</c:v>
                </c:pt>
                <c:pt idx="3">
                  <c:v>Shoes</c:v>
                </c:pt>
                <c:pt idx="4">
                  <c:v>Bottoms</c:v>
                </c:pt>
                <c:pt idx="5">
                  <c:v>Accessories</c:v>
                </c:pt>
              </c:strCache>
            </c:strRef>
          </c:cat>
          <c:val>
            <c:numRef>
              <c:f>'tablas_dinámicas (2)'!$C$27:$C$33</c:f>
              <c:numCache>
                <c:formatCode>General</c:formatCode>
                <c:ptCount val="6"/>
                <c:pt idx="0">
                  <c:v>26806.609999999997</c:v>
                </c:pt>
                <c:pt idx="1">
                  <c:v>41141.430000000008</c:v>
                </c:pt>
                <c:pt idx="2">
                  <c:v>20841.859999999982</c:v>
                </c:pt>
                <c:pt idx="3">
                  <c:v>35179.429999999986</c:v>
                </c:pt>
                <c:pt idx="4">
                  <c:v>20474.36</c:v>
                </c:pt>
                <c:pt idx="5">
                  <c:v>15058.939999999999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49-414C-9AE8-408F9C826E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22521280"/>
        <c:axId val="1522520800"/>
      </c:barChart>
      <c:catAx>
        <c:axId val="152252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22520800"/>
        <c:crosses val="autoZero"/>
        <c:auto val="1"/>
        <c:lblAlgn val="ctr"/>
        <c:lblOffset val="100"/>
        <c:noMultiLvlLbl val="0"/>
      </c:catAx>
      <c:valAx>
        <c:axId val="152252080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2252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 (2)!ventas_season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'tablas_dinámicas (2)'!$C$44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'tablas_dinámicas (2)'!$B$45:$B$49</c:f>
              <c:strCache>
                <c:ptCount val="4"/>
                <c:pt idx="0">
                  <c:v>Fall</c:v>
                </c:pt>
                <c:pt idx="1">
                  <c:v>Winter</c:v>
                </c:pt>
                <c:pt idx="2">
                  <c:v>Spring</c:v>
                </c:pt>
                <c:pt idx="3">
                  <c:v>Summer</c:v>
                </c:pt>
              </c:strCache>
            </c:strRef>
          </c:cat>
          <c:val>
            <c:numRef>
              <c:f>'tablas_dinámicas (2)'!$C$45:$C$49</c:f>
              <c:numCache>
                <c:formatCode>General</c:formatCode>
                <c:ptCount val="4"/>
                <c:pt idx="0">
                  <c:v>41994.890000000007</c:v>
                </c:pt>
                <c:pt idx="1">
                  <c:v>37336.110000000015</c:v>
                </c:pt>
                <c:pt idx="2">
                  <c:v>40043.939999999973</c:v>
                </c:pt>
                <c:pt idx="3">
                  <c:v>40127.689999999995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9D-43A1-AD30-DA8D6303E1E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909728"/>
        <c:axId val="138910208"/>
      </c:lineChart>
      <c:catAx>
        <c:axId val="13890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8910208"/>
        <c:crosses val="autoZero"/>
        <c:auto val="1"/>
        <c:lblAlgn val="ctr"/>
        <c:lblOffset val="100"/>
        <c:noMultiLvlLbl val="0"/>
      </c:catAx>
      <c:valAx>
        <c:axId val="138910208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890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 (2)!ventas_color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ES">
                <a:solidFill>
                  <a:sysClr val="windowText" lastClr="000000"/>
                </a:solidFill>
              </a:rPr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'tablas_dinámicas (2)'!$C$60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'tablas_dinámicas (2)'!$B$61:$B$66</c:f>
              <c:strCache>
                <c:ptCount val="5"/>
                <c:pt idx="0">
                  <c:v>Black</c:v>
                </c:pt>
                <c:pt idx="1">
                  <c:v>Green</c:v>
                </c:pt>
                <c:pt idx="2">
                  <c:v>Pink</c:v>
                </c:pt>
                <c:pt idx="3">
                  <c:v>Red</c:v>
                </c:pt>
                <c:pt idx="4">
                  <c:v>White</c:v>
                </c:pt>
              </c:strCache>
            </c:strRef>
          </c:cat>
          <c:val>
            <c:numRef>
              <c:f>'tablas_dinámicas (2)'!$C$61:$C$66</c:f>
              <c:numCache>
                <c:formatCode>General</c:formatCode>
                <c:ptCount val="5"/>
                <c:pt idx="0">
                  <c:v>14731.779999999995</c:v>
                </c:pt>
                <c:pt idx="1">
                  <c:v>16254.759999999998</c:v>
                </c:pt>
                <c:pt idx="2">
                  <c:v>15838.409999999996</c:v>
                </c:pt>
                <c:pt idx="3">
                  <c:v>15043.680000000002</c:v>
                </c:pt>
                <c:pt idx="4">
                  <c:v>16631.000000000004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E2-48EF-9B8B-978919BF880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388571440"/>
        <c:axId val="388571920"/>
      </c:barChart>
      <c:catAx>
        <c:axId val="38857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8571920"/>
        <c:crosses val="autoZero"/>
        <c:auto val="1"/>
        <c:lblAlgn val="ctr"/>
        <c:lblOffset val="100"/>
        <c:noMultiLvlLbl val="0"/>
      </c:catAx>
      <c:valAx>
        <c:axId val="38857192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85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 (2)!marca_ndevoluciones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ysClr val="windowText" lastClr="000000"/>
                </a:solidFill>
              </a:rPr>
              <a:t>Marca-Número Devoluciones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'tablas_dinámicas (2)'!$G$107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'tablas_dinámicas (2)'!$F$108:$F$116</c:f>
              <c:strCache>
                <c:ptCount val="8"/>
                <c:pt idx="0">
                  <c:v>Ann Taylor</c:v>
                </c:pt>
                <c:pt idx="1">
                  <c:v>Banana Republic</c:v>
                </c:pt>
                <c:pt idx="2">
                  <c:v>Forever21</c:v>
                </c:pt>
                <c:pt idx="3">
                  <c:v>Gap</c:v>
                </c:pt>
                <c:pt idx="4">
                  <c:v>H&amp;M</c:v>
                </c:pt>
                <c:pt idx="5">
                  <c:v>Mango</c:v>
                </c:pt>
                <c:pt idx="6">
                  <c:v>Uniqlo</c:v>
                </c:pt>
                <c:pt idx="7">
                  <c:v>Zara</c:v>
                </c:pt>
              </c:strCache>
            </c:strRef>
          </c:cat>
          <c:val>
            <c:numRef>
              <c:f>'tablas_dinámicas (2)'!$G$108:$G$116</c:f>
              <c:numCache>
                <c:formatCode>General</c:formatCode>
                <c:ptCount val="8"/>
                <c:pt idx="0">
                  <c:v>51</c:v>
                </c:pt>
                <c:pt idx="1">
                  <c:v>47</c:v>
                </c:pt>
                <c:pt idx="2">
                  <c:v>34</c:v>
                </c:pt>
                <c:pt idx="3">
                  <c:v>36</c:v>
                </c:pt>
                <c:pt idx="4">
                  <c:v>39</c:v>
                </c:pt>
                <c:pt idx="5">
                  <c:v>32</c:v>
                </c:pt>
                <c:pt idx="6">
                  <c:v>33</c:v>
                </c:pt>
                <c:pt idx="7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E-4D0A-9758-FB54655B0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6249008"/>
        <c:axId val="386253808"/>
      </c:barChart>
      <c:catAx>
        <c:axId val="38624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6253808"/>
        <c:crosses val="autoZero"/>
        <c:auto val="1"/>
        <c:lblAlgn val="ctr"/>
        <c:lblOffset val="100"/>
        <c:noMultiLvlLbl val="0"/>
      </c:catAx>
      <c:valAx>
        <c:axId val="386253808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624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 (2)!Ventas_Razón_Devolución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ysClr val="windowText" lastClr="000000"/>
                </a:solidFill>
              </a:rPr>
              <a:t>Razón-Número Devoluciones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</c:pivotFmt>
      <c:pivotFmt>
        <c:idx val="2"/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5">
              <a:shade val="9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0341881989083207E-2"/>
              <c:y val="-5.2544715759980706E-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5">
              <a:shade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5">
              <a:shade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5">
              <a:shade val="9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0341881989083207E-2"/>
              <c:y val="-5.2544715759980706E-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5">
              <a:tint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'tablas_dinámicas (2)'!$K$107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BA-48C0-9DB9-F12F5E069128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BA-48C0-9DB9-F12F5E069128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BA-48C0-9DB9-F12F5E069128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BA-48C0-9DB9-F12F5E069128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6BA-48C0-9DB9-F12F5E069128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6BA-48C0-9DB9-F12F5E069128}"/>
              </c:ext>
            </c:extLst>
          </c:dPt>
          <c:dLbls>
            <c:dLbl>
              <c:idx val="2"/>
              <c:layout>
                <c:manualLayout>
                  <c:x val="1.0341881989083207E-2"/>
                  <c:y val="-5.2544715759980706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6BA-48C0-9DB9-F12F5E06912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'tablas_dinámicas (2)'!$J$108:$J$114</c:f>
              <c:strCache>
                <c:ptCount val="6"/>
                <c:pt idx="0">
                  <c:v>Wrong Item</c:v>
                </c:pt>
                <c:pt idx="1">
                  <c:v>Size Issue</c:v>
                </c:pt>
                <c:pt idx="2">
                  <c:v>Quality Issue</c:v>
                </c:pt>
                <c:pt idx="3">
                  <c:v>Damaged</c:v>
                </c:pt>
                <c:pt idx="4">
                  <c:v>Color Mismatch</c:v>
                </c:pt>
                <c:pt idx="5">
                  <c:v>Changed Mind</c:v>
                </c:pt>
              </c:strCache>
            </c:strRef>
          </c:cat>
          <c:val>
            <c:numRef>
              <c:f>'tablas_dinámicas (2)'!$K$108:$K$114</c:f>
              <c:numCache>
                <c:formatCode>General</c:formatCode>
                <c:ptCount val="6"/>
                <c:pt idx="0">
                  <c:v>47</c:v>
                </c:pt>
                <c:pt idx="1">
                  <c:v>60</c:v>
                </c:pt>
                <c:pt idx="2">
                  <c:v>55</c:v>
                </c:pt>
                <c:pt idx="3">
                  <c:v>44</c:v>
                </c:pt>
                <c:pt idx="4">
                  <c:v>46</c:v>
                </c:pt>
                <c:pt idx="5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BA-48C0-9DB9-F12F5E069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 (2)!marca_cantidad_descuento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ysClr val="windowText" lastClr="000000"/>
                </a:solidFill>
              </a:rPr>
              <a:t>Marca-Cantidad</a:t>
            </a:r>
            <a:r>
              <a:rPr lang="en-US" sz="1200" baseline="0">
                <a:solidFill>
                  <a:sysClr val="windowText" lastClr="000000"/>
                </a:solidFill>
              </a:rPr>
              <a:t> </a:t>
            </a:r>
            <a:r>
              <a:rPr lang="en-US" sz="1200">
                <a:solidFill>
                  <a:sysClr val="windowText" lastClr="000000"/>
                </a:solidFill>
              </a:rPr>
              <a:t>Descuento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'tablas_dinámicas (2)'!$C$127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'tablas_dinámicas (2)'!$B$128:$B$136</c:f>
              <c:strCache>
                <c:ptCount val="8"/>
                <c:pt idx="0">
                  <c:v>Ann Taylor</c:v>
                </c:pt>
                <c:pt idx="1">
                  <c:v>Banana Republic</c:v>
                </c:pt>
                <c:pt idx="2">
                  <c:v>Forever21</c:v>
                </c:pt>
                <c:pt idx="3">
                  <c:v>Gap</c:v>
                </c:pt>
                <c:pt idx="4">
                  <c:v>H&amp;M</c:v>
                </c:pt>
                <c:pt idx="5">
                  <c:v>Mango</c:v>
                </c:pt>
                <c:pt idx="6">
                  <c:v>Uniqlo</c:v>
                </c:pt>
                <c:pt idx="7">
                  <c:v>Zara</c:v>
                </c:pt>
              </c:strCache>
            </c:strRef>
          </c:cat>
          <c:val>
            <c:numRef>
              <c:f>'tablas_dinámicas (2)'!$C$128:$C$136</c:f>
              <c:numCache>
                <c:formatCode>0.00</c:formatCode>
                <c:ptCount val="8"/>
                <c:pt idx="0">
                  <c:v>2581.1899999999991</c:v>
                </c:pt>
                <c:pt idx="1">
                  <c:v>3540.58</c:v>
                </c:pt>
                <c:pt idx="2">
                  <c:v>3261.3899999999994</c:v>
                </c:pt>
                <c:pt idx="3">
                  <c:v>3274.8999999999987</c:v>
                </c:pt>
                <c:pt idx="4">
                  <c:v>3396.0500000000006</c:v>
                </c:pt>
                <c:pt idx="5">
                  <c:v>3621.5000000000005</c:v>
                </c:pt>
                <c:pt idx="6">
                  <c:v>2361.4299999999998</c:v>
                </c:pt>
                <c:pt idx="7">
                  <c:v>3423.78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C6-422D-83D0-23B2C47E0B0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53454896"/>
        <c:axId val="453457296"/>
      </c:barChart>
      <c:catAx>
        <c:axId val="45345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3457296"/>
        <c:crosses val="autoZero"/>
        <c:auto val="1"/>
        <c:lblAlgn val="ctr"/>
        <c:lblOffset val="100"/>
        <c:noMultiLvlLbl val="0"/>
      </c:catAx>
      <c:valAx>
        <c:axId val="453457296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345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 (2)!ventas_size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ysClr val="windowText" lastClr="000000"/>
                </a:solidFill>
              </a:rPr>
              <a:t>Talla-Ventas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'tablas_dinámicas (2)'!$C$147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'tablas_dinámicas (2)'!$B$148:$B$156</c:f>
              <c:strCache>
                <c:ptCount val="8"/>
                <c:pt idx="0">
                  <c:v>XS</c:v>
                </c:pt>
                <c:pt idx="1">
                  <c:v>S</c:v>
                </c:pt>
                <c:pt idx="2">
                  <c:v>M</c:v>
                </c:pt>
                <c:pt idx="3">
                  <c:v>L</c:v>
                </c:pt>
                <c:pt idx="4">
                  <c:v>XL</c:v>
                </c:pt>
                <c:pt idx="5">
                  <c:v>XXL</c:v>
                </c:pt>
                <c:pt idx="6">
                  <c:v>Accesorio</c:v>
                </c:pt>
                <c:pt idx="7">
                  <c:v>Desconocido</c:v>
                </c:pt>
              </c:strCache>
            </c:strRef>
          </c:cat>
          <c:val>
            <c:numRef>
              <c:f>'tablas_dinámicas (2)'!$C$148:$C$156</c:f>
              <c:numCache>
                <c:formatCode>General</c:formatCode>
                <c:ptCount val="8"/>
                <c:pt idx="0">
                  <c:v>301</c:v>
                </c:pt>
                <c:pt idx="1">
                  <c:v>294</c:v>
                </c:pt>
                <c:pt idx="2">
                  <c:v>255</c:v>
                </c:pt>
                <c:pt idx="3">
                  <c:v>273</c:v>
                </c:pt>
                <c:pt idx="4">
                  <c:v>283</c:v>
                </c:pt>
                <c:pt idx="5">
                  <c:v>279</c:v>
                </c:pt>
                <c:pt idx="6">
                  <c:v>402</c:v>
                </c:pt>
                <c:pt idx="7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E-4ADF-848E-37883A87F71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08818864"/>
        <c:axId val="308817424"/>
      </c:barChart>
      <c:catAx>
        <c:axId val="30881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08817424"/>
        <c:crosses val="autoZero"/>
        <c:auto val="1"/>
        <c:lblAlgn val="ctr"/>
        <c:lblOffset val="100"/>
        <c:noMultiLvlLbl val="0"/>
      </c:catAx>
      <c:valAx>
        <c:axId val="308817424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08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 (2)!marca_prom_desc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ysClr val="windowText" lastClr="000000"/>
                </a:solidFill>
              </a:rPr>
              <a:t>Promedio Descuento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'tablas_dinámicas (2)'!$C$167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'tablas_dinámicas (2)'!$B$168:$B$176</c:f>
              <c:strCache>
                <c:ptCount val="8"/>
                <c:pt idx="0">
                  <c:v>Ann Taylor</c:v>
                </c:pt>
                <c:pt idx="1">
                  <c:v>Banana Republic</c:v>
                </c:pt>
                <c:pt idx="2">
                  <c:v>Forever21</c:v>
                </c:pt>
                <c:pt idx="3">
                  <c:v>Gap</c:v>
                </c:pt>
                <c:pt idx="4">
                  <c:v>H&amp;M</c:v>
                </c:pt>
                <c:pt idx="5">
                  <c:v>Mango</c:v>
                </c:pt>
                <c:pt idx="6">
                  <c:v>Uniqlo</c:v>
                </c:pt>
                <c:pt idx="7">
                  <c:v>Zara</c:v>
                </c:pt>
              </c:strCache>
            </c:strRef>
          </c:cat>
          <c:val>
            <c:numRef>
              <c:f>'tablas_dinámicas (2)'!$C$168:$C$176</c:f>
              <c:numCache>
                <c:formatCode>0.00"%"</c:formatCode>
                <c:ptCount val="8"/>
                <c:pt idx="0">
                  <c:v>31.26808510638298</c:v>
                </c:pt>
                <c:pt idx="1">
                  <c:v>31.607142857142861</c:v>
                </c:pt>
                <c:pt idx="2">
                  <c:v>32.468627450980392</c:v>
                </c:pt>
                <c:pt idx="3">
                  <c:v>31.881481481481494</c:v>
                </c:pt>
                <c:pt idx="4">
                  <c:v>30.442982456140356</c:v>
                </c:pt>
                <c:pt idx="5">
                  <c:v>29.250000000000004</c:v>
                </c:pt>
                <c:pt idx="6">
                  <c:v>24.873118279569891</c:v>
                </c:pt>
                <c:pt idx="7">
                  <c:v>28.870229007633597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5-464D-BF12-D62357ACF17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6817792"/>
        <c:axId val="226827392"/>
      </c:barChart>
      <c:catAx>
        <c:axId val="226817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6827392"/>
        <c:crosses val="autoZero"/>
        <c:auto val="1"/>
        <c:lblAlgn val="ctr"/>
        <c:lblOffset val="100"/>
        <c:noMultiLvlLbl val="0"/>
      </c:catAx>
      <c:valAx>
        <c:axId val="226827392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681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 (2)!Ventas_marca</c:name>
    <c:fmtId val="7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'tablas_dinámicas (2)'!$C$6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'tablas_dinámicas (2)'!$B$7:$B$15</c:f>
              <c:strCache>
                <c:ptCount val="8"/>
                <c:pt idx="0">
                  <c:v>Ann Taylor</c:v>
                </c:pt>
                <c:pt idx="1">
                  <c:v>Banana Republic</c:v>
                </c:pt>
                <c:pt idx="2">
                  <c:v>Forever21</c:v>
                </c:pt>
                <c:pt idx="3">
                  <c:v>Gap</c:v>
                </c:pt>
                <c:pt idx="4">
                  <c:v>H&amp;M</c:v>
                </c:pt>
                <c:pt idx="5">
                  <c:v>Mango</c:v>
                </c:pt>
                <c:pt idx="6">
                  <c:v>Uniqlo</c:v>
                </c:pt>
                <c:pt idx="7">
                  <c:v>Zara</c:v>
                </c:pt>
              </c:strCache>
            </c:strRef>
          </c:cat>
          <c:val>
            <c:numRef>
              <c:f>'tablas_dinámicas (2)'!$C$7:$C$15</c:f>
              <c:numCache>
                <c:formatCode>General</c:formatCode>
                <c:ptCount val="8"/>
                <c:pt idx="0">
                  <c:v>17391.88</c:v>
                </c:pt>
                <c:pt idx="1">
                  <c:v>21376.660000000014</c:v>
                </c:pt>
                <c:pt idx="2">
                  <c:v>18061.239999999987</c:v>
                </c:pt>
                <c:pt idx="3">
                  <c:v>15802.240000000002</c:v>
                </c:pt>
                <c:pt idx="4">
                  <c:v>20882.020000000008</c:v>
                </c:pt>
                <c:pt idx="5">
                  <c:v>22281.430000000011</c:v>
                </c:pt>
                <c:pt idx="6">
                  <c:v>20969.759999999998</c:v>
                </c:pt>
                <c:pt idx="7">
                  <c:v>22737.4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B7-407B-AA69-F546120BDF3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2805552"/>
        <c:axId val="142802672"/>
      </c:barChart>
      <c:catAx>
        <c:axId val="14280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802672"/>
        <c:crosses val="autoZero"/>
        <c:auto val="1"/>
        <c:lblAlgn val="ctr"/>
        <c:lblOffset val="100"/>
        <c:noMultiLvlLbl val="0"/>
      </c:catAx>
      <c:valAx>
        <c:axId val="142802672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80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 (2)!ventas_categoria</c:name>
    <c:fmtId val="9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'tablas_dinámicas (2)'!$C$26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'tablas_dinámicas (2)'!$B$27:$B$33</c:f>
              <c:strCache>
                <c:ptCount val="6"/>
                <c:pt idx="0">
                  <c:v>Dresses</c:v>
                </c:pt>
                <c:pt idx="1">
                  <c:v>Outerwear</c:v>
                </c:pt>
                <c:pt idx="2">
                  <c:v>Tops</c:v>
                </c:pt>
                <c:pt idx="3">
                  <c:v>Shoes</c:v>
                </c:pt>
                <c:pt idx="4">
                  <c:v>Bottoms</c:v>
                </c:pt>
                <c:pt idx="5">
                  <c:v>Accessories</c:v>
                </c:pt>
              </c:strCache>
            </c:strRef>
          </c:cat>
          <c:val>
            <c:numRef>
              <c:f>'tablas_dinámicas (2)'!$C$27:$C$33</c:f>
              <c:numCache>
                <c:formatCode>General</c:formatCode>
                <c:ptCount val="6"/>
                <c:pt idx="0">
                  <c:v>26806.609999999997</c:v>
                </c:pt>
                <c:pt idx="1">
                  <c:v>41141.430000000008</c:v>
                </c:pt>
                <c:pt idx="2">
                  <c:v>20841.859999999982</c:v>
                </c:pt>
                <c:pt idx="3">
                  <c:v>35179.429999999986</c:v>
                </c:pt>
                <c:pt idx="4">
                  <c:v>20474.36</c:v>
                </c:pt>
                <c:pt idx="5">
                  <c:v>15058.939999999999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82-4FA2-AF62-F9A80369CA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22521280"/>
        <c:axId val="1522520800"/>
      </c:barChart>
      <c:catAx>
        <c:axId val="152252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22520800"/>
        <c:crosses val="autoZero"/>
        <c:auto val="1"/>
        <c:lblAlgn val="ctr"/>
        <c:lblOffset val="100"/>
        <c:noMultiLvlLbl val="0"/>
      </c:catAx>
      <c:valAx>
        <c:axId val="152252080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2252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 (2)!ventas_color</c:name>
    <c:fmtId val="7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'tablas_dinámicas (2)'!$C$60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'tablas_dinámicas (2)'!$B$61:$B$66</c:f>
              <c:strCache>
                <c:ptCount val="5"/>
                <c:pt idx="0">
                  <c:v>Black</c:v>
                </c:pt>
                <c:pt idx="1">
                  <c:v>Green</c:v>
                </c:pt>
                <c:pt idx="2">
                  <c:v>Pink</c:v>
                </c:pt>
                <c:pt idx="3">
                  <c:v>Red</c:v>
                </c:pt>
                <c:pt idx="4">
                  <c:v>White</c:v>
                </c:pt>
              </c:strCache>
            </c:strRef>
          </c:cat>
          <c:val>
            <c:numRef>
              <c:f>'tablas_dinámicas (2)'!$C$61:$C$66</c:f>
              <c:numCache>
                <c:formatCode>General</c:formatCode>
                <c:ptCount val="5"/>
                <c:pt idx="0">
                  <c:v>14731.779999999995</c:v>
                </c:pt>
                <c:pt idx="1">
                  <c:v>16254.759999999998</c:v>
                </c:pt>
                <c:pt idx="2">
                  <c:v>15838.409999999996</c:v>
                </c:pt>
                <c:pt idx="3">
                  <c:v>15043.680000000002</c:v>
                </c:pt>
                <c:pt idx="4">
                  <c:v>16631.000000000004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E5-413D-BD11-395EF5FC8F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388571440"/>
        <c:axId val="388571920"/>
      </c:barChart>
      <c:catAx>
        <c:axId val="38857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8571920"/>
        <c:crosses val="autoZero"/>
        <c:auto val="1"/>
        <c:lblAlgn val="ctr"/>
        <c:lblOffset val="100"/>
        <c:noMultiLvlLbl val="0"/>
      </c:catAx>
      <c:valAx>
        <c:axId val="38857192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85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 (2)!ventas_season</c:name>
    <c:fmtId val="9"/>
  </c:pivotSource>
  <c:chart>
    <c:autoTitleDeleted val="1"/>
    <c:pivotFmts>
      <c:pivotFmt>
        <c:idx val="0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'tablas_dinámicas (2)'!$C$44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'tablas_dinámicas (2)'!$B$45:$B$49</c:f>
              <c:strCache>
                <c:ptCount val="4"/>
                <c:pt idx="0">
                  <c:v>Fall</c:v>
                </c:pt>
                <c:pt idx="1">
                  <c:v>Winter</c:v>
                </c:pt>
                <c:pt idx="2">
                  <c:v>Spring</c:v>
                </c:pt>
                <c:pt idx="3">
                  <c:v>Summer</c:v>
                </c:pt>
              </c:strCache>
            </c:strRef>
          </c:cat>
          <c:val>
            <c:numRef>
              <c:f>'tablas_dinámicas (2)'!$C$45:$C$49</c:f>
              <c:numCache>
                <c:formatCode>General</c:formatCode>
                <c:ptCount val="4"/>
                <c:pt idx="0">
                  <c:v>41994.890000000007</c:v>
                </c:pt>
                <c:pt idx="1">
                  <c:v>37336.110000000015</c:v>
                </c:pt>
                <c:pt idx="2">
                  <c:v>40043.939999999973</c:v>
                </c:pt>
                <c:pt idx="3">
                  <c:v>40127.689999999995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1A-485F-9153-9ED3F8F58A8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909728"/>
        <c:axId val="138910208"/>
      </c:lineChart>
      <c:catAx>
        <c:axId val="13890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8910208"/>
        <c:crosses val="autoZero"/>
        <c:auto val="1"/>
        <c:lblAlgn val="ctr"/>
        <c:lblOffset val="100"/>
        <c:noMultiLvlLbl val="0"/>
      </c:catAx>
      <c:valAx>
        <c:axId val="138910208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890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 (2)!Ventas_Razón_Devolución</c:name>
    <c:fmtId val="6"/>
  </c:pivotSource>
  <c:chart>
    <c:autoTitleDeleted val="1"/>
    <c:pivotFmts>
      <c:pivotFmt>
        <c:idx val="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</c:pivotFmt>
      <c:pivotFmt>
        <c:idx val="2"/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5">
              <a:shade val="9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0341881989083207E-2"/>
              <c:y val="-5.2544715759980706E-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5">
              <a:shade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5">
              <a:shade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5">
              <a:shade val="9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0341881989083207E-2"/>
              <c:y val="-5.2544715759980706E-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5">
              <a:tint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3"/>
        <c:spPr>
          <a:solidFill>
            <a:schemeClr val="accent5">
              <a:shade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5">
              <a:shade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5">
              <a:shade val="9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0341881989083207E-2"/>
              <c:y val="-5.2544715759980706E-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5">
              <a:tint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solidFill>
            <a:schemeClr val="accent5">
              <a:shade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5">
              <a:shade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5">
              <a:shade val="9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0341881989083207E-2"/>
              <c:y val="-5.2544715759980706E-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5">
              <a:tint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'tablas_dinámicas (2)'!$K$107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3F2-4469-87D2-EA5040FECF42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3F2-4469-87D2-EA5040FECF42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3F2-4469-87D2-EA5040FECF42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3F2-4469-87D2-EA5040FECF42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3F2-4469-87D2-EA5040FECF42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3F2-4469-87D2-EA5040FECF42}"/>
              </c:ext>
            </c:extLst>
          </c:dPt>
          <c:dLbls>
            <c:dLbl>
              <c:idx val="2"/>
              <c:layout>
                <c:manualLayout>
                  <c:x val="1.0341881989083207E-2"/>
                  <c:y val="-5.2544715759980706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3F2-4469-87D2-EA5040FECF42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'tablas_dinámicas (2)'!$J$108:$J$114</c:f>
              <c:strCache>
                <c:ptCount val="6"/>
                <c:pt idx="0">
                  <c:v>Wrong Item</c:v>
                </c:pt>
                <c:pt idx="1">
                  <c:v>Size Issue</c:v>
                </c:pt>
                <c:pt idx="2">
                  <c:v>Quality Issue</c:v>
                </c:pt>
                <c:pt idx="3">
                  <c:v>Damaged</c:v>
                </c:pt>
                <c:pt idx="4">
                  <c:v>Color Mismatch</c:v>
                </c:pt>
                <c:pt idx="5">
                  <c:v>Changed Mind</c:v>
                </c:pt>
              </c:strCache>
            </c:strRef>
          </c:cat>
          <c:val>
            <c:numRef>
              <c:f>'tablas_dinámicas (2)'!$K$108:$K$114</c:f>
              <c:numCache>
                <c:formatCode>General</c:formatCode>
                <c:ptCount val="6"/>
                <c:pt idx="0">
                  <c:v>47</c:v>
                </c:pt>
                <c:pt idx="1">
                  <c:v>60</c:v>
                </c:pt>
                <c:pt idx="2">
                  <c:v>55</c:v>
                </c:pt>
                <c:pt idx="3">
                  <c:v>44</c:v>
                </c:pt>
                <c:pt idx="4">
                  <c:v>46</c:v>
                </c:pt>
                <c:pt idx="5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3F2-4469-87D2-EA5040FEC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[fashion_boutique_macros_habilitados.xlsm]tablas_dinámicas (2)!marca_cantidad_descuento</c:name>
    <c:fmtId val="6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'tablas_dinámicas (2)'!$C$127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'tablas_dinámicas (2)'!$B$128:$B$136</c:f>
              <c:strCache>
                <c:ptCount val="8"/>
                <c:pt idx="0">
                  <c:v>Ann Taylor</c:v>
                </c:pt>
                <c:pt idx="1">
                  <c:v>Banana Republic</c:v>
                </c:pt>
                <c:pt idx="2">
                  <c:v>Forever21</c:v>
                </c:pt>
                <c:pt idx="3">
                  <c:v>Gap</c:v>
                </c:pt>
                <c:pt idx="4">
                  <c:v>H&amp;M</c:v>
                </c:pt>
                <c:pt idx="5">
                  <c:v>Mango</c:v>
                </c:pt>
                <c:pt idx="6">
                  <c:v>Uniqlo</c:v>
                </c:pt>
                <c:pt idx="7">
                  <c:v>Zara</c:v>
                </c:pt>
              </c:strCache>
            </c:strRef>
          </c:cat>
          <c:val>
            <c:numRef>
              <c:f>'tablas_dinámicas (2)'!$C$128:$C$136</c:f>
              <c:numCache>
                <c:formatCode>0.00</c:formatCode>
                <c:ptCount val="8"/>
                <c:pt idx="0">
                  <c:v>2581.1899999999991</c:v>
                </c:pt>
                <c:pt idx="1">
                  <c:v>3540.58</c:v>
                </c:pt>
                <c:pt idx="2">
                  <c:v>3261.3899999999994</c:v>
                </c:pt>
                <c:pt idx="3">
                  <c:v>3274.8999999999987</c:v>
                </c:pt>
                <c:pt idx="4">
                  <c:v>3396.0500000000006</c:v>
                </c:pt>
                <c:pt idx="5">
                  <c:v>3621.5000000000005</c:v>
                </c:pt>
                <c:pt idx="6">
                  <c:v>2361.4299999999998</c:v>
                </c:pt>
                <c:pt idx="7">
                  <c:v>3423.78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0-436A-9B3F-1E96F8AE18B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53454896"/>
        <c:axId val="453457296"/>
      </c:barChart>
      <c:catAx>
        <c:axId val="45345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3457296"/>
        <c:crosses val="autoZero"/>
        <c:auto val="1"/>
        <c:lblAlgn val="ctr"/>
        <c:lblOffset val="100"/>
        <c:noMultiLvlLbl val="0"/>
      </c:catAx>
      <c:valAx>
        <c:axId val="453457296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345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0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0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5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3" Type="http://schemas.openxmlformats.org/officeDocument/2006/relationships/chart" Target="../charts/chart25.xml"/><Relationship Id="rId7" Type="http://schemas.openxmlformats.org/officeDocument/2006/relationships/chart" Target="../charts/chart28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1.emf"/><Relationship Id="rId5" Type="http://schemas.openxmlformats.org/officeDocument/2006/relationships/chart" Target="../charts/chart27.xml"/><Relationship Id="rId4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753237</xdr:colOff>
      <xdr:row>4</xdr:row>
      <xdr:rowOff>46503</xdr:rowOff>
    </xdr:from>
    <xdr:to>
      <xdr:col>13</xdr:col>
      <xdr:colOff>176497</xdr:colOff>
      <xdr:row>16</xdr:row>
      <xdr:rowOff>164211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7BF6047-7EFA-F754-EB9C-249B400D7B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3417</xdr:colOff>
      <xdr:row>4</xdr:row>
      <xdr:rowOff>20230</xdr:rowOff>
    </xdr:from>
    <xdr:to>
      <xdr:col>19</xdr:col>
      <xdr:colOff>795715</xdr:colOff>
      <xdr:row>16</xdr:row>
      <xdr:rowOff>161842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F29A70C-6A72-4373-3317-941811F3EF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587252</xdr:colOff>
      <xdr:row>22</xdr:row>
      <xdr:rowOff>108004</xdr:rowOff>
    </xdr:from>
    <xdr:to>
      <xdr:col>11</xdr:col>
      <xdr:colOff>1419035</xdr:colOff>
      <xdr:row>34</xdr:row>
      <xdr:rowOff>102657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FB1E443-0673-0049-E7F8-05B4AA544A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594832</xdr:colOff>
      <xdr:row>22</xdr:row>
      <xdr:rowOff>27809</xdr:rowOff>
    </xdr:from>
    <xdr:to>
      <xdr:col>18</xdr:col>
      <xdr:colOff>572207</xdr:colOff>
      <xdr:row>34</xdr:row>
      <xdr:rowOff>27809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C55D6D1-5BA8-2657-7121-CB01199A2A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463364</xdr:colOff>
      <xdr:row>37</xdr:row>
      <xdr:rowOff>54452</xdr:rowOff>
    </xdr:from>
    <xdr:to>
      <xdr:col>11</xdr:col>
      <xdr:colOff>1580165</xdr:colOff>
      <xdr:row>52</xdr:row>
      <xdr:rowOff>100686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1D28180-85AF-74D9-EE4C-FEB80CFCAE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550933</xdr:colOff>
      <xdr:row>36</xdr:row>
      <xdr:rowOff>161741</xdr:rowOff>
    </xdr:from>
    <xdr:to>
      <xdr:col>18</xdr:col>
      <xdr:colOff>556834</xdr:colOff>
      <xdr:row>51</xdr:row>
      <xdr:rowOff>175834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2D9AC8E7-532A-5170-6EBC-179B577F5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470042</xdr:colOff>
      <xdr:row>57</xdr:row>
      <xdr:rowOff>52398</xdr:rowOff>
    </xdr:from>
    <xdr:to>
      <xdr:col>11</xdr:col>
      <xdr:colOff>1603966</xdr:colOff>
      <xdr:row>72</xdr:row>
      <xdr:rowOff>101714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16B122A-E42E-9E46-2DD6-63970EDA28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572886</xdr:colOff>
      <xdr:row>57</xdr:row>
      <xdr:rowOff>18704</xdr:rowOff>
    </xdr:from>
    <xdr:to>
      <xdr:col>18</xdr:col>
      <xdr:colOff>406631</xdr:colOff>
      <xdr:row>72</xdr:row>
      <xdr:rowOff>45720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F281846B-C1B1-247C-BE60-16C8DD31AF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9896</xdr:colOff>
      <xdr:row>106</xdr:row>
      <xdr:rowOff>13854</xdr:rowOff>
    </xdr:from>
    <xdr:to>
      <xdr:col>17</xdr:col>
      <xdr:colOff>623454</xdr:colOff>
      <xdr:row>120</xdr:row>
      <xdr:rowOff>9897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CB51BD36-71AA-B098-5BDD-064A669FE6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440827</xdr:colOff>
      <xdr:row>106</xdr:row>
      <xdr:rowOff>7556</xdr:rowOff>
    </xdr:from>
    <xdr:to>
      <xdr:col>23</xdr:col>
      <xdr:colOff>157438</xdr:colOff>
      <xdr:row>119</xdr:row>
      <xdr:rowOff>50380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AE9D0398-ED1F-8048-7FEC-2231EE119C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1475440</xdr:colOff>
      <xdr:row>124</xdr:row>
      <xdr:rowOff>10457</xdr:rowOff>
    </xdr:from>
    <xdr:to>
      <xdr:col>8</xdr:col>
      <xdr:colOff>692726</xdr:colOff>
      <xdr:row>137</xdr:row>
      <xdr:rowOff>138546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BBCDF236-08F1-3E44-CAAD-686D4CB966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10903</xdr:colOff>
      <xdr:row>143</xdr:row>
      <xdr:rowOff>162983</xdr:rowOff>
    </xdr:from>
    <xdr:to>
      <xdr:col>8</xdr:col>
      <xdr:colOff>946407</xdr:colOff>
      <xdr:row>158</xdr:row>
      <xdr:rowOff>154517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352B5872-2677-2185-0547-3B2FCD18B6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1447400</xdr:colOff>
      <xdr:row>163</xdr:row>
      <xdr:rowOff>157728</xdr:rowOff>
    </xdr:from>
    <xdr:to>
      <xdr:col>8</xdr:col>
      <xdr:colOff>663678</xdr:colOff>
      <xdr:row>178</xdr:row>
      <xdr:rowOff>87389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1FDD6C78-A429-B2FD-780C-0959E948DC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1315665</xdr:colOff>
      <xdr:row>4</xdr:row>
      <xdr:rowOff>155360</xdr:rowOff>
    </xdr:from>
    <xdr:to>
      <xdr:col>9</xdr:col>
      <xdr:colOff>557497</xdr:colOff>
      <xdr:row>17</xdr:row>
      <xdr:rowOff>91639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1966E24-338C-4A44-8A36-6B549435E5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1278132</xdr:colOff>
      <xdr:row>20</xdr:row>
      <xdr:rowOff>150822</xdr:rowOff>
    </xdr:from>
    <xdr:to>
      <xdr:col>8</xdr:col>
      <xdr:colOff>1106252</xdr:colOff>
      <xdr:row>32</xdr:row>
      <xdr:rowOff>145475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DCAEA18-0265-417B-95DE-ED5B97C86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1010189</xdr:colOff>
      <xdr:row>37</xdr:row>
      <xdr:rowOff>69330</xdr:rowOff>
    </xdr:from>
    <xdr:to>
      <xdr:col>8</xdr:col>
      <xdr:colOff>1123327</xdr:colOff>
      <xdr:row>52</xdr:row>
      <xdr:rowOff>115564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2188F20-4AB7-4398-A638-B6FB081B39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919985</xdr:colOff>
      <xdr:row>54</xdr:row>
      <xdr:rowOff>180124</xdr:rowOff>
    </xdr:from>
    <xdr:to>
      <xdr:col>8</xdr:col>
      <xdr:colOff>1050246</xdr:colOff>
      <xdr:row>70</xdr:row>
      <xdr:rowOff>46560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0A2AE3F-DBAB-4C36-858D-6DDD787463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9896</xdr:colOff>
      <xdr:row>106</xdr:row>
      <xdr:rowOff>13854</xdr:rowOff>
    </xdr:from>
    <xdr:to>
      <xdr:col>17</xdr:col>
      <xdr:colOff>623454</xdr:colOff>
      <xdr:row>120</xdr:row>
      <xdr:rowOff>9897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844D623-B986-4B28-8D80-3EBD1102B7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440827</xdr:colOff>
      <xdr:row>106</xdr:row>
      <xdr:rowOff>7556</xdr:rowOff>
    </xdr:from>
    <xdr:to>
      <xdr:col>23</xdr:col>
      <xdr:colOff>157438</xdr:colOff>
      <xdr:row>119</xdr:row>
      <xdr:rowOff>50380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FB29AFB2-0390-4B38-AA79-64444DB7B6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1475440</xdr:colOff>
      <xdr:row>124</xdr:row>
      <xdr:rowOff>10457</xdr:rowOff>
    </xdr:from>
    <xdr:to>
      <xdr:col>8</xdr:col>
      <xdr:colOff>692726</xdr:colOff>
      <xdr:row>137</xdr:row>
      <xdr:rowOff>138546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9410E558-C221-4013-93D5-C89EB29E9A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10903</xdr:colOff>
      <xdr:row>143</xdr:row>
      <xdr:rowOff>162983</xdr:rowOff>
    </xdr:from>
    <xdr:to>
      <xdr:col>8</xdr:col>
      <xdr:colOff>946407</xdr:colOff>
      <xdr:row>158</xdr:row>
      <xdr:rowOff>154517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8C97745F-F3A7-48F5-9783-6647022169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1447400</xdr:colOff>
      <xdr:row>163</xdr:row>
      <xdr:rowOff>157728</xdr:rowOff>
    </xdr:from>
    <xdr:to>
      <xdr:col>8</xdr:col>
      <xdr:colOff>663678</xdr:colOff>
      <xdr:row>178</xdr:row>
      <xdr:rowOff>87389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1E1990B2-EA1D-43F6-A28A-E4829CC0A6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9</xdr:col>
      <xdr:colOff>1033056</xdr:colOff>
      <xdr:row>5</xdr:row>
      <xdr:rowOff>14151</xdr:rowOff>
    </xdr:from>
    <xdr:to>
      <xdr:col>10</xdr:col>
      <xdr:colOff>1134173</xdr:colOff>
      <xdr:row>19</xdr:row>
      <xdr:rowOff>55426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brand">
              <a:extLst>
                <a:ext uri="{FF2B5EF4-FFF2-40B4-BE49-F238E27FC236}">
                  <a16:creationId xmlns:a16="http://schemas.microsoft.com/office/drawing/2014/main" id="{831B8457-26A5-9F97-10B4-EF839CF0968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ran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96608" y="933806"/>
              <a:ext cx="1832554" cy="26163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642983</xdr:colOff>
      <xdr:row>4</xdr:row>
      <xdr:rowOff>169092</xdr:rowOff>
    </xdr:from>
    <xdr:to>
      <xdr:col>13</xdr:col>
      <xdr:colOff>49712</xdr:colOff>
      <xdr:row>16</xdr:row>
      <xdr:rowOff>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category">
              <a:extLst>
                <a:ext uri="{FF2B5EF4-FFF2-40B4-BE49-F238E27FC236}">
                  <a16:creationId xmlns:a16="http://schemas.microsoft.com/office/drawing/2014/main" id="{E787F33E-F8A2-8EE2-77CC-02B695913E8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119466" y="904816"/>
              <a:ext cx="1824108" cy="21015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1044991</xdr:colOff>
      <xdr:row>21</xdr:row>
      <xdr:rowOff>73047</xdr:rowOff>
    </xdr:from>
    <xdr:to>
      <xdr:col>10</xdr:col>
      <xdr:colOff>1142354</xdr:colOff>
      <xdr:row>29</xdr:row>
      <xdr:rowOff>144518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season">
              <a:extLst>
                <a:ext uri="{FF2B5EF4-FFF2-40B4-BE49-F238E27FC236}">
                  <a16:creationId xmlns:a16="http://schemas.microsoft.com/office/drawing/2014/main" id="{B1D958B5-6878-73A7-AC90-7D8ED84A647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as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908543" y="3935599"/>
              <a:ext cx="1828800" cy="15429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663990</xdr:colOff>
      <xdr:row>20</xdr:row>
      <xdr:rowOff>18919</xdr:rowOff>
    </xdr:from>
    <xdr:to>
      <xdr:col>13</xdr:col>
      <xdr:colOff>75411</xdr:colOff>
      <xdr:row>34</xdr:row>
      <xdr:rowOff>25160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color">
              <a:extLst>
                <a:ext uri="{FF2B5EF4-FFF2-40B4-BE49-F238E27FC236}">
                  <a16:creationId xmlns:a16="http://schemas.microsoft.com/office/drawing/2014/main" id="{10E61D28-0CF3-F438-2F59-D16B55B8813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140473" y="3697540"/>
              <a:ext cx="1828800" cy="2581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23</xdr:col>
      <xdr:colOff>304800</xdr:colOff>
      <xdr:row>55</xdr:row>
      <xdr:rowOff>50800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CB6BF9AB-656C-4044-AC50-8518E37822A1}"/>
            </a:ext>
          </a:extLst>
        </xdr:cNvPr>
        <xdr:cNvSpPr>
          <a:spLocks/>
        </xdr:cNvSpPr>
      </xdr:nvSpPr>
      <xdr:spPr>
        <a:xfrm>
          <a:off x="152400" y="0"/>
          <a:ext cx="19625733" cy="105283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</xdr:col>
      <xdr:colOff>21202</xdr:colOff>
      <xdr:row>0</xdr:row>
      <xdr:rowOff>153576</xdr:rowOff>
    </xdr:from>
    <xdr:to>
      <xdr:col>23</xdr:col>
      <xdr:colOff>25556</xdr:colOff>
      <xdr:row>54</xdr:row>
      <xdr:rowOff>111509</xdr:rowOff>
    </xdr:to>
    <xdr:sp macro="" textlink="">
      <xdr:nvSpPr>
        <xdr:cNvPr id="5" name="Rectángulo redondeado 2">
          <a:extLst>
            <a:ext uri="{FF2B5EF4-FFF2-40B4-BE49-F238E27FC236}">
              <a16:creationId xmlns:a16="http://schemas.microsoft.com/office/drawing/2014/main" id="{D2DB9F76-4C1D-45BA-AF43-0002971D3217}"/>
            </a:ext>
          </a:extLst>
        </xdr:cNvPr>
        <xdr:cNvSpPr/>
      </xdr:nvSpPr>
      <xdr:spPr>
        <a:xfrm>
          <a:off x="326002" y="153576"/>
          <a:ext cx="17700897" cy="9755076"/>
        </a:xfrm>
        <a:prstGeom prst="roundRect">
          <a:avLst>
            <a:gd name="adj" fmla="val 7966"/>
          </a:avLst>
        </a:prstGeom>
        <a:solidFill>
          <a:schemeClr val="bg1">
            <a:alpha val="3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1400"/>
        </a:p>
      </xdr:txBody>
    </xdr:sp>
    <xdr:clientData/>
  </xdr:twoCellAnchor>
  <xdr:twoCellAnchor>
    <xdr:from>
      <xdr:col>1</xdr:col>
      <xdr:colOff>32198</xdr:colOff>
      <xdr:row>0</xdr:row>
      <xdr:rowOff>150253</xdr:rowOff>
    </xdr:from>
    <xdr:to>
      <xdr:col>3</xdr:col>
      <xdr:colOff>654937</xdr:colOff>
      <xdr:row>54</xdr:row>
      <xdr:rowOff>105700</xdr:rowOff>
    </xdr:to>
    <xdr:sp macro="" textlink="">
      <xdr:nvSpPr>
        <xdr:cNvPr id="6" name="Redondear rectángulo de esquina del mismo lado 3">
          <a:extLst>
            <a:ext uri="{FF2B5EF4-FFF2-40B4-BE49-F238E27FC236}">
              <a16:creationId xmlns:a16="http://schemas.microsoft.com/office/drawing/2014/main" id="{2F3E0458-09AF-4F17-9635-28F956622802}"/>
            </a:ext>
          </a:extLst>
        </xdr:cNvPr>
        <xdr:cNvSpPr/>
      </xdr:nvSpPr>
      <xdr:spPr>
        <a:xfrm rot="16200000">
          <a:off x="-3465621" y="3948579"/>
          <a:ext cx="9807785" cy="2211133"/>
        </a:xfrm>
        <a:prstGeom prst="round2SameRect">
          <a:avLst>
            <a:gd name="adj1" fmla="val 37046"/>
            <a:gd name="adj2" fmla="val 0"/>
          </a:avLst>
        </a:prstGeom>
        <a:solidFill>
          <a:schemeClr val="bg1">
            <a:alpha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4</xdr:col>
      <xdr:colOff>42224</xdr:colOff>
      <xdr:row>3</xdr:row>
      <xdr:rowOff>55748</xdr:rowOff>
    </xdr:from>
    <xdr:to>
      <xdr:col>7</xdr:col>
      <xdr:colOff>86408</xdr:colOff>
      <xdr:row>8</xdr:row>
      <xdr:rowOff>17568</xdr:rowOff>
    </xdr:to>
    <xdr:sp macro="" textlink="tablas_dinámicas!B4">
      <xdr:nvSpPr>
        <xdr:cNvPr id="7" name="Rectángulo redondeado 4">
          <a:extLst>
            <a:ext uri="{FF2B5EF4-FFF2-40B4-BE49-F238E27FC236}">
              <a16:creationId xmlns:a16="http://schemas.microsoft.com/office/drawing/2014/main" id="{E4DB13C8-7700-4B35-8D49-213706874958}"/>
            </a:ext>
          </a:extLst>
        </xdr:cNvPr>
        <xdr:cNvSpPr/>
      </xdr:nvSpPr>
      <xdr:spPr>
        <a:xfrm>
          <a:off x="2724068" y="590138"/>
          <a:ext cx="2419249" cy="85246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632E740-C0EF-4681-B7EB-3BE8D4E705BA}" type="TxLink">
            <a:rPr lang="en-US" sz="2800" b="0" i="0" u="none" strike="noStrike">
              <a:solidFill>
                <a:sysClr val="windowText" lastClr="000000"/>
              </a:solidFill>
              <a:latin typeface="Aptos Narrow"/>
            </a:rPr>
            <a:pPr algn="ctr"/>
            <a:t>2176</a:t>
          </a:fld>
          <a:endParaRPr lang="es-ES_tradnl" sz="2800" b="0" i="0" u="none" strike="noStrike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4</xdr:col>
      <xdr:colOff>154215</xdr:colOff>
      <xdr:row>2</xdr:row>
      <xdr:rowOff>175327</xdr:rowOff>
    </xdr:from>
    <xdr:to>
      <xdr:col>6</xdr:col>
      <xdr:colOff>459015</xdr:colOff>
      <xdr:row>4</xdr:row>
      <xdr:rowOff>143655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A24722D4-86EC-4159-A96D-3D274825D119}"/>
            </a:ext>
          </a:extLst>
        </xdr:cNvPr>
        <xdr:cNvSpPr txBox="1"/>
      </xdr:nvSpPr>
      <xdr:spPr>
        <a:xfrm>
          <a:off x="2839953" y="537589"/>
          <a:ext cx="1891259" cy="3305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600" b="0">
              <a:solidFill>
                <a:schemeClr val="accent5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Historic" panose="020B0502040204020203" pitchFamily="34" charset="0"/>
            </a:rPr>
            <a:t>Ventas</a:t>
          </a:r>
        </a:p>
      </xdr:txBody>
    </xdr:sp>
    <xdr:clientData/>
  </xdr:twoCellAnchor>
  <xdr:twoCellAnchor>
    <xdr:from>
      <xdr:col>8</xdr:col>
      <xdr:colOff>78014</xdr:colOff>
      <xdr:row>6</xdr:row>
      <xdr:rowOff>83457</xdr:rowOff>
    </xdr:from>
    <xdr:to>
      <xdr:col>9</xdr:col>
      <xdr:colOff>289743</xdr:colOff>
      <xdr:row>7</xdr:row>
      <xdr:rowOff>185057</xdr:rowOff>
    </xdr:to>
    <xdr:sp macro="" textlink="[1]Análisis!D9">
      <xdr:nvSpPr>
        <xdr:cNvPr id="13" name="CuadroTexto 12">
          <a:extLst>
            <a:ext uri="{FF2B5EF4-FFF2-40B4-BE49-F238E27FC236}">
              <a16:creationId xmlns:a16="http://schemas.microsoft.com/office/drawing/2014/main" id="{07E3A693-F672-4392-A573-0F419D8C9FBE}"/>
            </a:ext>
          </a:extLst>
        </xdr:cNvPr>
        <xdr:cNvSpPr txBox="1"/>
      </xdr:nvSpPr>
      <xdr:spPr>
        <a:xfrm>
          <a:off x="6356894" y="1272177"/>
          <a:ext cx="1065169" cy="2997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endParaRPr lang="es-ES_tradnl" sz="16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237950</xdr:colOff>
      <xdr:row>6</xdr:row>
      <xdr:rowOff>121557</xdr:rowOff>
    </xdr:from>
    <xdr:to>
      <xdr:col>12</xdr:col>
      <xdr:colOff>368578</xdr:colOff>
      <xdr:row>7</xdr:row>
      <xdr:rowOff>185057</xdr:rowOff>
    </xdr:to>
    <xdr:sp macro="" textlink="[1]Análisis!G9">
      <xdr:nvSpPr>
        <xdr:cNvPr id="15" name="CuadroTexto 14">
          <a:extLst>
            <a:ext uri="{FF2B5EF4-FFF2-40B4-BE49-F238E27FC236}">
              <a16:creationId xmlns:a16="http://schemas.microsoft.com/office/drawing/2014/main" id="{0661309A-E6B1-4D93-B809-72597971D07A}"/>
            </a:ext>
          </a:extLst>
        </xdr:cNvPr>
        <xdr:cNvSpPr txBox="1"/>
      </xdr:nvSpPr>
      <xdr:spPr>
        <a:xfrm>
          <a:off x="9077150" y="1310277"/>
          <a:ext cx="984068" cy="261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endParaRPr lang="es-ES_tradnl" sz="16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416866</xdr:colOff>
      <xdr:row>6</xdr:row>
      <xdr:rowOff>70757</xdr:rowOff>
    </xdr:from>
    <xdr:to>
      <xdr:col>15</xdr:col>
      <xdr:colOff>454966</xdr:colOff>
      <xdr:row>7</xdr:row>
      <xdr:rowOff>185057</xdr:rowOff>
    </xdr:to>
    <xdr:sp macro="" textlink="[1]Análisis!J9">
      <xdr:nvSpPr>
        <xdr:cNvPr id="17" name="CuadroTexto 16">
          <a:extLst>
            <a:ext uri="{FF2B5EF4-FFF2-40B4-BE49-F238E27FC236}">
              <a16:creationId xmlns:a16="http://schemas.microsoft.com/office/drawing/2014/main" id="{1EF9D299-00D7-4264-ABCB-ACDCC91337B9}"/>
            </a:ext>
          </a:extLst>
        </xdr:cNvPr>
        <xdr:cNvSpPr txBox="1"/>
      </xdr:nvSpPr>
      <xdr:spPr>
        <a:xfrm>
          <a:off x="12090706" y="1259477"/>
          <a:ext cx="800100" cy="312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endParaRPr lang="es-ES_tradnl" sz="16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57385</xdr:colOff>
      <xdr:row>32</xdr:row>
      <xdr:rowOff>174167</xdr:rowOff>
    </xdr:from>
    <xdr:to>
      <xdr:col>17</xdr:col>
      <xdr:colOff>477285</xdr:colOff>
      <xdr:row>38</xdr:row>
      <xdr:rowOff>132167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256F627D-1D02-463D-B34D-D67BD5F78D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272145</xdr:colOff>
      <xdr:row>24</xdr:row>
      <xdr:rowOff>132439</xdr:rowOff>
    </xdr:from>
    <xdr:to>
      <xdr:col>17</xdr:col>
      <xdr:colOff>743860</xdr:colOff>
      <xdr:row>26</xdr:row>
      <xdr:rowOff>29025</xdr:rowOff>
    </xdr:to>
    <xdr:sp macro="" textlink="[1]Análisis!BG9">
      <xdr:nvSpPr>
        <xdr:cNvPr id="46" name="CuadroTexto 45">
          <a:extLst>
            <a:ext uri="{FF2B5EF4-FFF2-40B4-BE49-F238E27FC236}">
              <a16:creationId xmlns:a16="http://schemas.microsoft.com/office/drawing/2014/main" id="{DBF78273-A7E5-43FC-9BE4-85F29CD9A251}"/>
            </a:ext>
          </a:extLst>
        </xdr:cNvPr>
        <xdr:cNvSpPr txBox="1"/>
      </xdr:nvSpPr>
      <xdr:spPr>
        <a:xfrm>
          <a:off x="14277705" y="4887319"/>
          <a:ext cx="471715" cy="292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ES_tradnl" sz="1200"/>
        </a:p>
      </xdr:txBody>
    </xdr:sp>
    <xdr:clientData/>
  </xdr:twoCellAnchor>
  <xdr:twoCellAnchor>
    <xdr:from>
      <xdr:col>17</xdr:col>
      <xdr:colOff>286659</xdr:colOff>
      <xdr:row>35</xdr:row>
      <xdr:rowOff>192310</xdr:rowOff>
    </xdr:from>
    <xdr:to>
      <xdr:col>17</xdr:col>
      <xdr:colOff>758374</xdr:colOff>
      <xdr:row>37</xdr:row>
      <xdr:rowOff>92525</xdr:rowOff>
    </xdr:to>
    <xdr:sp macro="" textlink="[1]Análisis!BM9">
      <xdr:nvSpPr>
        <xdr:cNvPr id="51" name="CuadroTexto 50">
          <a:extLst>
            <a:ext uri="{FF2B5EF4-FFF2-40B4-BE49-F238E27FC236}">
              <a16:creationId xmlns:a16="http://schemas.microsoft.com/office/drawing/2014/main" id="{1B366B0B-3C2A-4E06-8B32-F1DB0F1AE08D}"/>
            </a:ext>
          </a:extLst>
        </xdr:cNvPr>
        <xdr:cNvSpPr txBox="1"/>
      </xdr:nvSpPr>
      <xdr:spPr>
        <a:xfrm>
          <a:off x="14292219" y="7126510"/>
          <a:ext cx="471715" cy="2964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ES_tradnl" sz="1200"/>
        </a:p>
      </xdr:txBody>
    </xdr:sp>
    <xdr:clientData/>
  </xdr:twoCellAnchor>
  <xdr:twoCellAnchor>
    <xdr:from>
      <xdr:col>17</xdr:col>
      <xdr:colOff>723902</xdr:colOff>
      <xdr:row>19</xdr:row>
      <xdr:rowOff>185053</xdr:rowOff>
    </xdr:from>
    <xdr:to>
      <xdr:col>18</xdr:col>
      <xdr:colOff>370117</xdr:colOff>
      <xdr:row>21</xdr:row>
      <xdr:rowOff>85267</xdr:rowOff>
    </xdr:to>
    <xdr:sp macro="" textlink="[1]Análisis!BE9">
      <xdr:nvSpPr>
        <xdr:cNvPr id="54" name="CuadroTexto 53">
          <a:extLst>
            <a:ext uri="{FF2B5EF4-FFF2-40B4-BE49-F238E27FC236}">
              <a16:creationId xmlns:a16="http://schemas.microsoft.com/office/drawing/2014/main" id="{6BE4C75C-33CE-429B-AB61-D634A1A8291E}"/>
            </a:ext>
          </a:extLst>
        </xdr:cNvPr>
        <xdr:cNvSpPr txBox="1"/>
      </xdr:nvSpPr>
      <xdr:spPr>
        <a:xfrm>
          <a:off x="14729462" y="3949333"/>
          <a:ext cx="499655" cy="2964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endParaRPr lang="es-ES_tradnl" sz="1400" b="0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78921</xdr:colOff>
      <xdr:row>5</xdr:row>
      <xdr:rowOff>2358</xdr:rowOff>
    </xdr:from>
    <xdr:to>
      <xdr:col>3</xdr:col>
      <xdr:colOff>499672</xdr:colOff>
      <xdr:row>17</xdr:row>
      <xdr:rowOff>50800</xdr:rowOff>
    </xdr:to>
    <xdr:sp macro="" textlink="'tablas_dinámicas (2)'!Q2">
      <xdr:nvSpPr>
        <xdr:cNvPr id="56" name="CuadroTexto 55">
          <a:extLst>
            <a:ext uri="{FF2B5EF4-FFF2-40B4-BE49-F238E27FC236}">
              <a16:creationId xmlns:a16="http://schemas.microsoft.com/office/drawing/2014/main" id="{E6468997-3F7F-45FF-BEEB-FC5FFAC2B9E3}"/>
            </a:ext>
          </a:extLst>
        </xdr:cNvPr>
        <xdr:cNvSpPr txBox="1"/>
      </xdr:nvSpPr>
      <xdr:spPr>
        <a:xfrm>
          <a:off x="384970" y="908014"/>
          <a:ext cx="2007210" cy="2222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7D79F30-4E5A-421B-AB1F-06AF2665974E}" type="TxLink">
            <a:rPr lang="en-US" sz="3000" b="1" i="0" u="none" strike="noStrike">
              <a:solidFill>
                <a:schemeClr val="accent5"/>
              </a:solidFill>
              <a:latin typeface="+mj-lt"/>
              <a:ea typeface="Segoe UI Symbol" panose="020B0502040204020203" pitchFamily="34" charset="0"/>
              <a:cs typeface="Segoe UI Historic" panose="020B0502040204020203" pitchFamily="34" charset="0"/>
            </a:rPr>
            <a:pPr algn="ctr"/>
            <a:t>Análisis Ingresos Fashion Boutique</a:t>
          </a:fld>
          <a:endParaRPr lang="es-ES_tradnl" sz="3000" b="1">
            <a:solidFill>
              <a:schemeClr val="accent5"/>
            </a:solidFill>
            <a:latin typeface="+mj-lt"/>
            <a:ea typeface="Segoe UI Symbol" panose="020B0502040204020203" pitchFamily="34" charset="0"/>
            <a:cs typeface="Segoe UI Historic" panose="020B0502040204020203" pitchFamily="34" charset="0"/>
          </a:endParaRPr>
        </a:p>
      </xdr:txBody>
    </xdr:sp>
    <xdr:clientData/>
  </xdr:twoCellAnchor>
  <xdr:twoCellAnchor>
    <xdr:from>
      <xdr:col>7</xdr:col>
      <xdr:colOff>698308</xdr:colOff>
      <xdr:row>3</xdr:row>
      <xdr:rowOff>52385</xdr:rowOff>
    </xdr:from>
    <xdr:to>
      <xdr:col>10</xdr:col>
      <xdr:colOff>742491</xdr:colOff>
      <xdr:row>8</xdr:row>
      <xdr:rowOff>14205</xdr:rowOff>
    </xdr:to>
    <xdr:sp macro="" textlink="tablas_dinámicas!F4">
      <xdr:nvSpPr>
        <xdr:cNvPr id="59" name="Rectángulo redondeado 4">
          <a:extLst>
            <a:ext uri="{FF2B5EF4-FFF2-40B4-BE49-F238E27FC236}">
              <a16:creationId xmlns:a16="http://schemas.microsoft.com/office/drawing/2014/main" id="{EC1CED47-8B1A-4A34-974F-764A8E4FF039}"/>
            </a:ext>
          </a:extLst>
        </xdr:cNvPr>
        <xdr:cNvSpPr/>
      </xdr:nvSpPr>
      <xdr:spPr>
        <a:xfrm>
          <a:off x="5755217" y="586775"/>
          <a:ext cx="2419248" cy="85246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EDAF511-40EC-4FD3-A3A8-0D19FBF46BC3}" type="TxLink">
            <a:rPr lang="en-US" sz="2800" b="0" i="0" u="none" strike="noStrike">
              <a:solidFill>
                <a:sysClr val="windowText" lastClr="000000"/>
              </a:solidFill>
              <a:latin typeface="Aptos Narrow"/>
              <a:cs typeface="Algerian" panose="020F0502020204030204" pitchFamily="34" charset="0"/>
            </a:rPr>
            <a:pPr algn="ctr"/>
            <a:t> 159.502,63 € </a:t>
          </a:fld>
          <a:endParaRPr lang="es-ES_tradnl" sz="2800" b="0">
            <a:solidFill>
              <a:sysClr val="windowText" lastClr="000000"/>
            </a:solidFill>
            <a:latin typeface="+mn-lt"/>
            <a:cs typeface="Algerian" panose="020F0502020204030204" pitchFamily="34" charset="0"/>
          </a:endParaRPr>
        </a:p>
      </xdr:txBody>
    </xdr:sp>
    <xdr:clientData/>
  </xdr:twoCellAnchor>
  <xdr:twoCellAnchor>
    <xdr:from>
      <xdr:col>15</xdr:col>
      <xdr:colOff>157982</xdr:colOff>
      <xdr:row>3</xdr:row>
      <xdr:rowOff>48527</xdr:rowOff>
    </xdr:from>
    <xdr:to>
      <xdr:col>18</xdr:col>
      <xdr:colOff>225182</xdr:colOff>
      <xdr:row>8</xdr:row>
      <xdr:rowOff>10347</xdr:rowOff>
    </xdr:to>
    <xdr:sp macro="" textlink="tablas_dinámicas!J4">
      <xdr:nvSpPr>
        <xdr:cNvPr id="60" name="Rectángulo redondeado 4">
          <a:extLst>
            <a:ext uri="{FF2B5EF4-FFF2-40B4-BE49-F238E27FC236}">
              <a16:creationId xmlns:a16="http://schemas.microsoft.com/office/drawing/2014/main" id="{093B4982-67CC-44CD-B95E-79B29E1B441F}"/>
            </a:ext>
          </a:extLst>
        </xdr:cNvPr>
        <xdr:cNvSpPr/>
      </xdr:nvSpPr>
      <xdr:spPr>
        <a:xfrm>
          <a:off x="11855177" y="582917"/>
          <a:ext cx="2432369" cy="85246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2A85DC0-6CAD-4D44-8B07-9BDA9BFFD575}" type="TxLink">
            <a:rPr lang="en-US" sz="2800" b="0" i="0" u="none" strike="noStrike">
              <a:solidFill>
                <a:sysClr val="windowText" lastClr="000000"/>
              </a:solidFill>
              <a:latin typeface="Aptos Narrow"/>
              <a:cs typeface="Algerian" panose="020F0502020204030204" pitchFamily="34" charset="0"/>
            </a:rPr>
            <a:pPr algn="ctr"/>
            <a:t> 73,30 € </a:t>
          </a:fld>
          <a:endParaRPr lang="es-ES_tradnl" sz="2800" b="0">
            <a:solidFill>
              <a:sysClr val="windowText" lastClr="000000"/>
            </a:solidFill>
            <a:latin typeface="+mn-lt"/>
            <a:cs typeface="Algerian" panose="020F0502020204030204" pitchFamily="34" charset="0"/>
          </a:endParaRPr>
        </a:p>
      </xdr:txBody>
    </xdr:sp>
    <xdr:clientData/>
  </xdr:twoCellAnchor>
  <xdr:twoCellAnchor>
    <xdr:from>
      <xdr:col>11</xdr:col>
      <xdr:colOff>576267</xdr:colOff>
      <xdr:row>3</xdr:row>
      <xdr:rowOff>49865</xdr:rowOff>
    </xdr:from>
    <xdr:to>
      <xdr:col>14</xdr:col>
      <xdr:colOff>288908</xdr:colOff>
      <xdr:row>8</xdr:row>
      <xdr:rowOff>11685</xdr:rowOff>
    </xdr:to>
    <xdr:sp macro="" textlink="tablas_dinámicas!H4">
      <xdr:nvSpPr>
        <xdr:cNvPr id="61" name="Rectángulo redondeado 4">
          <a:extLst>
            <a:ext uri="{FF2B5EF4-FFF2-40B4-BE49-F238E27FC236}">
              <a16:creationId xmlns:a16="http://schemas.microsoft.com/office/drawing/2014/main" id="{9FA1E24D-9578-434A-AD42-9E79E0FFD5BE}"/>
            </a:ext>
          </a:extLst>
        </xdr:cNvPr>
        <xdr:cNvSpPr/>
      </xdr:nvSpPr>
      <xdr:spPr>
        <a:xfrm>
          <a:off x="8799929" y="584255"/>
          <a:ext cx="2424174" cy="85246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1169E4D-B4CF-44CC-9972-04815C63F754}" type="TxLink">
            <a:rPr lang="en-US" sz="2800" b="0" i="0" u="none" strike="noStrike">
              <a:solidFill>
                <a:sysClr val="windowText" lastClr="000000"/>
              </a:solidFill>
              <a:latin typeface="Aptos Narrow"/>
              <a:cs typeface="Algerian" panose="020F0502020204030204" pitchFamily="34" charset="0"/>
            </a:rPr>
            <a:pPr algn="ctr"/>
            <a:t>14,71%</a:t>
          </a:fld>
          <a:endParaRPr lang="es-ES_tradnl" sz="2800" b="0">
            <a:solidFill>
              <a:sysClr val="windowText" lastClr="000000"/>
            </a:solidFill>
            <a:latin typeface="+mn-lt"/>
            <a:cs typeface="Algerian" panose="020F0502020204030204" pitchFamily="34" charset="0"/>
          </a:endParaRPr>
        </a:p>
      </xdr:txBody>
    </xdr:sp>
    <xdr:clientData/>
  </xdr:twoCellAnchor>
  <xdr:twoCellAnchor>
    <xdr:from>
      <xdr:col>15</xdr:col>
      <xdr:colOff>278019</xdr:colOff>
      <xdr:row>3</xdr:row>
      <xdr:rowOff>6632</xdr:rowOff>
    </xdr:from>
    <xdr:to>
      <xdr:col>17</xdr:col>
      <xdr:colOff>600706</xdr:colOff>
      <xdr:row>5</xdr:row>
      <xdr:rowOff>160867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913B1F72-D401-4342-9568-523CFB5A9DAD}"/>
            </a:ext>
          </a:extLst>
        </xdr:cNvPr>
        <xdr:cNvSpPr txBox="1"/>
      </xdr:nvSpPr>
      <xdr:spPr>
        <a:xfrm>
          <a:off x="12021286" y="565432"/>
          <a:ext cx="1897487" cy="5267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600" b="0">
              <a:solidFill>
                <a:schemeClr val="accent5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Historic" panose="020B0502040204020203" pitchFamily="34" charset="0"/>
            </a:rPr>
            <a:t>Ticket Promedio </a:t>
          </a:r>
        </a:p>
      </xdr:txBody>
    </xdr:sp>
    <xdr:clientData/>
  </xdr:twoCellAnchor>
  <xdr:twoCellAnchor>
    <xdr:from>
      <xdr:col>11</xdr:col>
      <xdr:colOff>669313</xdr:colOff>
      <xdr:row>3</xdr:row>
      <xdr:rowOff>4537</xdr:rowOff>
    </xdr:from>
    <xdr:to>
      <xdr:col>13</xdr:col>
      <xdr:colOff>974112</xdr:colOff>
      <xdr:row>9</xdr:row>
      <xdr:rowOff>33867</xdr:rowOff>
    </xdr:to>
    <xdr:sp macro="" textlink="">
      <xdr:nvSpPr>
        <xdr:cNvPr id="71" name="CuadroTexto 70">
          <a:extLst>
            <a:ext uri="{FF2B5EF4-FFF2-40B4-BE49-F238E27FC236}">
              <a16:creationId xmlns:a16="http://schemas.microsoft.com/office/drawing/2014/main" id="{634B1368-36E5-4F61-9CB7-556D925E08AC}"/>
            </a:ext>
          </a:extLst>
        </xdr:cNvPr>
        <xdr:cNvSpPr txBox="1"/>
      </xdr:nvSpPr>
      <xdr:spPr>
        <a:xfrm>
          <a:off x="8932780" y="563337"/>
          <a:ext cx="1896532" cy="11469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600" b="0">
              <a:solidFill>
                <a:schemeClr val="accent5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Historic" panose="020B0502040204020203" pitchFamily="34" charset="0"/>
            </a:rPr>
            <a:t>Tasa</a:t>
          </a:r>
          <a:r>
            <a:rPr lang="es-ES_tradnl" sz="1600" b="0" baseline="0">
              <a:solidFill>
                <a:schemeClr val="accent5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Historic" panose="020B0502040204020203" pitchFamily="34" charset="0"/>
            </a:rPr>
            <a:t> Devolución</a:t>
          </a:r>
          <a:endParaRPr lang="es-ES_tradnl" sz="1600" b="0">
            <a:solidFill>
              <a:schemeClr val="accent5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Historic" panose="020B0502040204020203" pitchFamily="34" charset="0"/>
          </a:endParaRPr>
        </a:p>
      </xdr:txBody>
    </xdr:sp>
    <xdr:clientData/>
  </xdr:twoCellAnchor>
  <xdr:twoCellAnchor>
    <xdr:from>
      <xdr:col>8</xdr:col>
      <xdr:colOff>26691</xdr:colOff>
      <xdr:row>3</xdr:row>
      <xdr:rowOff>2841</xdr:rowOff>
    </xdr:from>
    <xdr:to>
      <xdr:col>10</xdr:col>
      <xdr:colOff>332956</xdr:colOff>
      <xdr:row>5</xdr:row>
      <xdr:rowOff>124917</xdr:rowOff>
    </xdr:to>
    <xdr:sp macro="" textlink="">
      <xdr:nvSpPr>
        <xdr:cNvPr id="72" name="CuadroTexto 71">
          <a:extLst>
            <a:ext uri="{FF2B5EF4-FFF2-40B4-BE49-F238E27FC236}">
              <a16:creationId xmlns:a16="http://schemas.microsoft.com/office/drawing/2014/main" id="{6003CAA4-E824-4B6A-A72D-299D5FCF1520}"/>
            </a:ext>
          </a:extLst>
        </xdr:cNvPr>
        <xdr:cNvSpPr txBox="1"/>
      </xdr:nvSpPr>
      <xdr:spPr>
        <a:xfrm>
          <a:off x="5885347" y="546234"/>
          <a:ext cx="1892724" cy="4843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600" b="0">
              <a:solidFill>
                <a:schemeClr val="accent5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Historic" panose="020B0502040204020203" pitchFamily="34" charset="0"/>
            </a:rPr>
            <a:t>Ingresos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693420</xdr:colOff>
          <xdr:row>2</xdr:row>
          <xdr:rowOff>152400</xdr:rowOff>
        </xdr:from>
        <xdr:to>
          <xdr:col>21</xdr:col>
          <xdr:colOff>670560</xdr:colOff>
          <xdr:row>4</xdr:row>
          <xdr:rowOff>137160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Aptos Narrow"/>
                </a:rPr>
                <a:t>Ingresos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701040</xdr:colOff>
          <xdr:row>5</xdr:row>
          <xdr:rowOff>76200</xdr:rowOff>
        </xdr:from>
        <xdr:to>
          <xdr:col>21</xdr:col>
          <xdr:colOff>670560</xdr:colOff>
          <xdr:row>7</xdr:row>
          <xdr:rowOff>53340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Aptos Narrow"/>
                </a:rPr>
                <a:t>Ventas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268941</xdr:colOff>
      <xdr:row>11</xdr:row>
      <xdr:rowOff>95981</xdr:rowOff>
    </xdr:from>
    <xdr:to>
      <xdr:col>10</xdr:col>
      <xdr:colOff>621927</xdr:colOff>
      <xdr:row>23</xdr:row>
      <xdr:rowOff>138123</xdr:rowOff>
    </xdr:to>
    <xdr:grpSp>
      <xdr:nvGrpSpPr>
        <xdr:cNvPr id="88" name="Grupo 87">
          <a:extLst>
            <a:ext uri="{FF2B5EF4-FFF2-40B4-BE49-F238E27FC236}">
              <a16:creationId xmlns:a16="http://schemas.microsoft.com/office/drawing/2014/main" id="{C99A3A75-38BD-3598-3786-196A3194A1C7}"/>
            </a:ext>
          </a:extLst>
        </xdr:cNvPr>
        <xdr:cNvGrpSpPr/>
      </xdr:nvGrpSpPr>
      <xdr:grpSpPr>
        <a:xfrm>
          <a:off x="2935941" y="2123884"/>
          <a:ext cx="5072470" cy="2254400"/>
          <a:chOff x="2941544" y="1994649"/>
          <a:chExt cx="5093074" cy="2263586"/>
        </a:xfrm>
      </xdr:grpSpPr>
      <xdr:sp macro="" textlink="">
        <xdr:nvSpPr>
          <xdr:cNvPr id="78" name="Rectángulo: esquinas redondeadas 77">
            <a:extLst>
              <a:ext uri="{FF2B5EF4-FFF2-40B4-BE49-F238E27FC236}">
                <a16:creationId xmlns:a16="http://schemas.microsoft.com/office/drawing/2014/main" id="{FD3CFF8A-7CD5-B294-F2AB-E84996AB4559}"/>
              </a:ext>
            </a:extLst>
          </xdr:cNvPr>
          <xdr:cNvSpPr/>
        </xdr:nvSpPr>
        <xdr:spPr>
          <a:xfrm>
            <a:off x="2941544" y="1994649"/>
            <a:ext cx="5093074" cy="2263586"/>
          </a:xfrm>
          <a:prstGeom prst="roundRect">
            <a:avLst/>
          </a:prstGeom>
          <a:solidFill>
            <a:schemeClr val="accent5">
              <a:lumMod val="40000"/>
              <a:lumOff val="60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aphicFrame macro="">
        <xdr:nvGraphicFramePr>
          <xdr:cNvPr id="73" name="Gráfico 72">
            <a:extLst>
              <a:ext uri="{FF2B5EF4-FFF2-40B4-BE49-F238E27FC236}">
                <a16:creationId xmlns:a16="http://schemas.microsoft.com/office/drawing/2014/main" id="{87FA1F72-CE4C-4D60-838E-65C091C5092A}"/>
              </a:ext>
            </a:extLst>
          </xdr:cNvPr>
          <xdr:cNvGraphicFramePr>
            <a:graphicFrameLocks/>
          </xdr:cNvGraphicFramePr>
        </xdr:nvGraphicFramePr>
        <xdr:xfrm>
          <a:off x="3145932" y="2267941"/>
          <a:ext cx="4683201" cy="18972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tablas_dinámicas (2)'!R2">
        <xdr:nvSpPr>
          <xdr:cNvPr id="80" name="CuadroTexto 79">
            <a:extLst>
              <a:ext uri="{FF2B5EF4-FFF2-40B4-BE49-F238E27FC236}">
                <a16:creationId xmlns:a16="http://schemas.microsoft.com/office/drawing/2014/main" id="{65CF4EF0-F99F-9288-BD2D-00C1C99FB511}"/>
              </a:ext>
            </a:extLst>
          </xdr:cNvPr>
          <xdr:cNvSpPr txBox="1"/>
        </xdr:nvSpPr>
        <xdr:spPr>
          <a:xfrm>
            <a:off x="3124316" y="2008623"/>
            <a:ext cx="1435650" cy="2490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F141F569-9902-4C76-8BC7-B7310218C784}" type="TxLink">
              <a:rPr lang="en-US" sz="1100" b="1" i="0" u="none" strike="noStrike">
                <a:solidFill>
                  <a:srgbClr val="000000"/>
                </a:solidFill>
                <a:latin typeface="Aptos Narrow"/>
              </a:rPr>
              <a:pPr/>
              <a:t>Ingresos por Marca</a:t>
            </a:fld>
            <a:endParaRPr lang="es-ES" sz="1100" b="1"/>
          </a:p>
        </xdr:txBody>
      </xdr:sp>
    </xdr:grpSp>
    <xdr:clientData/>
  </xdr:twoCellAnchor>
  <xdr:twoCellAnchor>
    <xdr:from>
      <xdr:col>11</xdr:col>
      <xdr:colOff>197654</xdr:colOff>
      <xdr:row>11</xdr:row>
      <xdr:rowOff>95979</xdr:rowOff>
    </xdr:from>
    <xdr:to>
      <xdr:col>17</xdr:col>
      <xdr:colOff>281000</xdr:colOff>
      <xdr:row>23</xdr:row>
      <xdr:rowOff>146007</xdr:rowOff>
    </xdr:to>
    <xdr:grpSp>
      <xdr:nvGrpSpPr>
        <xdr:cNvPr id="89" name="Grupo 88">
          <a:extLst>
            <a:ext uri="{FF2B5EF4-FFF2-40B4-BE49-F238E27FC236}">
              <a16:creationId xmlns:a16="http://schemas.microsoft.com/office/drawing/2014/main" id="{B5423000-998D-C5F7-1C54-DFD32EA26E70}"/>
            </a:ext>
          </a:extLst>
        </xdr:cNvPr>
        <xdr:cNvGrpSpPr/>
      </xdr:nvGrpSpPr>
      <xdr:grpSpPr>
        <a:xfrm>
          <a:off x="8370719" y="2123882"/>
          <a:ext cx="5122378" cy="2262286"/>
          <a:chOff x="9345707" y="1994646"/>
          <a:chExt cx="4700867" cy="2218765"/>
        </a:xfrm>
      </xdr:grpSpPr>
      <xdr:sp macro="" textlink="">
        <xdr:nvSpPr>
          <xdr:cNvPr id="81" name="Rectángulo: esquinas redondeadas 80">
            <a:extLst>
              <a:ext uri="{FF2B5EF4-FFF2-40B4-BE49-F238E27FC236}">
                <a16:creationId xmlns:a16="http://schemas.microsoft.com/office/drawing/2014/main" id="{70939182-7F21-4AEA-A2FC-32B4794DA8EA}"/>
              </a:ext>
            </a:extLst>
          </xdr:cNvPr>
          <xdr:cNvSpPr/>
        </xdr:nvSpPr>
        <xdr:spPr>
          <a:xfrm>
            <a:off x="9345707" y="1994646"/>
            <a:ext cx="4700867" cy="2218765"/>
          </a:xfrm>
          <a:prstGeom prst="roundRect">
            <a:avLst/>
          </a:prstGeom>
          <a:solidFill>
            <a:schemeClr val="accent5">
              <a:lumMod val="40000"/>
              <a:lumOff val="60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aphicFrame macro="">
        <xdr:nvGraphicFramePr>
          <xdr:cNvPr id="74" name="Gráfico 73">
            <a:extLst>
              <a:ext uri="{FF2B5EF4-FFF2-40B4-BE49-F238E27FC236}">
                <a16:creationId xmlns:a16="http://schemas.microsoft.com/office/drawing/2014/main" id="{7C764A35-CE40-4571-8FB6-5C9CD6B53D63}"/>
              </a:ext>
            </a:extLst>
          </xdr:cNvPr>
          <xdr:cNvGraphicFramePr>
            <a:graphicFrameLocks/>
          </xdr:cNvGraphicFramePr>
        </xdr:nvGraphicFramePr>
        <xdr:xfrm>
          <a:off x="9507278" y="2244341"/>
          <a:ext cx="4386628" cy="18653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'tablas_dinámicas (2)'!S2">
        <xdr:nvSpPr>
          <xdr:cNvPr id="82" name="CuadroTexto 81">
            <a:extLst>
              <a:ext uri="{FF2B5EF4-FFF2-40B4-BE49-F238E27FC236}">
                <a16:creationId xmlns:a16="http://schemas.microsoft.com/office/drawing/2014/main" id="{6D73DF31-D736-44A1-9B3B-4FB3EBE1049F}"/>
              </a:ext>
            </a:extLst>
          </xdr:cNvPr>
          <xdr:cNvSpPr txBox="1"/>
        </xdr:nvSpPr>
        <xdr:spPr>
          <a:xfrm>
            <a:off x="9486742" y="2008771"/>
            <a:ext cx="1916369" cy="2490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80776B9-5F52-4E34-B35E-0810057B8CA4}" type="TxLink">
              <a:rPr lang="en-US" sz="1100" b="1" i="0" u="none" strike="noStrike">
                <a:solidFill>
                  <a:srgbClr val="000000"/>
                </a:solidFill>
                <a:latin typeface="Aptos Narrow"/>
              </a:rPr>
              <a:pPr/>
              <a:t>Ingresos por Categoría</a:t>
            </a:fld>
            <a:endParaRPr lang="es-ES" sz="1100" b="1"/>
          </a:p>
        </xdr:txBody>
      </xdr:sp>
    </xdr:grpSp>
    <xdr:clientData/>
  </xdr:twoCellAnchor>
  <xdr:twoCellAnchor>
    <xdr:from>
      <xdr:col>4</xdr:col>
      <xdr:colOff>262991</xdr:colOff>
      <xdr:row>25</xdr:row>
      <xdr:rowOff>24488</xdr:rowOff>
    </xdr:from>
    <xdr:to>
      <xdr:col>10</xdr:col>
      <xdr:colOff>620389</xdr:colOff>
      <xdr:row>37</xdr:row>
      <xdr:rowOff>64950</xdr:rowOff>
    </xdr:to>
    <xdr:grpSp>
      <xdr:nvGrpSpPr>
        <xdr:cNvPr id="90" name="Grupo 89">
          <a:extLst>
            <a:ext uri="{FF2B5EF4-FFF2-40B4-BE49-F238E27FC236}">
              <a16:creationId xmlns:a16="http://schemas.microsoft.com/office/drawing/2014/main" id="{2235FF05-0C81-DB23-5D58-183F01DBE0F2}"/>
            </a:ext>
          </a:extLst>
        </xdr:cNvPr>
        <xdr:cNvGrpSpPr/>
      </xdr:nvGrpSpPr>
      <xdr:grpSpPr>
        <a:xfrm>
          <a:off x="2929991" y="4633359"/>
          <a:ext cx="5076882" cy="2252720"/>
          <a:chOff x="3459345" y="4619204"/>
          <a:chExt cx="3708850" cy="2441097"/>
        </a:xfrm>
      </xdr:grpSpPr>
      <xdr:sp macro="" textlink="">
        <xdr:nvSpPr>
          <xdr:cNvPr id="83" name="Rectángulo: esquinas redondeadas 82">
            <a:extLst>
              <a:ext uri="{FF2B5EF4-FFF2-40B4-BE49-F238E27FC236}">
                <a16:creationId xmlns:a16="http://schemas.microsoft.com/office/drawing/2014/main" id="{90060214-DEE5-48B2-8124-32BA4D37E285}"/>
              </a:ext>
            </a:extLst>
          </xdr:cNvPr>
          <xdr:cNvSpPr/>
        </xdr:nvSpPr>
        <xdr:spPr>
          <a:xfrm>
            <a:off x="3459345" y="4619204"/>
            <a:ext cx="3708850" cy="2441097"/>
          </a:xfrm>
          <a:prstGeom prst="roundRect">
            <a:avLst/>
          </a:prstGeom>
          <a:solidFill>
            <a:schemeClr val="accent5">
              <a:lumMod val="40000"/>
              <a:lumOff val="60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aphicFrame macro="">
        <xdr:nvGraphicFramePr>
          <xdr:cNvPr id="76" name="Gráfico 75">
            <a:extLst>
              <a:ext uri="{FF2B5EF4-FFF2-40B4-BE49-F238E27FC236}">
                <a16:creationId xmlns:a16="http://schemas.microsoft.com/office/drawing/2014/main" id="{7C632C84-6E34-4C17-89CB-4DF93532B723}"/>
              </a:ext>
            </a:extLst>
          </xdr:cNvPr>
          <xdr:cNvGraphicFramePr>
            <a:graphicFrameLocks/>
          </xdr:cNvGraphicFramePr>
        </xdr:nvGraphicFramePr>
        <xdr:xfrm>
          <a:off x="3609514" y="4905529"/>
          <a:ext cx="3401234" cy="20333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'tablas_dinámicas (2)'!T2">
        <xdr:nvSpPr>
          <xdr:cNvPr id="87" name="CuadroTexto 86">
            <a:extLst>
              <a:ext uri="{FF2B5EF4-FFF2-40B4-BE49-F238E27FC236}">
                <a16:creationId xmlns:a16="http://schemas.microsoft.com/office/drawing/2014/main" id="{DDD6DEAD-EF4C-473C-AA11-C8E334614BEF}"/>
              </a:ext>
            </a:extLst>
          </xdr:cNvPr>
          <xdr:cNvSpPr txBox="1"/>
        </xdr:nvSpPr>
        <xdr:spPr>
          <a:xfrm>
            <a:off x="3635624" y="4631754"/>
            <a:ext cx="1447054" cy="243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2DFA0BD-5704-4134-BBBF-B5840891809B}" type="TxLink">
              <a:rPr lang="en-US" sz="1100" b="1" i="0" u="none" strike="noStrike">
                <a:solidFill>
                  <a:srgbClr val="000000"/>
                </a:solidFill>
                <a:latin typeface="Aptos Narrow"/>
              </a:rPr>
              <a:pPr/>
              <a:t>Ingresos por Color</a:t>
            </a:fld>
            <a:endParaRPr lang="es-ES" sz="1100" b="1"/>
          </a:p>
        </xdr:txBody>
      </xdr:sp>
    </xdr:grpSp>
    <xdr:clientData/>
  </xdr:twoCellAnchor>
  <xdr:twoCellAnchor>
    <xdr:from>
      <xdr:col>11</xdr:col>
      <xdr:colOff>189538</xdr:colOff>
      <xdr:row>25</xdr:row>
      <xdr:rowOff>27225</xdr:rowOff>
    </xdr:from>
    <xdr:to>
      <xdr:col>17</xdr:col>
      <xdr:colOff>276825</xdr:colOff>
      <xdr:row>37</xdr:row>
      <xdr:rowOff>80452</xdr:rowOff>
    </xdr:to>
    <xdr:grpSp>
      <xdr:nvGrpSpPr>
        <xdr:cNvPr id="91" name="Grupo 90">
          <a:extLst>
            <a:ext uri="{FF2B5EF4-FFF2-40B4-BE49-F238E27FC236}">
              <a16:creationId xmlns:a16="http://schemas.microsoft.com/office/drawing/2014/main" id="{B40B402A-0326-F64E-09BC-664BBDA50810}"/>
            </a:ext>
          </a:extLst>
        </xdr:cNvPr>
        <xdr:cNvGrpSpPr/>
      </xdr:nvGrpSpPr>
      <xdr:grpSpPr>
        <a:xfrm>
          <a:off x="8362603" y="4636096"/>
          <a:ext cx="5126319" cy="2265485"/>
          <a:chOff x="7076676" y="4338702"/>
          <a:chExt cx="5164260" cy="2449391"/>
        </a:xfrm>
      </xdr:grpSpPr>
      <xdr:sp macro="" textlink="">
        <xdr:nvSpPr>
          <xdr:cNvPr id="84" name="Rectángulo: esquinas redondeadas 83">
            <a:extLst>
              <a:ext uri="{FF2B5EF4-FFF2-40B4-BE49-F238E27FC236}">
                <a16:creationId xmlns:a16="http://schemas.microsoft.com/office/drawing/2014/main" id="{AEAE8140-C01C-4588-8ECF-C6CBB3333074}"/>
              </a:ext>
            </a:extLst>
          </xdr:cNvPr>
          <xdr:cNvSpPr/>
        </xdr:nvSpPr>
        <xdr:spPr>
          <a:xfrm>
            <a:off x="7076676" y="4338702"/>
            <a:ext cx="5164260" cy="2449391"/>
          </a:xfrm>
          <a:prstGeom prst="roundRect">
            <a:avLst/>
          </a:prstGeom>
          <a:solidFill>
            <a:schemeClr val="accent5">
              <a:lumMod val="40000"/>
              <a:lumOff val="60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aphicFrame macro="">
        <xdr:nvGraphicFramePr>
          <xdr:cNvPr id="75" name="Gráfico 74">
            <a:extLst>
              <a:ext uri="{FF2B5EF4-FFF2-40B4-BE49-F238E27FC236}">
                <a16:creationId xmlns:a16="http://schemas.microsoft.com/office/drawing/2014/main" id="{962DA570-0FDC-4EE5-9AE1-C1FF1A40F374}"/>
              </a:ext>
            </a:extLst>
          </xdr:cNvPr>
          <xdr:cNvGraphicFramePr>
            <a:graphicFrameLocks/>
          </xdr:cNvGraphicFramePr>
        </xdr:nvGraphicFramePr>
        <xdr:xfrm>
          <a:off x="7245410" y="4638105"/>
          <a:ext cx="4841728" cy="203114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'tablas_dinámicas (2)'!U2">
        <xdr:nvSpPr>
          <xdr:cNvPr id="86" name="CuadroTexto 85">
            <a:extLst>
              <a:ext uri="{FF2B5EF4-FFF2-40B4-BE49-F238E27FC236}">
                <a16:creationId xmlns:a16="http://schemas.microsoft.com/office/drawing/2014/main" id="{E260FB81-EF83-4EBD-9DD9-C7BFDE14275C}"/>
              </a:ext>
            </a:extLst>
          </xdr:cNvPr>
          <xdr:cNvSpPr txBox="1"/>
        </xdr:nvSpPr>
        <xdr:spPr>
          <a:xfrm>
            <a:off x="7222528" y="4352173"/>
            <a:ext cx="1434222" cy="2459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D67D5150-F6DB-4F48-B9D0-4722B487C9F9}" type="TxLink">
              <a:rPr lang="en-US" sz="1100" b="1" i="0" u="none" strike="noStrike">
                <a:solidFill>
                  <a:srgbClr val="000000"/>
                </a:solidFill>
                <a:latin typeface="Aptos Narrow"/>
              </a:rPr>
              <a:pPr/>
              <a:t>Ingresos por Estación</a:t>
            </a:fld>
            <a:endParaRPr lang="es-ES" sz="1100" b="1"/>
          </a:p>
        </xdr:txBody>
      </xdr:sp>
    </xdr:grpSp>
    <xdr:clientData/>
  </xdr:twoCellAnchor>
  <xdr:twoCellAnchor>
    <xdr:from>
      <xdr:col>17</xdr:col>
      <xdr:colOff>311141</xdr:colOff>
      <xdr:row>38</xdr:row>
      <xdr:rowOff>130734</xdr:rowOff>
    </xdr:from>
    <xdr:to>
      <xdr:col>22</xdr:col>
      <xdr:colOff>422893</xdr:colOff>
      <xdr:row>51</xdr:row>
      <xdr:rowOff>36196</xdr:rowOff>
    </xdr:to>
    <xdr:grpSp>
      <xdr:nvGrpSpPr>
        <xdr:cNvPr id="103" name="Grupo 102">
          <a:extLst>
            <a:ext uri="{FF2B5EF4-FFF2-40B4-BE49-F238E27FC236}">
              <a16:creationId xmlns:a16="http://schemas.microsoft.com/office/drawing/2014/main" id="{34CBE281-6750-205F-756B-2C0F03A63F11}"/>
            </a:ext>
          </a:extLst>
        </xdr:cNvPr>
        <xdr:cNvGrpSpPr/>
      </xdr:nvGrpSpPr>
      <xdr:grpSpPr>
        <a:xfrm>
          <a:off x="13523238" y="7136218"/>
          <a:ext cx="4044655" cy="2302075"/>
          <a:chOff x="3016634" y="6969536"/>
          <a:chExt cx="3656679" cy="2018398"/>
        </a:xfrm>
      </xdr:grpSpPr>
      <xdr:sp macro="" textlink="">
        <xdr:nvSpPr>
          <xdr:cNvPr id="102" name="Rectángulo 101">
            <a:extLst>
              <a:ext uri="{FF2B5EF4-FFF2-40B4-BE49-F238E27FC236}">
                <a16:creationId xmlns:a16="http://schemas.microsoft.com/office/drawing/2014/main" id="{0E8BC2FA-DA0E-94F7-09D9-BC44F8728E53}"/>
              </a:ext>
            </a:extLst>
          </xdr:cNvPr>
          <xdr:cNvSpPr/>
        </xdr:nvSpPr>
        <xdr:spPr>
          <a:xfrm>
            <a:off x="3016634" y="6969536"/>
            <a:ext cx="3656679" cy="2018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s-E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00" name="Imagen 99">
            <a:extLst>
              <a:ext uri="{FF2B5EF4-FFF2-40B4-BE49-F238E27FC236}">
                <a16:creationId xmlns:a16="http://schemas.microsoft.com/office/drawing/2014/main" id="{A8526581-C307-41F6-08A6-40460858F83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086251" y="7021203"/>
            <a:ext cx="3517738" cy="192173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409011</xdr:colOff>
      <xdr:row>38</xdr:row>
      <xdr:rowOff>129959</xdr:rowOff>
    </xdr:from>
    <xdr:to>
      <xdr:col>17</xdr:col>
      <xdr:colOff>69394</xdr:colOff>
      <xdr:row>51</xdr:row>
      <xdr:rowOff>33090</xdr:rowOff>
    </xdr:to>
    <xdr:grpSp>
      <xdr:nvGrpSpPr>
        <xdr:cNvPr id="114" name="Grupo 113">
          <a:extLst>
            <a:ext uri="{FF2B5EF4-FFF2-40B4-BE49-F238E27FC236}">
              <a16:creationId xmlns:a16="http://schemas.microsoft.com/office/drawing/2014/main" id="{28F9643E-8405-A2E6-26F6-64C49D0C6422}"/>
            </a:ext>
          </a:extLst>
        </xdr:cNvPr>
        <xdr:cNvGrpSpPr/>
      </xdr:nvGrpSpPr>
      <xdr:grpSpPr>
        <a:xfrm>
          <a:off x="8582076" y="7135443"/>
          <a:ext cx="4699415" cy="2299744"/>
          <a:chOff x="8594090" y="6987962"/>
          <a:chExt cx="4720405" cy="2240501"/>
        </a:xfrm>
      </xdr:grpSpPr>
      <xdr:grpSp>
        <xdr:nvGrpSpPr>
          <xdr:cNvPr id="109" name="Grupo 108">
            <a:extLst>
              <a:ext uri="{FF2B5EF4-FFF2-40B4-BE49-F238E27FC236}">
                <a16:creationId xmlns:a16="http://schemas.microsoft.com/office/drawing/2014/main" id="{8EEB541D-5F15-05FA-1890-DDFD579D7BDD}"/>
              </a:ext>
            </a:extLst>
          </xdr:cNvPr>
          <xdr:cNvGrpSpPr/>
        </xdr:nvGrpSpPr>
        <xdr:grpSpPr>
          <a:xfrm>
            <a:off x="8597819" y="6987962"/>
            <a:ext cx="4716676" cy="2240501"/>
            <a:chOff x="7044503" y="7029470"/>
            <a:chExt cx="4710546" cy="2258404"/>
          </a:xfrm>
        </xdr:grpSpPr>
        <xdr:sp macro="" textlink="">
          <xdr:nvSpPr>
            <xdr:cNvPr id="107" name="Rectángulo 106">
              <a:extLst>
                <a:ext uri="{FF2B5EF4-FFF2-40B4-BE49-F238E27FC236}">
                  <a16:creationId xmlns:a16="http://schemas.microsoft.com/office/drawing/2014/main" id="{B7426A83-75C5-42E0-90A5-5DD5338E0A91}"/>
                </a:ext>
              </a:extLst>
            </xdr:cNvPr>
            <xdr:cNvSpPr/>
          </xdr:nvSpPr>
          <xdr:spPr>
            <a:xfrm>
              <a:off x="7044503" y="7029470"/>
              <a:ext cx="4710546" cy="2258404"/>
            </a:xfrm>
            <a:prstGeom prst="rect">
              <a:avLst/>
            </a:prstGeom>
            <a:solidFill>
              <a:schemeClr val="accent5">
                <a:lumMod val="40000"/>
                <a:lumOff val="6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es-ES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graphicFrame macro="">
          <xdr:nvGraphicFramePr>
            <xdr:cNvPr id="104" name="Gráfico 103">
              <a:extLst>
                <a:ext uri="{FF2B5EF4-FFF2-40B4-BE49-F238E27FC236}">
                  <a16:creationId xmlns:a16="http://schemas.microsoft.com/office/drawing/2014/main" id="{8F1E4849-3D21-4948-AE0A-0AD3E12FFCCB}"/>
                </a:ext>
              </a:extLst>
            </xdr:cNvPr>
            <xdr:cNvGraphicFramePr>
              <a:graphicFrameLocks/>
            </xdr:cNvGraphicFramePr>
          </xdr:nvGraphicFramePr>
          <xdr:xfrm>
            <a:off x="7145699" y="7290266"/>
            <a:ext cx="4514198" cy="192175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</xdr:grpSp>
      <xdr:sp macro="" textlink="'tablas_dinámicas (2)'!T2">
        <xdr:nvSpPr>
          <xdr:cNvPr id="111" name="CuadroTexto 110">
            <a:extLst>
              <a:ext uri="{FF2B5EF4-FFF2-40B4-BE49-F238E27FC236}">
                <a16:creationId xmlns:a16="http://schemas.microsoft.com/office/drawing/2014/main" id="{15162F5D-BF45-477B-98AC-7E441181914D}"/>
              </a:ext>
            </a:extLst>
          </xdr:cNvPr>
          <xdr:cNvSpPr txBox="1"/>
        </xdr:nvSpPr>
        <xdr:spPr>
          <a:xfrm>
            <a:off x="8594090" y="7000932"/>
            <a:ext cx="2001565" cy="219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 b="1"/>
              <a:t>Razones</a:t>
            </a:r>
            <a:r>
              <a:rPr lang="es-ES" sz="1100" b="1" baseline="0"/>
              <a:t> de Devolución</a:t>
            </a:r>
            <a:endParaRPr lang="es-ES" sz="1100" b="1"/>
          </a:p>
        </xdr:txBody>
      </xdr:sp>
    </xdr:grpSp>
    <xdr:clientData/>
  </xdr:twoCellAnchor>
  <xdr:twoCellAnchor>
    <xdr:from>
      <xdr:col>4</xdr:col>
      <xdr:colOff>243000</xdr:colOff>
      <xdr:row>38</xdr:row>
      <xdr:rowOff>131093</xdr:rowOff>
    </xdr:from>
    <xdr:to>
      <xdr:col>11</xdr:col>
      <xdr:colOff>164569</xdr:colOff>
      <xdr:row>51</xdr:row>
      <xdr:rowOff>32854</xdr:rowOff>
    </xdr:to>
    <xdr:grpSp>
      <xdr:nvGrpSpPr>
        <xdr:cNvPr id="113" name="Grupo 112">
          <a:extLst>
            <a:ext uri="{FF2B5EF4-FFF2-40B4-BE49-F238E27FC236}">
              <a16:creationId xmlns:a16="http://schemas.microsoft.com/office/drawing/2014/main" id="{C9482828-6D00-32FD-5EE2-A58DEB00F248}"/>
            </a:ext>
          </a:extLst>
        </xdr:cNvPr>
        <xdr:cNvGrpSpPr/>
      </xdr:nvGrpSpPr>
      <xdr:grpSpPr>
        <a:xfrm>
          <a:off x="2910000" y="7136577"/>
          <a:ext cx="5427634" cy="2298374"/>
          <a:chOff x="2854348" y="6989096"/>
          <a:chExt cx="5495300" cy="2239131"/>
        </a:xfrm>
      </xdr:grpSpPr>
      <xdr:grpSp>
        <xdr:nvGrpSpPr>
          <xdr:cNvPr id="110" name="Grupo 109">
            <a:extLst>
              <a:ext uri="{FF2B5EF4-FFF2-40B4-BE49-F238E27FC236}">
                <a16:creationId xmlns:a16="http://schemas.microsoft.com/office/drawing/2014/main" id="{FD9C9881-CF9A-2CAC-E426-015A31A9E7E0}"/>
              </a:ext>
            </a:extLst>
          </xdr:cNvPr>
          <xdr:cNvGrpSpPr/>
        </xdr:nvGrpSpPr>
        <xdr:grpSpPr>
          <a:xfrm>
            <a:off x="2875121" y="6989096"/>
            <a:ext cx="5474527" cy="2239131"/>
            <a:chOff x="11741825" y="7087704"/>
            <a:chExt cx="5459944" cy="2276487"/>
          </a:xfrm>
        </xdr:grpSpPr>
        <xdr:sp macro="" textlink="">
          <xdr:nvSpPr>
            <xdr:cNvPr id="106" name="Rectángulo 105">
              <a:extLst>
                <a:ext uri="{FF2B5EF4-FFF2-40B4-BE49-F238E27FC236}">
                  <a16:creationId xmlns:a16="http://schemas.microsoft.com/office/drawing/2014/main" id="{BD5ABB73-076B-45F7-8220-73B4FEEE53A7}"/>
                </a:ext>
              </a:extLst>
            </xdr:cNvPr>
            <xdr:cNvSpPr/>
          </xdr:nvSpPr>
          <xdr:spPr>
            <a:xfrm>
              <a:off x="11741825" y="7087704"/>
              <a:ext cx="5459944" cy="2276487"/>
            </a:xfrm>
            <a:prstGeom prst="rect">
              <a:avLst/>
            </a:prstGeom>
            <a:solidFill>
              <a:schemeClr val="accent5">
                <a:lumMod val="40000"/>
                <a:lumOff val="6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es-ES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graphicFrame macro="">
          <xdr:nvGraphicFramePr>
            <xdr:cNvPr id="105" name="Gráfico 104">
              <a:extLst>
                <a:ext uri="{FF2B5EF4-FFF2-40B4-BE49-F238E27FC236}">
                  <a16:creationId xmlns:a16="http://schemas.microsoft.com/office/drawing/2014/main" id="{AA09069A-994D-4235-93D2-27ADD9316A8D}"/>
                </a:ext>
              </a:extLst>
            </xdr:cNvPr>
            <xdr:cNvGraphicFramePr>
              <a:graphicFrameLocks/>
            </xdr:cNvGraphicFramePr>
          </xdr:nvGraphicFramePr>
          <xdr:xfrm>
            <a:off x="11828760" y="7349617"/>
            <a:ext cx="5298962" cy="193722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8"/>
            </a:graphicData>
          </a:graphic>
        </xdr:graphicFrame>
      </xdr:grpSp>
      <xdr:sp macro="" textlink="'tablas_dinámicas (2)'!T2">
        <xdr:nvSpPr>
          <xdr:cNvPr id="112" name="CuadroTexto 111">
            <a:extLst>
              <a:ext uri="{FF2B5EF4-FFF2-40B4-BE49-F238E27FC236}">
                <a16:creationId xmlns:a16="http://schemas.microsoft.com/office/drawing/2014/main" id="{42DA845C-0A02-43E1-BBAA-3ACF325162FC}"/>
              </a:ext>
            </a:extLst>
          </xdr:cNvPr>
          <xdr:cNvSpPr txBox="1"/>
        </xdr:nvSpPr>
        <xdr:spPr>
          <a:xfrm>
            <a:off x="2854348" y="7002081"/>
            <a:ext cx="2180548" cy="2209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 b="1"/>
              <a:t>Cantidad</a:t>
            </a:r>
            <a:r>
              <a:rPr lang="es-ES" sz="1100" b="1" baseline="0"/>
              <a:t> Descontada por Marca</a:t>
            </a:r>
            <a:endParaRPr lang="es-ES" sz="1100" b="1"/>
          </a:p>
        </xdr:txBody>
      </xdr:sp>
    </xdr:grpSp>
    <xdr:clientData/>
  </xdr:twoCellAnchor>
  <xdr:twoCellAnchor editAs="oneCell">
    <xdr:from>
      <xdr:col>17</xdr:col>
      <xdr:colOff>599445</xdr:colOff>
      <xdr:row>12</xdr:row>
      <xdr:rowOff>13964</xdr:rowOff>
    </xdr:from>
    <xdr:to>
      <xdr:col>20</xdr:col>
      <xdr:colOff>237067</xdr:colOff>
      <xdr:row>21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5" name="brand 1">
              <a:extLst>
                <a:ext uri="{FF2B5EF4-FFF2-40B4-BE49-F238E27FC236}">
                  <a16:creationId xmlns:a16="http://schemas.microsoft.com/office/drawing/2014/main" id="{1EB5199F-4F1E-41DD-8E2C-3B7D6854E9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ran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820813" y="2259859"/>
              <a:ext cx="2003833" cy="167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372789</xdr:colOff>
      <xdr:row>22</xdr:row>
      <xdr:rowOff>30000</xdr:rowOff>
    </xdr:from>
    <xdr:to>
      <xdr:col>22</xdr:col>
      <xdr:colOff>621144</xdr:colOff>
      <xdr:row>34</xdr:row>
      <xdr:rowOff>24227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6" name="category 1">
              <a:extLst>
                <a:ext uri="{FF2B5EF4-FFF2-40B4-BE49-F238E27FC236}">
                  <a16:creationId xmlns:a16="http://schemas.microsoft.com/office/drawing/2014/main" id="{AEFA7B48-8E00-4EE0-9CE4-43E1258805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60368" y="4147474"/>
              <a:ext cx="1825829" cy="22401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412752</xdr:colOff>
      <xdr:row>12</xdr:row>
      <xdr:rowOff>30540</xdr:rowOff>
    </xdr:from>
    <xdr:to>
      <xdr:col>22</xdr:col>
      <xdr:colOff>663122</xdr:colOff>
      <xdr:row>21</xdr:row>
      <xdr:rowOff>13853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7" name="season 1">
              <a:extLst>
                <a:ext uri="{FF2B5EF4-FFF2-40B4-BE49-F238E27FC236}">
                  <a16:creationId xmlns:a16="http://schemas.microsoft.com/office/drawing/2014/main" id="{0B3B2A11-EF39-47F7-B44F-5D0207AD141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as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00331" y="2276435"/>
              <a:ext cx="1827844" cy="1667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599402</xdr:colOff>
      <xdr:row>22</xdr:row>
      <xdr:rowOff>52562</xdr:rowOff>
    </xdr:from>
    <xdr:to>
      <xdr:col>20</xdr:col>
      <xdr:colOff>225136</xdr:colOff>
      <xdr:row>34</xdr:row>
      <xdr:rowOff>6518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8" name="color 1">
              <a:extLst>
                <a:ext uri="{FF2B5EF4-FFF2-40B4-BE49-F238E27FC236}">
                  <a16:creationId xmlns:a16="http://schemas.microsoft.com/office/drawing/2014/main" id="{81639327-ADA4-4295-A326-C7F1977F571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820770" y="4170036"/>
              <a:ext cx="1991945" cy="2199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rci\OneDrive\Desktop\Data%20Analytics\EDA%20excel\Dashboard%20F&#225;rmacos\Dashboard-Pedidos.xlsx" TargetMode="External"/><Relationship Id="rId1" Type="http://schemas.openxmlformats.org/officeDocument/2006/relationships/externalLinkPath" Target="file:///C:\Users\garci\OneDrive\Desktop\Data%20Analytics\EDA%20excel\Dashboard%20F&#225;rmacos\Dashboard-Pedid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os"/>
      <sheetName val="Análisis"/>
      <sheetName val="Dashboard"/>
      <sheetName val="Dashboard (2)"/>
      <sheetName val="plantilla"/>
    </sheetNames>
    <sheetDataSet>
      <sheetData sheetId="0"/>
      <sheetData sheetId="1"/>
      <sheetData sheetId="2"/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ia garcia martinez" refreshedDate="46041.449962847226" createdVersion="8" refreshedVersion="8" minRefreshableVersion="3" recordCount="2176" xr:uid="{BB5BCECB-2F32-4353-ABDD-A3A1D6D3B990}">
  <cacheSource type="worksheet">
    <worksheetSource name="BBDD_fashion_boutique"/>
  </cacheSource>
  <cacheFields count="25">
    <cacheField name="product_id" numFmtId="0">
      <sharedItems/>
    </cacheField>
    <cacheField name="category" numFmtId="0">
      <sharedItems count="6">
        <s v="Outerwear"/>
        <s v="Tops"/>
        <s v="Accessories"/>
        <s v="Shoes"/>
        <s v="Bottoms"/>
        <s v="Dresses"/>
      </sharedItems>
    </cacheField>
    <cacheField name="brand" numFmtId="0">
      <sharedItems count="8">
        <s v="Zara"/>
        <s v="Uniqlo"/>
        <s v="Banana Republic"/>
        <s v="Mango"/>
        <s v="H&amp;M"/>
        <s v="Ann Taylor"/>
        <s v="Gap"/>
        <s v="Forever21"/>
      </sharedItems>
    </cacheField>
    <cacheField name="season" numFmtId="0">
      <sharedItems count="4">
        <s v="Spring"/>
        <s v="Winter"/>
        <s v="Fall"/>
        <s v="Summer"/>
      </sharedItems>
    </cacheField>
    <cacheField name="size" numFmtId="0">
      <sharedItems containsBlank="1"/>
    </cacheField>
    <cacheField name="Size_Accesorio" numFmtId="0">
      <sharedItems count="8">
        <s v="XL"/>
        <s v="L"/>
        <s v="Accesorio"/>
        <s v="S"/>
        <s v="XXL"/>
        <s v="XS"/>
        <s v="M"/>
        <s v="Desconocido"/>
      </sharedItems>
    </cacheField>
    <cacheField name="color" numFmtId="0">
      <sharedItems count="11">
        <s v="Red"/>
        <s v="Pink"/>
        <s v="Black"/>
        <s v="White"/>
        <s v="Gray"/>
        <s v="Blue"/>
        <s v="Green"/>
        <s v="Beige"/>
        <s v="Navy"/>
        <s v="Purple"/>
        <s v="Brown"/>
      </sharedItems>
    </cacheField>
    <cacheField name="original_price" numFmtId="2">
      <sharedItems containsSemiMixedTypes="0" containsString="0" containsNumber="1" minValue="15.14" maxValue="249.98"/>
    </cacheField>
    <cacheField name="markdown_percentage" numFmtId="0">
      <sharedItems containsSemiMixedTypes="0" containsString="0" containsNumber="1" minValue="0" maxValue="59.9" count="458">
        <n v="0"/>
        <n v="35.4"/>
        <n v="54.5"/>
        <n v="22.1"/>
        <n v="12.8"/>
        <n v="10.9"/>
        <n v="58.5"/>
        <n v="21.8"/>
        <n v="29.1"/>
        <n v="34"/>
        <n v="36"/>
        <n v="24.4"/>
        <n v="5.7"/>
        <n v="47.8"/>
        <n v="14.2"/>
        <n v="51.4"/>
        <n v="30.3"/>
        <n v="53.9"/>
        <n v="55.9"/>
        <n v="57.1"/>
        <n v="50.9"/>
        <n v="15.2"/>
        <n v="26.3"/>
        <n v="2.6"/>
        <n v="6.6"/>
        <n v="1.1000000000000001"/>
        <n v="18"/>
        <n v="2.4"/>
        <n v="21.7"/>
        <n v="9.5"/>
        <n v="19.8"/>
        <n v="7.4"/>
        <n v="55.2"/>
        <n v="48"/>
        <n v="22.5"/>
        <n v="19.100000000000001"/>
        <n v="22.6"/>
        <n v="11.9"/>
        <n v="55.3"/>
        <n v="40"/>
        <n v="6.4"/>
        <n v="49.5"/>
        <n v="52.4"/>
        <n v="56.4"/>
        <n v="3"/>
        <n v="19.5"/>
        <n v="58.2"/>
        <n v="59.5"/>
        <n v="50"/>
        <n v="33.799999999999997"/>
        <n v="25.5"/>
        <n v="45.9"/>
        <n v="51.5"/>
        <n v="21.5"/>
        <n v="27"/>
        <n v="58.8"/>
        <n v="45.3"/>
        <n v="15.8"/>
        <n v="25.4"/>
        <n v="57.3"/>
        <n v="46"/>
        <n v="11.4"/>
        <n v="29.4"/>
        <n v="28.3"/>
        <n v="40.6"/>
        <n v="21.4"/>
        <n v="1.7"/>
        <n v="20"/>
        <n v="39.200000000000003"/>
        <n v="39.799999999999997"/>
        <n v="3.9"/>
        <n v="35.9"/>
        <n v="7.1"/>
        <n v="12.3"/>
        <n v="13"/>
        <n v="51.7"/>
        <n v="42.7"/>
        <n v="57.5"/>
        <n v="56.1"/>
        <n v="33.299999999999997"/>
        <n v="17"/>
        <n v="23.9"/>
        <n v="36.4"/>
        <n v="8.8000000000000007"/>
        <n v="16.7"/>
        <n v="18.399999999999999"/>
        <n v="54.8"/>
        <n v="1.4"/>
        <n v="43.3"/>
        <n v="22.4"/>
        <n v="41.7"/>
        <n v="47.6"/>
        <n v="50.5"/>
        <n v="54.6"/>
        <n v="14.6"/>
        <n v="48.8"/>
        <n v="17.8"/>
        <n v="4.3"/>
        <n v="44.7"/>
        <n v="9.1999999999999993"/>
        <n v="0.4"/>
        <n v="37.1"/>
        <n v="10.199999999999999"/>
        <n v="23"/>
        <n v="39.4"/>
        <n v="14.1"/>
        <n v="24.3"/>
        <n v="50.4"/>
        <n v="5.4"/>
        <n v="42.2"/>
        <n v="35.200000000000003"/>
        <n v="9.1"/>
        <n v="57.4"/>
        <n v="7.5"/>
        <n v="26.1"/>
        <n v="16.2"/>
        <n v="10.8"/>
        <n v="36.799999999999997"/>
        <n v="50.2"/>
        <n v="46.5"/>
        <n v="29.5"/>
        <n v="52.1"/>
        <n v="11.1"/>
        <n v="36.9"/>
        <n v="40.700000000000003"/>
        <n v="54"/>
        <n v="0.9"/>
        <n v="4.2"/>
        <n v="29.2"/>
        <n v="46.7"/>
        <n v="16.399999999999999"/>
        <n v="56.5"/>
        <n v="28.7"/>
        <n v="37.6"/>
        <n v="20.2"/>
        <n v="45.8"/>
        <n v="27.8"/>
        <n v="49.6"/>
        <n v="27.9"/>
        <n v="42.9"/>
        <n v="40.799999999999997"/>
        <n v="46.8"/>
        <n v="56.7"/>
        <n v="3.4"/>
        <n v="26.9"/>
        <n v="35.700000000000003"/>
        <n v="44.6"/>
        <n v="32"/>
        <n v="11.6"/>
        <n v="20.6"/>
        <n v="3.3"/>
        <n v="15.6"/>
        <n v="59.4"/>
        <n v="55"/>
        <n v="52.9"/>
        <n v="31.7"/>
        <n v="50.6"/>
        <n v="0.3"/>
        <n v="11.8"/>
        <n v="54.3"/>
        <n v="9.9"/>
        <n v="54.1"/>
        <n v="30"/>
        <n v="27.6"/>
        <n v="37.700000000000003"/>
        <n v="6.3"/>
        <n v="53"/>
        <n v="33.4"/>
        <n v="38.799999999999997"/>
        <n v="38.1"/>
        <n v="5.9"/>
        <n v="31.8"/>
        <n v="51.3"/>
        <n v="42.5"/>
        <n v="43.8"/>
        <n v="48.2"/>
        <n v="36.700000000000003"/>
        <n v="38.9"/>
        <n v="22"/>
        <n v="49.4"/>
        <n v="32.6"/>
        <n v="28.4"/>
        <n v="34.5"/>
        <n v="18.899999999999999"/>
        <n v="45"/>
        <n v="32.700000000000003"/>
        <n v="14"/>
        <n v="47.1"/>
        <n v="40.5"/>
        <n v="16.600000000000001"/>
        <n v="28"/>
        <n v="33.700000000000003"/>
        <n v="13.6"/>
        <n v="33.6"/>
        <n v="12.4"/>
        <n v="18.3"/>
        <n v="11.3"/>
        <n v="10.6"/>
        <n v="46.2"/>
        <n v="40.4"/>
        <n v="45.2"/>
        <n v="44.8"/>
        <n v="2.1"/>
        <n v="36.5"/>
        <n v="11"/>
        <n v="51.9"/>
        <n v="58.6"/>
        <n v="13.9"/>
        <n v="26.4"/>
        <n v="58.3"/>
        <n v="0.5"/>
        <n v="12.6"/>
        <n v="52"/>
        <n v="46.4"/>
        <n v="45.4"/>
        <n v="34.9"/>
        <n v="7.9"/>
        <n v="19.7"/>
        <n v="35.799999999999997"/>
        <n v="43.7"/>
        <n v="39.700000000000003"/>
        <n v="54.9"/>
        <n v="57"/>
        <n v="15.7"/>
        <n v="35.5"/>
        <n v="6"/>
        <n v="9.6"/>
        <n v="1.6"/>
        <n v="25.9"/>
        <n v="52.8"/>
        <n v="27.3"/>
        <n v="45.5"/>
        <n v="50.7"/>
        <n v="35.299999999999997"/>
        <n v="59.9"/>
        <n v="17.3"/>
        <n v="53.5"/>
        <n v="37.5"/>
        <n v="43"/>
        <n v="20.7"/>
        <n v="36.6"/>
        <n v="12.7"/>
        <n v="58.4"/>
        <n v="0.8"/>
        <n v="30.8"/>
        <n v="13.7"/>
        <n v="16.100000000000001"/>
        <n v="20.5"/>
        <n v="8.6999999999999993"/>
        <n v="38"/>
        <n v="32.200000000000003"/>
        <n v="18.7"/>
        <n v="17.600000000000001"/>
        <n v="53.7"/>
        <n v="23.1"/>
        <n v="1.2"/>
        <n v="44.1"/>
        <n v="16.8"/>
        <n v="44.3"/>
        <n v="44.9"/>
        <n v="10.4"/>
        <n v="31"/>
        <n v="33.1"/>
        <n v="8.1999999999999993"/>
        <n v="22.8"/>
        <n v="57.8"/>
        <n v="49"/>
        <n v="12.2"/>
        <n v="16"/>
        <n v="37.799999999999997"/>
        <n v="50.1"/>
        <n v="53.2"/>
        <n v="23.7"/>
        <n v="37"/>
        <n v="19.899999999999999"/>
        <n v="28.5"/>
        <n v="59.1"/>
        <n v="39"/>
        <n v="12.9"/>
        <n v="41.2"/>
        <n v="13.3"/>
        <n v="48.4"/>
        <n v="19"/>
        <n v="16.899999999999999"/>
        <n v="5.5"/>
        <n v="42.1"/>
        <n v="23.6"/>
        <n v="56.6"/>
        <n v="47.4"/>
        <n v="28.8"/>
        <n v="34.299999999999997"/>
        <n v="40.200000000000003"/>
        <n v="47.7"/>
        <n v="38.299999999999997"/>
        <n v="29"/>
        <n v="34.6"/>
        <n v="24.2"/>
        <n v="47.5"/>
        <n v="12.1"/>
        <n v="38.6"/>
        <n v="55.4"/>
        <n v="41.3"/>
        <n v="8.1"/>
        <n v="16.5"/>
        <n v="56.3"/>
        <n v="11.2"/>
        <n v="18.100000000000001"/>
        <n v="57.9"/>
        <n v="10.1"/>
        <n v="55.5"/>
        <n v="49.7"/>
        <n v="7.6"/>
        <n v="14.7"/>
        <n v="47"/>
        <n v="54.2"/>
        <n v="17.5"/>
        <n v="26.8"/>
        <n v="6.8"/>
        <n v="32.1"/>
        <n v="40.9"/>
        <n v="5.0999999999999996"/>
        <n v="48.7"/>
        <n v="59.8"/>
        <n v="50.3"/>
        <n v="21.6"/>
        <n v="2.9"/>
        <n v="3.1"/>
        <n v="8.4"/>
        <n v="13.5"/>
        <n v="41.9"/>
        <n v="26.2"/>
        <n v="20.9"/>
        <n v="52.6"/>
        <n v="8.3000000000000007"/>
        <n v="56.8"/>
        <n v="24.6"/>
        <n v="15"/>
        <n v="9.8000000000000007"/>
        <n v="21.1"/>
        <n v="9.3000000000000007"/>
        <n v="20.100000000000001"/>
        <n v="23.3"/>
        <n v="58"/>
        <n v="22.9"/>
        <n v="8"/>
        <n v="51.6"/>
        <n v="19.600000000000001"/>
        <n v="19.2"/>
        <n v="12.5"/>
        <n v="25.7"/>
        <n v="27.4"/>
        <n v="27.7"/>
        <n v="30.9"/>
        <n v="3.7"/>
        <n v="23.4"/>
        <n v="49.8"/>
        <n v="3.5"/>
        <n v="10.7"/>
        <n v="34.200000000000003"/>
        <n v="31.6"/>
        <n v="41"/>
        <n v="23.2"/>
        <n v="29.9"/>
        <n v="1"/>
        <n v="35.1"/>
        <n v="25.2"/>
        <n v="44"/>
        <n v="4.5999999999999996"/>
        <n v="43.6"/>
        <n v="14.8"/>
        <n v="1.8"/>
        <n v="25.8"/>
        <n v="49.9"/>
        <n v="14.9"/>
        <n v="30.5"/>
        <n v="6.2"/>
        <n v="1.3"/>
        <n v="43.4"/>
        <n v="20.3"/>
        <n v="29.8"/>
        <n v="43.5"/>
        <n v="2.5"/>
        <n v="46.1"/>
        <n v="5.3"/>
        <n v="39.9"/>
        <n v="37.9"/>
        <n v="47.3"/>
        <n v="28.2"/>
        <n v="52.3"/>
        <n v="5"/>
        <n v="10.3"/>
        <n v="8.9"/>
        <n v="54.7"/>
        <n v="12"/>
        <n v="34.4"/>
        <n v="0.7"/>
        <n v="48.9"/>
        <n v="38.4"/>
        <n v="7.3"/>
        <n v="5.2"/>
        <n v="40.299999999999997"/>
        <n v="43.2"/>
        <n v="53.6"/>
        <n v="3.6"/>
        <n v="7.8"/>
        <n v="4.8"/>
        <n v="27.1"/>
        <n v="24.1"/>
        <n v="59.7"/>
        <n v="34.700000000000003"/>
        <n v="27.5"/>
        <n v="39.1"/>
        <n v="41.5"/>
        <n v="17.399999999999999"/>
        <n v="24.8"/>
        <n v="56"/>
        <n v="14.3"/>
        <n v="48.1"/>
        <n v="29.6"/>
        <n v="40.1"/>
        <n v="28.9"/>
        <n v="6.7"/>
        <n v="48.3"/>
        <n v="43.1"/>
        <n v="6.1"/>
        <n v="35"/>
        <n v="48.5"/>
        <n v="9.6999999999999993"/>
        <n v="2.7"/>
        <n v="58.1"/>
        <n v="26"/>
        <n v="58.7"/>
        <n v="59.3"/>
        <n v="28.1"/>
        <n v="29.3"/>
        <n v="14.4"/>
        <n v="32.799999999999997"/>
        <n v="31.1"/>
        <n v="10"/>
        <n v="3.2"/>
        <n v="18.8"/>
        <n v="24"/>
        <n v="26.5"/>
        <n v="55.7"/>
        <n v="24.5"/>
        <n v="20.8"/>
        <n v="22.2"/>
        <n v="30.7"/>
        <n v="38.5"/>
        <n v="7.7"/>
        <n v="5.8"/>
        <n v="51"/>
        <n v="14.5"/>
        <n v="26.6"/>
        <n v="8.6"/>
        <n v="51.8"/>
        <n v="46.9"/>
        <n v="31.4"/>
      </sharedItems>
    </cacheField>
    <cacheField name="Porcentaje_Descuento" numFmtId="165">
      <sharedItems containsSemiMixedTypes="0" containsString="0" containsNumber="1" minValue="0" maxValue="0.59899999999999998"/>
    </cacheField>
    <cacheField name="current_price" numFmtId="2">
      <sharedItems containsSemiMixedTypes="0" containsString="0" containsNumber="1" minValue="7.29" maxValue="249.98"/>
    </cacheField>
    <cacheField name="Cantidad_Descuento" numFmtId="2">
      <sharedItems containsSemiMixedTypes="0" containsString="0" containsNumber="1" minValue="0" maxValue="132.06"/>
    </cacheField>
    <cacheField name="purchase_date" numFmtId="14">
      <sharedItems containsSemiMixedTypes="0" containsNonDate="0" containsDate="1" containsString="0" minDate="2024-08-06T00:00:00" maxDate="2025-08-07T00:00:00"/>
    </cacheField>
    <cacheField name="Día_Compra" numFmtId="14">
      <sharedItems count="7">
        <s v="Sábado"/>
        <s v="Miércoles"/>
        <s v="Lunes"/>
        <s v="Martes"/>
        <s v="Viernes"/>
        <s v="Jueves"/>
        <s v="Domingo"/>
      </sharedItems>
    </cacheField>
    <cacheField name="Mes_Compra" numFmtId="14">
      <sharedItems count="12">
        <s v="Julio"/>
        <s v="Agosto"/>
        <s v="Octubre"/>
        <s v="Marzo"/>
        <s v="Abril"/>
        <s v="Enero"/>
        <s v="Septiembre"/>
        <s v="Junio"/>
        <s v="Mayo"/>
        <s v="Febrero"/>
        <s v="Diciembre"/>
        <s v="Noviembre"/>
      </sharedItems>
    </cacheField>
    <cacheField name="stock_quantity" numFmtId="1">
      <sharedItems containsSemiMixedTypes="0" containsString="0" containsNumber="1" containsInteger="1" minValue="0" maxValue="50"/>
    </cacheField>
    <cacheField name="customer_rating" numFmtId="2">
      <sharedItems containsString="0" containsBlank="1" containsNumber="1" minValue="1" maxValue="5"/>
    </cacheField>
    <cacheField name="Estado_Stock" numFmtId="0">
      <sharedItems/>
    </cacheField>
    <cacheField name="Customer_rating2" numFmtId="164">
      <sharedItems containsMixedTypes="1" containsNumber="1" minValue="1" maxValue="5"/>
    </cacheField>
    <cacheField name="is_returned" numFmtId="0">
      <sharedItems/>
    </cacheField>
    <cacheField name="return_reason" numFmtId="0">
      <sharedItems containsBlank="1"/>
    </cacheField>
    <cacheField name="Devuelto_Número" numFmtId="0">
      <sharedItems containsSemiMixedTypes="0" containsString="0" containsNumber="1" containsInteger="1" minValue="0" maxValue="1"/>
    </cacheField>
    <cacheField name="Ingreso_Marca" numFmtId="0">
      <sharedItems containsSemiMixedTypes="0" containsString="0" containsNumber="1" minValue="0" maxValue="249.98"/>
    </cacheField>
    <cacheField name="Return_Reason2" numFmtId="0">
      <sharedItems count="7">
        <s v="No return"/>
        <s v="Color Mismatch"/>
        <s v="Size Issue"/>
        <s v="Damaged"/>
        <s v="Quality Issue"/>
        <s v="Changed Mind"/>
        <s v="Wrong Item"/>
      </sharedItems>
    </cacheField>
    <cacheField name="Duplicados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23498538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6">
  <r>
    <s v="FB000001"/>
    <x v="0"/>
    <x v="0"/>
    <x v="0"/>
    <s v="XL"/>
    <x v="0"/>
    <x v="0"/>
    <n v="196.01"/>
    <x v="0"/>
    <n v="0"/>
    <n v="196.01"/>
    <n v="0"/>
    <d v="2025-07-05T00:00:00"/>
    <x v="0"/>
    <x v="0"/>
    <n v="37"/>
    <n v="3"/>
    <s v="Ok"/>
    <n v="3"/>
    <s v="False"/>
    <m/>
    <n v="0"/>
    <n v="196.01"/>
    <x v="0"/>
    <n v="0"/>
  </r>
  <r>
    <s v="FB000002"/>
    <x v="1"/>
    <x v="1"/>
    <x v="1"/>
    <s v="L"/>
    <x v="1"/>
    <x v="1"/>
    <n v="119.64"/>
    <x v="0"/>
    <n v="0"/>
    <n v="119.64"/>
    <n v="0"/>
    <d v="2025-08-06T00:00:00"/>
    <x v="1"/>
    <x v="1"/>
    <n v="2"/>
    <n v="2.5"/>
    <s v="Pocas Unidades"/>
    <n v="2.5"/>
    <s v="False"/>
    <m/>
    <n v="0"/>
    <n v="119.64"/>
    <x v="0"/>
    <n v="0"/>
  </r>
  <r>
    <s v="FB000003"/>
    <x v="2"/>
    <x v="1"/>
    <x v="1"/>
    <m/>
    <x v="2"/>
    <x v="2"/>
    <n v="33.799999999999997"/>
    <x v="0"/>
    <n v="0"/>
    <n v="33.799999999999997"/>
    <n v="0"/>
    <d v="2025-08-06T00:00:00"/>
    <x v="1"/>
    <x v="1"/>
    <n v="22"/>
    <n v="4.3"/>
    <s v="Ok"/>
    <n v="4.3"/>
    <s v="False"/>
    <m/>
    <n v="0"/>
    <n v="33.799999999999997"/>
    <x v="0"/>
    <n v="0"/>
  </r>
  <r>
    <s v="FB000004"/>
    <x v="3"/>
    <x v="1"/>
    <x v="0"/>
    <s v="XL"/>
    <x v="0"/>
    <x v="2"/>
    <n v="75.36"/>
    <x v="0"/>
    <n v="0"/>
    <n v="75.36"/>
    <n v="0"/>
    <d v="2025-07-07T00:00:00"/>
    <x v="2"/>
    <x v="0"/>
    <n v="48"/>
    <n v="2.6"/>
    <s v="Ok"/>
    <n v="2.6"/>
    <s v="False"/>
    <m/>
    <n v="0"/>
    <n v="75.36"/>
    <x v="0"/>
    <n v="0"/>
  </r>
  <r>
    <s v="FB000005"/>
    <x v="1"/>
    <x v="2"/>
    <x v="1"/>
    <s v="XL"/>
    <x v="0"/>
    <x v="2"/>
    <n v="105.02"/>
    <x v="0"/>
    <n v="0"/>
    <n v="105.02"/>
    <n v="0"/>
    <d v="2025-08-06T00:00:00"/>
    <x v="1"/>
    <x v="1"/>
    <n v="10"/>
    <m/>
    <s v="Ok"/>
    <s v="No valorado"/>
    <s v="False"/>
    <m/>
    <n v="0"/>
    <n v="105.02"/>
    <x v="0"/>
    <n v="0"/>
  </r>
  <r>
    <s v="FB000006"/>
    <x v="2"/>
    <x v="0"/>
    <x v="2"/>
    <m/>
    <x v="2"/>
    <x v="3"/>
    <n v="35.03"/>
    <x v="1"/>
    <n v="0.35399999999999998"/>
    <n v="22.63"/>
    <n v="12.400000000000002"/>
    <d v="2025-08-06T00:00:00"/>
    <x v="1"/>
    <x v="1"/>
    <n v="38"/>
    <n v="2.9"/>
    <s v="Ok"/>
    <n v="2.9"/>
    <s v="True"/>
    <s v="Color Mismatch"/>
    <n v="1"/>
    <n v="0"/>
    <x v="1"/>
    <n v="0"/>
  </r>
  <r>
    <s v="FB000007"/>
    <x v="4"/>
    <x v="0"/>
    <x v="0"/>
    <s v="S"/>
    <x v="3"/>
    <x v="4"/>
    <n v="53.83"/>
    <x v="2"/>
    <n v="0.54500000000000004"/>
    <n v="24.49"/>
    <n v="29.34"/>
    <d v="2024-10-29T00:00:00"/>
    <x v="3"/>
    <x v="2"/>
    <n v="38"/>
    <n v="2.6"/>
    <s v="Ok"/>
    <n v="2.6"/>
    <s v="False"/>
    <m/>
    <n v="0"/>
    <n v="24.49"/>
    <x v="0"/>
    <n v="0"/>
  </r>
  <r>
    <s v="FB000008"/>
    <x v="5"/>
    <x v="3"/>
    <x v="1"/>
    <s v="XL"/>
    <x v="0"/>
    <x v="5"/>
    <n v="91.55"/>
    <x v="3"/>
    <n v="0.221"/>
    <n v="71.319999999999993"/>
    <n v="20.230000000000004"/>
    <d v="2025-08-06T00:00:00"/>
    <x v="1"/>
    <x v="1"/>
    <n v="47"/>
    <n v="1.6"/>
    <s v="Ok"/>
    <n v="1.6"/>
    <s v="False"/>
    <m/>
    <n v="0"/>
    <n v="71.319999999999993"/>
    <x v="0"/>
    <n v="0"/>
  </r>
  <r>
    <s v="FB000009"/>
    <x v="0"/>
    <x v="1"/>
    <x v="0"/>
    <s v="XL"/>
    <x v="0"/>
    <x v="6"/>
    <n v="227.73"/>
    <x v="4"/>
    <n v="0.128"/>
    <n v="198.58"/>
    <n v="29.149999999999977"/>
    <d v="2025-03-24T00:00:00"/>
    <x v="2"/>
    <x v="3"/>
    <n v="14"/>
    <m/>
    <s v="Ok"/>
    <s v="No valorado"/>
    <s v="False"/>
    <m/>
    <n v="0"/>
    <n v="198.58"/>
    <x v="0"/>
    <n v="0"/>
  </r>
  <r>
    <s v="FB000010"/>
    <x v="0"/>
    <x v="4"/>
    <x v="2"/>
    <s v="XXL"/>
    <x v="4"/>
    <x v="1"/>
    <n v="248.41"/>
    <x v="5"/>
    <n v="0.109"/>
    <n v="221.33"/>
    <n v="27.079999999999984"/>
    <d v="2025-08-06T00:00:00"/>
    <x v="1"/>
    <x v="1"/>
    <n v="37"/>
    <m/>
    <s v="Ok"/>
    <s v="No valorado"/>
    <s v="False"/>
    <m/>
    <n v="0"/>
    <n v="221.33"/>
    <x v="0"/>
    <n v="0"/>
  </r>
  <r>
    <s v="FB000011"/>
    <x v="1"/>
    <x v="3"/>
    <x v="0"/>
    <s v="L"/>
    <x v="1"/>
    <x v="2"/>
    <n v="116.84"/>
    <x v="0"/>
    <n v="0"/>
    <n v="116.84"/>
    <n v="0"/>
    <d v="2025-04-25T00:00:00"/>
    <x v="4"/>
    <x v="4"/>
    <n v="3"/>
    <n v="4.4000000000000004"/>
    <s v="Pocas Unidades"/>
    <n v="4.4000000000000004"/>
    <s v="False"/>
    <m/>
    <n v="0"/>
    <n v="116.84"/>
    <x v="0"/>
    <n v="0"/>
  </r>
  <r>
    <s v="FB000012"/>
    <x v="3"/>
    <x v="1"/>
    <x v="1"/>
    <s v="S"/>
    <x v="3"/>
    <x v="5"/>
    <n v="146.97999999999999"/>
    <x v="0"/>
    <n v="0"/>
    <n v="146.97999999999999"/>
    <n v="0"/>
    <d v="2025-08-06T00:00:00"/>
    <x v="1"/>
    <x v="1"/>
    <n v="2"/>
    <n v="3.4"/>
    <s v="Pocas Unidades"/>
    <n v="3.4"/>
    <s v="False"/>
    <m/>
    <n v="0"/>
    <n v="146.97999999999999"/>
    <x v="0"/>
    <n v="0"/>
  </r>
  <r>
    <s v="FB000013"/>
    <x v="4"/>
    <x v="5"/>
    <x v="0"/>
    <s v="S"/>
    <x v="3"/>
    <x v="3"/>
    <n v="37.51"/>
    <x v="0"/>
    <n v="0"/>
    <n v="37.51"/>
    <n v="0"/>
    <d v="2025-01-04T00:00:00"/>
    <x v="0"/>
    <x v="5"/>
    <n v="43"/>
    <m/>
    <s v="Ok"/>
    <s v="No valorado"/>
    <s v="False"/>
    <m/>
    <n v="0"/>
    <n v="37.51"/>
    <x v="0"/>
    <n v="0"/>
  </r>
  <r>
    <s v="FB000014"/>
    <x v="5"/>
    <x v="1"/>
    <x v="2"/>
    <s v="XS"/>
    <x v="5"/>
    <x v="7"/>
    <n v="48.15"/>
    <x v="0"/>
    <n v="0"/>
    <n v="48.15"/>
    <n v="0"/>
    <d v="2025-08-06T00:00:00"/>
    <x v="1"/>
    <x v="1"/>
    <n v="39"/>
    <n v="1.6"/>
    <s v="Ok"/>
    <n v="1.6"/>
    <s v="False"/>
    <m/>
    <n v="0"/>
    <n v="48.15"/>
    <x v="0"/>
    <n v="0"/>
  </r>
  <r>
    <s v="FB000015"/>
    <x v="1"/>
    <x v="3"/>
    <x v="1"/>
    <s v="M"/>
    <x v="6"/>
    <x v="7"/>
    <n v="79.66"/>
    <x v="0"/>
    <n v="0"/>
    <n v="79.66"/>
    <n v="0"/>
    <d v="2025-08-06T00:00:00"/>
    <x v="1"/>
    <x v="1"/>
    <n v="7"/>
    <n v="1.7"/>
    <s v="Pocas Unidades"/>
    <n v="1.7"/>
    <s v="False"/>
    <m/>
    <n v="0"/>
    <n v="79.66"/>
    <x v="0"/>
    <n v="0"/>
  </r>
  <r>
    <s v="FB000016"/>
    <x v="2"/>
    <x v="3"/>
    <x v="1"/>
    <m/>
    <x v="2"/>
    <x v="6"/>
    <n v="67.569999999999993"/>
    <x v="0"/>
    <n v="0"/>
    <n v="67.569999999999993"/>
    <n v="0"/>
    <d v="2025-08-06T00:00:00"/>
    <x v="1"/>
    <x v="1"/>
    <n v="17"/>
    <n v="2.4"/>
    <s v="Ok"/>
    <n v="2.4"/>
    <s v="False"/>
    <m/>
    <n v="0"/>
    <n v="67.569999999999993"/>
    <x v="0"/>
    <n v="0"/>
  </r>
  <r>
    <s v="FB000017"/>
    <x v="3"/>
    <x v="6"/>
    <x v="3"/>
    <s v="S"/>
    <x v="3"/>
    <x v="7"/>
    <n v="123.53"/>
    <x v="0"/>
    <n v="0"/>
    <n v="123.53"/>
    <n v="0"/>
    <d v="2025-08-06T00:00:00"/>
    <x v="1"/>
    <x v="1"/>
    <n v="14"/>
    <n v="4.5999999999999996"/>
    <s v="Ok"/>
    <n v="4.5999999999999996"/>
    <s v="False"/>
    <m/>
    <n v="0"/>
    <n v="123.53"/>
    <x v="0"/>
    <n v="0"/>
  </r>
  <r>
    <s v="FB000018"/>
    <x v="1"/>
    <x v="5"/>
    <x v="1"/>
    <s v="L"/>
    <x v="1"/>
    <x v="8"/>
    <n v="102.35"/>
    <x v="0"/>
    <n v="0"/>
    <n v="102.35"/>
    <n v="0"/>
    <d v="2025-08-06T00:00:00"/>
    <x v="1"/>
    <x v="1"/>
    <n v="14"/>
    <n v="3.5"/>
    <s v="Ok"/>
    <n v="3.5"/>
    <s v="False"/>
    <m/>
    <n v="0"/>
    <n v="102.35"/>
    <x v="0"/>
    <n v="0"/>
  </r>
  <r>
    <s v="FB000019"/>
    <x v="0"/>
    <x v="3"/>
    <x v="3"/>
    <s v="M"/>
    <x v="6"/>
    <x v="9"/>
    <n v="137.94999999999999"/>
    <x v="6"/>
    <n v="0.58499999999999996"/>
    <n v="57.25"/>
    <n v="80.699999999999989"/>
    <d v="2025-08-06T00:00:00"/>
    <x v="1"/>
    <x v="1"/>
    <n v="16"/>
    <n v="4.0999999999999996"/>
    <s v="Ok"/>
    <n v="4.0999999999999996"/>
    <s v="False"/>
    <m/>
    <n v="0"/>
    <n v="57.25"/>
    <x v="0"/>
    <n v="0"/>
  </r>
  <r>
    <s v="FB000020"/>
    <x v="0"/>
    <x v="2"/>
    <x v="3"/>
    <s v="XXL"/>
    <x v="4"/>
    <x v="4"/>
    <n v="142.59"/>
    <x v="0"/>
    <n v="0"/>
    <n v="142.59"/>
    <n v="0"/>
    <d v="2025-08-06T00:00:00"/>
    <x v="1"/>
    <x v="1"/>
    <n v="1"/>
    <n v="3.7"/>
    <s v="Pocas Unidades"/>
    <n v="3.7"/>
    <s v="False"/>
    <m/>
    <n v="0"/>
    <n v="142.59"/>
    <x v="0"/>
    <n v="0"/>
  </r>
  <r>
    <s v="FB000021"/>
    <x v="4"/>
    <x v="3"/>
    <x v="2"/>
    <s v="L"/>
    <x v="1"/>
    <x v="7"/>
    <n v="33.33"/>
    <x v="7"/>
    <n v="0.218"/>
    <n v="26.06"/>
    <n v="7.27"/>
    <d v="2025-08-06T00:00:00"/>
    <x v="1"/>
    <x v="1"/>
    <n v="42"/>
    <m/>
    <s v="Ok"/>
    <s v="No valorado"/>
    <s v="False"/>
    <m/>
    <n v="0"/>
    <n v="26.06"/>
    <x v="0"/>
    <n v="0"/>
  </r>
  <r>
    <s v="FB000022"/>
    <x v="2"/>
    <x v="0"/>
    <x v="0"/>
    <m/>
    <x v="2"/>
    <x v="10"/>
    <n v="62.3"/>
    <x v="0"/>
    <n v="0"/>
    <n v="62.3"/>
    <n v="0"/>
    <d v="2024-09-24T00:00:00"/>
    <x v="3"/>
    <x v="6"/>
    <n v="10"/>
    <n v="2.5"/>
    <s v="Ok"/>
    <n v="2.5"/>
    <s v="False"/>
    <m/>
    <n v="0"/>
    <n v="62.3"/>
    <x v="0"/>
    <n v="0"/>
  </r>
  <r>
    <s v="FB000023"/>
    <x v="2"/>
    <x v="0"/>
    <x v="1"/>
    <m/>
    <x v="2"/>
    <x v="1"/>
    <n v="38.479999999999997"/>
    <x v="0"/>
    <n v="0"/>
    <n v="38.479999999999997"/>
    <n v="0"/>
    <d v="2025-08-06T00:00:00"/>
    <x v="1"/>
    <x v="1"/>
    <n v="46"/>
    <n v="1.2"/>
    <s v="Ok"/>
    <n v="1.2"/>
    <s v="False"/>
    <m/>
    <n v="0"/>
    <n v="38.479999999999997"/>
    <x v="0"/>
    <n v="0"/>
  </r>
  <r>
    <s v="FB000024"/>
    <x v="5"/>
    <x v="2"/>
    <x v="3"/>
    <s v="XL"/>
    <x v="0"/>
    <x v="6"/>
    <n v="91.36"/>
    <x v="0"/>
    <n v="0"/>
    <n v="91.36"/>
    <n v="0"/>
    <d v="2025-08-06T00:00:00"/>
    <x v="1"/>
    <x v="1"/>
    <n v="37"/>
    <n v="1.2"/>
    <s v="Ok"/>
    <n v="1.2"/>
    <s v="True"/>
    <s v="Size Issue"/>
    <n v="1"/>
    <n v="0"/>
    <x v="2"/>
    <n v="0"/>
  </r>
  <r>
    <s v="FB000025"/>
    <x v="1"/>
    <x v="7"/>
    <x v="2"/>
    <s v="XS"/>
    <x v="5"/>
    <x v="5"/>
    <n v="80.47"/>
    <x v="8"/>
    <n v="0.29100000000000004"/>
    <n v="57.05"/>
    <n v="23.42"/>
    <d v="2025-08-06T00:00:00"/>
    <x v="1"/>
    <x v="1"/>
    <n v="38"/>
    <n v="3.6"/>
    <s v="Ok"/>
    <n v="3.6"/>
    <s v="False"/>
    <m/>
    <n v="0"/>
    <n v="57.05"/>
    <x v="0"/>
    <n v="0"/>
  </r>
  <r>
    <s v="FB000026"/>
    <x v="4"/>
    <x v="1"/>
    <x v="0"/>
    <s v="M"/>
    <x v="6"/>
    <x v="0"/>
    <n v="40.89"/>
    <x v="9"/>
    <n v="0.34"/>
    <n v="26.99"/>
    <n v="13.900000000000002"/>
    <d v="2025-06-11T00:00:00"/>
    <x v="1"/>
    <x v="7"/>
    <n v="16"/>
    <n v="3.7"/>
    <s v="Ok"/>
    <n v="3.7"/>
    <s v="False"/>
    <m/>
    <n v="0"/>
    <n v="26.99"/>
    <x v="0"/>
    <n v="0"/>
  </r>
  <r>
    <s v="FB000027"/>
    <x v="4"/>
    <x v="2"/>
    <x v="3"/>
    <s v="L"/>
    <x v="1"/>
    <x v="0"/>
    <n v="47.04"/>
    <x v="10"/>
    <n v="0.36"/>
    <n v="30.11"/>
    <n v="16.93"/>
    <d v="2025-08-06T00:00:00"/>
    <x v="1"/>
    <x v="1"/>
    <n v="25"/>
    <n v="1.1000000000000001"/>
    <s v="Ok"/>
    <n v="1.1000000000000001"/>
    <s v="True"/>
    <s v="Damaged"/>
    <n v="1"/>
    <n v="0"/>
    <x v="3"/>
    <n v="0"/>
  </r>
  <r>
    <s v="FB000028"/>
    <x v="4"/>
    <x v="6"/>
    <x v="3"/>
    <s v="M"/>
    <x v="6"/>
    <x v="5"/>
    <n v="53.37"/>
    <x v="0"/>
    <n v="0"/>
    <n v="53.37"/>
    <n v="0"/>
    <d v="2025-08-06T00:00:00"/>
    <x v="1"/>
    <x v="1"/>
    <n v="28"/>
    <n v="3.8"/>
    <s v="Ok"/>
    <n v="3.8"/>
    <s v="False"/>
    <m/>
    <n v="0"/>
    <n v="53.37"/>
    <x v="0"/>
    <n v="0"/>
  </r>
  <r>
    <s v="FB000029"/>
    <x v="5"/>
    <x v="5"/>
    <x v="3"/>
    <s v="L"/>
    <x v="1"/>
    <x v="3"/>
    <n v="114.35"/>
    <x v="0"/>
    <n v="0"/>
    <n v="114.35"/>
    <n v="0"/>
    <d v="2025-08-06T00:00:00"/>
    <x v="1"/>
    <x v="1"/>
    <n v="6"/>
    <n v="1.2"/>
    <s v="Pocas Unidades"/>
    <n v="1.2"/>
    <s v="False"/>
    <m/>
    <n v="0"/>
    <n v="114.35"/>
    <x v="0"/>
    <n v="0"/>
  </r>
  <r>
    <s v="FB000030"/>
    <x v="3"/>
    <x v="6"/>
    <x v="0"/>
    <s v="XL"/>
    <x v="0"/>
    <x v="0"/>
    <n v="77.63"/>
    <x v="0"/>
    <n v="0"/>
    <n v="77.63"/>
    <n v="0"/>
    <d v="2024-10-24T00:00:00"/>
    <x v="5"/>
    <x v="2"/>
    <n v="1"/>
    <m/>
    <s v="Pocas Unidades"/>
    <s v="No valorado"/>
    <s v="False"/>
    <m/>
    <n v="0"/>
    <n v="77.63"/>
    <x v="0"/>
    <n v="0"/>
  </r>
  <r>
    <s v="FB000031"/>
    <x v="3"/>
    <x v="1"/>
    <x v="3"/>
    <s v="S"/>
    <x v="3"/>
    <x v="0"/>
    <n v="71.290000000000006"/>
    <x v="0"/>
    <n v="0"/>
    <n v="71.290000000000006"/>
    <n v="0"/>
    <d v="2025-08-06T00:00:00"/>
    <x v="1"/>
    <x v="1"/>
    <n v="37"/>
    <n v="4.0999999999999996"/>
    <s v="Ok"/>
    <n v="4.0999999999999996"/>
    <s v="True"/>
    <s v="Quality Issue"/>
    <n v="1"/>
    <n v="0"/>
    <x v="4"/>
    <n v="0"/>
  </r>
  <r>
    <s v="FB000032"/>
    <x v="1"/>
    <x v="6"/>
    <x v="0"/>
    <s v="L"/>
    <x v="1"/>
    <x v="9"/>
    <n v="37.43"/>
    <x v="11"/>
    <n v="0.24399999999999999"/>
    <n v="28.3"/>
    <n v="9.129999999999999"/>
    <d v="2025-04-16T00:00:00"/>
    <x v="1"/>
    <x v="4"/>
    <n v="5"/>
    <m/>
    <s v="Pocas Unidades"/>
    <s v="No valorado"/>
    <s v="False"/>
    <m/>
    <n v="0"/>
    <n v="28.3"/>
    <x v="0"/>
    <n v="0"/>
  </r>
  <r>
    <s v="FB000033"/>
    <x v="3"/>
    <x v="0"/>
    <x v="0"/>
    <s v="XL"/>
    <x v="0"/>
    <x v="9"/>
    <n v="143.78"/>
    <x v="0"/>
    <n v="0"/>
    <n v="143.78"/>
    <n v="0"/>
    <d v="2024-10-16T00:00:00"/>
    <x v="1"/>
    <x v="2"/>
    <n v="43"/>
    <n v="1.1000000000000001"/>
    <s v="Ok"/>
    <n v="1.1000000000000001"/>
    <s v="False"/>
    <m/>
    <n v="0"/>
    <n v="143.78"/>
    <x v="0"/>
    <n v="0"/>
  </r>
  <r>
    <s v="FB000034"/>
    <x v="1"/>
    <x v="2"/>
    <x v="3"/>
    <s v="XL"/>
    <x v="0"/>
    <x v="4"/>
    <n v="88.23"/>
    <x v="0"/>
    <n v="0"/>
    <n v="88.23"/>
    <n v="0"/>
    <d v="2025-08-06T00:00:00"/>
    <x v="1"/>
    <x v="1"/>
    <n v="44"/>
    <n v="1.6"/>
    <s v="Ok"/>
    <n v="1.6"/>
    <s v="False"/>
    <m/>
    <n v="0"/>
    <n v="88.23"/>
    <x v="0"/>
    <n v="0"/>
  </r>
  <r>
    <s v="FB000035"/>
    <x v="2"/>
    <x v="7"/>
    <x v="2"/>
    <m/>
    <x v="2"/>
    <x v="8"/>
    <n v="58.57"/>
    <x v="0"/>
    <n v="0"/>
    <n v="58.57"/>
    <n v="0"/>
    <d v="2025-08-06T00:00:00"/>
    <x v="1"/>
    <x v="1"/>
    <n v="38"/>
    <n v="1.5"/>
    <s v="Ok"/>
    <n v="1.5"/>
    <s v="False"/>
    <m/>
    <n v="0"/>
    <n v="58.57"/>
    <x v="0"/>
    <n v="0"/>
  </r>
  <r>
    <s v="FB000036"/>
    <x v="1"/>
    <x v="1"/>
    <x v="1"/>
    <s v="XXL"/>
    <x v="4"/>
    <x v="3"/>
    <n v="119.7"/>
    <x v="12"/>
    <n v="5.7000000000000002E-2"/>
    <n v="112.88"/>
    <n v="6.8200000000000074"/>
    <d v="2025-08-06T00:00:00"/>
    <x v="1"/>
    <x v="1"/>
    <n v="37"/>
    <n v="4.9000000000000004"/>
    <s v="Ok"/>
    <n v="4.9000000000000004"/>
    <s v="False"/>
    <m/>
    <n v="0"/>
    <n v="112.88"/>
    <x v="0"/>
    <n v="0"/>
  </r>
  <r>
    <s v="FB000037"/>
    <x v="4"/>
    <x v="2"/>
    <x v="2"/>
    <s v="XXL"/>
    <x v="4"/>
    <x v="6"/>
    <n v="97.06"/>
    <x v="13"/>
    <n v="0.47799999999999998"/>
    <n v="50.67"/>
    <n v="46.39"/>
    <d v="2025-08-06T00:00:00"/>
    <x v="1"/>
    <x v="1"/>
    <n v="31"/>
    <n v="4.0999999999999996"/>
    <s v="Ok"/>
    <n v="4.0999999999999996"/>
    <s v="False"/>
    <m/>
    <n v="0"/>
    <n v="50.67"/>
    <x v="0"/>
    <n v="0"/>
  </r>
  <r>
    <s v="FB000038"/>
    <x v="5"/>
    <x v="2"/>
    <x v="3"/>
    <s v="L"/>
    <x v="1"/>
    <x v="3"/>
    <n v="110.09"/>
    <x v="0"/>
    <n v="0"/>
    <n v="110.09"/>
    <n v="0"/>
    <d v="2025-08-06T00:00:00"/>
    <x v="1"/>
    <x v="1"/>
    <n v="32"/>
    <n v="3.4"/>
    <s v="Ok"/>
    <n v="3.4"/>
    <s v="False"/>
    <m/>
    <n v="0"/>
    <n v="110.09"/>
    <x v="0"/>
    <n v="0"/>
  </r>
  <r>
    <s v="FB000039"/>
    <x v="3"/>
    <x v="0"/>
    <x v="1"/>
    <s v="XS"/>
    <x v="5"/>
    <x v="6"/>
    <n v="198.42"/>
    <x v="14"/>
    <n v="0.14199999999999999"/>
    <n v="170.24"/>
    <n v="28.179999999999978"/>
    <d v="2025-08-06T00:00:00"/>
    <x v="1"/>
    <x v="1"/>
    <n v="10"/>
    <m/>
    <s v="Ok"/>
    <s v="No valorado"/>
    <s v="False"/>
    <m/>
    <n v="0"/>
    <n v="170.24"/>
    <x v="0"/>
    <n v="0"/>
  </r>
  <r>
    <s v="FB000040"/>
    <x v="4"/>
    <x v="2"/>
    <x v="1"/>
    <m/>
    <x v="7"/>
    <x v="9"/>
    <n v="101.72"/>
    <x v="0"/>
    <n v="0"/>
    <n v="101.72"/>
    <n v="0"/>
    <d v="2025-08-06T00:00:00"/>
    <x v="1"/>
    <x v="1"/>
    <n v="40"/>
    <m/>
    <s v="Ok"/>
    <s v="No valorado"/>
    <s v="False"/>
    <m/>
    <n v="0"/>
    <n v="101.72"/>
    <x v="0"/>
    <n v="0"/>
  </r>
  <r>
    <s v="FB000041"/>
    <x v="1"/>
    <x v="1"/>
    <x v="3"/>
    <s v="S"/>
    <x v="3"/>
    <x v="3"/>
    <n v="117.86"/>
    <x v="0"/>
    <n v="0"/>
    <n v="117.86"/>
    <n v="0"/>
    <d v="2025-08-06T00:00:00"/>
    <x v="1"/>
    <x v="1"/>
    <n v="6"/>
    <m/>
    <s v="Pocas Unidades"/>
    <s v="No valorado"/>
    <s v="False"/>
    <m/>
    <n v="0"/>
    <n v="117.86"/>
    <x v="0"/>
    <n v="0"/>
  </r>
  <r>
    <s v="FB000042"/>
    <x v="1"/>
    <x v="5"/>
    <x v="3"/>
    <s v="M"/>
    <x v="6"/>
    <x v="6"/>
    <n v="78.86"/>
    <x v="0"/>
    <n v="0"/>
    <n v="78.86"/>
    <n v="0"/>
    <d v="2025-08-06T00:00:00"/>
    <x v="1"/>
    <x v="1"/>
    <n v="22"/>
    <n v="4.3"/>
    <s v="Ok"/>
    <n v="4.3"/>
    <s v="False"/>
    <m/>
    <n v="0"/>
    <n v="78.86"/>
    <x v="0"/>
    <n v="0"/>
  </r>
  <r>
    <s v="FB000043"/>
    <x v="0"/>
    <x v="0"/>
    <x v="1"/>
    <s v="XS"/>
    <x v="5"/>
    <x v="8"/>
    <n v="216.16"/>
    <x v="15"/>
    <n v="0.51400000000000001"/>
    <n v="105.05"/>
    <n v="111.11"/>
    <d v="2025-08-06T00:00:00"/>
    <x v="1"/>
    <x v="1"/>
    <n v="36"/>
    <n v="4"/>
    <s v="Ok"/>
    <n v="4"/>
    <s v="False"/>
    <m/>
    <n v="0"/>
    <n v="105.05"/>
    <x v="0"/>
    <n v="0"/>
  </r>
  <r>
    <s v="FB000044"/>
    <x v="3"/>
    <x v="0"/>
    <x v="0"/>
    <s v="XL"/>
    <x v="0"/>
    <x v="1"/>
    <n v="129.85"/>
    <x v="0"/>
    <n v="0"/>
    <n v="129.85"/>
    <n v="0"/>
    <d v="2025-04-25T00:00:00"/>
    <x v="4"/>
    <x v="4"/>
    <n v="36"/>
    <n v="3.3"/>
    <s v="Ok"/>
    <n v="3.3"/>
    <s v="False"/>
    <m/>
    <n v="0"/>
    <n v="129.85"/>
    <x v="0"/>
    <n v="0"/>
  </r>
  <r>
    <s v="FB000045"/>
    <x v="1"/>
    <x v="2"/>
    <x v="1"/>
    <s v="XXL"/>
    <x v="4"/>
    <x v="6"/>
    <n v="111.3"/>
    <x v="0"/>
    <n v="0"/>
    <n v="111.3"/>
    <n v="0"/>
    <d v="2025-08-06T00:00:00"/>
    <x v="1"/>
    <x v="1"/>
    <n v="11"/>
    <n v="1.7"/>
    <s v="Ok"/>
    <n v="1.7"/>
    <s v="False"/>
    <m/>
    <n v="0"/>
    <n v="111.3"/>
    <x v="0"/>
    <n v="0"/>
  </r>
  <r>
    <s v="FB000046"/>
    <x v="5"/>
    <x v="1"/>
    <x v="3"/>
    <s v="XL"/>
    <x v="0"/>
    <x v="10"/>
    <n v="73.650000000000006"/>
    <x v="0"/>
    <n v="0"/>
    <n v="73.650000000000006"/>
    <n v="0"/>
    <d v="2025-08-06T00:00:00"/>
    <x v="1"/>
    <x v="1"/>
    <n v="33"/>
    <n v="3.6"/>
    <s v="Ok"/>
    <n v="3.6"/>
    <s v="False"/>
    <m/>
    <n v="0"/>
    <n v="73.650000000000006"/>
    <x v="0"/>
    <n v="0"/>
  </r>
  <r>
    <s v="FB000047"/>
    <x v="3"/>
    <x v="3"/>
    <x v="3"/>
    <s v="L"/>
    <x v="1"/>
    <x v="1"/>
    <n v="147.13"/>
    <x v="16"/>
    <n v="0.30299999999999999"/>
    <n v="102.55"/>
    <n v="44.58"/>
    <d v="2025-08-06T00:00:00"/>
    <x v="1"/>
    <x v="1"/>
    <n v="13"/>
    <n v="4.4000000000000004"/>
    <s v="Ok"/>
    <n v="4.4000000000000004"/>
    <s v="False"/>
    <m/>
    <n v="0"/>
    <n v="102.55"/>
    <x v="0"/>
    <n v="0"/>
  </r>
  <r>
    <s v="FB000048"/>
    <x v="2"/>
    <x v="5"/>
    <x v="1"/>
    <m/>
    <x v="2"/>
    <x v="6"/>
    <n v="44.6"/>
    <x v="17"/>
    <n v="0.53900000000000003"/>
    <n v="20.56"/>
    <n v="24.040000000000003"/>
    <d v="2025-08-06T00:00:00"/>
    <x v="1"/>
    <x v="1"/>
    <n v="42"/>
    <n v="2.4"/>
    <s v="Ok"/>
    <n v="2.4"/>
    <s v="False"/>
    <m/>
    <n v="0"/>
    <n v="20.56"/>
    <x v="0"/>
    <n v="0"/>
  </r>
  <r>
    <s v="FB000049"/>
    <x v="4"/>
    <x v="7"/>
    <x v="3"/>
    <s v="XL"/>
    <x v="0"/>
    <x v="3"/>
    <n v="101.8"/>
    <x v="0"/>
    <n v="0"/>
    <n v="101.8"/>
    <n v="0"/>
    <d v="2025-08-06T00:00:00"/>
    <x v="1"/>
    <x v="1"/>
    <n v="7"/>
    <n v="2.8"/>
    <s v="Pocas Unidades"/>
    <n v="2.8"/>
    <s v="False"/>
    <m/>
    <n v="0"/>
    <n v="101.8"/>
    <x v="0"/>
    <n v="0"/>
  </r>
  <r>
    <s v="FB000050"/>
    <x v="2"/>
    <x v="2"/>
    <x v="3"/>
    <m/>
    <x v="2"/>
    <x v="10"/>
    <n v="16.52"/>
    <x v="18"/>
    <n v="0.55899999999999994"/>
    <n v="7.29"/>
    <n v="9.23"/>
    <d v="2025-08-06T00:00:00"/>
    <x v="1"/>
    <x v="1"/>
    <n v="43"/>
    <m/>
    <s v="Ok"/>
    <s v="No valorado"/>
    <s v="False"/>
    <m/>
    <n v="0"/>
    <n v="7.29"/>
    <x v="0"/>
    <n v="0"/>
  </r>
  <r>
    <s v="FB000051"/>
    <x v="4"/>
    <x v="4"/>
    <x v="2"/>
    <s v="M"/>
    <x v="6"/>
    <x v="7"/>
    <n v="50.91"/>
    <x v="0"/>
    <n v="0"/>
    <n v="50.91"/>
    <n v="0"/>
    <d v="2025-08-06T00:00:00"/>
    <x v="1"/>
    <x v="1"/>
    <n v="3"/>
    <n v="1.8"/>
    <s v="Pocas Unidades"/>
    <n v="1.8"/>
    <s v="False"/>
    <m/>
    <n v="0"/>
    <n v="50.91"/>
    <x v="0"/>
    <n v="0"/>
  </r>
  <r>
    <s v="FB000052"/>
    <x v="0"/>
    <x v="7"/>
    <x v="0"/>
    <s v="S"/>
    <x v="3"/>
    <x v="3"/>
    <n v="222.26"/>
    <x v="0"/>
    <n v="0"/>
    <n v="222.26"/>
    <n v="0"/>
    <d v="2025-05-03T00:00:00"/>
    <x v="0"/>
    <x v="8"/>
    <n v="50"/>
    <n v="4.5"/>
    <s v="Ok"/>
    <n v="4.5"/>
    <s v="False"/>
    <m/>
    <n v="0"/>
    <n v="222.26"/>
    <x v="0"/>
    <n v="0"/>
  </r>
  <r>
    <s v="FB000053"/>
    <x v="3"/>
    <x v="6"/>
    <x v="3"/>
    <s v="S"/>
    <x v="3"/>
    <x v="8"/>
    <n v="104.14"/>
    <x v="19"/>
    <n v="0.57100000000000006"/>
    <n v="44.68"/>
    <n v="59.46"/>
    <d v="2025-08-06T00:00:00"/>
    <x v="1"/>
    <x v="1"/>
    <n v="14"/>
    <n v="1.8"/>
    <s v="Ok"/>
    <n v="1.8"/>
    <s v="False"/>
    <m/>
    <n v="0"/>
    <n v="44.68"/>
    <x v="0"/>
    <n v="0"/>
  </r>
  <r>
    <s v="FB000054"/>
    <x v="0"/>
    <x v="0"/>
    <x v="0"/>
    <s v="S"/>
    <x v="3"/>
    <x v="3"/>
    <n v="166.76"/>
    <x v="0"/>
    <n v="0"/>
    <n v="166.76"/>
    <n v="0"/>
    <d v="2025-06-12T00:00:00"/>
    <x v="5"/>
    <x v="7"/>
    <n v="21"/>
    <n v="4.2"/>
    <s v="Ok"/>
    <n v="4.2"/>
    <s v="False"/>
    <m/>
    <n v="0"/>
    <n v="166.76"/>
    <x v="0"/>
    <n v="0"/>
  </r>
  <r>
    <s v="FB000055"/>
    <x v="2"/>
    <x v="2"/>
    <x v="2"/>
    <m/>
    <x v="2"/>
    <x v="2"/>
    <n v="44.13"/>
    <x v="20"/>
    <n v="0.50900000000000001"/>
    <n v="21.67"/>
    <n v="22.46"/>
    <d v="2025-08-06T00:00:00"/>
    <x v="1"/>
    <x v="1"/>
    <n v="21"/>
    <n v="3"/>
    <s v="Ok"/>
    <n v="3"/>
    <s v="False"/>
    <m/>
    <n v="0"/>
    <n v="21.67"/>
    <x v="0"/>
    <n v="0"/>
  </r>
  <r>
    <s v="FB000056"/>
    <x v="0"/>
    <x v="6"/>
    <x v="3"/>
    <s v="S"/>
    <x v="3"/>
    <x v="6"/>
    <n v="121.29"/>
    <x v="21"/>
    <n v="0.152"/>
    <n v="102.85"/>
    <n v="18.440000000000012"/>
    <d v="2025-08-06T00:00:00"/>
    <x v="1"/>
    <x v="1"/>
    <n v="42"/>
    <m/>
    <s v="Ok"/>
    <s v="No valorado"/>
    <s v="False"/>
    <m/>
    <n v="0"/>
    <n v="102.85"/>
    <x v="0"/>
    <n v="0"/>
  </r>
  <r>
    <s v="FB000057"/>
    <x v="1"/>
    <x v="4"/>
    <x v="0"/>
    <s v="S"/>
    <x v="3"/>
    <x v="7"/>
    <n v="73.709999999999994"/>
    <x v="0"/>
    <n v="0"/>
    <n v="73.709999999999994"/>
    <n v="0"/>
    <d v="2025-07-10T00:00:00"/>
    <x v="5"/>
    <x v="0"/>
    <n v="35"/>
    <n v="3.9"/>
    <s v="Ok"/>
    <n v="3.9"/>
    <s v="True"/>
    <s v="Quality Issue"/>
    <n v="1"/>
    <n v="0"/>
    <x v="4"/>
    <n v="0"/>
  </r>
  <r>
    <s v="FB000058"/>
    <x v="4"/>
    <x v="0"/>
    <x v="0"/>
    <s v="XL"/>
    <x v="0"/>
    <x v="10"/>
    <n v="84.07"/>
    <x v="22"/>
    <n v="0.26300000000000001"/>
    <n v="61.96"/>
    <n v="22.109999999999992"/>
    <d v="2024-10-25T00:00:00"/>
    <x v="4"/>
    <x v="2"/>
    <n v="19"/>
    <n v="2.2999999999999998"/>
    <s v="Ok"/>
    <n v="2.2999999999999998"/>
    <s v="True"/>
    <s v="Size Issue"/>
    <n v="1"/>
    <n v="0"/>
    <x v="2"/>
    <n v="0"/>
  </r>
  <r>
    <s v="FB000059"/>
    <x v="1"/>
    <x v="3"/>
    <x v="3"/>
    <s v="XS"/>
    <x v="5"/>
    <x v="2"/>
    <n v="28.59"/>
    <x v="0"/>
    <n v="0"/>
    <n v="28.59"/>
    <n v="0"/>
    <d v="2025-08-06T00:00:00"/>
    <x v="1"/>
    <x v="1"/>
    <n v="39"/>
    <n v="1.4"/>
    <s v="Ok"/>
    <n v="1.4"/>
    <s v="False"/>
    <m/>
    <n v="0"/>
    <n v="28.59"/>
    <x v="0"/>
    <n v="0"/>
  </r>
  <r>
    <s v="FB000060"/>
    <x v="3"/>
    <x v="3"/>
    <x v="1"/>
    <s v="XXL"/>
    <x v="4"/>
    <x v="5"/>
    <n v="166.49"/>
    <x v="23"/>
    <n v="2.6000000000000002E-2"/>
    <n v="162.16"/>
    <n v="4.3300000000000125"/>
    <d v="2025-08-06T00:00:00"/>
    <x v="1"/>
    <x v="1"/>
    <n v="27"/>
    <m/>
    <s v="Ok"/>
    <s v="No valorado"/>
    <s v="False"/>
    <m/>
    <n v="0"/>
    <n v="162.16"/>
    <x v="0"/>
    <n v="0"/>
  </r>
  <r>
    <s v="FB000061"/>
    <x v="3"/>
    <x v="5"/>
    <x v="3"/>
    <s v="M"/>
    <x v="6"/>
    <x v="3"/>
    <n v="145.94999999999999"/>
    <x v="24"/>
    <n v="6.6000000000000003E-2"/>
    <n v="136.32"/>
    <n v="9.6299999999999955"/>
    <d v="2025-08-06T00:00:00"/>
    <x v="1"/>
    <x v="1"/>
    <n v="15"/>
    <n v="4"/>
    <s v="Ok"/>
    <n v="4"/>
    <s v="False"/>
    <m/>
    <n v="0"/>
    <n v="136.32"/>
    <x v="0"/>
    <n v="0"/>
  </r>
  <r>
    <s v="FB000062"/>
    <x v="0"/>
    <x v="6"/>
    <x v="2"/>
    <s v="M"/>
    <x v="6"/>
    <x v="9"/>
    <n v="218.42"/>
    <x v="0"/>
    <n v="0"/>
    <n v="218.42"/>
    <n v="0"/>
    <d v="2025-08-06T00:00:00"/>
    <x v="1"/>
    <x v="1"/>
    <n v="33"/>
    <n v="4.4000000000000004"/>
    <s v="Ok"/>
    <n v="4.4000000000000004"/>
    <s v="True"/>
    <s v="Changed Mind"/>
    <n v="1"/>
    <n v="0"/>
    <x v="5"/>
    <n v="0"/>
  </r>
  <r>
    <s v="FB000063"/>
    <x v="2"/>
    <x v="7"/>
    <x v="1"/>
    <m/>
    <x v="2"/>
    <x v="3"/>
    <n v="46.17"/>
    <x v="25"/>
    <n v="1.1000000000000001E-2"/>
    <n v="45.66"/>
    <n v="0.51000000000000512"/>
    <d v="2025-08-06T00:00:00"/>
    <x v="1"/>
    <x v="1"/>
    <n v="30"/>
    <n v="1.9"/>
    <s v="Ok"/>
    <n v="1.9"/>
    <s v="False"/>
    <m/>
    <n v="0"/>
    <n v="45.66"/>
    <x v="0"/>
    <n v="0"/>
  </r>
  <r>
    <s v="FB000064"/>
    <x v="3"/>
    <x v="4"/>
    <x v="3"/>
    <m/>
    <x v="7"/>
    <x v="6"/>
    <n v="106.18"/>
    <x v="26"/>
    <n v="0.18"/>
    <n v="87.07"/>
    <n v="19.110000000000014"/>
    <d v="2025-08-06T00:00:00"/>
    <x v="1"/>
    <x v="1"/>
    <n v="11"/>
    <n v="4.5"/>
    <s v="Ok"/>
    <n v="4.5"/>
    <s v="False"/>
    <m/>
    <n v="0"/>
    <n v="87.07"/>
    <x v="0"/>
    <n v="0"/>
  </r>
  <r>
    <s v="FB000065"/>
    <x v="1"/>
    <x v="0"/>
    <x v="1"/>
    <s v="XS"/>
    <x v="5"/>
    <x v="4"/>
    <n v="93.33"/>
    <x v="27"/>
    <n v="2.4E-2"/>
    <n v="91.09"/>
    <n v="2.2399999999999949"/>
    <d v="2025-08-06T00:00:00"/>
    <x v="1"/>
    <x v="1"/>
    <n v="20"/>
    <n v="4.2"/>
    <s v="Ok"/>
    <n v="4.2"/>
    <s v="False"/>
    <m/>
    <n v="0"/>
    <n v="91.09"/>
    <x v="0"/>
    <n v="0"/>
  </r>
  <r>
    <s v="FB000066"/>
    <x v="4"/>
    <x v="3"/>
    <x v="0"/>
    <s v="XS"/>
    <x v="5"/>
    <x v="3"/>
    <n v="86.54"/>
    <x v="28"/>
    <n v="0.217"/>
    <n v="67.760000000000005"/>
    <n v="18.78"/>
    <d v="2025-06-01T00:00:00"/>
    <x v="6"/>
    <x v="7"/>
    <n v="21"/>
    <n v="3.6"/>
    <s v="Ok"/>
    <n v="3.6"/>
    <s v="True"/>
    <s v="Changed Mind"/>
    <n v="1"/>
    <n v="0"/>
    <x v="5"/>
    <n v="0"/>
  </r>
  <r>
    <s v="FB000067"/>
    <x v="2"/>
    <x v="5"/>
    <x v="3"/>
    <m/>
    <x v="2"/>
    <x v="6"/>
    <n v="55.57"/>
    <x v="0"/>
    <n v="0"/>
    <n v="55.57"/>
    <n v="0"/>
    <d v="2025-08-06T00:00:00"/>
    <x v="1"/>
    <x v="1"/>
    <n v="44"/>
    <n v="3.8"/>
    <s v="Ok"/>
    <n v="3.8"/>
    <s v="False"/>
    <m/>
    <n v="0"/>
    <n v="55.57"/>
    <x v="0"/>
    <n v="0"/>
  </r>
  <r>
    <s v="FB000068"/>
    <x v="1"/>
    <x v="7"/>
    <x v="0"/>
    <s v="XL"/>
    <x v="0"/>
    <x v="2"/>
    <n v="76.5"/>
    <x v="0"/>
    <n v="0"/>
    <n v="76.5"/>
    <n v="0"/>
    <d v="2025-01-26T00:00:00"/>
    <x v="6"/>
    <x v="5"/>
    <n v="17"/>
    <n v="4.5999999999999996"/>
    <s v="Ok"/>
    <n v="4.5999999999999996"/>
    <s v="False"/>
    <m/>
    <n v="0"/>
    <n v="76.5"/>
    <x v="0"/>
    <n v="0"/>
  </r>
  <r>
    <s v="FB000069"/>
    <x v="5"/>
    <x v="7"/>
    <x v="0"/>
    <s v="XS"/>
    <x v="5"/>
    <x v="6"/>
    <n v="137.19"/>
    <x v="29"/>
    <n v="9.5000000000000001E-2"/>
    <n v="124.16"/>
    <n v="13.030000000000001"/>
    <d v="2025-04-01T00:00:00"/>
    <x v="3"/>
    <x v="4"/>
    <n v="17"/>
    <m/>
    <s v="Ok"/>
    <s v="No valorado"/>
    <s v="False"/>
    <m/>
    <n v="0"/>
    <n v="124.16"/>
    <x v="0"/>
    <n v="0"/>
  </r>
  <r>
    <s v="FB000070"/>
    <x v="1"/>
    <x v="0"/>
    <x v="3"/>
    <s v="XL"/>
    <x v="0"/>
    <x v="9"/>
    <n v="48.92"/>
    <x v="30"/>
    <n v="0.19800000000000001"/>
    <n v="39.229999999999997"/>
    <n v="9.6900000000000048"/>
    <d v="2025-08-06T00:00:00"/>
    <x v="1"/>
    <x v="1"/>
    <n v="17"/>
    <n v="2.6"/>
    <s v="Ok"/>
    <n v="2.6"/>
    <s v="False"/>
    <m/>
    <n v="0"/>
    <n v="39.229999999999997"/>
    <x v="0"/>
    <n v="0"/>
  </r>
  <r>
    <s v="FB000071"/>
    <x v="3"/>
    <x v="5"/>
    <x v="1"/>
    <s v="XL"/>
    <x v="0"/>
    <x v="3"/>
    <n v="69.819999999999993"/>
    <x v="0"/>
    <n v="0"/>
    <n v="69.819999999999993"/>
    <n v="0"/>
    <d v="2025-08-06T00:00:00"/>
    <x v="1"/>
    <x v="1"/>
    <n v="46"/>
    <m/>
    <s v="Ok"/>
    <s v="No valorado"/>
    <s v="True"/>
    <s v="Wrong Item"/>
    <n v="1"/>
    <n v="0"/>
    <x v="6"/>
    <n v="0"/>
  </r>
  <r>
    <s v="FB000072"/>
    <x v="0"/>
    <x v="3"/>
    <x v="3"/>
    <s v="XXL"/>
    <x v="4"/>
    <x v="0"/>
    <n v="199.39"/>
    <x v="31"/>
    <n v="7.400000000000001E-2"/>
    <n v="184.64"/>
    <n v="14.75"/>
    <d v="2025-08-06T00:00:00"/>
    <x v="1"/>
    <x v="1"/>
    <n v="49"/>
    <m/>
    <s v="Ok"/>
    <s v="No valorado"/>
    <s v="False"/>
    <m/>
    <n v="0"/>
    <n v="184.64"/>
    <x v="0"/>
    <n v="0"/>
  </r>
  <r>
    <s v="FB000073"/>
    <x v="0"/>
    <x v="2"/>
    <x v="3"/>
    <s v="M"/>
    <x v="6"/>
    <x v="3"/>
    <n v="222.09"/>
    <x v="32"/>
    <n v="0.55200000000000005"/>
    <n v="99.5"/>
    <n v="122.59"/>
    <d v="2025-08-06T00:00:00"/>
    <x v="1"/>
    <x v="1"/>
    <n v="21"/>
    <n v="4.5"/>
    <s v="Ok"/>
    <n v="4.5"/>
    <s v="False"/>
    <m/>
    <n v="0"/>
    <n v="99.5"/>
    <x v="0"/>
    <n v="0"/>
  </r>
  <r>
    <s v="FB000074"/>
    <x v="1"/>
    <x v="3"/>
    <x v="2"/>
    <s v="XS"/>
    <x v="5"/>
    <x v="0"/>
    <n v="112.86"/>
    <x v="0"/>
    <n v="0"/>
    <n v="112.86"/>
    <n v="0"/>
    <d v="2025-08-06T00:00:00"/>
    <x v="1"/>
    <x v="1"/>
    <n v="8"/>
    <n v="2.9"/>
    <s v="Pocas Unidades"/>
    <n v="2.9"/>
    <s v="False"/>
    <m/>
    <n v="0"/>
    <n v="112.86"/>
    <x v="0"/>
    <n v="0"/>
  </r>
  <r>
    <s v="FB000075"/>
    <x v="5"/>
    <x v="3"/>
    <x v="0"/>
    <s v="XS"/>
    <x v="5"/>
    <x v="6"/>
    <n v="100.96"/>
    <x v="0"/>
    <n v="0"/>
    <n v="100.96"/>
    <n v="0"/>
    <d v="2025-05-10T00:00:00"/>
    <x v="0"/>
    <x v="8"/>
    <n v="32"/>
    <n v="3.3"/>
    <s v="Ok"/>
    <n v="3.3"/>
    <s v="False"/>
    <m/>
    <n v="0"/>
    <n v="100.96"/>
    <x v="0"/>
    <n v="0"/>
  </r>
  <r>
    <s v="FB000076"/>
    <x v="0"/>
    <x v="6"/>
    <x v="0"/>
    <s v="XL"/>
    <x v="0"/>
    <x v="6"/>
    <n v="243.56"/>
    <x v="33"/>
    <n v="0.48"/>
    <n v="126.65"/>
    <n v="116.91"/>
    <d v="2024-10-14T00:00:00"/>
    <x v="2"/>
    <x v="2"/>
    <n v="22"/>
    <n v="4.4000000000000004"/>
    <s v="Ok"/>
    <n v="4.4000000000000004"/>
    <s v="True"/>
    <s v="Changed Mind"/>
    <n v="1"/>
    <n v="0"/>
    <x v="5"/>
    <n v="0"/>
  </r>
  <r>
    <s v="FB000077"/>
    <x v="5"/>
    <x v="3"/>
    <x v="0"/>
    <s v="XXL"/>
    <x v="4"/>
    <x v="0"/>
    <n v="153.32"/>
    <x v="0"/>
    <n v="0"/>
    <n v="153.32"/>
    <n v="0"/>
    <d v="2024-09-13T00:00:00"/>
    <x v="4"/>
    <x v="6"/>
    <n v="43"/>
    <n v="2.9"/>
    <s v="Ok"/>
    <n v="2.9"/>
    <s v="False"/>
    <m/>
    <n v="0"/>
    <n v="153.32"/>
    <x v="0"/>
    <n v="0"/>
  </r>
  <r>
    <s v="FB000078"/>
    <x v="2"/>
    <x v="1"/>
    <x v="2"/>
    <m/>
    <x v="2"/>
    <x v="9"/>
    <n v="42.95"/>
    <x v="34"/>
    <n v="0.22500000000000001"/>
    <n v="33.29"/>
    <n v="9.6600000000000037"/>
    <d v="2025-08-06T00:00:00"/>
    <x v="1"/>
    <x v="1"/>
    <n v="7"/>
    <n v="1.9"/>
    <s v="Pocas Unidades"/>
    <n v="1.9"/>
    <s v="True"/>
    <s v="Size Issue"/>
    <n v="1"/>
    <n v="0"/>
    <x v="2"/>
    <n v="0"/>
  </r>
  <r>
    <s v="FB000079"/>
    <x v="1"/>
    <x v="4"/>
    <x v="3"/>
    <s v="S"/>
    <x v="3"/>
    <x v="6"/>
    <n v="30.79"/>
    <x v="0"/>
    <n v="0"/>
    <n v="30.79"/>
    <n v="0"/>
    <d v="2025-08-06T00:00:00"/>
    <x v="1"/>
    <x v="1"/>
    <n v="36"/>
    <n v="3.4"/>
    <s v="Ok"/>
    <n v="3.4"/>
    <s v="False"/>
    <m/>
    <n v="0"/>
    <n v="30.79"/>
    <x v="0"/>
    <n v="0"/>
  </r>
  <r>
    <s v="FB000080"/>
    <x v="2"/>
    <x v="1"/>
    <x v="2"/>
    <m/>
    <x v="2"/>
    <x v="10"/>
    <n v="59.85"/>
    <x v="0"/>
    <n v="0"/>
    <n v="59.85"/>
    <n v="0"/>
    <d v="2025-08-06T00:00:00"/>
    <x v="1"/>
    <x v="1"/>
    <n v="38"/>
    <n v="4"/>
    <s v="Ok"/>
    <n v="4"/>
    <s v="False"/>
    <m/>
    <n v="0"/>
    <n v="59.85"/>
    <x v="0"/>
    <n v="0"/>
  </r>
  <r>
    <s v="FB000081"/>
    <x v="1"/>
    <x v="2"/>
    <x v="0"/>
    <s v="S"/>
    <x v="3"/>
    <x v="8"/>
    <n v="78.16"/>
    <x v="35"/>
    <n v="0.191"/>
    <n v="63.23"/>
    <n v="14.93"/>
    <d v="2025-07-25T00:00:00"/>
    <x v="4"/>
    <x v="0"/>
    <n v="23"/>
    <m/>
    <s v="Ok"/>
    <s v="No valorado"/>
    <s v="False"/>
    <m/>
    <n v="0"/>
    <n v="63.23"/>
    <x v="0"/>
    <n v="0"/>
  </r>
  <r>
    <s v="FB000082"/>
    <x v="1"/>
    <x v="5"/>
    <x v="2"/>
    <s v="M"/>
    <x v="6"/>
    <x v="3"/>
    <n v="113.17"/>
    <x v="35"/>
    <n v="0.191"/>
    <n v="91.55"/>
    <n v="21.620000000000005"/>
    <d v="2025-08-06T00:00:00"/>
    <x v="1"/>
    <x v="1"/>
    <n v="15"/>
    <n v="4.9000000000000004"/>
    <s v="Ok"/>
    <n v="4.9000000000000004"/>
    <s v="False"/>
    <m/>
    <n v="0"/>
    <n v="91.55"/>
    <x v="0"/>
    <n v="0"/>
  </r>
  <r>
    <s v="FB000083"/>
    <x v="5"/>
    <x v="5"/>
    <x v="1"/>
    <s v="S"/>
    <x v="3"/>
    <x v="5"/>
    <n v="174.13"/>
    <x v="0"/>
    <n v="0"/>
    <n v="174.13"/>
    <n v="0"/>
    <d v="2025-08-06T00:00:00"/>
    <x v="1"/>
    <x v="1"/>
    <n v="34"/>
    <n v="3.7"/>
    <s v="Ok"/>
    <n v="3.7"/>
    <s v="False"/>
    <m/>
    <n v="0"/>
    <n v="174.13"/>
    <x v="0"/>
    <n v="0"/>
  </r>
  <r>
    <s v="FB000084"/>
    <x v="3"/>
    <x v="0"/>
    <x v="3"/>
    <s v="XS"/>
    <x v="5"/>
    <x v="9"/>
    <n v="191.96"/>
    <x v="0"/>
    <n v="0"/>
    <n v="191.96"/>
    <n v="0"/>
    <d v="2025-08-06T00:00:00"/>
    <x v="1"/>
    <x v="1"/>
    <n v="50"/>
    <m/>
    <s v="Ok"/>
    <s v="No valorado"/>
    <s v="False"/>
    <m/>
    <n v="0"/>
    <n v="191.96"/>
    <x v="0"/>
    <n v="0"/>
  </r>
  <r>
    <s v="FB000085"/>
    <x v="0"/>
    <x v="5"/>
    <x v="0"/>
    <s v="XL"/>
    <x v="0"/>
    <x v="7"/>
    <n v="222.55"/>
    <x v="36"/>
    <n v="0.22600000000000001"/>
    <n v="172.25"/>
    <n v="50.300000000000011"/>
    <d v="2025-02-10T00:00:00"/>
    <x v="2"/>
    <x v="9"/>
    <n v="50"/>
    <m/>
    <s v="Ok"/>
    <s v="No valorado"/>
    <s v="False"/>
    <m/>
    <n v="0"/>
    <n v="172.25"/>
    <x v="0"/>
    <n v="0"/>
  </r>
  <r>
    <s v="FB000086"/>
    <x v="4"/>
    <x v="7"/>
    <x v="1"/>
    <s v="XS"/>
    <x v="5"/>
    <x v="2"/>
    <n v="37.85"/>
    <x v="37"/>
    <n v="0.11900000000000001"/>
    <n v="33.35"/>
    <n v="4.5"/>
    <d v="2025-08-06T00:00:00"/>
    <x v="1"/>
    <x v="1"/>
    <n v="45"/>
    <n v="3.4"/>
    <s v="Ok"/>
    <n v="3.4"/>
    <s v="True"/>
    <s v="Changed Mind"/>
    <n v="1"/>
    <n v="0"/>
    <x v="5"/>
    <n v="0"/>
  </r>
  <r>
    <s v="FB000087"/>
    <x v="0"/>
    <x v="1"/>
    <x v="3"/>
    <s v="M"/>
    <x v="6"/>
    <x v="4"/>
    <n v="241.09"/>
    <x v="0"/>
    <n v="0"/>
    <n v="241.09"/>
    <n v="0"/>
    <d v="2025-08-06T00:00:00"/>
    <x v="1"/>
    <x v="1"/>
    <n v="26"/>
    <m/>
    <s v="Ok"/>
    <s v="No valorado"/>
    <s v="False"/>
    <m/>
    <n v="0"/>
    <n v="241.09"/>
    <x v="0"/>
    <n v="0"/>
  </r>
  <r>
    <s v="FB000088"/>
    <x v="5"/>
    <x v="2"/>
    <x v="0"/>
    <s v="S"/>
    <x v="3"/>
    <x v="8"/>
    <n v="136.97"/>
    <x v="0"/>
    <n v="0"/>
    <n v="136.97"/>
    <n v="0"/>
    <d v="2024-10-25T00:00:00"/>
    <x v="4"/>
    <x v="2"/>
    <n v="17"/>
    <n v="4.4000000000000004"/>
    <s v="Ok"/>
    <n v="4.4000000000000004"/>
    <s v="True"/>
    <s v="Quality Issue"/>
    <n v="1"/>
    <n v="0"/>
    <x v="4"/>
    <n v="0"/>
  </r>
  <r>
    <s v="FB000089"/>
    <x v="3"/>
    <x v="4"/>
    <x v="0"/>
    <s v="M"/>
    <x v="6"/>
    <x v="5"/>
    <n v="113.79"/>
    <x v="38"/>
    <n v="0.55299999999999994"/>
    <n v="50.86"/>
    <n v="62.930000000000007"/>
    <d v="2024-12-29T00:00:00"/>
    <x v="6"/>
    <x v="10"/>
    <n v="47"/>
    <n v="4.0999999999999996"/>
    <s v="Ok"/>
    <n v="4.0999999999999996"/>
    <s v="False"/>
    <m/>
    <n v="0"/>
    <n v="50.86"/>
    <x v="0"/>
    <n v="0"/>
  </r>
  <r>
    <s v="FB000090"/>
    <x v="4"/>
    <x v="4"/>
    <x v="3"/>
    <s v="XXL"/>
    <x v="4"/>
    <x v="3"/>
    <n v="93.23"/>
    <x v="39"/>
    <n v="0.4"/>
    <n v="55.94"/>
    <n v="37.290000000000006"/>
    <d v="2025-08-06T00:00:00"/>
    <x v="1"/>
    <x v="1"/>
    <n v="46"/>
    <n v="1.9"/>
    <s v="Ok"/>
    <n v="1.9"/>
    <s v="False"/>
    <m/>
    <n v="0"/>
    <n v="55.94"/>
    <x v="0"/>
    <n v="0"/>
  </r>
  <r>
    <s v="FB000091"/>
    <x v="3"/>
    <x v="1"/>
    <x v="0"/>
    <s v="S"/>
    <x v="3"/>
    <x v="8"/>
    <n v="106.24"/>
    <x v="40"/>
    <n v="6.4000000000000001E-2"/>
    <n v="99.44"/>
    <n v="6.7999999999999972"/>
    <d v="2024-09-09T00:00:00"/>
    <x v="2"/>
    <x v="6"/>
    <n v="50"/>
    <n v="1.5"/>
    <s v="Ok"/>
    <n v="1.5"/>
    <s v="False"/>
    <m/>
    <n v="0"/>
    <n v="99.44"/>
    <x v="0"/>
    <n v="0"/>
  </r>
  <r>
    <s v="FB000092"/>
    <x v="2"/>
    <x v="0"/>
    <x v="1"/>
    <m/>
    <x v="2"/>
    <x v="10"/>
    <n v="30.95"/>
    <x v="0"/>
    <n v="0"/>
    <n v="30.95"/>
    <n v="0"/>
    <d v="2025-08-06T00:00:00"/>
    <x v="1"/>
    <x v="1"/>
    <n v="27"/>
    <n v="3.1"/>
    <s v="Ok"/>
    <n v="3.1"/>
    <s v="True"/>
    <s v="Changed Mind"/>
    <n v="1"/>
    <n v="0"/>
    <x v="5"/>
    <n v="0"/>
  </r>
  <r>
    <s v="FB000093"/>
    <x v="3"/>
    <x v="0"/>
    <x v="3"/>
    <s v="S"/>
    <x v="3"/>
    <x v="2"/>
    <n v="76.92"/>
    <x v="41"/>
    <n v="0.495"/>
    <n v="38.840000000000003"/>
    <n v="38.08"/>
    <d v="2025-08-06T00:00:00"/>
    <x v="1"/>
    <x v="1"/>
    <n v="7"/>
    <n v="1.1000000000000001"/>
    <s v="Pocas Unidades"/>
    <n v="1.1000000000000001"/>
    <s v="False"/>
    <m/>
    <n v="0"/>
    <n v="38.840000000000003"/>
    <x v="0"/>
    <n v="0"/>
  </r>
  <r>
    <s v="FB000094"/>
    <x v="4"/>
    <x v="4"/>
    <x v="2"/>
    <s v="XS"/>
    <x v="5"/>
    <x v="7"/>
    <n v="80.64"/>
    <x v="0"/>
    <n v="0"/>
    <n v="80.64"/>
    <n v="0"/>
    <d v="2025-08-06T00:00:00"/>
    <x v="1"/>
    <x v="1"/>
    <n v="26"/>
    <m/>
    <s v="Ok"/>
    <s v="No valorado"/>
    <s v="False"/>
    <m/>
    <n v="0"/>
    <n v="80.64"/>
    <x v="0"/>
    <n v="0"/>
  </r>
  <r>
    <s v="FB000095"/>
    <x v="4"/>
    <x v="0"/>
    <x v="2"/>
    <s v="XS"/>
    <x v="5"/>
    <x v="7"/>
    <n v="32.46"/>
    <x v="42"/>
    <n v="0.52400000000000002"/>
    <n v="15.45"/>
    <n v="17.010000000000002"/>
    <d v="2025-08-06T00:00:00"/>
    <x v="1"/>
    <x v="1"/>
    <n v="14"/>
    <n v="3.9"/>
    <s v="Ok"/>
    <n v="3.9"/>
    <s v="False"/>
    <m/>
    <n v="0"/>
    <n v="15.45"/>
    <x v="0"/>
    <n v="0"/>
  </r>
  <r>
    <s v="FB000096"/>
    <x v="2"/>
    <x v="6"/>
    <x v="3"/>
    <m/>
    <x v="2"/>
    <x v="2"/>
    <n v="54.79"/>
    <x v="0"/>
    <n v="0"/>
    <n v="54.79"/>
    <n v="0"/>
    <d v="2025-08-06T00:00:00"/>
    <x v="1"/>
    <x v="1"/>
    <n v="12"/>
    <n v="4.5"/>
    <s v="Ok"/>
    <n v="4.5"/>
    <s v="False"/>
    <m/>
    <n v="0"/>
    <n v="54.79"/>
    <x v="0"/>
    <n v="0"/>
  </r>
  <r>
    <s v="FB000097"/>
    <x v="4"/>
    <x v="4"/>
    <x v="1"/>
    <s v="M"/>
    <x v="6"/>
    <x v="1"/>
    <n v="71.14"/>
    <x v="43"/>
    <n v="0.56399999999999995"/>
    <n v="31.02"/>
    <n v="40.120000000000005"/>
    <d v="2025-08-06T00:00:00"/>
    <x v="1"/>
    <x v="1"/>
    <n v="12"/>
    <n v="3.4"/>
    <s v="Ok"/>
    <n v="3.4"/>
    <s v="False"/>
    <m/>
    <n v="0"/>
    <n v="31.02"/>
    <x v="0"/>
    <n v="0"/>
  </r>
  <r>
    <s v="FB000098"/>
    <x v="4"/>
    <x v="5"/>
    <x v="3"/>
    <s v="XXL"/>
    <x v="4"/>
    <x v="8"/>
    <n v="57.85"/>
    <x v="0"/>
    <n v="0"/>
    <n v="57.85"/>
    <n v="0"/>
    <d v="2025-08-06T00:00:00"/>
    <x v="1"/>
    <x v="1"/>
    <n v="36"/>
    <n v="3.5"/>
    <s v="Ok"/>
    <n v="3.5"/>
    <s v="False"/>
    <m/>
    <n v="0"/>
    <n v="57.85"/>
    <x v="0"/>
    <n v="0"/>
  </r>
  <r>
    <s v="FB000099"/>
    <x v="4"/>
    <x v="0"/>
    <x v="3"/>
    <s v="XS"/>
    <x v="5"/>
    <x v="6"/>
    <n v="33.369999999999997"/>
    <x v="44"/>
    <n v="0.03"/>
    <n v="32.369999999999997"/>
    <n v="1"/>
    <d v="2025-08-06T00:00:00"/>
    <x v="1"/>
    <x v="1"/>
    <n v="40"/>
    <n v="1.3"/>
    <s v="Ok"/>
    <n v="1.3"/>
    <s v="False"/>
    <m/>
    <n v="0"/>
    <n v="32.369999999999997"/>
    <x v="0"/>
    <n v="0"/>
  </r>
  <r>
    <s v="FB000100"/>
    <x v="1"/>
    <x v="6"/>
    <x v="3"/>
    <s v="L"/>
    <x v="1"/>
    <x v="2"/>
    <n v="91.83"/>
    <x v="0"/>
    <n v="0"/>
    <n v="91.83"/>
    <n v="0"/>
    <d v="2025-08-06T00:00:00"/>
    <x v="1"/>
    <x v="1"/>
    <n v="39"/>
    <n v="4.9000000000000004"/>
    <s v="Ok"/>
    <n v="4.9000000000000004"/>
    <s v="False"/>
    <m/>
    <n v="0"/>
    <n v="91.83"/>
    <x v="0"/>
    <n v="0"/>
  </r>
  <r>
    <s v="FB000101"/>
    <x v="4"/>
    <x v="0"/>
    <x v="2"/>
    <s v="L"/>
    <x v="1"/>
    <x v="3"/>
    <n v="60.12"/>
    <x v="45"/>
    <n v="0.19500000000000001"/>
    <n v="48.4"/>
    <n v="11.719999999999999"/>
    <d v="2025-08-06T00:00:00"/>
    <x v="1"/>
    <x v="1"/>
    <n v="42"/>
    <n v="1"/>
    <s v="Ok"/>
    <n v="1"/>
    <s v="False"/>
    <m/>
    <n v="0"/>
    <n v="48.4"/>
    <x v="0"/>
    <n v="0"/>
  </r>
  <r>
    <s v="FB000102"/>
    <x v="5"/>
    <x v="2"/>
    <x v="1"/>
    <s v="S"/>
    <x v="3"/>
    <x v="3"/>
    <n v="163.5"/>
    <x v="0"/>
    <n v="0"/>
    <n v="163.5"/>
    <n v="0"/>
    <d v="2025-08-06T00:00:00"/>
    <x v="1"/>
    <x v="1"/>
    <n v="34"/>
    <n v="4.9000000000000004"/>
    <s v="Ok"/>
    <n v="4.9000000000000004"/>
    <s v="False"/>
    <m/>
    <n v="0"/>
    <n v="163.5"/>
    <x v="0"/>
    <n v="0"/>
  </r>
  <r>
    <s v="FB000103"/>
    <x v="5"/>
    <x v="1"/>
    <x v="0"/>
    <s v="S"/>
    <x v="3"/>
    <x v="7"/>
    <n v="126.37"/>
    <x v="0"/>
    <n v="0"/>
    <n v="126.37"/>
    <n v="0"/>
    <d v="2024-11-08T00:00:00"/>
    <x v="4"/>
    <x v="11"/>
    <n v="25"/>
    <n v="1.8"/>
    <s v="Ok"/>
    <n v="1.8"/>
    <s v="False"/>
    <m/>
    <n v="0"/>
    <n v="126.37"/>
    <x v="0"/>
    <n v="0"/>
  </r>
  <r>
    <s v="FB000104"/>
    <x v="4"/>
    <x v="1"/>
    <x v="1"/>
    <s v="L"/>
    <x v="1"/>
    <x v="8"/>
    <n v="50.01"/>
    <x v="46"/>
    <n v="0.58200000000000007"/>
    <n v="20.9"/>
    <n v="29.11"/>
    <d v="2025-08-06T00:00:00"/>
    <x v="1"/>
    <x v="1"/>
    <n v="32"/>
    <n v="4.8"/>
    <s v="Ok"/>
    <n v="4.8"/>
    <s v="False"/>
    <m/>
    <n v="0"/>
    <n v="20.9"/>
    <x v="0"/>
    <n v="0"/>
  </r>
  <r>
    <s v="FB000105"/>
    <x v="3"/>
    <x v="4"/>
    <x v="1"/>
    <s v="S"/>
    <x v="3"/>
    <x v="0"/>
    <n v="84.31"/>
    <x v="0"/>
    <n v="0"/>
    <n v="84.31"/>
    <n v="0"/>
    <d v="2025-08-06T00:00:00"/>
    <x v="1"/>
    <x v="1"/>
    <n v="10"/>
    <n v="3.9"/>
    <s v="Ok"/>
    <n v="3.9"/>
    <s v="False"/>
    <m/>
    <n v="0"/>
    <n v="84.31"/>
    <x v="0"/>
    <n v="0"/>
  </r>
  <r>
    <s v="FB000106"/>
    <x v="4"/>
    <x v="2"/>
    <x v="0"/>
    <s v="XL"/>
    <x v="0"/>
    <x v="7"/>
    <n v="100.98"/>
    <x v="0"/>
    <n v="0"/>
    <n v="100.98"/>
    <n v="0"/>
    <d v="2025-06-17T00:00:00"/>
    <x v="3"/>
    <x v="7"/>
    <n v="21"/>
    <n v="2.8"/>
    <s v="Ok"/>
    <n v="2.8"/>
    <s v="False"/>
    <m/>
    <n v="0"/>
    <n v="100.98"/>
    <x v="0"/>
    <n v="0"/>
  </r>
  <r>
    <s v="FB000107"/>
    <x v="4"/>
    <x v="2"/>
    <x v="3"/>
    <s v="M"/>
    <x v="6"/>
    <x v="7"/>
    <n v="38.020000000000003"/>
    <x v="0"/>
    <n v="0"/>
    <n v="38.020000000000003"/>
    <n v="0"/>
    <d v="2025-08-06T00:00:00"/>
    <x v="1"/>
    <x v="1"/>
    <n v="44"/>
    <n v="4.7"/>
    <s v="Ok"/>
    <n v="4.7"/>
    <s v="False"/>
    <m/>
    <n v="0"/>
    <n v="38.020000000000003"/>
    <x v="0"/>
    <n v="0"/>
  </r>
  <r>
    <s v="FB000108"/>
    <x v="4"/>
    <x v="4"/>
    <x v="2"/>
    <s v="XL"/>
    <x v="0"/>
    <x v="5"/>
    <n v="63.85"/>
    <x v="0"/>
    <n v="0"/>
    <n v="63.85"/>
    <n v="0"/>
    <d v="2025-08-06T00:00:00"/>
    <x v="1"/>
    <x v="1"/>
    <n v="41"/>
    <m/>
    <s v="Ok"/>
    <s v="No valorado"/>
    <s v="False"/>
    <m/>
    <n v="0"/>
    <n v="63.85"/>
    <x v="0"/>
    <n v="0"/>
  </r>
  <r>
    <s v="FB000109"/>
    <x v="3"/>
    <x v="4"/>
    <x v="2"/>
    <s v="XS"/>
    <x v="5"/>
    <x v="8"/>
    <n v="183.15"/>
    <x v="0"/>
    <n v="0"/>
    <n v="183.15"/>
    <n v="0"/>
    <d v="2025-08-06T00:00:00"/>
    <x v="1"/>
    <x v="1"/>
    <n v="23"/>
    <n v="4.0999999999999996"/>
    <s v="Ok"/>
    <n v="4.0999999999999996"/>
    <s v="False"/>
    <m/>
    <n v="0"/>
    <n v="183.15"/>
    <x v="0"/>
    <n v="0"/>
  </r>
  <r>
    <s v="FB000110"/>
    <x v="5"/>
    <x v="0"/>
    <x v="1"/>
    <s v="S"/>
    <x v="3"/>
    <x v="4"/>
    <n v="91"/>
    <x v="47"/>
    <n v="0.59499999999999997"/>
    <n v="36.86"/>
    <n v="54.14"/>
    <d v="2025-08-06T00:00:00"/>
    <x v="1"/>
    <x v="1"/>
    <n v="5"/>
    <n v="3.9"/>
    <s v="Pocas Unidades"/>
    <n v="3.9"/>
    <s v="False"/>
    <m/>
    <n v="0"/>
    <n v="36.86"/>
    <x v="0"/>
    <n v="0"/>
  </r>
  <r>
    <s v="FB000111"/>
    <x v="0"/>
    <x v="1"/>
    <x v="0"/>
    <s v="L"/>
    <x v="1"/>
    <x v="2"/>
    <n v="92.83"/>
    <x v="0"/>
    <n v="0"/>
    <n v="92.83"/>
    <n v="0"/>
    <d v="2025-07-20T00:00:00"/>
    <x v="6"/>
    <x v="0"/>
    <n v="9"/>
    <n v="1.2"/>
    <s v="Pocas Unidades"/>
    <n v="1.2"/>
    <s v="False"/>
    <m/>
    <n v="0"/>
    <n v="92.83"/>
    <x v="0"/>
    <n v="0"/>
  </r>
  <r>
    <s v="FB000112"/>
    <x v="2"/>
    <x v="2"/>
    <x v="1"/>
    <m/>
    <x v="2"/>
    <x v="10"/>
    <n v="34.450000000000003"/>
    <x v="0"/>
    <n v="0"/>
    <n v="34.450000000000003"/>
    <n v="0"/>
    <d v="2025-08-06T00:00:00"/>
    <x v="1"/>
    <x v="1"/>
    <n v="4"/>
    <n v="4.5"/>
    <s v="Pocas Unidades"/>
    <n v="4.5"/>
    <s v="False"/>
    <m/>
    <n v="0"/>
    <n v="34.450000000000003"/>
    <x v="0"/>
    <n v="0"/>
  </r>
  <r>
    <s v="FB000113"/>
    <x v="5"/>
    <x v="4"/>
    <x v="2"/>
    <s v="S"/>
    <x v="3"/>
    <x v="9"/>
    <n v="128.15"/>
    <x v="48"/>
    <n v="0.5"/>
    <n v="64.08"/>
    <n v="64.070000000000007"/>
    <d v="2025-08-06T00:00:00"/>
    <x v="1"/>
    <x v="1"/>
    <n v="28"/>
    <n v="3.2"/>
    <s v="Ok"/>
    <n v="3.2"/>
    <s v="False"/>
    <m/>
    <n v="0"/>
    <n v="64.08"/>
    <x v="0"/>
    <n v="0"/>
  </r>
  <r>
    <s v="FB000114"/>
    <x v="1"/>
    <x v="3"/>
    <x v="3"/>
    <s v="XXL"/>
    <x v="4"/>
    <x v="0"/>
    <n v="99.62"/>
    <x v="49"/>
    <n v="0.33799999999999997"/>
    <n v="65.95"/>
    <n v="33.67"/>
    <d v="2025-08-06T00:00:00"/>
    <x v="1"/>
    <x v="1"/>
    <n v="27"/>
    <n v="2.1"/>
    <s v="Ok"/>
    <n v="2.1"/>
    <s v="False"/>
    <m/>
    <n v="0"/>
    <n v="65.95"/>
    <x v="0"/>
    <n v="0"/>
  </r>
  <r>
    <s v="FB000115"/>
    <x v="4"/>
    <x v="7"/>
    <x v="1"/>
    <s v="S"/>
    <x v="3"/>
    <x v="1"/>
    <n v="87.39"/>
    <x v="50"/>
    <n v="0.255"/>
    <n v="65.11"/>
    <n v="22.28"/>
    <d v="2025-08-06T00:00:00"/>
    <x v="1"/>
    <x v="1"/>
    <n v="8"/>
    <n v="2.2999999999999998"/>
    <s v="Pocas Unidades"/>
    <n v="2.2999999999999998"/>
    <s v="False"/>
    <m/>
    <n v="0"/>
    <n v="65.11"/>
    <x v="0"/>
    <n v="0"/>
  </r>
  <r>
    <s v="FB000116"/>
    <x v="1"/>
    <x v="0"/>
    <x v="0"/>
    <s v="XXL"/>
    <x v="4"/>
    <x v="10"/>
    <n v="49.67"/>
    <x v="0"/>
    <n v="0"/>
    <n v="49.67"/>
    <n v="0"/>
    <d v="2024-09-06T00:00:00"/>
    <x v="4"/>
    <x v="6"/>
    <n v="37"/>
    <n v="2.2999999999999998"/>
    <s v="Ok"/>
    <n v="2.2999999999999998"/>
    <s v="False"/>
    <m/>
    <n v="0"/>
    <n v="49.67"/>
    <x v="0"/>
    <n v="0"/>
  </r>
  <r>
    <s v="FB000117"/>
    <x v="2"/>
    <x v="1"/>
    <x v="2"/>
    <m/>
    <x v="2"/>
    <x v="10"/>
    <n v="72.040000000000006"/>
    <x v="0"/>
    <n v="0"/>
    <n v="72.040000000000006"/>
    <n v="0"/>
    <d v="2025-08-06T00:00:00"/>
    <x v="1"/>
    <x v="1"/>
    <n v="48"/>
    <m/>
    <s v="Ok"/>
    <s v="No valorado"/>
    <s v="True"/>
    <s v="Wrong Item"/>
    <n v="1"/>
    <n v="0"/>
    <x v="6"/>
    <n v="0"/>
  </r>
  <r>
    <s v="FB000118"/>
    <x v="5"/>
    <x v="0"/>
    <x v="0"/>
    <s v="M"/>
    <x v="6"/>
    <x v="8"/>
    <n v="133.82"/>
    <x v="0"/>
    <n v="0"/>
    <n v="133.82"/>
    <n v="0"/>
    <d v="2024-11-25T00:00:00"/>
    <x v="2"/>
    <x v="11"/>
    <n v="12"/>
    <n v="1.7"/>
    <s v="Ok"/>
    <n v="1.7"/>
    <s v="False"/>
    <m/>
    <n v="0"/>
    <n v="133.82"/>
    <x v="0"/>
    <n v="0"/>
  </r>
  <r>
    <s v="FB000119"/>
    <x v="4"/>
    <x v="1"/>
    <x v="1"/>
    <s v="S"/>
    <x v="3"/>
    <x v="2"/>
    <n v="62.93"/>
    <x v="0"/>
    <n v="0"/>
    <n v="62.93"/>
    <n v="0"/>
    <d v="2025-08-06T00:00:00"/>
    <x v="1"/>
    <x v="1"/>
    <n v="49"/>
    <m/>
    <s v="Ok"/>
    <s v="No valorado"/>
    <s v="False"/>
    <m/>
    <n v="0"/>
    <n v="62.93"/>
    <x v="0"/>
    <n v="0"/>
  </r>
  <r>
    <s v="FB000120"/>
    <x v="0"/>
    <x v="0"/>
    <x v="0"/>
    <s v="L"/>
    <x v="1"/>
    <x v="0"/>
    <n v="248.58"/>
    <x v="0"/>
    <n v="0"/>
    <n v="248.58"/>
    <n v="0"/>
    <d v="2025-07-04T00:00:00"/>
    <x v="4"/>
    <x v="0"/>
    <n v="27"/>
    <n v="1.5"/>
    <s v="Ok"/>
    <n v="1.5"/>
    <s v="False"/>
    <m/>
    <n v="0"/>
    <n v="248.58"/>
    <x v="0"/>
    <n v="0"/>
  </r>
  <r>
    <s v="FB000121"/>
    <x v="3"/>
    <x v="1"/>
    <x v="2"/>
    <s v="XXL"/>
    <x v="4"/>
    <x v="8"/>
    <n v="61.08"/>
    <x v="0"/>
    <n v="0"/>
    <n v="61.08"/>
    <n v="0"/>
    <d v="2025-08-06T00:00:00"/>
    <x v="1"/>
    <x v="1"/>
    <n v="27"/>
    <m/>
    <s v="Ok"/>
    <s v="No valorado"/>
    <s v="True"/>
    <s v="Changed Mind"/>
    <n v="1"/>
    <n v="0"/>
    <x v="5"/>
    <n v="0"/>
  </r>
  <r>
    <s v="FB000122"/>
    <x v="4"/>
    <x v="6"/>
    <x v="1"/>
    <s v="S"/>
    <x v="3"/>
    <x v="0"/>
    <n v="109.12"/>
    <x v="0"/>
    <n v="0"/>
    <n v="109.12"/>
    <n v="0"/>
    <d v="2025-08-06T00:00:00"/>
    <x v="1"/>
    <x v="1"/>
    <n v="34"/>
    <m/>
    <s v="Ok"/>
    <s v="No valorado"/>
    <s v="False"/>
    <m/>
    <n v="0"/>
    <n v="109.12"/>
    <x v="0"/>
    <n v="0"/>
  </r>
  <r>
    <s v="FB000123"/>
    <x v="0"/>
    <x v="0"/>
    <x v="1"/>
    <s v="XXL"/>
    <x v="4"/>
    <x v="9"/>
    <n v="82.91"/>
    <x v="51"/>
    <n v="0.45899999999999996"/>
    <n v="44.85"/>
    <n v="38.059999999999995"/>
    <d v="2025-08-06T00:00:00"/>
    <x v="1"/>
    <x v="1"/>
    <n v="24"/>
    <m/>
    <s v="Ok"/>
    <s v="No valorado"/>
    <s v="True"/>
    <s v="Quality Issue"/>
    <n v="1"/>
    <n v="0"/>
    <x v="4"/>
    <n v="0"/>
  </r>
  <r>
    <s v="FB000124"/>
    <x v="3"/>
    <x v="4"/>
    <x v="3"/>
    <s v="XS"/>
    <x v="5"/>
    <x v="9"/>
    <n v="113.53"/>
    <x v="5"/>
    <n v="0.109"/>
    <n v="101.16"/>
    <n v="12.370000000000005"/>
    <d v="2025-08-06T00:00:00"/>
    <x v="1"/>
    <x v="1"/>
    <n v="40"/>
    <n v="2.8"/>
    <s v="Ok"/>
    <n v="2.8"/>
    <s v="False"/>
    <m/>
    <n v="0"/>
    <n v="101.16"/>
    <x v="0"/>
    <n v="0"/>
  </r>
  <r>
    <s v="FB000125"/>
    <x v="2"/>
    <x v="1"/>
    <x v="1"/>
    <m/>
    <x v="2"/>
    <x v="10"/>
    <n v="38.89"/>
    <x v="52"/>
    <n v="0.51500000000000001"/>
    <n v="18.86"/>
    <n v="20.03"/>
    <d v="2025-08-06T00:00:00"/>
    <x v="1"/>
    <x v="1"/>
    <n v="28"/>
    <n v="4.3"/>
    <s v="Ok"/>
    <n v="4.3"/>
    <s v="False"/>
    <m/>
    <n v="0"/>
    <n v="18.86"/>
    <x v="0"/>
    <n v="0"/>
  </r>
  <r>
    <s v="FB000126"/>
    <x v="5"/>
    <x v="6"/>
    <x v="0"/>
    <s v="XXL"/>
    <x v="4"/>
    <x v="2"/>
    <n v="53.01"/>
    <x v="51"/>
    <n v="0.45899999999999996"/>
    <n v="28.68"/>
    <n v="24.33"/>
    <d v="2025-01-14T00:00:00"/>
    <x v="3"/>
    <x v="5"/>
    <n v="37"/>
    <n v="3.7"/>
    <s v="Ok"/>
    <n v="3.7"/>
    <s v="False"/>
    <m/>
    <n v="0"/>
    <n v="28.68"/>
    <x v="0"/>
    <n v="0"/>
  </r>
  <r>
    <s v="FB000127"/>
    <x v="3"/>
    <x v="5"/>
    <x v="0"/>
    <s v="XXL"/>
    <x v="4"/>
    <x v="5"/>
    <n v="81.64"/>
    <x v="0"/>
    <n v="0"/>
    <n v="81.64"/>
    <n v="0"/>
    <d v="2024-12-06T00:00:00"/>
    <x v="4"/>
    <x v="10"/>
    <n v="50"/>
    <n v="1.1000000000000001"/>
    <s v="Ok"/>
    <n v="1.1000000000000001"/>
    <s v="False"/>
    <m/>
    <n v="0"/>
    <n v="81.64"/>
    <x v="0"/>
    <n v="0"/>
  </r>
  <r>
    <s v="FB000128"/>
    <x v="3"/>
    <x v="5"/>
    <x v="0"/>
    <s v="XXL"/>
    <x v="4"/>
    <x v="3"/>
    <n v="125.24"/>
    <x v="53"/>
    <n v="0.215"/>
    <n v="98.31"/>
    <n v="26.929999999999993"/>
    <d v="2024-09-06T00:00:00"/>
    <x v="4"/>
    <x v="6"/>
    <n v="7"/>
    <n v="2.9"/>
    <s v="Pocas Unidades"/>
    <n v="2.9"/>
    <s v="False"/>
    <m/>
    <n v="0"/>
    <n v="98.31"/>
    <x v="0"/>
    <n v="0"/>
  </r>
  <r>
    <s v="FB000129"/>
    <x v="0"/>
    <x v="5"/>
    <x v="0"/>
    <s v="XS"/>
    <x v="5"/>
    <x v="1"/>
    <n v="98.61"/>
    <x v="0"/>
    <n v="0"/>
    <n v="98.61"/>
    <n v="0"/>
    <d v="2025-03-05T00:00:00"/>
    <x v="1"/>
    <x v="3"/>
    <n v="1"/>
    <n v="2.6"/>
    <s v="Pocas Unidades"/>
    <n v="2.6"/>
    <s v="False"/>
    <m/>
    <n v="0"/>
    <n v="98.61"/>
    <x v="0"/>
    <n v="0"/>
  </r>
  <r>
    <s v="FB000130"/>
    <x v="3"/>
    <x v="6"/>
    <x v="2"/>
    <s v="XS"/>
    <x v="5"/>
    <x v="5"/>
    <n v="77.540000000000006"/>
    <x v="0"/>
    <n v="0"/>
    <n v="77.540000000000006"/>
    <n v="0"/>
    <d v="2025-08-06T00:00:00"/>
    <x v="1"/>
    <x v="1"/>
    <n v="36"/>
    <n v="3.4"/>
    <s v="Ok"/>
    <n v="3.4"/>
    <s v="False"/>
    <m/>
    <n v="0"/>
    <n v="77.540000000000006"/>
    <x v="0"/>
    <n v="0"/>
  </r>
  <r>
    <s v="FB000131"/>
    <x v="5"/>
    <x v="2"/>
    <x v="0"/>
    <s v="XL"/>
    <x v="0"/>
    <x v="9"/>
    <n v="79.13"/>
    <x v="0"/>
    <n v="0"/>
    <n v="79.13"/>
    <n v="0"/>
    <d v="2024-11-16T00:00:00"/>
    <x v="0"/>
    <x v="11"/>
    <n v="11"/>
    <n v="3.6"/>
    <s v="Ok"/>
    <n v="3.6"/>
    <s v="False"/>
    <m/>
    <n v="0"/>
    <n v="79.13"/>
    <x v="0"/>
    <n v="0"/>
  </r>
  <r>
    <s v="FB000132"/>
    <x v="4"/>
    <x v="3"/>
    <x v="0"/>
    <s v="S"/>
    <x v="3"/>
    <x v="6"/>
    <n v="96.11"/>
    <x v="0"/>
    <n v="0"/>
    <n v="96.11"/>
    <n v="0"/>
    <d v="2025-04-12T00:00:00"/>
    <x v="0"/>
    <x v="4"/>
    <n v="13"/>
    <n v="4.2"/>
    <s v="Ok"/>
    <n v="4.2"/>
    <s v="False"/>
    <m/>
    <n v="0"/>
    <n v="96.11"/>
    <x v="0"/>
    <n v="0"/>
  </r>
  <r>
    <s v="FB000133"/>
    <x v="1"/>
    <x v="3"/>
    <x v="0"/>
    <s v="XL"/>
    <x v="0"/>
    <x v="3"/>
    <n v="116.61"/>
    <x v="0"/>
    <n v="0"/>
    <n v="116.61"/>
    <n v="0"/>
    <d v="2024-11-04T00:00:00"/>
    <x v="2"/>
    <x v="11"/>
    <n v="31"/>
    <m/>
    <s v="Ok"/>
    <s v="No valorado"/>
    <s v="False"/>
    <m/>
    <n v="0"/>
    <n v="116.61"/>
    <x v="0"/>
    <n v="0"/>
  </r>
  <r>
    <s v="FB000134"/>
    <x v="2"/>
    <x v="5"/>
    <x v="1"/>
    <m/>
    <x v="2"/>
    <x v="5"/>
    <n v="57.8"/>
    <x v="54"/>
    <n v="0.27"/>
    <n v="42.19"/>
    <n v="15.61"/>
    <d v="2025-08-06T00:00:00"/>
    <x v="1"/>
    <x v="1"/>
    <n v="9"/>
    <n v="1.8"/>
    <s v="Pocas Unidades"/>
    <n v="1.8"/>
    <s v="False"/>
    <m/>
    <n v="0"/>
    <n v="42.19"/>
    <x v="0"/>
    <n v="0"/>
  </r>
  <r>
    <s v="FB000135"/>
    <x v="1"/>
    <x v="4"/>
    <x v="0"/>
    <s v="S"/>
    <x v="3"/>
    <x v="3"/>
    <n v="110.78"/>
    <x v="0"/>
    <n v="0"/>
    <n v="110.78"/>
    <n v="0"/>
    <d v="2025-01-13T00:00:00"/>
    <x v="2"/>
    <x v="5"/>
    <n v="9"/>
    <n v="1.4"/>
    <s v="Pocas Unidades"/>
    <n v="1.4"/>
    <s v="False"/>
    <m/>
    <n v="0"/>
    <n v="110.78"/>
    <x v="0"/>
    <n v="0"/>
  </r>
  <r>
    <s v="FB000136"/>
    <x v="1"/>
    <x v="6"/>
    <x v="0"/>
    <s v="L"/>
    <x v="1"/>
    <x v="2"/>
    <n v="112.63"/>
    <x v="0"/>
    <n v="0"/>
    <n v="112.63"/>
    <n v="0"/>
    <d v="2024-10-14T00:00:00"/>
    <x v="2"/>
    <x v="2"/>
    <n v="50"/>
    <n v="3.6"/>
    <s v="Ok"/>
    <n v="3.6"/>
    <s v="True"/>
    <s v="Quality Issue"/>
    <n v="1"/>
    <n v="0"/>
    <x v="4"/>
    <n v="0"/>
  </r>
  <r>
    <s v="FB000137"/>
    <x v="1"/>
    <x v="4"/>
    <x v="3"/>
    <s v="XS"/>
    <x v="5"/>
    <x v="9"/>
    <n v="89.36"/>
    <x v="0"/>
    <n v="0"/>
    <n v="89.36"/>
    <n v="0"/>
    <d v="2025-08-06T00:00:00"/>
    <x v="1"/>
    <x v="1"/>
    <n v="24"/>
    <n v="4.3"/>
    <s v="Ok"/>
    <n v="4.3"/>
    <s v="True"/>
    <s v="Damaged"/>
    <n v="1"/>
    <n v="0"/>
    <x v="3"/>
    <n v="0"/>
  </r>
  <r>
    <s v="FB000138"/>
    <x v="0"/>
    <x v="7"/>
    <x v="2"/>
    <s v="M"/>
    <x v="6"/>
    <x v="1"/>
    <n v="127.99"/>
    <x v="0"/>
    <n v="0"/>
    <n v="127.99"/>
    <n v="0"/>
    <d v="2025-08-06T00:00:00"/>
    <x v="1"/>
    <x v="1"/>
    <n v="16"/>
    <m/>
    <s v="Ok"/>
    <s v="No valorado"/>
    <s v="False"/>
    <m/>
    <n v="0"/>
    <n v="127.99"/>
    <x v="0"/>
    <n v="0"/>
  </r>
  <r>
    <s v="FB000139"/>
    <x v="4"/>
    <x v="0"/>
    <x v="1"/>
    <s v="XXL"/>
    <x v="4"/>
    <x v="7"/>
    <n v="54.88"/>
    <x v="55"/>
    <n v="0.58799999999999997"/>
    <n v="22.61"/>
    <n v="32.270000000000003"/>
    <d v="2025-08-06T00:00:00"/>
    <x v="1"/>
    <x v="1"/>
    <n v="50"/>
    <n v="3.5"/>
    <s v="Ok"/>
    <n v="3.5"/>
    <s v="False"/>
    <m/>
    <n v="0"/>
    <n v="22.61"/>
    <x v="0"/>
    <n v="0"/>
  </r>
  <r>
    <s v="FB000140"/>
    <x v="3"/>
    <x v="1"/>
    <x v="0"/>
    <s v="L"/>
    <x v="1"/>
    <x v="3"/>
    <n v="154.13"/>
    <x v="0"/>
    <n v="0"/>
    <n v="154.13"/>
    <n v="0"/>
    <d v="2024-10-01T00:00:00"/>
    <x v="3"/>
    <x v="2"/>
    <n v="31"/>
    <n v="4.0999999999999996"/>
    <s v="Ok"/>
    <n v="4.0999999999999996"/>
    <s v="True"/>
    <s v="Size Issue"/>
    <n v="1"/>
    <n v="0"/>
    <x v="2"/>
    <n v="0"/>
  </r>
  <r>
    <s v="FB000141"/>
    <x v="5"/>
    <x v="5"/>
    <x v="0"/>
    <s v="XS"/>
    <x v="5"/>
    <x v="4"/>
    <n v="131.5"/>
    <x v="0"/>
    <n v="0"/>
    <n v="131.5"/>
    <n v="0"/>
    <d v="2024-11-03T00:00:00"/>
    <x v="6"/>
    <x v="11"/>
    <n v="5"/>
    <m/>
    <s v="Pocas Unidades"/>
    <s v="No valorado"/>
    <s v="False"/>
    <m/>
    <n v="0"/>
    <n v="131.5"/>
    <x v="0"/>
    <n v="0"/>
  </r>
  <r>
    <s v="FB000142"/>
    <x v="0"/>
    <x v="6"/>
    <x v="3"/>
    <s v="M"/>
    <x v="6"/>
    <x v="5"/>
    <n v="133.26"/>
    <x v="0"/>
    <n v="0"/>
    <n v="133.26"/>
    <n v="0"/>
    <d v="2025-08-06T00:00:00"/>
    <x v="1"/>
    <x v="1"/>
    <n v="29"/>
    <n v="1.3"/>
    <s v="Ok"/>
    <n v="1.3"/>
    <s v="False"/>
    <m/>
    <n v="0"/>
    <n v="133.26"/>
    <x v="0"/>
    <n v="0"/>
  </r>
  <r>
    <s v="FB000143"/>
    <x v="3"/>
    <x v="7"/>
    <x v="1"/>
    <s v="XL"/>
    <x v="0"/>
    <x v="0"/>
    <n v="173.91"/>
    <x v="0"/>
    <n v="0"/>
    <n v="173.91"/>
    <n v="0"/>
    <d v="2025-08-06T00:00:00"/>
    <x v="1"/>
    <x v="1"/>
    <n v="21"/>
    <m/>
    <s v="Ok"/>
    <s v="No valorado"/>
    <s v="False"/>
    <m/>
    <n v="0"/>
    <n v="173.91"/>
    <x v="0"/>
    <n v="0"/>
  </r>
  <r>
    <s v="FB000144"/>
    <x v="1"/>
    <x v="4"/>
    <x v="0"/>
    <s v="L"/>
    <x v="1"/>
    <x v="7"/>
    <n v="102.99"/>
    <x v="0"/>
    <n v="0"/>
    <n v="102.99"/>
    <n v="0"/>
    <d v="2025-07-16T00:00:00"/>
    <x v="1"/>
    <x v="0"/>
    <n v="41"/>
    <n v="3.9"/>
    <s v="Ok"/>
    <n v="3.9"/>
    <s v="False"/>
    <m/>
    <n v="0"/>
    <n v="102.99"/>
    <x v="0"/>
    <n v="0"/>
  </r>
  <r>
    <s v="FB000145"/>
    <x v="0"/>
    <x v="0"/>
    <x v="0"/>
    <s v="L"/>
    <x v="1"/>
    <x v="7"/>
    <n v="87.78"/>
    <x v="56"/>
    <n v="0.45299999999999996"/>
    <n v="48.02"/>
    <n v="39.76"/>
    <d v="2025-02-17T00:00:00"/>
    <x v="2"/>
    <x v="9"/>
    <n v="34"/>
    <n v="1.8"/>
    <s v="Ok"/>
    <n v="1.8"/>
    <s v="False"/>
    <m/>
    <n v="0"/>
    <n v="48.02"/>
    <x v="0"/>
    <n v="0"/>
  </r>
  <r>
    <s v="FB000146"/>
    <x v="1"/>
    <x v="1"/>
    <x v="1"/>
    <m/>
    <x v="7"/>
    <x v="7"/>
    <n v="91.8"/>
    <x v="57"/>
    <n v="0.158"/>
    <n v="77.3"/>
    <n v="14.5"/>
    <d v="2025-08-06T00:00:00"/>
    <x v="1"/>
    <x v="1"/>
    <n v="30"/>
    <n v="4.2"/>
    <s v="Ok"/>
    <n v="4.2"/>
    <s v="False"/>
    <m/>
    <n v="0"/>
    <n v="77.3"/>
    <x v="0"/>
    <n v="0"/>
  </r>
  <r>
    <s v="FB000147"/>
    <x v="1"/>
    <x v="0"/>
    <x v="1"/>
    <s v="L"/>
    <x v="1"/>
    <x v="3"/>
    <n v="107.32"/>
    <x v="58"/>
    <n v="0.254"/>
    <n v="80.06"/>
    <n v="27.259999999999991"/>
    <d v="2025-08-06T00:00:00"/>
    <x v="1"/>
    <x v="1"/>
    <n v="50"/>
    <n v="4.4000000000000004"/>
    <s v="Ok"/>
    <n v="4.4000000000000004"/>
    <s v="False"/>
    <m/>
    <n v="0"/>
    <n v="80.06"/>
    <x v="0"/>
    <n v="0"/>
  </r>
  <r>
    <s v="FB000148"/>
    <x v="4"/>
    <x v="2"/>
    <x v="0"/>
    <s v="XXL"/>
    <x v="4"/>
    <x v="10"/>
    <n v="67.69"/>
    <x v="59"/>
    <n v="0.57299999999999995"/>
    <n v="28.9"/>
    <n v="38.79"/>
    <d v="2025-07-24T00:00:00"/>
    <x v="5"/>
    <x v="0"/>
    <n v="50"/>
    <n v="4.5999999999999996"/>
    <s v="Ok"/>
    <n v="4.5999999999999996"/>
    <s v="False"/>
    <m/>
    <n v="0"/>
    <n v="28.9"/>
    <x v="0"/>
    <n v="0"/>
  </r>
  <r>
    <s v="FB000149"/>
    <x v="1"/>
    <x v="5"/>
    <x v="3"/>
    <s v="M"/>
    <x v="6"/>
    <x v="7"/>
    <n v="68.11"/>
    <x v="60"/>
    <n v="0.46"/>
    <n v="36.78"/>
    <n v="31.33"/>
    <d v="2025-08-06T00:00:00"/>
    <x v="1"/>
    <x v="1"/>
    <n v="3"/>
    <n v="2.5"/>
    <s v="Pocas Unidades"/>
    <n v="2.5"/>
    <s v="False"/>
    <m/>
    <n v="0"/>
    <n v="36.78"/>
    <x v="0"/>
    <n v="0"/>
  </r>
  <r>
    <s v="FB000150"/>
    <x v="3"/>
    <x v="2"/>
    <x v="0"/>
    <s v="L"/>
    <x v="1"/>
    <x v="5"/>
    <n v="94.29"/>
    <x v="0"/>
    <n v="0"/>
    <n v="94.29"/>
    <n v="0"/>
    <d v="2024-09-15T00:00:00"/>
    <x v="6"/>
    <x v="6"/>
    <n v="18"/>
    <n v="1.7"/>
    <s v="Ok"/>
    <n v="1.7"/>
    <s v="False"/>
    <m/>
    <n v="0"/>
    <n v="94.29"/>
    <x v="0"/>
    <n v="0"/>
  </r>
  <r>
    <s v="FB000151"/>
    <x v="1"/>
    <x v="5"/>
    <x v="1"/>
    <s v="XL"/>
    <x v="0"/>
    <x v="4"/>
    <n v="94.97"/>
    <x v="0"/>
    <n v="0"/>
    <n v="94.97"/>
    <n v="0"/>
    <d v="2025-08-06T00:00:00"/>
    <x v="1"/>
    <x v="1"/>
    <n v="46"/>
    <n v="4.3"/>
    <s v="Ok"/>
    <n v="4.3"/>
    <s v="False"/>
    <m/>
    <n v="0"/>
    <n v="94.97"/>
    <x v="0"/>
    <n v="0"/>
  </r>
  <r>
    <s v="FB000152"/>
    <x v="3"/>
    <x v="2"/>
    <x v="1"/>
    <s v="M"/>
    <x v="6"/>
    <x v="8"/>
    <n v="65.87"/>
    <x v="61"/>
    <n v="0.114"/>
    <n v="58.36"/>
    <n v="7.5100000000000051"/>
    <d v="2025-08-06T00:00:00"/>
    <x v="1"/>
    <x v="1"/>
    <n v="15"/>
    <n v="3.9"/>
    <s v="Ok"/>
    <n v="3.9"/>
    <s v="False"/>
    <m/>
    <n v="0"/>
    <n v="58.36"/>
    <x v="0"/>
    <n v="0"/>
  </r>
  <r>
    <s v="FB000153"/>
    <x v="5"/>
    <x v="0"/>
    <x v="1"/>
    <s v="XXL"/>
    <x v="4"/>
    <x v="5"/>
    <n v="155.06"/>
    <x v="62"/>
    <n v="0.29399999999999998"/>
    <n v="109.47"/>
    <n v="45.59"/>
    <d v="2025-08-06T00:00:00"/>
    <x v="1"/>
    <x v="1"/>
    <n v="5"/>
    <n v="3.6"/>
    <s v="Pocas Unidades"/>
    <n v="3.6"/>
    <s v="False"/>
    <m/>
    <n v="0"/>
    <n v="109.47"/>
    <x v="0"/>
    <n v="0"/>
  </r>
  <r>
    <s v="FB000154"/>
    <x v="0"/>
    <x v="0"/>
    <x v="1"/>
    <s v="L"/>
    <x v="1"/>
    <x v="10"/>
    <n v="172.59"/>
    <x v="0"/>
    <n v="0"/>
    <n v="172.59"/>
    <n v="0"/>
    <d v="2025-08-06T00:00:00"/>
    <x v="1"/>
    <x v="1"/>
    <n v="1"/>
    <n v="2.1"/>
    <s v="Pocas Unidades"/>
    <n v="2.1"/>
    <s v="False"/>
    <m/>
    <n v="0"/>
    <n v="172.59"/>
    <x v="0"/>
    <n v="0"/>
  </r>
  <r>
    <s v="FB000155"/>
    <x v="5"/>
    <x v="4"/>
    <x v="3"/>
    <s v="M"/>
    <x v="6"/>
    <x v="5"/>
    <n v="68.72"/>
    <x v="0"/>
    <n v="0"/>
    <n v="68.72"/>
    <n v="0"/>
    <d v="2025-08-06T00:00:00"/>
    <x v="1"/>
    <x v="1"/>
    <n v="28"/>
    <n v="1.7"/>
    <s v="Ok"/>
    <n v="1.7"/>
    <s v="True"/>
    <s v="Quality Issue"/>
    <n v="1"/>
    <n v="0"/>
    <x v="4"/>
    <n v="0"/>
  </r>
  <r>
    <s v="FB000156"/>
    <x v="1"/>
    <x v="2"/>
    <x v="0"/>
    <s v="XL"/>
    <x v="0"/>
    <x v="5"/>
    <n v="28.78"/>
    <x v="0"/>
    <n v="0"/>
    <n v="28.78"/>
    <n v="0"/>
    <d v="2024-10-03T00:00:00"/>
    <x v="5"/>
    <x v="2"/>
    <n v="21"/>
    <m/>
    <s v="Ok"/>
    <s v="No valorado"/>
    <s v="False"/>
    <m/>
    <n v="0"/>
    <n v="28.78"/>
    <x v="0"/>
    <n v="0"/>
  </r>
  <r>
    <s v="FB000157"/>
    <x v="0"/>
    <x v="4"/>
    <x v="1"/>
    <s v="XXL"/>
    <x v="4"/>
    <x v="2"/>
    <n v="110.32"/>
    <x v="63"/>
    <n v="0.28300000000000003"/>
    <n v="79.099999999999994"/>
    <n v="31.22"/>
    <d v="2025-08-06T00:00:00"/>
    <x v="1"/>
    <x v="1"/>
    <n v="49"/>
    <n v="3.3"/>
    <s v="Ok"/>
    <n v="3.3"/>
    <s v="False"/>
    <m/>
    <n v="0"/>
    <n v="79.099999999999994"/>
    <x v="0"/>
    <n v="0"/>
  </r>
  <r>
    <s v="FB000158"/>
    <x v="3"/>
    <x v="3"/>
    <x v="3"/>
    <s v="XXL"/>
    <x v="4"/>
    <x v="2"/>
    <n v="194.24"/>
    <x v="0"/>
    <n v="0"/>
    <n v="194.24"/>
    <n v="0"/>
    <d v="2025-08-06T00:00:00"/>
    <x v="1"/>
    <x v="1"/>
    <n v="17"/>
    <n v="1.2"/>
    <s v="Ok"/>
    <n v="1.2"/>
    <s v="True"/>
    <s v="Changed Mind"/>
    <n v="1"/>
    <n v="0"/>
    <x v="5"/>
    <n v="0"/>
  </r>
  <r>
    <s v="FB000159"/>
    <x v="3"/>
    <x v="6"/>
    <x v="2"/>
    <s v="XS"/>
    <x v="5"/>
    <x v="7"/>
    <n v="175.91"/>
    <x v="0"/>
    <n v="0"/>
    <n v="175.91"/>
    <n v="0"/>
    <d v="2025-08-06T00:00:00"/>
    <x v="1"/>
    <x v="1"/>
    <n v="4"/>
    <n v="2.8"/>
    <s v="Pocas Unidades"/>
    <n v="2.8"/>
    <s v="False"/>
    <m/>
    <n v="0"/>
    <n v="175.91"/>
    <x v="0"/>
    <n v="0"/>
  </r>
  <r>
    <s v="FB000160"/>
    <x v="4"/>
    <x v="3"/>
    <x v="1"/>
    <s v="XXL"/>
    <x v="4"/>
    <x v="4"/>
    <n v="79.34"/>
    <x v="0"/>
    <n v="0"/>
    <n v="79.34"/>
    <n v="0"/>
    <d v="2025-08-06T00:00:00"/>
    <x v="1"/>
    <x v="1"/>
    <n v="30"/>
    <n v="4.4000000000000004"/>
    <s v="Ok"/>
    <n v="4.4000000000000004"/>
    <s v="False"/>
    <m/>
    <n v="0"/>
    <n v="79.34"/>
    <x v="0"/>
    <n v="0"/>
  </r>
  <r>
    <s v="FB000161"/>
    <x v="4"/>
    <x v="4"/>
    <x v="3"/>
    <s v="M"/>
    <x v="6"/>
    <x v="6"/>
    <n v="111.88"/>
    <x v="0"/>
    <n v="0"/>
    <n v="111.88"/>
    <n v="0"/>
    <d v="2025-08-06T00:00:00"/>
    <x v="1"/>
    <x v="1"/>
    <n v="41"/>
    <n v="4.5"/>
    <s v="Ok"/>
    <n v="4.5"/>
    <s v="False"/>
    <m/>
    <n v="0"/>
    <n v="111.88"/>
    <x v="0"/>
    <n v="0"/>
  </r>
  <r>
    <s v="FB000162"/>
    <x v="2"/>
    <x v="6"/>
    <x v="0"/>
    <m/>
    <x v="2"/>
    <x v="8"/>
    <n v="42.84"/>
    <x v="64"/>
    <n v="0.40600000000000003"/>
    <n v="25.45"/>
    <n v="17.390000000000004"/>
    <d v="2024-09-12T00:00:00"/>
    <x v="5"/>
    <x v="6"/>
    <n v="18"/>
    <n v="2.6"/>
    <s v="Ok"/>
    <n v="2.6"/>
    <s v="False"/>
    <m/>
    <n v="0"/>
    <n v="25.45"/>
    <x v="0"/>
    <n v="0"/>
  </r>
  <r>
    <s v="FB000163"/>
    <x v="4"/>
    <x v="6"/>
    <x v="0"/>
    <s v="XXL"/>
    <x v="4"/>
    <x v="8"/>
    <n v="26.28"/>
    <x v="25"/>
    <n v="1.1000000000000001E-2"/>
    <n v="25.99"/>
    <n v="0.2900000000000027"/>
    <d v="2025-06-20T00:00:00"/>
    <x v="4"/>
    <x v="7"/>
    <n v="35"/>
    <n v="5"/>
    <s v="Ok"/>
    <n v="5"/>
    <s v="False"/>
    <m/>
    <n v="0"/>
    <n v="25.99"/>
    <x v="0"/>
    <n v="0"/>
  </r>
  <r>
    <s v="FB000164"/>
    <x v="2"/>
    <x v="4"/>
    <x v="0"/>
    <m/>
    <x v="2"/>
    <x v="6"/>
    <n v="23.11"/>
    <x v="0"/>
    <n v="0"/>
    <n v="23.11"/>
    <n v="0"/>
    <d v="2024-09-17T00:00:00"/>
    <x v="3"/>
    <x v="6"/>
    <n v="2"/>
    <n v="1.4"/>
    <s v="Pocas Unidades"/>
    <n v="1.4"/>
    <s v="False"/>
    <m/>
    <n v="0"/>
    <n v="23.11"/>
    <x v="0"/>
    <n v="0"/>
  </r>
  <r>
    <s v="FB000165"/>
    <x v="3"/>
    <x v="0"/>
    <x v="1"/>
    <s v="M"/>
    <x v="6"/>
    <x v="3"/>
    <n v="168.36"/>
    <x v="0"/>
    <n v="0"/>
    <n v="168.36"/>
    <n v="0"/>
    <d v="2025-08-06T00:00:00"/>
    <x v="1"/>
    <x v="1"/>
    <n v="47"/>
    <m/>
    <s v="Ok"/>
    <s v="No valorado"/>
    <s v="True"/>
    <s v="Damaged"/>
    <n v="1"/>
    <n v="0"/>
    <x v="3"/>
    <n v="0"/>
  </r>
  <r>
    <s v="FB000166"/>
    <x v="3"/>
    <x v="6"/>
    <x v="2"/>
    <s v="XL"/>
    <x v="0"/>
    <x v="6"/>
    <n v="99.26"/>
    <x v="0"/>
    <n v="0"/>
    <n v="99.26"/>
    <n v="0"/>
    <d v="2025-08-06T00:00:00"/>
    <x v="1"/>
    <x v="1"/>
    <n v="33"/>
    <m/>
    <s v="Ok"/>
    <s v="No valorado"/>
    <s v="True"/>
    <s v="Quality Issue"/>
    <n v="1"/>
    <n v="0"/>
    <x v="4"/>
    <n v="0"/>
  </r>
  <r>
    <s v="FB000167"/>
    <x v="2"/>
    <x v="3"/>
    <x v="0"/>
    <m/>
    <x v="2"/>
    <x v="2"/>
    <n v="53.66"/>
    <x v="0"/>
    <n v="0"/>
    <n v="53.66"/>
    <n v="0"/>
    <d v="2024-12-19T00:00:00"/>
    <x v="5"/>
    <x v="10"/>
    <n v="40"/>
    <n v="2.8"/>
    <s v="Ok"/>
    <n v="2.8"/>
    <s v="False"/>
    <m/>
    <n v="0"/>
    <n v="53.66"/>
    <x v="0"/>
    <n v="0"/>
  </r>
  <r>
    <s v="FB000168"/>
    <x v="2"/>
    <x v="5"/>
    <x v="3"/>
    <m/>
    <x v="2"/>
    <x v="4"/>
    <n v="69.709999999999994"/>
    <x v="26"/>
    <n v="0.18"/>
    <n v="57.16"/>
    <n v="12.549999999999997"/>
    <d v="2025-08-06T00:00:00"/>
    <x v="1"/>
    <x v="1"/>
    <n v="34"/>
    <n v="4.2"/>
    <s v="Ok"/>
    <n v="4.2"/>
    <s v="True"/>
    <s v="Color Mismatch"/>
    <n v="1"/>
    <n v="0"/>
    <x v="1"/>
    <n v="0"/>
  </r>
  <r>
    <s v="FB000169"/>
    <x v="5"/>
    <x v="7"/>
    <x v="2"/>
    <s v="XXL"/>
    <x v="4"/>
    <x v="4"/>
    <n v="60.3"/>
    <x v="65"/>
    <n v="0.214"/>
    <n v="47.4"/>
    <n v="12.899999999999999"/>
    <d v="2025-08-06T00:00:00"/>
    <x v="1"/>
    <x v="1"/>
    <n v="4"/>
    <n v="3.6"/>
    <s v="Pocas Unidades"/>
    <n v="3.6"/>
    <s v="False"/>
    <m/>
    <n v="0"/>
    <n v="47.4"/>
    <x v="0"/>
    <n v="0"/>
  </r>
  <r>
    <s v="FB000170"/>
    <x v="3"/>
    <x v="2"/>
    <x v="1"/>
    <s v="XXL"/>
    <x v="4"/>
    <x v="0"/>
    <n v="113.58"/>
    <x v="0"/>
    <n v="0"/>
    <n v="113.58"/>
    <n v="0"/>
    <d v="2025-08-06T00:00:00"/>
    <x v="1"/>
    <x v="1"/>
    <n v="33"/>
    <n v="4.9000000000000004"/>
    <s v="Ok"/>
    <n v="4.9000000000000004"/>
    <s v="True"/>
    <s v="Wrong Item"/>
    <n v="1"/>
    <n v="0"/>
    <x v="6"/>
    <n v="0"/>
  </r>
  <r>
    <s v="FB000171"/>
    <x v="4"/>
    <x v="5"/>
    <x v="2"/>
    <s v="XS"/>
    <x v="5"/>
    <x v="10"/>
    <n v="54.86"/>
    <x v="66"/>
    <n v="1.7000000000000001E-2"/>
    <n v="53.93"/>
    <n v="0.92999999999999972"/>
    <d v="2025-08-06T00:00:00"/>
    <x v="1"/>
    <x v="1"/>
    <n v="40"/>
    <n v="2.5"/>
    <s v="Ok"/>
    <n v="2.5"/>
    <s v="False"/>
    <m/>
    <n v="0"/>
    <n v="53.93"/>
    <x v="0"/>
    <n v="0"/>
  </r>
  <r>
    <s v="FB000172"/>
    <x v="1"/>
    <x v="0"/>
    <x v="1"/>
    <s v="XS"/>
    <x v="5"/>
    <x v="0"/>
    <n v="92.25"/>
    <x v="0"/>
    <n v="0"/>
    <n v="92.25"/>
    <n v="0"/>
    <d v="2025-08-06T00:00:00"/>
    <x v="1"/>
    <x v="1"/>
    <n v="13"/>
    <n v="2.8"/>
    <s v="Ok"/>
    <n v="2.8"/>
    <s v="True"/>
    <s v="Damaged"/>
    <n v="1"/>
    <n v="0"/>
    <x v="3"/>
    <n v="0"/>
  </r>
  <r>
    <s v="FB000173"/>
    <x v="2"/>
    <x v="5"/>
    <x v="1"/>
    <m/>
    <x v="2"/>
    <x v="3"/>
    <n v="54.07"/>
    <x v="0"/>
    <n v="0"/>
    <n v="54.07"/>
    <n v="0"/>
    <d v="2025-08-06T00:00:00"/>
    <x v="1"/>
    <x v="1"/>
    <n v="47"/>
    <n v="4.5999999999999996"/>
    <s v="Ok"/>
    <n v="4.5999999999999996"/>
    <s v="False"/>
    <m/>
    <n v="0"/>
    <n v="54.07"/>
    <x v="0"/>
    <n v="0"/>
  </r>
  <r>
    <s v="FB000174"/>
    <x v="3"/>
    <x v="2"/>
    <x v="1"/>
    <s v="XL"/>
    <x v="0"/>
    <x v="0"/>
    <n v="104.4"/>
    <x v="0"/>
    <n v="0"/>
    <n v="104.4"/>
    <n v="0"/>
    <d v="2025-08-06T00:00:00"/>
    <x v="1"/>
    <x v="1"/>
    <n v="41"/>
    <n v="3.4"/>
    <s v="Ok"/>
    <n v="3.4"/>
    <s v="False"/>
    <m/>
    <n v="0"/>
    <n v="104.4"/>
    <x v="0"/>
    <n v="0"/>
  </r>
  <r>
    <s v="FB000175"/>
    <x v="5"/>
    <x v="5"/>
    <x v="0"/>
    <s v="M"/>
    <x v="6"/>
    <x v="4"/>
    <n v="45.97"/>
    <x v="0"/>
    <n v="0"/>
    <n v="45.97"/>
    <n v="0"/>
    <d v="2024-08-28T00:00:00"/>
    <x v="1"/>
    <x v="1"/>
    <n v="37"/>
    <n v="3.2"/>
    <s v="Ok"/>
    <n v="3.2"/>
    <s v="True"/>
    <s v="Quality Issue"/>
    <n v="1"/>
    <n v="0"/>
    <x v="4"/>
    <n v="0"/>
  </r>
  <r>
    <s v="FB000176"/>
    <x v="1"/>
    <x v="5"/>
    <x v="3"/>
    <s v="XXL"/>
    <x v="4"/>
    <x v="2"/>
    <n v="28.79"/>
    <x v="0"/>
    <n v="0"/>
    <n v="28.79"/>
    <n v="0"/>
    <d v="2025-08-06T00:00:00"/>
    <x v="1"/>
    <x v="1"/>
    <n v="4"/>
    <n v="4.4000000000000004"/>
    <s v="Pocas Unidades"/>
    <n v="4.4000000000000004"/>
    <s v="False"/>
    <m/>
    <n v="0"/>
    <n v="28.79"/>
    <x v="0"/>
    <n v="0"/>
  </r>
  <r>
    <s v="FB000177"/>
    <x v="0"/>
    <x v="1"/>
    <x v="1"/>
    <s v="M"/>
    <x v="6"/>
    <x v="4"/>
    <n v="204.21"/>
    <x v="0"/>
    <n v="0"/>
    <n v="204.21"/>
    <n v="0"/>
    <d v="2025-08-06T00:00:00"/>
    <x v="1"/>
    <x v="1"/>
    <n v="5"/>
    <n v="3.3"/>
    <s v="Pocas Unidades"/>
    <n v="3.3"/>
    <s v="False"/>
    <m/>
    <n v="0"/>
    <n v="204.21"/>
    <x v="0"/>
    <n v="0"/>
  </r>
  <r>
    <s v="FB000178"/>
    <x v="3"/>
    <x v="3"/>
    <x v="2"/>
    <s v="XXL"/>
    <x v="4"/>
    <x v="1"/>
    <n v="190.75"/>
    <x v="67"/>
    <n v="0.2"/>
    <n v="152.6"/>
    <n v="38.150000000000006"/>
    <d v="2025-08-06T00:00:00"/>
    <x v="1"/>
    <x v="1"/>
    <n v="47"/>
    <m/>
    <s v="Ok"/>
    <s v="No valorado"/>
    <s v="False"/>
    <m/>
    <n v="0"/>
    <n v="152.6"/>
    <x v="0"/>
    <n v="0"/>
  </r>
  <r>
    <s v="FB000179"/>
    <x v="1"/>
    <x v="7"/>
    <x v="1"/>
    <s v="XS"/>
    <x v="5"/>
    <x v="10"/>
    <n v="33.01"/>
    <x v="68"/>
    <n v="0.39200000000000002"/>
    <n v="20.07"/>
    <n v="12.939999999999998"/>
    <d v="2025-08-06T00:00:00"/>
    <x v="1"/>
    <x v="1"/>
    <n v="16"/>
    <n v="3.7"/>
    <s v="Ok"/>
    <n v="3.7"/>
    <s v="False"/>
    <m/>
    <n v="0"/>
    <n v="20.07"/>
    <x v="0"/>
    <n v="0"/>
  </r>
  <r>
    <s v="FB000180"/>
    <x v="2"/>
    <x v="2"/>
    <x v="0"/>
    <m/>
    <x v="2"/>
    <x v="5"/>
    <n v="47.61"/>
    <x v="69"/>
    <n v="0.39799999999999996"/>
    <n v="28.66"/>
    <n v="18.95"/>
    <d v="2024-12-03T00:00:00"/>
    <x v="3"/>
    <x v="10"/>
    <n v="18"/>
    <n v="1.3"/>
    <s v="Ok"/>
    <n v="1.3"/>
    <s v="False"/>
    <m/>
    <n v="0"/>
    <n v="28.66"/>
    <x v="0"/>
    <n v="0"/>
  </r>
  <r>
    <s v="FB000181"/>
    <x v="0"/>
    <x v="4"/>
    <x v="0"/>
    <s v="XS"/>
    <x v="5"/>
    <x v="0"/>
    <n v="137.16"/>
    <x v="0"/>
    <n v="0"/>
    <n v="137.16"/>
    <n v="0"/>
    <d v="2024-09-26T00:00:00"/>
    <x v="5"/>
    <x v="6"/>
    <n v="34"/>
    <n v="3.2"/>
    <s v="Ok"/>
    <n v="3.2"/>
    <s v="False"/>
    <m/>
    <n v="0"/>
    <n v="137.16"/>
    <x v="0"/>
    <n v="0"/>
  </r>
  <r>
    <s v="FB000182"/>
    <x v="1"/>
    <x v="6"/>
    <x v="2"/>
    <s v="M"/>
    <x v="6"/>
    <x v="8"/>
    <n v="108.49"/>
    <x v="0"/>
    <n v="0"/>
    <n v="108.49"/>
    <n v="0"/>
    <d v="2025-08-06T00:00:00"/>
    <x v="1"/>
    <x v="1"/>
    <n v="7"/>
    <n v="3.3"/>
    <s v="Pocas Unidades"/>
    <n v="3.3"/>
    <s v="False"/>
    <m/>
    <n v="0"/>
    <n v="108.49"/>
    <x v="0"/>
    <n v="0"/>
  </r>
  <r>
    <s v="FB000183"/>
    <x v="1"/>
    <x v="2"/>
    <x v="1"/>
    <s v="XL"/>
    <x v="0"/>
    <x v="6"/>
    <n v="106.49"/>
    <x v="0"/>
    <n v="0"/>
    <n v="106.49"/>
    <n v="0"/>
    <d v="2025-08-06T00:00:00"/>
    <x v="1"/>
    <x v="1"/>
    <n v="23"/>
    <n v="4"/>
    <s v="Ok"/>
    <n v="4"/>
    <s v="False"/>
    <m/>
    <n v="0"/>
    <n v="106.49"/>
    <x v="0"/>
    <n v="0"/>
  </r>
  <r>
    <s v="FB000184"/>
    <x v="1"/>
    <x v="3"/>
    <x v="1"/>
    <s v="XXL"/>
    <x v="4"/>
    <x v="1"/>
    <n v="114.86"/>
    <x v="0"/>
    <n v="0"/>
    <n v="114.86"/>
    <n v="0"/>
    <d v="2025-08-06T00:00:00"/>
    <x v="1"/>
    <x v="1"/>
    <n v="48"/>
    <n v="1.1000000000000001"/>
    <s v="Ok"/>
    <n v="1.1000000000000001"/>
    <s v="False"/>
    <m/>
    <n v="0"/>
    <n v="114.86"/>
    <x v="0"/>
    <n v="0"/>
  </r>
  <r>
    <s v="FB000185"/>
    <x v="5"/>
    <x v="0"/>
    <x v="2"/>
    <s v="L"/>
    <x v="1"/>
    <x v="5"/>
    <n v="121.68"/>
    <x v="0"/>
    <n v="0"/>
    <n v="121.68"/>
    <n v="0"/>
    <d v="2025-08-06T00:00:00"/>
    <x v="1"/>
    <x v="1"/>
    <n v="9"/>
    <n v="1.5"/>
    <s v="Pocas Unidades"/>
    <n v="1.5"/>
    <s v="False"/>
    <m/>
    <n v="0"/>
    <n v="121.68"/>
    <x v="0"/>
    <n v="0"/>
  </r>
  <r>
    <s v="FB000186"/>
    <x v="4"/>
    <x v="0"/>
    <x v="3"/>
    <s v="XXL"/>
    <x v="4"/>
    <x v="2"/>
    <n v="74.08"/>
    <x v="70"/>
    <n v="3.9E-2"/>
    <n v="71.19"/>
    <n v="2.8900000000000006"/>
    <d v="2025-08-06T00:00:00"/>
    <x v="1"/>
    <x v="1"/>
    <n v="37"/>
    <n v="1.7"/>
    <s v="Ok"/>
    <n v="1.7"/>
    <s v="False"/>
    <m/>
    <n v="0"/>
    <n v="71.19"/>
    <x v="0"/>
    <n v="0"/>
  </r>
  <r>
    <s v="FB000187"/>
    <x v="1"/>
    <x v="6"/>
    <x v="2"/>
    <s v="M"/>
    <x v="6"/>
    <x v="5"/>
    <n v="92.37"/>
    <x v="71"/>
    <n v="0.35899999999999999"/>
    <n v="59.21"/>
    <n v="33.160000000000004"/>
    <d v="2025-08-06T00:00:00"/>
    <x v="1"/>
    <x v="1"/>
    <n v="20"/>
    <m/>
    <s v="Ok"/>
    <s v="No valorado"/>
    <s v="False"/>
    <m/>
    <n v="0"/>
    <n v="59.21"/>
    <x v="0"/>
    <n v="0"/>
  </r>
  <r>
    <s v="FB000188"/>
    <x v="1"/>
    <x v="1"/>
    <x v="3"/>
    <s v="XXL"/>
    <x v="4"/>
    <x v="7"/>
    <n v="34.06"/>
    <x v="0"/>
    <n v="0"/>
    <n v="34.06"/>
    <n v="0"/>
    <d v="2025-08-06T00:00:00"/>
    <x v="1"/>
    <x v="1"/>
    <n v="39"/>
    <n v="4.5"/>
    <s v="Ok"/>
    <n v="4.5"/>
    <s v="False"/>
    <m/>
    <n v="0"/>
    <n v="34.06"/>
    <x v="0"/>
    <n v="0"/>
  </r>
  <r>
    <s v="FB000189"/>
    <x v="5"/>
    <x v="0"/>
    <x v="3"/>
    <s v="L"/>
    <x v="1"/>
    <x v="1"/>
    <n v="173.42"/>
    <x v="0"/>
    <n v="0"/>
    <n v="173.42"/>
    <n v="0"/>
    <d v="2025-08-06T00:00:00"/>
    <x v="1"/>
    <x v="1"/>
    <n v="47"/>
    <n v="4.2"/>
    <s v="Ok"/>
    <n v="4.2"/>
    <s v="False"/>
    <m/>
    <n v="0"/>
    <n v="173.42"/>
    <x v="0"/>
    <n v="0"/>
  </r>
  <r>
    <s v="FB000190"/>
    <x v="4"/>
    <x v="1"/>
    <x v="0"/>
    <s v="XXL"/>
    <x v="4"/>
    <x v="10"/>
    <n v="66.510000000000005"/>
    <x v="0"/>
    <n v="0"/>
    <n v="66.510000000000005"/>
    <n v="0"/>
    <d v="2024-10-04T00:00:00"/>
    <x v="4"/>
    <x v="2"/>
    <n v="32"/>
    <n v="2.1"/>
    <s v="Ok"/>
    <n v="2.1"/>
    <s v="False"/>
    <m/>
    <n v="0"/>
    <n v="66.510000000000005"/>
    <x v="0"/>
    <n v="0"/>
  </r>
  <r>
    <s v="FB000191"/>
    <x v="4"/>
    <x v="1"/>
    <x v="2"/>
    <s v="XXL"/>
    <x v="4"/>
    <x v="5"/>
    <n v="72.44"/>
    <x v="72"/>
    <n v="7.0999999999999994E-2"/>
    <n v="67.3"/>
    <n v="5.1400000000000006"/>
    <d v="2025-08-06T00:00:00"/>
    <x v="1"/>
    <x v="1"/>
    <n v="10"/>
    <n v="1.8"/>
    <s v="Ok"/>
    <n v="1.8"/>
    <s v="False"/>
    <m/>
    <n v="0"/>
    <n v="67.3"/>
    <x v="0"/>
    <n v="0"/>
  </r>
  <r>
    <s v="FB000192"/>
    <x v="1"/>
    <x v="5"/>
    <x v="2"/>
    <s v="S"/>
    <x v="3"/>
    <x v="2"/>
    <n v="81.2"/>
    <x v="0"/>
    <n v="0"/>
    <n v="81.2"/>
    <n v="0"/>
    <d v="2025-08-06T00:00:00"/>
    <x v="1"/>
    <x v="1"/>
    <n v="3"/>
    <n v="1.5"/>
    <s v="Pocas Unidades"/>
    <n v="1.5"/>
    <s v="False"/>
    <m/>
    <n v="0"/>
    <n v="81.2"/>
    <x v="0"/>
    <n v="0"/>
  </r>
  <r>
    <s v="FB000193"/>
    <x v="0"/>
    <x v="6"/>
    <x v="3"/>
    <s v="XXL"/>
    <x v="4"/>
    <x v="0"/>
    <n v="104.5"/>
    <x v="73"/>
    <n v="0.12300000000000001"/>
    <n v="91.65"/>
    <n v="12.849999999999994"/>
    <d v="2025-08-06T00:00:00"/>
    <x v="1"/>
    <x v="1"/>
    <n v="42"/>
    <m/>
    <s v="Ok"/>
    <s v="No valorado"/>
    <s v="False"/>
    <m/>
    <n v="0"/>
    <n v="91.65"/>
    <x v="0"/>
    <n v="0"/>
  </r>
  <r>
    <s v="FB000194"/>
    <x v="5"/>
    <x v="6"/>
    <x v="1"/>
    <s v="XL"/>
    <x v="0"/>
    <x v="1"/>
    <n v="57.53"/>
    <x v="74"/>
    <n v="0.13"/>
    <n v="50.05"/>
    <n v="7.480000000000004"/>
    <d v="2025-08-06T00:00:00"/>
    <x v="1"/>
    <x v="1"/>
    <n v="12"/>
    <n v="4.0999999999999996"/>
    <s v="Ok"/>
    <n v="4.0999999999999996"/>
    <s v="False"/>
    <m/>
    <n v="0"/>
    <n v="50.05"/>
    <x v="0"/>
    <n v="0"/>
  </r>
  <r>
    <s v="FB000195"/>
    <x v="3"/>
    <x v="2"/>
    <x v="3"/>
    <s v="XXL"/>
    <x v="4"/>
    <x v="4"/>
    <n v="142.58000000000001"/>
    <x v="0"/>
    <n v="0"/>
    <n v="142.58000000000001"/>
    <n v="0"/>
    <d v="2025-08-06T00:00:00"/>
    <x v="1"/>
    <x v="1"/>
    <n v="25"/>
    <n v="4.8"/>
    <s v="Ok"/>
    <n v="4.8"/>
    <s v="True"/>
    <s v="Quality Issue"/>
    <n v="1"/>
    <n v="0"/>
    <x v="4"/>
    <n v="0"/>
  </r>
  <r>
    <s v="FB000196"/>
    <x v="5"/>
    <x v="0"/>
    <x v="2"/>
    <s v="XXL"/>
    <x v="4"/>
    <x v="6"/>
    <n v="162.22999999999999"/>
    <x v="62"/>
    <n v="0.29399999999999998"/>
    <n v="114.53"/>
    <n v="47.699999999999989"/>
    <d v="2025-08-06T00:00:00"/>
    <x v="1"/>
    <x v="1"/>
    <n v="41"/>
    <n v="4"/>
    <s v="Ok"/>
    <n v="4"/>
    <s v="True"/>
    <s v="Quality Issue"/>
    <n v="1"/>
    <n v="0"/>
    <x v="4"/>
    <n v="0"/>
  </r>
  <r>
    <s v="FB000197"/>
    <x v="4"/>
    <x v="5"/>
    <x v="0"/>
    <s v="XXL"/>
    <x v="4"/>
    <x v="0"/>
    <n v="32.1"/>
    <x v="75"/>
    <n v="0.51700000000000002"/>
    <n v="15.5"/>
    <n v="16.600000000000001"/>
    <d v="2024-11-23T00:00:00"/>
    <x v="0"/>
    <x v="11"/>
    <n v="27"/>
    <m/>
    <s v="Ok"/>
    <s v="No valorado"/>
    <s v="False"/>
    <m/>
    <n v="0"/>
    <n v="15.5"/>
    <x v="0"/>
    <n v="0"/>
  </r>
  <r>
    <s v="FB000198"/>
    <x v="3"/>
    <x v="1"/>
    <x v="2"/>
    <s v="L"/>
    <x v="1"/>
    <x v="2"/>
    <n v="162.41"/>
    <x v="76"/>
    <n v="0.42700000000000005"/>
    <n v="93.06"/>
    <n v="69.349999999999994"/>
    <d v="2025-08-06T00:00:00"/>
    <x v="1"/>
    <x v="1"/>
    <n v="22"/>
    <n v="4.8"/>
    <s v="Ok"/>
    <n v="4.8"/>
    <s v="False"/>
    <m/>
    <n v="0"/>
    <n v="93.06"/>
    <x v="0"/>
    <n v="0"/>
  </r>
  <r>
    <s v="FB000199"/>
    <x v="1"/>
    <x v="2"/>
    <x v="2"/>
    <s v="M"/>
    <x v="6"/>
    <x v="4"/>
    <n v="77.459999999999994"/>
    <x v="77"/>
    <n v="0.57499999999999996"/>
    <n v="32.92"/>
    <n v="44.539999999999992"/>
    <d v="2025-08-06T00:00:00"/>
    <x v="1"/>
    <x v="1"/>
    <n v="23"/>
    <n v="4"/>
    <s v="Ok"/>
    <n v="4"/>
    <s v="False"/>
    <m/>
    <n v="0"/>
    <n v="32.92"/>
    <x v="0"/>
    <n v="0"/>
  </r>
  <r>
    <s v="FB000200"/>
    <x v="1"/>
    <x v="4"/>
    <x v="2"/>
    <s v="XXL"/>
    <x v="4"/>
    <x v="5"/>
    <n v="103.42"/>
    <x v="78"/>
    <n v="0.56100000000000005"/>
    <n v="45.4"/>
    <n v="58.02"/>
    <d v="2025-08-06T00:00:00"/>
    <x v="1"/>
    <x v="1"/>
    <n v="4"/>
    <n v="4.7"/>
    <s v="Pocas Unidades"/>
    <n v="4.7"/>
    <s v="False"/>
    <m/>
    <n v="0"/>
    <n v="45.4"/>
    <x v="0"/>
    <n v="0"/>
  </r>
  <r>
    <s v="FB000201"/>
    <x v="4"/>
    <x v="0"/>
    <x v="0"/>
    <s v="XS"/>
    <x v="5"/>
    <x v="6"/>
    <n v="42.91"/>
    <x v="79"/>
    <n v="0.33299999999999996"/>
    <n v="28.62"/>
    <n v="14.289999999999996"/>
    <d v="2024-11-23T00:00:00"/>
    <x v="0"/>
    <x v="11"/>
    <n v="18"/>
    <m/>
    <s v="Ok"/>
    <s v="No valorado"/>
    <s v="False"/>
    <m/>
    <n v="0"/>
    <n v="28.62"/>
    <x v="0"/>
    <n v="0"/>
  </r>
  <r>
    <s v="FB000202"/>
    <x v="3"/>
    <x v="0"/>
    <x v="3"/>
    <s v="XL"/>
    <x v="0"/>
    <x v="6"/>
    <n v="144.91999999999999"/>
    <x v="80"/>
    <n v="0.17"/>
    <n v="120.28"/>
    <n v="24.639999999999986"/>
    <d v="2025-08-06T00:00:00"/>
    <x v="1"/>
    <x v="1"/>
    <n v="32"/>
    <n v="2"/>
    <s v="Ok"/>
    <n v="2"/>
    <s v="False"/>
    <m/>
    <n v="0"/>
    <n v="120.28"/>
    <x v="0"/>
    <n v="0"/>
  </r>
  <r>
    <s v="FB000203"/>
    <x v="3"/>
    <x v="2"/>
    <x v="3"/>
    <s v="XS"/>
    <x v="5"/>
    <x v="2"/>
    <n v="93.07"/>
    <x v="81"/>
    <n v="0.23899999999999999"/>
    <n v="70.83"/>
    <n v="22.239999999999995"/>
    <d v="2025-08-06T00:00:00"/>
    <x v="1"/>
    <x v="1"/>
    <n v="10"/>
    <n v="3.5"/>
    <s v="Ok"/>
    <n v="3.5"/>
    <s v="True"/>
    <s v="Changed Mind"/>
    <n v="1"/>
    <n v="0"/>
    <x v="5"/>
    <n v="0"/>
  </r>
  <r>
    <s v="FB000204"/>
    <x v="0"/>
    <x v="4"/>
    <x v="3"/>
    <s v="S"/>
    <x v="3"/>
    <x v="0"/>
    <n v="119.96"/>
    <x v="0"/>
    <n v="0"/>
    <n v="119.96"/>
    <n v="0"/>
    <d v="2025-08-06T00:00:00"/>
    <x v="1"/>
    <x v="1"/>
    <n v="20"/>
    <n v="1.1000000000000001"/>
    <s v="Ok"/>
    <n v="1.1000000000000001"/>
    <s v="False"/>
    <m/>
    <n v="0"/>
    <n v="119.96"/>
    <x v="0"/>
    <n v="0"/>
  </r>
  <r>
    <s v="FB000205"/>
    <x v="2"/>
    <x v="7"/>
    <x v="3"/>
    <m/>
    <x v="2"/>
    <x v="4"/>
    <n v="42.04"/>
    <x v="20"/>
    <n v="0.50900000000000001"/>
    <n v="20.64"/>
    <n v="21.4"/>
    <d v="2025-08-06T00:00:00"/>
    <x v="1"/>
    <x v="1"/>
    <n v="43"/>
    <n v="2.2999999999999998"/>
    <s v="Ok"/>
    <n v="2.2999999999999998"/>
    <s v="True"/>
    <s v="Wrong Item"/>
    <n v="1"/>
    <n v="0"/>
    <x v="6"/>
    <n v="0"/>
  </r>
  <r>
    <s v="FB000206"/>
    <x v="2"/>
    <x v="2"/>
    <x v="1"/>
    <m/>
    <x v="2"/>
    <x v="0"/>
    <n v="54.45"/>
    <x v="0"/>
    <n v="0"/>
    <n v="54.45"/>
    <n v="0"/>
    <d v="2025-08-06T00:00:00"/>
    <x v="1"/>
    <x v="1"/>
    <n v="12"/>
    <n v="2.7"/>
    <s v="Ok"/>
    <n v="2.7"/>
    <s v="False"/>
    <m/>
    <n v="0"/>
    <n v="54.45"/>
    <x v="0"/>
    <n v="0"/>
  </r>
  <r>
    <s v="FB000207"/>
    <x v="1"/>
    <x v="3"/>
    <x v="0"/>
    <s v="M"/>
    <x v="6"/>
    <x v="6"/>
    <n v="66.95"/>
    <x v="82"/>
    <n v="0.36399999999999999"/>
    <n v="42.58"/>
    <n v="24.370000000000005"/>
    <d v="2024-09-28T00:00:00"/>
    <x v="0"/>
    <x v="6"/>
    <n v="44"/>
    <n v="1.9"/>
    <s v="Ok"/>
    <n v="1.9"/>
    <s v="True"/>
    <s v="Quality Issue"/>
    <n v="1"/>
    <n v="0"/>
    <x v="4"/>
    <n v="0"/>
  </r>
  <r>
    <s v="FB000208"/>
    <x v="1"/>
    <x v="5"/>
    <x v="0"/>
    <s v="XL"/>
    <x v="0"/>
    <x v="7"/>
    <n v="116.96"/>
    <x v="83"/>
    <n v="8.8000000000000009E-2"/>
    <n v="106.67"/>
    <n v="10.289999999999992"/>
    <d v="2025-04-29T00:00:00"/>
    <x v="3"/>
    <x v="4"/>
    <n v="33"/>
    <n v="1.6"/>
    <s v="Ok"/>
    <n v="1.6"/>
    <s v="False"/>
    <m/>
    <n v="0"/>
    <n v="106.67"/>
    <x v="0"/>
    <n v="0"/>
  </r>
  <r>
    <s v="FB000209"/>
    <x v="1"/>
    <x v="7"/>
    <x v="2"/>
    <s v="XXL"/>
    <x v="4"/>
    <x v="1"/>
    <n v="111.14"/>
    <x v="0"/>
    <n v="0"/>
    <n v="111.14"/>
    <n v="0"/>
    <d v="2025-08-06T00:00:00"/>
    <x v="1"/>
    <x v="1"/>
    <n v="49"/>
    <n v="1.6"/>
    <s v="Ok"/>
    <n v="1.6"/>
    <s v="False"/>
    <m/>
    <n v="0"/>
    <n v="111.14"/>
    <x v="0"/>
    <n v="0"/>
  </r>
  <r>
    <s v="FB000210"/>
    <x v="1"/>
    <x v="2"/>
    <x v="2"/>
    <s v="XS"/>
    <x v="5"/>
    <x v="5"/>
    <n v="59.6"/>
    <x v="0"/>
    <n v="0"/>
    <n v="59.6"/>
    <n v="0"/>
    <d v="2025-08-06T00:00:00"/>
    <x v="1"/>
    <x v="1"/>
    <n v="40"/>
    <n v="2.1"/>
    <s v="Ok"/>
    <n v="2.1"/>
    <s v="False"/>
    <m/>
    <n v="0"/>
    <n v="59.6"/>
    <x v="0"/>
    <n v="0"/>
  </r>
  <r>
    <s v="FB000211"/>
    <x v="1"/>
    <x v="5"/>
    <x v="0"/>
    <s v="S"/>
    <x v="3"/>
    <x v="4"/>
    <n v="25.49"/>
    <x v="84"/>
    <n v="0.16699999999999998"/>
    <n v="21.23"/>
    <n v="4.259999999999998"/>
    <d v="2025-05-23T00:00:00"/>
    <x v="4"/>
    <x v="8"/>
    <n v="32"/>
    <m/>
    <s v="Ok"/>
    <s v="No valorado"/>
    <s v="False"/>
    <m/>
    <n v="0"/>
    <n v="21.23"/>
    <x v="0"/>
    <n v="0"/>
  </r>
  <r>
    <s v="FB000212"/>
    <x v="1"/>
    <x v="0"/>
    <x v="0"/>
    <s v="M"/>
    <x v="6"/>
    <x v="2"/>
    <n v="82.94"/>
    <x v="0"/>
    <n v="0"/>
    <n v="82.94"/>
    <n v="0"/>
    <d v="2025-07-17T00:00:00"/>
    <x v="5"/>
    <x v="0"/>
    <n v="46"/>
    <n v="1.5"/>
    <s v="Ok"/>
    <n v="1.5"/>
    <s v="False"/>
    <m/>
    <n v="0"/>
    <n v="82.94"/>
    <x v="0"/>
    <n v="0"/>
  </r>
  <r>
    <s v="FB000213"/>
    <x v="1"/>
    <x v="1"/>
    <x v="0"/>
    <s v="L"/>
    <x v="1"/>
    <x v="5"/>
    <n v="99.71"/>
    <x v="0"/>
    <n v="0"/>
    <n v="99.71"/>
    <n v="0"/>
    <d v="2024-08-21T00:00:00"/>
    <x v="1"/>
    <x v="1"/>
    <n v="23"/>
    <n v="1.4"/>
    <s v="Ok"/>
    <n v="1.4"/>
    <s v="False"/>
    <m/>
    <n v="0"/>
    <n v="99.71"/>
    <x v="0"/>
    <n v="0"/>
  </r>
  <r>
    <s v="FB000214"/>
    <x v="2"/>
    <x v="2"/>
    <x v="2"/>
    <m/>
    <x v="2"/>
    <x v="2"/>
    <n v="69.739999999999995"/>
    <x v="0"/>
    <n v="0"/>
    <n v="69.739999999999995"/>
    <n v="0"/>
    <d v="2025-08-06T00:00:00"/>
    <x v="1"/>
    <x v="1"/>
    <n v="11"/>
    <n v="3.3"/>
    <s v="Ok"/>
    <n v="3.3"/>
    <s v="True"/>
    <s v="Changed Mind"/>
    <n v="1"/>
    <n v="0"/>
    <x v="5"/>
    <n v="0"/>
  </r>
  <r>
    <s v="FB000215"/>
    <x v="4"/>
    <x v="4"/>
    <x v="3"/>
    <s v="XXL"/>
    <x v="4"/>
    <x v="6"/>
    <n v="57.19"/>
    <x v="0"/>
    <n v="0"/>
    <n v="57.19"/>
    <n v="0"/>
    <d v="2025-08-06T00:00:00"/>
    <x v="1"/>
    <x v="1"/>
    <n v="12"/>
    <n v="2.5"/>
    <s v="Ok"/>
    <n v="2.5"/>
    <s v="False"/>
    <m/>
    <n v="0"/>
    <n v="57.19"/>
    <x v="0"/>
    <n v="0"/>
  </r>
  <r>
    <s v="FB000216"/>
    <x v="1"/>
    <x v="4"/>
    <x v="3"/>
    <s v="XXL"/>
    <x v="4"/>
    <x v="0"/>
    <n v="58.65"/>
    <x v="0"/>
    <n v="0"/>
    <n v="58.65"/>
    <n v="0"/>
    <d v="2025-08-06T00:00:00"/>
    <x v="1"/>
    <x v="1"/>
    <n v="4"/>
    <n v="1.1000000000000001"/>
    <s v="Pocas Unidades"/>
    <n v="1.1000000000000001"/>
    <s v="False"/>
    <m/>
    <n v="0"/>
    <n v="58.65"/>
    <x v="0"/>
    <n v="0"/>
  </r>
  <r>
    <s v="FB000217"/>
    <x v="0"/>
    <x v="1"/>
    <x v="2"/>
    <s v="XL"/>
    <x v="0"/>
    <x v="1"/>
    <n v="110.22"/>
    <x v="0"/>
    <n v="0"/>
    <n v="110.22"/>
    <n v="0"/>
    <d v="2025-08-06T00:00:00"/>
    <x v="1"/>
    <x v="1"/>
    <n v="4"/>
    <n v="1.6"/>
    <s v="Pocas Unidades"/>
    <n v="1.6"/>
    <s v="False"/>
    <m/>
    <n v="0"/>
    <n v="110.22"/>
    <x v="0"/>
    <n v="0"/>
  </r>
  <r>
    <s v="FB000218"/>
    <x v="1"/>
    <x v="0"/>
    <x v="3"/>
    <s v="XXL"/>
    <x v="4"/>
    <x v="1"/>
    <n v="69.36"/>
    <x v="0"/>
    <n v="0"/>
    <n v="69.36"/>
    <n v="0"/>
    <d v="2025-08-06T00:00:00"/>
    <x v="1"/>
    <x v="1"/>
    <n v="25"/>
    <m/>
    <s v="Ok"/>
    <s v="No valorado"/>
    <s v="False"/>
    <m/>
    <n v="0"/>
    <n v="69.36"/>
    <x v="0"/>
    <n v="0"/>
  </r>
  <r>
    <s v="FB000219"/>
    <x v="4"/>
    <x v="0"/>
    <x v="1"/>
    <s v="S"/>
    <x v="3"/>
    <x v="2"/>
    <n v="87.03"/>
    <x v="0"/>
    <n v="0"/>
    <n v="87.03"/>
    <n v="0"/>
    <d v="2025-08-06T00:00:00"/>
    <x v="1"/>
    <x v="1"/>
    <n v="39"/>
    <n v="4.3"/>
    <s v="Ok"/>
    <n v="4.3"/>
    <s v="False"/>
    <m/>
    <n v="0"/>
    <n v="87.03"/>
    <x v="0"/>
    <n v="0"/>
  </r>
  <r>
    <s v="FB000220"/>
    <x v="5"/>
    <x v="0"/>
    <x v="1"/>
    <s v="XXL"/>
    <x v="4"/>
    <x v="10"/>
    <n v="160.6"/>
    <x v="85"/>
    <n v="0.184"/>
    <n v="131.05000000000001"/>
    <n v="29.549999999999983"/>
    <d v="2025-08-06T00:00:00"/>
    <x v="1"/>
    <x v="1"/>
    <n v="41"/>
    <n v="3"/>
    <s v="Ok"/>
    <n v="3"/>
    <s v="False"/>
    <m/>
    <n v="0"/>
    <n v="131.05000000000001"/>
    <x v="0"/>
    <n v="0"/>
  </r>
  <r>
    <s v="FB000221"/>
    <x v="0"/>
    <x v="4"/>
    <x v="0"/>
    <s v="XS"/>
    <x v="5"/>
    <x v="9"/>
    <n v="167.02"/>
    <x v="0"/>
    <n v="0"/>
    <n v="167.02"/>
    <n v="0"/>
    <d v="2025-01-30T00:00:00"/>
    <x v="5"/>
    <x v="5"/>
    <n v="26"/>
    <n v="2.6"/>
    <s v="Ok"/>
    <n v="2.6"/>
    <s v="True"/>
    <s v="Size Issue"/>
    <n v="1"/>
    <n v="0"/>
    <x v="2"/>
    <n v="0"/>
  </r>
  <r>
    <s v="FB000222"/>
    <x v="1"/>
    <x v="0"/>
    <x v="3"/>
    <s v="XXL"/>
    <x v="4"/>
    <x v="4"/>
    <n v="26.09"/>
    <x v="0"/>
    <n v="0"/>
    <n v="26.09"/>
    <n v="0"/>
    <d v="2025-08-06T00:00:00"/>
    <x v="1"/>
    <x v="1"/>
    <n v="32"/>
    <n v="4.5999999999999996"/>
    <s v="Ok"/>
    <n v="4.5999999999999996"/>
    <s v="True"/>
    <s v="Damaged"/>
    <n v="1"/>
    <n v="0"/>
    <x v="3"/>
    <n v="0"/>
  </r>
  <r>
    <s v="FB000223"/>
    <x v="0"/>
    <x v="4"/>
    <x v="3"/>
    <s v="XL"/>
    <x v="0"/>
    <x v="10"/>
    <n v="246.65"/>
    <x v="0"/>
    <n v="0"/>
    <n v="246.65"/>
    <n v="0"/>
    <d v="2025-08-06T00:00:00"/>
    <x v="1"/>
    <x v="1"/>
    <n v="17"/>
    <n v="2.9"/>
    <s v="Ok"/>
    <n v="2.9"/>
    <s v="True"/>
    <s v="Damaged"/>
    <n v="1"/>
    <n v="0"/>
    <x v="3"/>
    <n v="0"/>
  </r>
  <r>
    <s v="FB000224"/>
    <x v="0"/>
    <x v="7"/>
    <x v="3"/>
    <s v="S"/>
    <x v="3"/>
    <x v="0"/>
    <n v="206.91"/>
    <x v="0"/>
    <n v="0"/>
    <n v="206.91"/>
    <n v="0"/>
    <d v="2025-08-06T00:00:00"/>
    <x v="1"/>
    <x v="1"/>
    <n v="34"/>
    <n v="2.2999999999999998"/>
    <s v="Ok"/>
    <n v="2.2999999999999998"/>
    <s v="False"/>
    <m/>
    <n v="0"/>
    <n v="206.91"/>
    <x v="0"/>
    <n v="0"/>
  </r>
  <r>
    <s v="FB000225"/>
    <x v="5"/>
    <x v="6"/>
    <x v="1"/>
    <s v="XL"/>
    <x v="0"/>
    <x v="2"/>
    <n v="85.08"/>
    <x v="0"/>
    <n v="0"/>
    <n v="85.08"/>
    <n v="0"/>
    <d v="2025-08-06T00:00:00"/>
    <x v="1"/>
    <x v="1"/>
    <n v="29"/>
    <m/>
    <s v="Ok"/>
    <s v="No valorado"/>
    <s v="False"/>
    <m/>
    <n v="0"/>
    <n v="85.08"/>
    <x v="0"/>
    <n v="0"/>
  </r>
  <r>
    <s v="FB000226"/>
    <x v="0"/>
    <x v="7"/>
    <x v="0"/>
    <s v="XXL"/>
    <x v="4"/>
    <x v="3"/>
    <n v="240.32"/>
    <x v="86"/>
    <n v="0.54799999999999993"/>
    <n v="108.62"/>
    <n v="131.69999999999999"/>
    <d v="2024-12-27T00:00:00"/>
    <x v="4"/>
    <x v="10"/>
    <n v="3"/>
    <n v="4.5"/>
    <s v="Pocas Unidades"/>
    <n v="4.5"/>
    <s v="False"/>
    <m/>
    <n v="0"/>
    <n v="108.62"/>
    <x v="0"/>
    <n v="0"/>
  </r>
  <r>
    <s v="FB000227"/>
    <x v="5"/>
    <x v="1"/>
    <x v="2"/>
    <s v="XXL"/>
    <x v="4"/>
    <x v="0"/>
    <n v="130.12"/>
    <x v="87"/>
    <n v="1.3999999999999999E-2"/>
    <n v="128.30000000000001"/>
    <n v="1.8199999999999932"/>
    <d v="2025-08-06T00:00:00"/>
    <x v="1"/>
    <x v="1"/>
    <n v="0"/>
    <n v="5"/>
    <s v="Agotado"/>
    <n v="5"/>
    <s v="False"/>
    <m/>
    <n v="0"/>
    <n v="128.30000000000001"/>
    <x v="0"/>
    <n v="0"/>
  </r>
  <r>
    <s v="FB000228"/>
    <x v="4"/>
    <x v="4"/>
    <x v="0"/>
    <s v="XS"/>
    <x v="5"/>
    <x v="2"/>
    <n v="42.29"/>
    <x v="57"/>
    <n v="0.158"/>
    <n v="35.61"/>
    <n v="6.68"/>
    <d v="2024-11-02T00:00:00"/>
    <x v="0"/>
    <x v="11"/>
    <n v="11"/>
    <n v="1.6"/>
    <s v="Ok"/>
    <n v="1.6"/>
    <s v="False"/>
    <m/>
    <n v="0"/>
    <n v="35.61"/>
    <x v="0"/>
    <n v="0"/>
  </r>
  <r>
    <s v="FB000229"/>
    <x v="0"/>
    <x v="4"/>
    <x v="0"/>
    <s v="S"/>
    <x v="3"/>
    <x v="7"/>
    <n v="191.54"/>
    <x v="0"/>
    <n v="0"/>
    <n v="191.54"/>
    <n v="0"/>
    <d v="2024-10-10T00:00:00"/>
    <x v="5"/>
    <x v="2"/>
    <n v="18"/>
    <n v="1.2"/>
    <s v="Ok"/>
    <n v="1.2"/>
    <s v="False"/>
    <m/>
    <n v="0"/>
    <n v="191.54"/>
    <x v="0"/>
    <n v="0"/>
  </r>
  <r>
    <s v="FB000230"/>
    <x v="2"/>
    <x v="5"/>
    <x v="0"/>
    <m/>
    <x v="2"/>
    <x v="7"/>
    <n v="42.23"/>
    <x v="0"/>
    <n v="0"/>
    <n v="42.23"/>
    <n v="0"/>
    <d v="2025-07-14T00:00:00"/>
    <x v="2"/>
    <x v="0"/>
    <n v="15"/>
    <m/>
    <s v="Ok"/>
    <s v="No valorado"/>
    <s v="False"/>
    <m/>
    <n v="0"/>
    <n v="42.23"/>
    <x v="0"/>
    <n v="0"/>
  </r>
  <r>
    <s v="FB000231"/>
    <x v="3"/>
    <x v="4"/>
    <x v="3"/>
    <s v="S"/>
    <x v="3"/>
    <x v="4"/>
    <n v="109.76"/>
    <x v="0"/>
    <n v="0"/>
    <n v="109.76"/>
    <n v="0"/>
    <d v="2025-08-06T00:00:00"/>
    <x v="1"/>
    <x v="1"/>
    <n v="16"/>
    <n v="4.3"/>
    <s v="Ok"/>
    <n v="4.3"/>
    <s v="False"/>
    <m/>
    <n v="0"/>
    <n v="109.76"/>
    <x v="0"/>
    <n v="0"/>
  </r>
  <r>
    <s v="FB000232"/>
    <x v="2"/>
    <x v="3"/>
    <x v="3"/>
    <m/>
    <x v="2"/>
    <x v="0"/>
    <n v="76.8"/>
    <x v="88"/>
    <n v="0.433"/>
    <n v="43.55"/>
    <n v="33.25"/>
    <d v="2025-08-06T00:00:00"/>
    <x v="1"/>
    <x v="1"/>
    <n v="24"/>
    <m/>
    <s v="Ok"/>
    <s v="No valorado"/>
    <s v="False"/>
    <m/>
    <n v="0"/>
    <n v="43.55"/>
    <x v="0"/>
    <n v="0"/>
  </r>
  <r>
    <s v="FB000233"/>
    <x v="5"/>
    <x v="7"/>
    <x v="1"/>
    <m/>
    <x v="7"/>
    <x v="2"/>
    <n v="56.34"/>
    <x v="89"/>
    <n v="0.22399999999999998"/>
    <n v="43.72"/>
    <n v="12.620000000000005"/>
    <d v="2025-08-06T00:00:00"/>
    <x v="1"/>
    <x v="1"/>
    <n v="37"/>
    <n v="2.5"/>
    <s v="Ok"/>
    <n v="2.5"/>
    <s v="True"/>
    <s v="Wrong Item"/>
    <n v="1"/>
    <n v="0"/>
    <x v="6"/>
    <n v="0"/>
  </r>
  <r>
    <s v="FB000234"/>
    <x v="1"/>
    <x v="6"/>
    <x v="2"/>
    <m/>
    <x v="7"/>
    <x v="7"/>
    <n v="88.41"/>
    <x v="0"/>
    <n v="0"/>
    <n v="88.41"/>
    <n v="0"/>
    <d v="2025-08-06T00:00:00"/>
    <x v="1"/>
    <x v="1"/>
    <n v="24"/>
    <n v="4.4000000000000004"/>
    <s v="Ok"/>
    <n v="4.4000000000000004"/>
    <s v="False"/>
    <m/>
    <n v="0"/>
    <n v="88.41"/>
    <x v="0"/>
    <n v="0"/>
  </r>
  <r>
    <s v="FB000235"/>
    <x v="1"/>
    <x v="6"/>
    <x v="0"/>
    <s v="S"/>
    <x v="3"/>
    <x v="2"/>
    <n v="25.96"/>
    <x v="0"/>
    <n v="0"/>
    <n v="25.96"/>
    <n v="0"/>
    <d v="2024-10-04T00:00:00"/>
    <x v="4"/>
    <x v="2"/>
    <n v="2"/>
    <n v="1.4"/>
    <s v="Pocas Unidades"/>
    <n v="1.4"/>
    <s v="False"/>
    <m/>
    <n v="0"/>
    <n v="25.96"/>
    <x v="0"/>
    <n v="0"/>
  </r>
  <r>
    <s v="FB000236"/>
    <x v="4"/>
    <x v="0"/>
    <x v="0"/>
    <s v="XXL"/>
    <x v="4"/>
    <x v="0"/>
    <n v="60.25"/>
    <x v="0"/>
    <n v="0"/>
    <n v="60.25"/>
    <n v="0"/>
    <d v="2024-08-16T00:00:00"/>
    <x v="4"/>
    <x v="1"/>
    <n v="25"/>
    <n v="4.0999999999999996"/>
    <s v="Ok"/>
    <n v="4.0999999999999996"/>
    <s v="False"/>
    <m/>
    <n v="0"/>
    <n v="60.25"/>
    <x v="0"/>
    <n v="0"/>
  </r>
  <r>
    <s v="FB000237"/>
    <x v="2"/>
    <x v="4"/>
    <x v="2"/>
    <m/>
    <x v="2"/>
    <x v="0"/>
    <n v="52.33"/>
    <x v="35"/>
    <n v="0.191"/>
    <n v="42.33"/>
    <n v="10"/>
    <d v="2025-08-06T00:00:00"/>
    <x v="1"/>
    <x v="1"/>
    <n v="4"/>
    <m/>
    <s v="Pocas Unidades"/>
    <s v="No valorado"/>
    <s v="False"/>
    <m/>
    <n v="0"/>
    <n v="42.33"/>
    <x v="0"/>
    <n v="0"/>
  </r>
  <r>
    <s v="FB000238"/>
    <x v="2"/>
    <x v="3"/>
    <x v="2"/>
    <m/>
    <x v="2"/>
    <x v="3"/>
    <n v="67.61"/>
    <x v="0"/>
    <n v="0"/>
    <n v="67.61"/>
    <n v="0"/>
    <d v="2025-08-06T00:00:00"/>
    <x v="1"/>
    <x v="1"/>
    <n v="14"/>
    <n v="1.8"/>
    <s v="Ok"/>
    <n v="1.8"/>
    <s v="False"/>
    <m/>
    <n v="0"/>
    <n v="67.61"/>
    <x v="0"/>
    <n v="0"/>
  </r>
  <r>
    <s v="FB000239"/>
    <x v="3"/>
    <x v="7"/>
    <x v="0"/>
    <s v="L"/>
    <x v="1"/>
    <x v="10"/>
    <n v="136"/>
    <x v="0"/>
    <n v="0"/>
    <n v="136"/>
    <n v="0"/>
    <d v="2025-08-01T00:00:00"/>
    <x v="4"/>
    <x v="1"/>
    <n v="46"/>
    <n v="4.5"/>
    <s v="Ok"/>
    <n v="4.5"/>
    <s v="False"/>
    <m/>
    <n v="0"/>
    <n v="136"/>
    <x v="0"/>
    <n v="0"/>
  </r>
  <r>
    <s v="FB000240"/>
    <x v="3"/>
    <x v="0"/>
    <x v="2"/>
    <m/>
    <x v="7"/>
    <x v="10"/>
    <n v="74.48"/>
    <x v="0"/>
    <n v="0"/>
    <n v="74.48"/>
    <n v="0"/>
    <d v="2025-08-06T00:00:00"/>
    <x v="1"/>
    <x v="1"/>
    <n v="24"/>
    <n v="3.7"/>
    <s v="Ok"/>
    <n v="3.7"/>
    <s v="False"/>
    <m/>
    <n v="0"/>
    <n v="74.48"/>
    <x v="0"/>
    <n v="0"/>
  </r>
  <r>
    <s v="FB000241"/>
    <x v="5"/>
    <x v="7"/>
    <x v="2"/>
    <s v="XS"/>
    <x v="5"/>
    <x v="1"/>
    <n v="101.39"/>
    <x v="0"/>
    <n v="0"/>
    <n v="101.39"/>
    <n v="0"/>
    <d v="2025-08-06T00:00:00"/>
    <x v="1"/>
    <x v="1"/>
    <n v="33"/>
    <n v="2.4"/>
    <s v="Ok"/>
    <n v="2.4"/>
    <s v="True"/>
    <s v="Size Issue"/>
    <n v="1"/>
    <n v="0"/>
    <x v="2"/>
    <n v="0"/>
  </r>
  <r>
    <s v="FB000242"/>
    <x v="5"/>
    <x v="7"/>
    <x v="2"/>
    <s v="XXL"/>
    <x v="4"/>
    <x v="6"/>
    <n v="169.68"/>
    <x v="90"/>
    <n v="0.41700000000000004"/>
    <n v="98.92"/>
    <n v="70.760000000000005"/>
    <d v="2025-08-06T00:00:00"/>
    <x v="1"/>
    <x v="1"/>
    <n v="43"/>
    <n v="4.5999999999999996"/>
    <s v="Ok"/>
    <n v="4.5999999999999996"/>
    <s v="False"/>
    <m/>
    <n v="0"/>
    <n v="98.92"/>
    <x v="0"/>
    <n v="0"/>
  </r>
  <r>
    <s v="FB000243"/>
    <x v="2"/>
    <x v="7"/>
    <x v="1"/>
    <m/>
    <x v="2"/>
    <x v="9"/>
    <n v="52.45"/>
    <x v="0"/>
    <n v="0"/>
    <n v="52.45"/>
    <n v="0"/>
    <d v="2025-08-06T00:00:00"/>
    <x v="1"/>
    <x v="1"/>
    <n v="34"/>
    <n v="2.1"/>
    <s v="Ok"/>
    <n v="2.1"/>
    <s v="False"/>
    <m/>
    <n v="0"/>
    <n v="52.45"/>
    <x v="0"/>
    <n v="0"/>
  </r>
  <r>
    <s v="FB000244"/>
    <x v="3"/>
    <x v="1"/>
    <x v="3"/>
    <s v="XXL"/>
    <x v="4"/>
    <x v="1"/>
    <n v="153.85"/>
    <x v="91"/>
    <n v="0.47600000000000003"/>
    <n v="80.62"/>
    <n v="73.22999999999999"/>
    <d v="2025-08-06T00:00:00"/>
    <x v="1"/>
    <x v="1"/>
    <n v="12"/>
    <n v="3.1"/>
    <s v="Ok"/>
    <n v="3.1"/>
    <s v="False"/>
    <m/>
    <n v="0"/>
    <n v="80.62"/>
    <x v="0"/>
    <n v="0"/>
  </r>
  <r>
    <s v="FB000245"/>
    <x v="4"/>
    <x v="3"/>
    <x v="2"/>
    <s v="M"/>
    <x v="6"/>
    <x v="10"/>
    <n v="32.700000000000003"/>
    <x v="92"/>
    <n v="0.505"/>
    <n v="16.190000000000001"/>
    <n v="16.510000000000002"/>
    <d v="2025-08-06T00:00:00"/>
    <x v="1"/>
    <x v="1"/>
    <n v="46"/>
    <n v="1.3"/>
    <s v="Ok"/>
    <n v="1.3"/>
    <s v="False"/>
    <m/>
    <n v="0"/>
    <n v="16.190000000000001"/>
    <x v="0"/>
    <n v="0"/>
  </r>
  <r>
    <s v="FB000246"/>
    <x v="0"/>
    <x v="1"/>
    <x v="2"/>
    <s v="L"/>
    <x v="1"/>
    <x v="8"/>
    <n v="104.27"/>
    <x v="93"/>
    <n v="0.54600000000000004"/>
    <n v="47.34"/>
    <n v="56.929999999999993"/>
    <d v="2025-08-06T00:00:00"/>
    <x v="1"/>
    <x v="1"/>
    <n v="42"/>
    <n v="4.2"/>
    <s v="Ok"/>
    <n v="4.2"/>
    <s v="False"/>
    <m/>
    <n v="0"/>
    <n v="47.34"/>
    <x v="0"/>
    <n v="0"/>
  </r>
  <r>
    <s v="FB000247"/>
    <x v="5"/>
    <x v="7"/>
    <x v="3"/>
    <s v="M"/>
    <x v="6"/>
    <x v="4"/>
    <n v="80.040000000000006"/>
    <x v="20"/>
    <n v="0.50900000000000001"/>
    <n v="39.299999999999997"/>
    <n v="40.740000000000009"/>
    <d v="2025-08-06T00:00:00"/>
    <x v="1"/>
    <x v="1"/>
    <n v="45"/>
    <m/>
    <s v="Ok"/>
    <s v="No valorado"/>
    <s v="False"/>
    <m/>
    <n v="0"/>
    <n v="39.299999999999997"/>
    <x v="0"/>
    <n v="0"/>
  </r>
  <r>
    <s v="FB000248"/>
    <x v="4"/>
    <x v="2"/>
    <x v="0"/>
    <s v="M"/>
    <x v="6"/>
    <x v="2"/>
    <n v="72.069999999999993"/>
    <x v="0"/>
    <n v="0"/>
    <n v="72.069999999999993"/>
    <n v="0"/>
    <d v="2025-05-08T00:00:00"/>
    <x v="5"/>
    <x v="8"/>
    <n v="20"/>
    <m/>
    <s v="Ok"/>
    <s v="No valorado"/>
    <s v="True"/>
    <s v="Color Mismatch"/>
    <n v="1"/>
    <n v="0"/>
    <x v="1"/>
    <n v="0"/>
  </r>
  <r>
    <s v="FB000249"/>
    <x v="0"/>
    <x v="0"/>
    <x v="2"/>
    <s v="M"/>
    <x v="6"/>
    <x v="6"/>
    <n v="220.99"/>
    <x v="0"/>
    <n v="0"/>
    <n v="220.99"/>
    <n v="0"/>
    <d v="2025-08-06T00:00:00"/>
    <x v="1"/>
    <x v="1"/>
    <n v="42"/>
    <n v="3.6"/>
    <s v="Ok"/>
    <n v="3.6"/>
    <s v="False"/>
    <m/>
    <n v="0"/>
    <n v="220.99"/>
    <x v="0"/>
    <n v="0"/>
  </r>
  <r>
    <s v="FB000250"/>
    <x v="0"/>
    <x v="1"/>
    <x v="2"/>
    <s v="XS"/>
    <x v="5"/>
    <x v="2"/>
    <n v="117.36"/>
    <x v="94"/>
    <n v="0.14599999999999999"/>
    <n v="100.23"/>
    <n v="17.129999999999995"/>
    <d v="2025-08-06T00:00:00"/>
    <x v="1"/>
    <x v="1"/>
    <n v="33"/>
    <m/>
    <s v="Ok"/>
    <s v="No valorado"/>
    <s v="True"/>
    <s v="Size Issue"/>
    <n v="1"/>
    <n v="0"/>
    <x v="2"/>
    <n v="0"/>
  </r>
  <r>
    <s v="FB000251"/>
    <x v="0"/>
    <x v="2"/>
    <x v="0"/>
    <s v="L"/>
    <x v="1"/>
    <x v="8"/>
    <n v="198.76"/>
    <x v="95"/>
    <n v="0.48799999999999999"/>
    <n v="101.77"/>
    <n v="96.99"/>
    <d v="2025-04-26T00:00:00"/>
    <x v="0"/>
    <x v="4"/>
    <n v="36"/>
    <n v="3"/>
    <s v="Ok"/>
    <n v="3"/>
    <s v="False"/>
    <m/>
    <n v="0"/>
    <n v="101.77"/>
    <x v="0"/>
    <n v="0"/>
  </r>
  <r>
    <s v="FB000252"/>
    <x v="0"/>
    <x v="4"/>
    <x v="2"/>
    <s v="L"/>
    <x v="1"/>
    <x v="2"/>
    <n v="121.03"/>
    <x v="0"/>
    <n v="0"/>
    <n v="121.03"/>
    <n v="0"/>
    <d v="2025-08-06T00:00:00"/>
    <x v="1"/>
    <x v="1"/>
    <n v="14"/>
    <n v="1.6"/>
    <s v="Ok"/>
    <n v="1.6"/>
    <s v="True"/>
    <s v="Changed Mind"/>
    <n v="1"/>
    <n v="0"/>
    <x v="5"/>
    <n v="0"/>
  </r>
  <r>
    <s v="FB000253"/>
    <x v="1"/>
    <x v="4"/>
    <x v="2"/>
    <s v="L"/>
    <x v="1"/>
    <x v="3"/>
    <n v="88.62"/>
    <x v="0"/>
    <n v="0"/>
    <n v="88.62"/>
    <n v="0"/>
    <d v="2025-08-06T00:00:00"/>
    <x v="1"/>
    <x v="1"/>
    <n v="48"/>
    <n v="2.4"/>
    <s v="Ok"/>
    <n v="2.4"/>
    <s v="False"/>
    <m/>
    <n v="0"/>
    <n v="88.62"/>
    <x v="0"/>
    <n v="0"/>
  </r>
  <r>
    <s v="FB000254"/>
    <x v="3"/>
    <x v="4"/>
    <x v="3"/>
    <s v="XL"/>
    <x v="0"/>
    <x v="6"/>
    <n v="88.94"/>
    <x v="0"/>
    <n v="0"/>
    <n v="88.94"/>
    <n v="0"/>
    <d v="2025-08-06T00:00:00"/>
    <x v="1"/>
    <x v="1"/>
    <n v="29"/>
    <n v="3.9"/>
    <s v="Ok"/>
    <n v="3.9"/>
    <s v="False"/>
    <m/>
    <n v="0"/>
    <n v="88.94"/>
    <x v="0"/>
    <n v="0"/>
  </r>
  <r>
    <s v="FB000255"/>
    <x v="4"/>
    <x v="0"/>
    <x v="1"/>
    <s v="S"/>
    <x v="3"/>
    <x v="2"/>
    <n v="115.7"/>
    <x v="96"/>
    <n v="0.17800000000000002"/>
    <n v="95.11"/>
    <n v="20.590000000000003"/>
    <d v="2025-08-06T00:00:00"/>
    <x v="1"/>
    <x v="1"/>
    <n v="32"/>
    <n v="1.7"/>
    <s v="Ok"/>
    <n v="1.7"/>
    <s v="False"/>
    <m/>
    <n v="0"/>
    <n v="95.11"/>
    <x v="0"/>
    <n v="0"/>
  </r>
  <r>
    <s v="FB000256"/>
    <x v="4"/>
    <x v="7"/>
    <x v="2"/>
    <s v="XXL"/>
    <x v="4"/>
    <x v="2"/>
    <n v="75.66"/>
    <x v="0"/>
    <n v="0"/>
    <n v="75.66"/>
    <n v="0"/>
    <d v="2025-08-06T00:00:00"/>
    <x v="1"/>
    <x v="1"/>
    <n v="20"/>
    <n v="3"/>
    <s v="Ok"/>
    <n v="3"/>
    <s v="False"/>
    <m/>
    <n v="0"/>
    <n v="75.66"/>
    <x v="0"/>
    <n v="0"/>
  </r>
  <r>
    <s v="FB000257"/>
    <x v="2"/>
    <x v="5"/>
    <x v="1"/>
    <m/>
    <x v="2"/>
    <x v="6"/>
    <n v="42.11"/>
    <x v="0"/>
    <n v="0"/>
    <n v="42.11"/>
    <n v="0"/>
    <d v="2025-08-06T00:00:00"/>
    <x v="1"/>
    <x v="1"/>
    <n v="26"/>
    <n v="4"/>
    <s v="Ok"/>
    <n v="4"/>
    <s v="False"/>
    <m/>
    <n v="0"/>
    <n v="42.11"/>
    <x v="0"/>
    <n v="0"/>
  </r>
  <r>
    <s v="FB000258"/>
    <x v="0"/>
    <x v="4"/>
    <x v="0"/>
    <s v="XXL"/>
    <x v="4"/>
    <x v="7"/>
    <n v="247.9"/>
    <x v="97"/>
    <n v="4.2999999999999997E-2"/>
    <n v="237.24"/>
    <n v="10.659999999999997"/>
    <d v="2024-12-25T00:00:00"/>
    <x v="1"/>
    <x v="10"/>
    <n v="25"/>
    <n v="4.5999999999999996"/>
    <s v="Ok"/>
    <n v="4.5999999999999996"/>
    <s v="False"/>
    <m/>
    <n v="0"/>
    <n v="237.24"/>
    <x v="0"/>
    <n v="0"/>
  </r>
  <r>
    <s v="FB000259"/>
    <x v="3"/>
    <x v="2"/>
    <x v="0"/>
    <s v="XL"/>
    <x v="0"/>
    <x v="7"/>
    <n v="143.44999999999999"/>
    <x v="0"/>
    <n v="0"/>
    <n v="143.44999999999999"/>
    <n v="0"/>
    <d v="2024-09-27T00:00:00"/>
    <x v="4"/>
    <x v="6"/>
    <n v="39"/>
    <m/>
    <s v="Ok"/>
    <s v="No valorado"/>
    <s v="True"/>
    <s v="Quality Issue"/>
    <n v="1"/>
    <n v="0"/>
    <x v="4"/>
    <n v="0"/>
  </r>
  <r>
    <s v="FB000260"/>
    <x v="2"/>
    <x v="2"/>
    <x v="1"/>
    <m/>
    <x v="2"/>
    <x v="7"/>
    <n v="24.96"/>
    <x v="98"/>
    <n v="0.44700000000000001"/>
    <n v="13.8"/>
    <n v="11.16"/>
    <d v="2025-08-06T00:00:00"/>
    <x v="1"/>
    <x v="1"/>
    <n v="44"/>
    <m/>
    <s v="Ok"/>
    <s v="No valorado"/>
    <s v="False"/>
    <m/>
    <n v="0"/>
    <n v="13.8"/>
    <x v="0"/>
    <n v="0"/>
  </r>
  <r>
    <s v="FB000261"/>
    <x v="0"/>
    <x v="7"/>
    <x v="3"/>
    <s v="XL"/>
    <x v="0"/>
    <x v="8"/>
    <n v="109.74"/>
    <x v="0"/>
    <n v="0"/>
    <n v="109.74"/>
    <n v="0"/>
    <d v="2025-08-06T00:00:00"/>
    <x v="1"/>
    <x v="1"/>
    <n v="45"/>
    <n v="1.9"/>
    <s v="Ok"/>
    <n v="1.9"/>
    <s v="False"/>
    <m/>
    <n v="0"/>
    <n v="109.74"/>
    <x v="0"/>
    <n v="0"/>
  </r>
  <r>
    <s v="FB000262"/>
    <x v="5"/>
    <x v="4"/>
    <x v="3"/>
    <s v="XL"/>
    <x v="0"/>
    <x v="5"/>
    <n v="161.13999999999999"/>
    <x v="0"/>
    <n v="0"/>
    <n v="161.13999999999999"/>
    <n v="0"/>
    <d v="2025-08-06T00:00:00"/>
    <x v="1"/>
    <x v="1"/>
    <n v="44"/>
    <n v="1.6"/>
    <s v="Ok"/>
    <n v="1.6"/>
    <s v="False"/>
    <m/>
    <n v="0"/>
    <n v="161.13999999999999"/>
    <x v="0"/>
    <n v="0"/>
  </r>
  <r>
    <s v="FB000263"/>
    <x v="0"/>
    <x v="2"/>
    <x v="0"/>
    <s v="XXL"/>
    <x v="4"/>
    <x v="10"/>
    <n v="220.14"/>
    <x v="99"/>
    <n v="9.1999999999999998E-2"/>
    <n v="199.89"/>
    <n v="20.25"/>
    <d v="2025-06-27T00:00:00"/>
    <x v="4"/>
    <x v="7"/>
    <n v="23"/>
    <n v="4.8"/>
    <s v="Ok"/>
    <n v="4.8"/>
    <s v="False"/>
    <m/>
    <n v="0"/>
    <n v="199.89"/>
    <x v="0"/>
    <n v="0"/>
  </r>
  <r>
    <s v="FB000264"/>
    <x v="5"/>
    <x v="7"/>
    <x v="3"/>
    <s v="S"/>
    <x v="3"/>
    <x v="1"/>
    <n v="57.33"/>
    <x v="0"/>
    <n v="0"/>
    <n v="57.33"/>
    <n v="0"/>
    <d v="2025-08-06T00:00:00"/>
    <x v="1"/>
    <x v="1"/>
    <n v="23"/>
    <n v="2"/>
    <s v="Ok"/>
    <n v="2"/>
    <s v="False"/>
    <m/>
    <n v="0"/>
    <n v="57.33"/>
    <x v="0"/>
    <n v="0"/>
  </r>
  <r>
    <s v="FB000265"/>
    <x v="4"/>
    <x v="0"/>
    <x v="2"/>
    <s v="XXL"/>
    <x v="4"/>
    <x v="5"/>
    <n v="108.24"/>
    <x v="0"/>
    <n v="0"/>
    <n v="108.24"/>
    <n v="0"/>
    <d v="2025-08-06T00:00:00"/>
    <x v="1"/>
    <x v="1"/>
    <n v="8"/>
    <n v="2.2999999999999998"/>
    <s v="Pocas Unidades"/>
    <n v="2.2999999999999998"/>
    <s v="False"/>
    <m/>
    <n v="0"/>
    <n v="108.24"/>
    <x v="0"/>
    <n v="0"/>
  </r>
  <r>
    <s v="FB000266"/>
    <x v="2"/>
    <x v="2"/>
    <x v="3"/>
    <m/>
    <x v="2"/>
    <x v="4"/>
    <n v="67.930000000000007"/>
    <x v="0"/>
    <n v="0"/>
    <n v="67.930000000000007"/>
    <n v="0"/>
    <d v="2025-08-06T00:00:00"/>
    <x v="1"/>
    <x v="1"/>
    <n v="22"/>
    <n v="4.5999999999999996"/>
    <s v="Ok"/>
    <n v="4.5999999999999996"/>
    <s v="False"/>
    <m/>
    <n v="0"/>
    <n v="67.930000000000007"/>
    <x v="0"/>
    <n v="0"/>
  </r>
  <r>
    <s v="FB000267"/>
    <x v="5"/>
    <x v="0"/>
    <x v="1"/>
    <s v="XS"/>
    <x v="5"/>
    <x v="5"/>
    <n v="168.96"/>
    <x v="0"/>
    <n v="0"/>
    <n v="168.96"/>
    <n v="0"/>
    <d v="2025-08-06T00:00:00"/>
    <x v="1"/>
    <x v="1"/>
    <n v="9"/>
    <m/>
    <s v="Pocas Unidades"/>
    <s v="No valorado"/>
    <s v="False"/>
    <m/>
    <n v="0"/>
    <n v="168.96"/>
    <x v="0"/>
    <n v="0"/>
  </r>
  <r>
    <s v="FB000268"/>
    <x v="1"/>
    <x v="5"/>
    <x v="2"/>
    <s v="S"/>
    <x v="3"/>
    <x v="3"/>
    <n v="90.63"/>
    <x v="0"/>
    <n v="0"/>
    <n v="90.63"/>
    <n v="0"/>
    <d v="2025-08-06T00:00:00"/>
    <x v="1"/>
    <x v="1"/>
    <n v="33"/>
    <n v="4.2"/>
    <s v="Ok"/>
    <n v="4.2"/>
    <s v="False"/>
    <m/>
    <n v="0"/>
    <n v="90.63"/>
    <x v="0"/>
    <n v="0"/>
  </r>
  <r>
    <s v="FB000269"/>
    <x v="2"/>
    <x v="3"/>
    <x v="0"/>
    <m/>
    <x v="2"/>
    <x v="6"/>
    <n v="72.3"/>
    <x v="100"/>
    <n v="4.0000000000000001E-3"/>
    <n v="72.010000000000005"/>
    <n v="0.28999999999999204"/>
    <d v="2024-12-29T00:00:00"/>
    <x v="6"/>
    <x v="10"/>
    <n v="38"/>
    <n v="3"/>
    <s v="Ok"/>
    <n v="3"/>
    <s v="True"/>
    <s v="Color Mismatch"/>
    <n v="1"/>
    <n v="0"/>
    <x v="1"/>
    <n v="0"/>
  </r>
  <r>
    <s v="FB000270"/>
    <x v="4"/>
    <x v="4"/>
    <x v="1"/>
    <s v="S"/>
    <x v="3"/>
    <x v="7"/>
    <n v="27.98"/>
    <x v="0"/>
    <n v="0"/>
    <n v="27.98"/>
    <n v="0"/>
    <d v="2025-08-06T00:00:00"/>
    <x v="1"/>
    <x v="1"/>
    <n v="0"/>
    <n v="3"/>
    <s v="Agotado"/>
    <n v="3"/>
    <s v="False"/>
    <m/>
    <n v="0"/>
    <n v="27.98"/>
    <x v="0"/>
    <n v="0"/>
  </r>
  <r>
    <s v="FB000271"/>
    <x v="5"/>
    <x v="7"/>
    <x v="3"/>
    <m/>
    <x v="7"/>
    <x v="8"/>
    <n v="92.73"/>
    <x v="0"/>
    <n v="0"/>
    <n v="92.73"/>
    <n v="0"/>
    <d v="2025-08-06T00:00:00"/>
    <x v="1"/>
    <x v="1"/>
    <n v="15"/>
    <n v="1.4"/>
    <s v="Ok"/>
    <n v="1.4"/>
    <s v="False"/>
    <m/>
    <n v="0"/>
    <n v="92.73"/>
    <x v="0"/>
    <n v="0"/>
  </r>
  <r>
    <s v="FB000272"/>
    <x v="4"/>
    <x v="3"/>
    <x v="3"/>
    <s v="XXL"/>
    <x v="4"/>
    <x v="3"/>
    <n v="64.28"/>
    <x v="0"/>
    <n v="0"/>
    <n v="64.28"/>
    <n v="0"/>
    <d v="2025-08-06T00:00:00"/>
    <x v="1"/>
    <x v="1"/>
    <n v="46"/>
    <n v="3"/>
    <s v="Ok"/>
    <n v="3"/>
    <s v="False"/>
    <m/>
    <n v="0"/>
    <n v="64.28"/>
    <x v="0"/>
    <n v="0"/>
  </r>
  <r>
    <s v="FB000273"/>
    <x v="5"/>
    <x v="5"/>
    <x v="2"/>
    <s v="M"/>
    <x v="6"/>
    <x v="2"/>
    <n v="133.12"/>
    <x v="0"/>
    <n v="0"/>
    <n v="133.12"/>
    <n v="0"/>
    <d v="2025-08-06T00:00:00"/>
    <x v="1"/>
    <x v="1"/>
    <n v="35"/>
    <n v="1.9"/>
    <s v="Ok"/>
    <n v="1.9"/>
    <s v="False"/>
    <m/>
    <n v="0"/>
    <n v="133.12"/>
    <x v="0"/>
    <n v="0"/>
  </r>
  <r>
    <s v="FB000274"/>
    <x v="1"/>
    <x v="6"/>
    <x v="1"/>
    <s v="XXL"/>
    <x v="4"/>
    <x v="10"/>
    <n v="70.36"/>
    <x v="0"/>
    <n v="0"/>
    <n v="70.36"/>
    <n v="0"/>
    <d v="2025-08-06T00:00:00"/>
    <x v="1"/>
    <x v="1"/>
    <n v="0"/>
    <m/>
    <s v="Agotado"/>
    <s v="No valorado"/>
    <s v="False"/>
    <m/>
    <n v="0"/>
    <n v="70.36"/>
    <x v="0"/>
    <n v="0"/>
  </r>
  <r>
    <s v="FB000275"/>
    <x v="0"/>
    <x v="1"/>
    <x v="3"/>
    <s v="XL"/>
    <x v="0"/>
    <x v="1"/>
    <n v="199.01"/>
    <x v="0"/>
    <n v="0"/>
    <n v="199.01"/>
    <n v="0"/>
    <d v="2025-08-06T00:00:00"/>
    <x v="1"/>
    <x v="1"/>
    <n v="8"/>
    <n v="4.4000000000000004"/>
    <s v="Pocas Unidades"/>
    <n v="4.4000000000000004"/>
    <s v="False"/>
    <m/>
    <n v="0"/>
    <n v="199.01"/>
    <x v="0"/>
    <n v="0"/>
  </r>
  <r>
    <s v="FB000276"/>
    <x v="4"/>
    <x v="4"/>
    <x v="3"/>
    <s v="L"/>
    <x v="1"/>
    <x v="8"/>
    <n v="62.41"/>
    <x v="101"/>
    <n v="0.371"/>
    <n v="39.26"/>
    <n v="23.15"/>
    <d v="2025-08-06T00:00:00"/>
    <x v="1"/>
    <x v="1"/>
    <n v="6"/>
    <n v="4.0999999999999996"/>
    <s v="Pocas Unidades"/>
    <n v="4.0999999999999996"/>
    <s v="False"/>
    <m/>
    <n v="0"/>
    <n v="39.26"/>
    <x v="0"/>
    <n v="0"/>
  </r>
  <r>
    <s v="FB000277"/>
    <x v="3"/>
    <x v="1"/>
    <x v="3"/>
    <s v="XS"/>
    <x v="5"/>
    <x v="2"/>
    <n v="71.44"/>
    <x v="0"/>
    <n v="0"/>
    <n v="71.44"/>
    <n v="0"/>
    <d v="2025-08-06T00:00:00"/>
    <x v="1"/>
    <x v="1"/>
    <n v="45"/>
    <n v="4"/>
    <s v="Ok"/>
    <n v="4"/>
    <s v="False"/>
    <m/>
    <n v="0"/>
    <n v="71.44"/>
    <x v="0"/>
    <n v="0"/>
  </r>
  <r>
    <s v="FB000278"/>
    <x v="5"/>
    <x v="0"/>
    <x v="1"/>
    <m/>
    <x v="7"/>
    <x v="5"/>
    <n v="89.69"/>
    <x v="0"/>
    <n v="0"/>
    <n v="89.69"/>
    <n v="0"/>
    <d v="2025-08-06T00:00:00"/>
    <x v="1"/>
    <x v="1"/>
    <n v="50"/>
    <n v="4.3"/>
    <s v="Ok"/>
    <n v="4.3"/>
    <s v="False"/>
    <m/>
    <n v="0"/>
    <n v="89.69"/>
    <x v="0"/>
    <n v="0"/>
  </r>
  <r>
    <s v="FB000279"/>
    <x v="0"/>
    <x v="3"/>
    <x v="0"/>
    <s v="XXL"/>
    <x v="4"/>
    <x v="4"/>
    <n v="161.65"/>
    <x v="102"/>
    <n v="0.10199999999999999"/>
    <n v="145.16"/>
    <n v="16.490000000000009"/>
    <d v="2025-03-30T00:00:00"/>
    <x v="6"/>
    <x v="3"/>
    <n v="42"/>
    <m/>
    <s v="Ok"/>
    <s v="No valorado"/>
    <s v="False"/>
    <m/>
    <n v="0"/>
    <n v="145.16"/>
    <x v="0"/>
    <n v="0"/>
  </r>
  <r>
    <s v="FB000280"/>
    <x v="2"/>
    <x v="1"/>
    <x v="1"/>
    <m/>
    <x v="2"/>
    <x v="3"/>
    <n v="46.59"/>
    <x v="0"/>
    <n v="0"/>
    <n v="46.59"/>
    <n v="0"/>
    <d v="2025-08-06T00:00:00"/>
    <x v="1"/>
    <x v="1"/>
    <n v="29"/>
    <n v="4.8"/>
    <s v="Ok"/>
    <n v="4.8"/>
    <s v="False"/>
    <m/>
    <n v="0"/>
    <n v="46.59"/>
    <x v="0"/>
    <n v="0"/>
  </r>
  <r>
    <s v="FB000281"/>
    <x v="2"/>
    <x v="0"/>
    <x v="2"/>
    <m/>
    <x v="2"/>
    <x v="1"/>
    <n v="74.2"/>
    <x v="0"/>
    <n v="0"/>
    <n v="74.2"/>
    <n v="0"/>
    <d v="2025-08-06T00:00:00"/>
    <x v="1"/>
    <x v="1"/>
    <n v="22"/>
    <n v="1.7"/>
    <s v="Ok"/>
    <n v="1.7"/>
    <s v="False"/>
    <m/>
    <n v="0"/>
    <n v="74.2"/>
    <x v="0"/>
    <n v="0"/>
  </r>
  <r>
    <s v="FB000282"/>
    <x v="4"/>
    <x v="1"/>
    <x v="2"/>
    <s v="S"/>
    <x v="3"/>
    <x v="10"/>
    <n v="99.67"/>
    <x v="0"/>
    <n v="0"/>
    <n v="99.67"/>
    <n v="0"/>
    <d v="2025-08-06T00:00:00"/>
    <x v="1"/>
    <x v="1"/>
    <n v="13"/>
    <n v="5"/>
    <s v="Ok"/>
    <n v="5"/>
    <s v="False"/>
    <m/>
    <n v="0"/>
    <n v="99.67"/>
    <x v="0"/>
    <n v="0"/>
  </r>
  <r>
    <s v="FB000283"/>
    <x v="3"/>
    <x v="7"/>
    <x v="2"/>
    <s v="XS"/>
    <x v="5"/>
    <x v="9"/>
    <n v="112.74"/>
    <x v="103"/>
    <n v="0.23"/>
    <n v="86.81"/>
    <n v="25.929999999999993"/>
    <d v="2025-08-06T00:00:00"/>
    <x v="1"/>
    <x v="1"/>
    <n v="37"/>
    <n v="1"/>
    <s v="Ok"/>
    <n v="1"/>
    <s v="False"/>
    <m/>
    <n v="0"/>
    <n v="86.81"/>
    <x v="0"/>
    <n v="0"/>
  </r>
  <r>
    <s v="FB000284"/>
    <x v="1"/>
    <x v="2"/>
    <x v="3"/>
    <s v="S"/>
    <x v="3"/>
    <x v="2"/>
    <n v="95.82"/>
    <x v="104"/>
    <n v="0.39399999999999996"/>
    <n v="58.07"/>
    <n v="37.749999999999993"/>
    <d v="2025-08-06T00:00:00"/>
    <x v="1"/>
    <x v="1"/>
    <n v="6"/>
    <m/>
    <s v="Pocas Unidades"/>
    <s v="No valorado"/>
    <s v="True"/>
    <s v="Damaged"/>
    <n v="1"/>
    <n v="0"/>
    <x v="3"/>
    <n v="0"/>
  </r>
  <r>
    <s v="FB000285"/>
    <x v="3"/>
    <x v="5"/>
    <x v="1"/>
    <s v="M"/>
    <x v="6"/>
    <x v="6"/>
    <n v="157.41999999999999"/>
    <x v="0"/>
    <n v="0"/>
    <n v="157.41999999999999"/>
    <n v="0"/>
    <d v="2025-08-06T00:00:00"/>
    <x v="1"/>
    <x v="1"/>
    <n v="38"/>
    <n v="2.4"/>
    <s v="Ok"/>
    <n v="2.4"/>
    <s v="False"/>
    <m/>
    <n v="0"/>
    <n v="157.41999999999999"/>
    <x v="0"/>
    <n v="0"/>
  </r>
  <r>
    <s v="FB000286"/>
    <x v="2"/>
    <x v="0"/>
    <x v="2"/>
    <m/>
    <x v="2"/>
    <x v="0"/>
    <n v="60.17"/>
    <x v="105"/>
    <n v="0.14099999999999999"/>
    <n v="51.69"/>
    <n v="8.480000000000004"/>
    <d v="2025-08-06T00:00:00"/>
    <x v="1"/>
    <x v="1"/>
    <n v="38"/>
    <n v="5"/>
    <s v="Ok"/>
    <n v="5"/>
    <s v="False"/>
    <m/>
    <n v="0"/>
    <n v="51.69"/>
    <x v="0"/>
    <n v="0"/>
  </r>
  <r>
    <s v="FB000287"/>
    <x v="0"/>
    <x v="3"/>
    <x v="1"/>
    <s v="XL"/>
    <x v="0"/>
    <x v="1"/>
    <n v="169.03"/>
    <x v="0"/>
    <n v="0"/>
    <n v="169.03"/>
    <n v="0"/>
    <d v="2025-08-06T00:00:00"/>
    <x v="1"/>
    <x v="1"/>
    <n v="16"/>
    <n v="1.7"/>
    <s v="Ok"/>
    <n v="1.7"/>
    <s v="False"/>
    <m/>
    <n v="0"/>
    <n v="169.03"/>
    <x v="0"/>
    <n v="0"/>
  </r>
  <r>
    <s v="FB000288"/>
    <x v="5"/>
    <x v="1"/>
    <x v="2"/>
    <s v="S"/>
    <x v="3"/>
    <x v="1"/>
    <n v="175.86"/>
    <x v="0"/>
    <n v="0"/>
    <n v="175.86"/>
    <n v="0"/>
    <d v="2025-08-06T00:00:00"/>
    <x v="1"/>
    <x v="1"/>
    <n v="0"/>
    <n v="4.5999999999999996"/>
    <s v="Agotado"/>
    <n v="4.5999999999999996"/>
    <s v="False"/>
    <m/>
    <n v="0"/>
    <n v="175.86"/>
    <x v="0"/>
    <n v="0"/>
  </r>
  <r>
    <s v="FB000289"/>
    <x v="3"/>
    <x v="3"/>
    <x v="3"/>
    <m/>
    <x v="7"/>
    <x v="10"/>
    <n v="169.75"/>
    <x v="0"/>
    <n v="0"/>
    <n v="169.75"/>
    <n v="0"/>
    <d v="2025-08-06T00:00:00"/>
    <x v="1"/>
    <x v="1"/>
    <n v="5"/>
    <n v="2.7"/>
    <s v="Pocas Unidades"/>
    <n v="2.7"/>
    <s v="False"/>
    <m/>
    <n v="0"/>
    <n v="169.75"/>
    <x v="0"/>
    <n v="0"/>
  </r>
  <r>
    <s v="FB000290"/>
    <x v="2"/>
    <x v="4"/>
    <x v="3"/>
    <m/>
    <x v="2"/>
    <x v="0"/>
    <n v="51.77"/>
    <x v="106"/>
    <n v="0.24299999999999999"/>
    <n v="39.19"/>
    <n v="12.580000000000005"/>
    <d v="2025-08-06T00:00:00"/>
    <x v="1"/>
    <x v="1"/>
    <n v="50"/>
    <n v="3.7"/>
    <s v="Ok"/>
    <n v="3.7"/>
    <s v="False"/>
    <m/>
    <n v="0"/>
    <n v="39.19"/>
    <x v="0"/>
    <n v="0"/>
  </r>
  <r>
    <s v="FB000291"/>
    <x v="1"/>
    <x v="3"/>
    <x v="2"/>
    <s v="M"/>
    <x v="6"/>
    <x v="2"/>
    <n v="83.09"/>
    <x v="0"/>
    <n v="0"/>
    <n v="83.09"/>
    <n v="0"/>
    <d v="2025-08-06T00:00:00"/>
    <x v="1"/>
    <x v="1"/>
    <n v="22"/>
    <n v="2.2999999999999998"/>
    <s v="Ok"/>
    <n v="2.2999999999999998"/>
    <s v="False"/>
    <m/>
    <n v="0"/>
    <n v="83.09"/>
    <x v="0"/>
    <n v="0"/>
  </r>
  <r>
    <s v="FB000292"/>
    <x v="0"/>
    <x v="5"/>
    <x v="1"/>
    <s v="XS"/>
    <x v="5"/>
    <x v="9"/>
    <n v="176.1"/>
    <x v="0"/>
    <n v="0"/>
    <n v="176.1"/>
    <n v="0"/>
    <d v="2025-08-06T00:00:00"/>
    <x v="1"/>
    <x v="1"/>
    <n v="12"/>
    <n v="4.5999999999999996"/>
    <s v="Ok"/>
    <n v="4.5999999999999996"/>
    <s v="False"/>
    <m/>
    <n v="0"/>
    <n v="176.1"/>
    <x v="0"/>
    <n v="0"/>
  </r>
  <r>
    <s v="FB000293"/>
    <x v="4"/>
    <x v="3"/>
    <x v="2"/>
    <s v="M"/>
    <x v="6"/>
    <x v="5"/>
    <n v="69.11"/>
    <x v="0"/>
    <n v="0"/>
    <n v="69.11"/>
    <n v="0"/>
    <d v="2025-08-06T00:00:00"/>
    <x v="1"/>
    <x v="1"/>
    <n v="18"/>
    <n v="3.9"/>
    <s v="Ok"/>
    <n v="3.9"/>
    <s v="False"/>
    <m/>
    <n v="0"/>
    <n v="69.11"/>
    <x v="0"/>
    <n v="0"/>
  </r>
  <r>
    <s v="FB000294"/>
    <x v="3"/>
    <x v="0"/>
    <x v="0"/>
    <s v="S"/>
    <x v="3"/>
    <x v="9"/>
    <n v="117.85"/>
    <x v="0"/>
    <n v="0"/>
    <n v="117.85"/>
    <n v="0"/>
    <d v="2024-12-23T00:00:00"/>
    <x v="2"/>
    <x v="10"/>
    <n v="34"/>
    <n v="3.3"/>
    <s v="Ok"/>
    <n v="3.3"/>
    <s v="False"/>
    <m/>
    <n v="0"/>
    <n v="117.85"/>
    <x v="0"/>
    <n v="0"/>
  </r>
  <r>
    <s v="FB000295"/>
    <x v="3"/>
    <x v="2"/>
    <x v="2"/>
    <s v="M"/>
    <x v="6"/>
    <x v="9"/>
    <n v="96.17"/>
    <x v="10"/>
    <n v="0.36"/>
    <n v="61.55"/>
    <n v="34.620000000000005"/>
    <d v="2025-08-06T00:00:00"/>
    <x v="1"/>
    <x v="1"/>
    <n v="45"/>
    <n v="3.5"/>
    <s v="Ok"/>
    <n v="3.5"/>
    <s v="False"/>
    <m/>
    <n v="0"/>
    <n v="61.55"/>
    <x v="0"/>
    <n v="0"/>
  </r>
  <r>
    <s v="FB000296"/>
    <x v="3"/>
    <x v="0"/>
    <x v="0"/>
    <s v="XXL"/>
    <x v="4"/>
    <x v="0"/>
    <n v="80.14"/>
    <x v="0"/>
    <n v="0"/>
    <n v="80.14"/>
    <n v="0"/>
    <d v="2025-03-31T00:00:00"/>
    <x v="2"/>
    <x v="3"/>
    <n v="10"/>
    <n v="5"/>
    <s v="Ok"/>
    <n v="5"/>
    <s v="False"/>
    <m/>
    <n v="0"/>
    <n v="80.14"/>
    <x v="0"/>
    <n v="0"/>
  </r>
  <r>
    <s v="FB000297"/>
    <x v="2"/>
    <x v="6"/>
    <x v="3"/>
    <m/>
    <x v="2"/>
    <x v="1"/>
    <n v="55.08"/>
    <x v="74"/>
    <n v="0.13"/>
    <n v="47.92"/>
    <n v="7.1599999999999966"/>
    <d v="2025-08-06T00:00:00"/>
    <x v="1"/>
    <x v="1"/>
    <n v="17"/>
    <n v="3.9"/>
    <s v="Ok"/>
    <n v="3.9"/>
    <s v="False"/>
    <m/>
    <n v="0"/>
    <n v="47.92"/>
    <x v="0"/>
    <n v="0"/>
  </r>
  <r>
    <s v="FB000298"/>
    <x v="5"/>
    <x v="3"/>
    <x v="2"/>
    <s v="S"/>
    <x v="3"/>
    <x v="1"/>
    <n v="165.84"/>
    <x v="107"/>
    <n v="0.504"/>
    <n v="82.26"/>
    <n v="83.58"/>
    <d v="2025-08-06T00:00:00"/>
    <x v="1"/>
    <x v="1"/>
    <n v="17"/>
    <n v="3.2"/>
    <s v="Ok"/>
    <n v="3.2"/>
    <s v="True"/>
    <s v="Damaged"/>
    <n v="1"/>
    <n v="0"/>
    <x v="3"/>
    <n v="0"/>
  </r>
  <r>
    <s v="FB000299"/>
    <x v="5"/>
    <x v="6"/>
    <x v="3"/>
    <s v="XXL"/>
    <x v="4"/>
    <x v="0"/>
    <n v="82.7"/>
    <x v="0"/>
    <n v="0"/>
    <n v="82.7"/>
    <n v="0"/>
    <d v="2025-08-06T00:00:00"/>
    <x v="1"/>
    <x v="1"/>
    <n v="20"/>
    <n v="4"/>
    <s v="Ok"/>
    <n v="4"/>
    <s v="False"/>
    <m/>
    <n v="0"/>
    <n v="82.7"/>
    <x v="0"/>
    <n v="0"/>
  </r>
  <r>
    <s v="FB000300"/>
    <x v="0"/>
    <x v="2"/>
    <x v="0"/>
    <s v="S"/>
    <x v="3"/>
    <x v="9"/>
    <n v="222.86"/>
    <x v="24"/>
    <n v="6.6000000000000003E-2"/>
    <n v="208.15"/>
    <n v="14.710000000000008"/>
    <d v="2024-12-19T00:00:00"/>
    <x v="5"/>
    <x v="10"/>
    <n v="29"/>
    <n v="2.1"/>
    <s v="Ok"/>
    <n v="2.1"/>
    <s v="False"/>
    <m/>
    <n v="0"/>
    <n v="208.15"/>
    <x v="0"/>
    <n v="0"/>
  </r>
  <r>
    <s v="FB000301"/>
    <x v="1"/>
    <x v="3"/>
    <x v="1"/>
    <s v="L"/>
    <x v="1"/>
    <x v="4"/>
    <n v="107.15"/>
    <x v="0"/>
    <n v="0"/>
    <n v="107.15"/>
    <n v="0"/>
    <d v="2025-08-06T00:00:00"/>
    <x v="1"/>
    <x v="1"/>
    <n v="33"/>
    <m/>
    <s v="Ok"/>
    <s v="No valorado"/>
    <s v="True"/>
    <s v="Wrong Item"/>
    <n v="1"/>
    <n v="0"/>
    <x v="6"/>
    <n v="0"/>
  </r>
  <r>
    <s v="FB000302"/>
    <x v="3"/>
    <x v="4"/>
    <x v="2"/>
    <s v="XXL"/>
    <x v="4"/>
    <x v="4"/>
    <n v="85.54"/>
    <x v="0"/>
    <n v="0"/>
    <n v="85.54"/>
    <n v="0"/>
    <d v="2025-08-06T00:00:00"/>
    <x v="1"/>
    <x v="1"/>
    <n v="30"/>
    <m/>
    <s v="Ok"/>
    <s v="No valorado"/>
    <s v="False"/>
    <m/>
    <n v="0"/>
    <n v="85.54"/>
    <x v="0"/>
    <n v="0"/>
  </r>
  <r>
    <s v="FB000303"/>
    <x v="4"/>
    <x v="3"/>
    <x v="3"/>
    <s v="XL"/>
    <x v="0"/>
    <x v="6"/>
    <n v="34.36"/>
    <x v="108"/>
    <n v="5.4000000000000006E-2"/>
    <n v="32.5"/>
    <n v="1.8599999999999994"/>
    <d v="2025-08-06T00:00:00"/>
    <x v="1"/>
    <x v="1"/>
    <n v="49"/>
    <n v="4.5"/>
    <s v="Ok"/>
    <n v="4.5"/>
    <s v="False"/>
    <m/>
    <n v="0"/>
    <n v="32.5"/>
    <x v="0"/>
    <n v="0"/>
  </r>
  <r>
    <s v="FB000304"/>
    <x v="4"/>
    <x v="3"/>
    <x v="1"/>
    <s v="XL"/>
    <x v="0"/>
    <x v="2"/>
    <n v="111.25"/>
    <x v="109"/>
    <n v="0.42200000000000004"/>
    <n v="64.3"/>
    <n v="46.95"/>
    <d v="2025-08-06T00:00:00"/>
    <x v="1"/>
    <x v="1"/>
    <n v="34"/>
    <n v="3"/>
    <s v="Ok"/>
    <n v="3"/>
    <s v="False"/>
    <m/>
    <n v="0"/>
    <n v="64.3"/>
    <x v="0"/>
    <n v="0"/>
  </r>
  <r>
    <s v="FB000305"/>
    <x v="1"/>
    <x v="0"/>
    <x v="0"/>
    <s v="XXL"/>
    <x v="4"/>
    <x v="1"/>
    <n v="39.97"/>
    <x v="110"/>
    <n v="0.35200000000000004"/>
    <n v="25.9"/>
    <n v="14.07"/>
    <d v="2025-01-22T00:00:00"/>
    <x v="1"/>
    <x v="5"/>
    <n v="15"/>
    <n v="2.2999999999999998"/>
    <s v="Ok"/>
    <n v="2.2999999999999998"/>
    <s v="False"/>
    <m/>
    <n v="0"/>
    <n v="25.9"/>
    <x v="0"/>
    <n v="0"/>
  </r>
  <r>
    <s v="FB000306"/>
    <x v="3"/>
    <x v="7"/>
    <x v="3"/>
    <s v="M"/>
    <x v="6"/>
    <x v="3"/>
    <n v="60.34"/>
    <x v="0"/>
    <n v="0"/>
    <n v="60.34"/>
    <n v="0"/>
    <d v="2025-08-06T00:00:00"/>
    <x v="1"/>
    <x v="1"/>
    <n v="4"/>
    <m/>
    <s v="Pocas Unidades"/>
    <s v="No valorado"/>
    <s v="False"/>
    <m/>
    <n v="0"/>
    <n v="60.34"/>
    <x v="0"/>
    <n v="0"/>
  </r>
  <r>
    <s v="FB000307"/>
    <x v="2"/>
    <x v="6"/>
    <x v="3"/>
    <m/>
    <x v="2"/>
    <x v="5"/>
    <n v="17.7"/>
    <x v="0"/>
    <n v="0"/>
    <n v="17.7"/>
    <n v="0"/>
    <d v="2025-08-06T00:00:00"/>
    <x v="1"/>
    <x v="1"/>
    <n v="42"/>
    <n v="3.9"/>
    <s v="Ok"/>
    <n v="3.9"/>
    <s v="False"/>
    <m/>
    <n v="0"/>
    <n v="17.7"/>
    <x v="0"/>
    <n v="0"/>
  </r>
  <r>
    <s v="FB000308"/>
    <x v="4"/>
    <x v="3"/>
    <x v="3"/>
    <s v="M"/>
    <x v="6"/>
    <x v="3"/>
    <n v="57.88"/>
    <x v="0"/>
    <n v="0"/>
    <n v="57.88"/>
    <n v="0"/>
    <d v="2025-08-06T00:00:00"/>
    <x v="1"/>
    <x v="1"/>
    <n v="39"/>
    <n v="3"/>
    <s v="Ok"/>
    <n v="3"/>
    <s v="False"/>
    <m/>
    <n v="0"/>
    <n v="57.88"/>
    <x v="0"/>
    <n v="0"/>
  </r>
  <r>
    <s v="FB000309"/>
    <x v="1"/>
    <x v="3"/>
    <x v="3"/>
    <s v="S"/>
    <x v="3"/>
    <x v="5"/>
    <n v="25.15"/>
    <x v="0"/>
    <n v="0"/>
    <n v="25.15"/>
    <n v="0"/>
    <d v="2025-08-06T00:00:00"/>
    <x v="1"/>
    <x v="1"/>
    <n v="34"/>
    <n v="2.6"/>
    <s v="Ok"/>
    <n v="2.6"/>
    <s v="False"/>
    <m/>
    <n v="0"/>
    <n v="25.15"/>
    <x v="0"/>
    <n v="0"/>
  </r>
  <r>
    <s v="FB000310"/>
    <x v="0"/>
    <x v="3"/>
    <x v="0"/>
    <s v="L"/>
    <x v="1"/>
    <x v="9"/>
    <n v="157.44999999999999"/>
    <x v="0"/>
    <n v="0"/>
    <n v="157.44999999999999"/>
    <n v="0"/>
    <d v="2025-05-26T00:00:00"/>
    <x v="2"/>
    <x v="8"/>
    <n v="7"/>
    <n v="2.9"/>
    <s v="Pocas Unidades"/>
    <n v="2.9"/>
    <s v="False"/>
    <m/>
    <n v="0"/>
    <n v="157.44999999999999"/>
    <x v="0"/>
    <n v="0"/>
  </r>
  <r>
    <s v="FB000311"/>
    <x v="4"/>
    <x v="4"/>
    <x v="1"/>
    <s v="L"/>
    <x v="1"/>
    <x v="9"/>
    <n v="65.72"/>
    <x v="111"/>
    <n v="9.0999999999999998E-2"/>
    <n v="59.74"/>
    <n v="5.9799999999999969"/>
    <d v="2025-08-06T00:00:00"/>
    <x v="1"/>
    <x v="1"/>
    <n v="10"/>
    <n v="2.8"/>
    <s v="Ok"/>
    <n v="2.8"/>
    <s v="True"/>
    <s v="Quality Issue"/>
    <n v="1"/>
    <n v="0"/>
    <x v="4"/>
    <n v="0"/>
  </r>
  <r>
    <s v="FB000312"/>
    <x v="5"/>
    <x v="7"/>
    <x v="1"/>
    <s v="XXL"/>
    <x v="4"/>
    <x v="10"/>
    <n v="92.8"/>
    <x v="0"/>
    <n v="0"/>
    <n v="92.8"/>
    <n v="0"/>
    <d v="2025-08-06T00:00:00"/>
    <x v="1"/>
    <x v="1"/>
    <n v="25"/>
    <n v="2.5"/>
    <s v="Ok"/>
    <n v="2.5"/>
    <s v="False"/>
    <m/>
    <n v="0"/>
    <n v="92.8"/>
    <x v="0"/>
    <n v="0"/>
  </r>
  <r>
    <s v="FB000313"/>
    <x v="5"/>
    <x v="2"/>
    <x v="1"/>
    <s v="XL"/>
    <x v="0"/>
    <x v="5"/>
    <n v="88.65"/>
    <x v="0"/>
    <n v="0"/>
    <n v="88.65"/>
    <n v="0"/>
    <d v="2025-08-06T00:00:00"/>
    <x v="1"/>
    <x v="1"/>
    <n v="11"/>
    <n v="3.3"/>
    <s v="Ok"/>
    <n v="3.3"/>
    <s v="False"/>
    <m/>
    <n v="0"/>
    <n v="88.65"/>
    <x v="0"/>
    <n v="0"/>
  </r>
  <r>
    <s v="FB000314"/>
    <x v="1"/>
    <x v="0"/>
    <x v="1"/>
    <s v="XXL"/>
    <x v="4"/>
    <x v="7"/>
    <n v="47.07"/>
    <x v="112"/>
    <n v="0.57399999999999995"/>
    <n v="20.05"/>
    <n v="27.02"/>
    <d v="2025-08-06T00:00:00"/>
    <x v="1"/>
    <x v="1"/>
    <n v="24"/>
    <n v="1.3"/>
    <s v="Ok"/>
    <n v="1.3"/>
    <s v="True"/>
    <s v="Size Issue"/>
    <n v="1"/>
    <n v="0"/>
    <x v="2"/>
    <n v="0"/>
  </r>
  <r>
    <s v="FB000315"/>
    <x v="0"/>
    <x v="5"/>
    <x v="3"/>
    <s v="XS"/>
    <x v="5"/>
    <x v="0"/>
    <n v="101.75"/>
    <x v="0"/>
    <n v="0"/>
    <n v="101.75"/>
    <n v="0"/>
    <d v="2025-08-06T00:00:00"/>
    <x v="1"/>
    <x v="1"/>
    <n v="7"/>
    <n v="3.1"/>
    <s v="Pocas Unidades"/>
    <n v="3.1"/>
    <s v="False"/>
    <m/>
    <n v="0"/>
    <n v="101.75"/>
    <x v="0"/>
    <n v="0"/>
  </r>
  <r>
    <s v="FB000316"/>
    <x v="5"/>
    <x v="3"/>
    <x v="0"/>
    <s v="XS"/>
    <x v="5"/>
    <x v="5"/>
    <n v="131.08000000000001"/>
    <x v="113"/>
    <n v="7.4999999999999997E-2"/>
    <n v="121.25"/>
    <n v="9.8300000000000125"/>
    <d v="2024-12-04T00:00:00"/>
    <x v="1"/>
    <x v="10"/>
    <n v="20"/>
    <n v="4.5"/>
    <s v="Ok"/>
    <n v="4.5"/>
    <s v="True"/>
    <s v="Wrong Item"/>
    <n v="1"/>
    <n v="0"/>
    <x v="6"/>
    <n v="0"/>
  </r>
  <r>
    <s v="FB000317"/>
    <x v="1"/>
    <x v="0"/>
    <x v="2"/>
    <s v="XS"/>
    <x v="5"/>
    <x v="2"/>
    <n v="82.06"/>
    <x v="114"/>
    <n v="0.26100000000000001"/>
    <n v="60.64"/>
    <n v="21.42"/>
    <d v="2025-08-06T00:00:00"/>
    <x v="1"/>
    <x v="1"/>
    <n v="32"/>
    <n v="1.5"/>
    <s v="Ok"/>
    <n v="1.5"/>
    <s v="False"/>
    <m/>
    <n v="0"/>
    <n v="60.64"/>
    <x v="0"/>
    <n v="0"/>
  </r>
  <r>
    <s v="FB000318"/>
    <x v="5"/>
    <x v="4"/>
    <x v="3"/>
    <s v="L"/>
    <x v="1"/>
    <x v="9"/>
    <n v="66.31"/>
    <x v="0"/>
    <n v="0"/>
    <n v="66.31"/>
    <n v="0"/>
    <d v="2025-08-06T00:00:00"/>
    <x v="1"/>
    <x v="1"/>
    <n v="47"/>
    <n v="3.9"/>
    <s v="Ok"/>
    <n v="3.9"/>
    <s v="False"/>
    <m/>
    <n v="0"/>
    <n v="66.31"/>
    <x v="0"/>
    <n v="0"/>
  </r>
  <r>
    <s v="FB000319"/>
    <x v="2"/>
    <x v="1"/>
    <x v="2"/>
    <m/>
    <x v="2"/>
    <x v="6"/>
    <n v="26.03"/>
    <x v="0"/>
    <n v="0"/>
    <n v="26.03"/>
    <n v="0"/>
    <d v="2025-08-06T00:00:00"/>
    <x v="1"/>
    <x v="1"/>
    <n v="15"/>
    <n v="3.8"/>
    <s v="Ok"/>
    <n v="3.8"/>
    <s v="False"/>
    <m/>
    <n v="0"/>
    <n v="26.03"/>
    <x v="0"/>
    <n v="0"/>
  </r>
  <r>
    <s v="FB000320"/>
    <x v="3"/>
    <x v="1"/>
    <x v="0"/>
    <s v="S"/>
    <x v="3"/>
    <x v="7"/>
    <n v="152.53"/>
    <x v="0"/>
    <n v="0"/>
    <n v="152.53"/>
    <n v="0"/>
    <d v="2024-11-21T00:00:00"/>
    <x v="5"/>
    <x v="11"/>
    <n v="24"/>
    <n v="4.2"/>
    <s v="Ok"/>
    <n v="4.2"/>
    <s v="False"/>
    <m/>
    <n v="0"/>
    <n v="152.53"/>
    <x v="0"/>
    <n v="0"/>
  </r>
  <r>
    <s v="FB000321"/>
    <x v="4"/>
    <x v="3"/>
    <x v="2"/>
    <s v="S"/>
    <x v="3"/>
    <x v="7"/>
    <n v="26.16"/>
    <x v="115"/>
    <n v="0.16200000000000001"/>
    <n v="21.92"/>
    <n v="4.2399999999999984"/>
    <d v="2025-08-06T00:00:00"/>
    <x v="1"/>
    <x v="1"/>
    <n v="13"/>
    <n v="2.2999999999999998"/>
    <s v="Ok"/>
    <n v="2.2999999999999998"/>
    <s v="False"/>
    <m/>
    <n v="0"/>
    <n v="21.92"/>
    <x v="0"/>
    <n v="0"/>
  </r>
  <r>
    <s v="FB000322"/>
    <x v="5"/>
    <x v="1"/>
    <x v="1"/>
    <s v="XXL"/>
    <x v="4"/>
    <x v="5"/>
    <n v="89.17"/>
    <x v="116"/>
    <n v="0.10800000000000001"/>
    <n v="79.540000000000006"/>
    <n v="9.6299999999999955"/>
    <d v="2025-08-06T00:00:00"/>
    <x v="1"/>
    <x v="1"/>
    <n v="27"/>
    <n v="3.3"/>
    <s v="Ok"/>
    <n v="3.3"/>
    <s v="False"/>
    <m/>
    <n v="0"/>
    <n v="79.540000000000006"/>
    <x v="0"/>
    <n v="0"/>
  </r>
  <r>
    <s v="FB000323"/>
    <x v="4"/>
    <x v="4"/>
    <x v="0"/>
    <m/>
    <x v="7"/>
    <x v="3"/>
    <n v="106.37"/>
    <x v="0"/>
    <n v="0"/>
    <n v="106.37"/>
    <n v="0"/>
    <d v="2025-04-06T00:00:00"/>
    <x v="6"/>
    <x v="4"/>
    <n v="37"/>
    <n v="4.9000000000000004"/>
    <s v="Ok"/>
    <n v="4.9000000000000004"/>
    <s v="False"/>
    <m/>
    <n v="0"/>
    <n v="106.37"/>
    <x v="0"/>
    <n v="0"/>
  </r>
  <r>
    <s v="FB000324"/>
    <x v="5"/>
    <x v="3"/>
    <x v="2"/>
    <s v="XL"/>
    <x v="0"/>
    <x v="3"/>
    <n v="80.95"/>
    <x v="117"/>
    <n v="0.36799999999999999"/>
    <n v="51.16"/>
    <n v="29.790000000000006"/>
    <d v="2025-08-06T00:00:00"/>
    <x v="1"/>
    <x v="1"/>
    <n v="16"/>
    <n v="2.5"/>
    <s v="Ok"/>
    <n v="2.5"/>
    <s v="False"/>
    <m/>
    <n v="0"/>
    <n v="51.16"/>
    <x v="0"/>
    <n v="0"/>
  </r>
  <r>
    <s v="FB000325"/>
    <x v="0"/>
    <x v="2"/>
    <x v="3"/>
    <s v="M"/>
    <x v="6"/>
    <x v="8"/>
    <n v="169.84"/>
    <x v="118"/>
    <n v="0.502"/>
    <n v="84.58"/>
    <n v="85.26"/>
    <d v="2025-08-06T00:00:00"/>
    <x v="1"/>
    <x v="1"/>
    <n v="21"/>
    <n v="3"/>
    <s v="Ok"/>
    <n v="3"/>
    <s v="True"/>
    <s v="Quality Issue"/>
    <n v="1"/>
    <n v="0"/>
    <x v="4"/>
    <n v="0"/>
  </r>
  <r>
    <s v="FB000326"/>
    <x v="5"/>
    <x v="7"/>
    <x v="2"/>
    <s v="M"/>
    <x v="6"/>
    <x v="6"/>
    <n v="159.4"/>
    <x v="83"/>
    <n v="8.8000000000000009E-2"/>
    <n v="145.37"/>
    <n v="14.030000000000001"/>
    <d v="2025-08-06T00:00:00"/>
    <x v="1"/>
    <x v="1"/>
    <n v="43"/>
    <n v="4.5"/>
    <s v="Ok"/>
    <n v="4.5"/>
    <s v="False"/>
    <m/>
    <n v="0"/>
    <n v="145.37"/>
    <x v="0"/>
    <n v="0"/>
  </r>
  <r>
    <s v="FB000327"/>
    <x v="4"/>
    <x v="7"/>
    <x v="1"/>
    <s v="S"/>
    <x v="3"/>
    <x v="2"/>
    <n v="106.53"/>
    <x v="119"/>
    <n v="0.46500000000000002"/>
    <n v="56.99"/>
    <n v="49.54"/>
    <d v="2025-08-06T00:00:00"/>
    <x v="1"/>
    <x v="1"/>
    <n v="17"/>
    <m/>
    <s v="Ok"/>
    <s v="No valorado"/>
    <s v="False"/>
    <m/>
    <n v="0"/>
    <n v="56.99"/>
    <x v="0"/>
    <n v="0"/>
  </r>
  <r>
    <s v="FB000328"/>
    <x v="2"/>
    <x v="6"/>
    <x v="0"/>
    <m/>
    <x v="2"/>
    <x v="2"/>
    <n v="78.81"/>
    <x v="98"/>
    <n v="0.44700000000000001"/>
    <n v="43.58"/>
    <n v="35.230000000000004"/>
    <d v="2024-09-13T00:00:00"/>
    <x v="4"/>
    <x v="6"/>
    <n v="34"/>
    <n v="1.4"/>
    <s v="Ok"/>
    <n v="1.4"/>
    <s v="False"/>
    <m/>
    <n v="0"/>
    <n v="43.58"/>
    <x v="0"/>
    <n v="0"/>
  </r>
  <r>
    <s v="FB000329"/>
    <x v="0"/>
    <x v="1"/>
    <x v="3"/>
    <s v="XS"/>
    <x v="5"/>
    <x v="4"/>
    <n v="117.45"/>
    <x v="120"/>
    <n v="0.29499999999999998"/>
    <n v="82.8"/>
    <n v="34.650000000000006"/>
    <d v="2025-08-06T00:00:00"/>
    <x v="1"/>
    <x v="1"/>
    <n v="43"/>
    <n v="1.2"/>
    <s v="Ok"/>
    <n v="1.2"/>
    <s v="False"/>
    <m/>
    <n v="0"/>
    <n v="82.8"/>
    <x v="0"/>
    <n v="0"/>
  </r>
  <r>
    <s v="FB000330"/>
    <x v="2"/>
    <x v="6"/>
    <x v="0"/>
    <m/>
    <x v="2"/>
    <x v="7"/>
    <n v="76.94"/>
    <x v="0"/>
    <n v="0"/>
    <n v="76.94"/>
    <n v="0"/>
    <d v="2025-06-13T00:00:00"/>
    <x v="4"/>
    <x v="7"/>
    <n v="21"/>
    <n v="4.3"/>
    <s v="Ok"/>
    <n v="4.3"/>
    <s v="False"/>
    <m/>
    <n v="0"/>
    <n v="76.94"/>
    <x v="0"/>
    <n v="0"/>
  </r>
  <r>
    <s v="FB000331"/>
    <x v="0"/>
    <x v="6"/>
    <x v="3"/>
    <s v="L"/>
    <x v="1"/>
    <x v="3"/>
    <n v="232.19"/>
    <x v="0"/>
    <n v="0"/>
    <n v="232.19"/>
    <n v="0"/>
    <d v="2025-08-06T00:00:00"/>
    <x v="1"/>
    <x v="1"/>
    <n v="31"/>
    <n v="1.3"/>
    <s v="Ok"/>
    <n v="1.3"/>
    <s v="True"/>
    <s v="Changed Mind"/>
    <n v="1"/>
    <n v="0"/>
    <x v="5"/>
    <n v="0"/>
  </r>
  <r>
    <s v="FB000332"/>
    <x v="5"/>
    <x v="7"/>
    <x v="2"/>
    <s v="XS"/>
    <x v="5"/>
    <x v="8"/>
    <n v="80.400000000000006"/>
    <x v="121"/>
    <n v="0.52100000000000002"/>
    <n v="38.51"/>
    <n v="41.890000000000008"/>
    <d v="2025-08-06T00:00:00"/>
    <x v="1"/>
    <x v="1"/>
    <n v="7"/>
    <n v="1.2"/>
    <s v="Pocas Unidades"/>
    <n v="1.2"/>
    <s v="False"/>
    <m/>
    <n v="0"/>
    <n v="38.51"/>
    <x v="0"/>
    <n v="0"/>
  </r>
  <r>
    <s v="FB000333"/>
    <x v="4"/>
    <x v="3"/>
    <x v="3"/>
    <s v="XL"/>
    <x v="0"/>
    <x v="2"/>
    <n v="102.82"/>
    <x v="0"/>
    <n v="0"/>
    <n v="102.82"/>
    <n v="0"/>
    <d v="2025-08-06T00:00:00"/>
    <x v="1"/>
    <x v="1"/>
    <n v="50"/>
    <n v="3.6"/>
    <s v="Ok"/>
    <n v="3.6"/>
    <s v="False"/>
    <m/>
    <n v="0"/>
    <n v="102.82"/>
    <x v="0"/>
    <n v="0"/>
  </r>
  <r>
    <s v="FB000334"/>
    <x v="2"/>
    <x v="0"/>
    <x v="0"/>
    <m/>
    <x v="2"/>
    <x v="8"/>
    <n v="48.5"/>
    <x v="0"/>
    <n v="0"/>
    <n v="48.5"/>
    <n v="0"/>
    <d v="2025-05-09T00:00:00"/>
    <x v="4"/>
    <x v="8"/>
    <n v="46"/>
    <m/>
    <s v="Ok"/>
    <s v="No valorado"/>
    <s v="False"/>
    <m/>
    <n v="0"/>
    <n v="48.5"/>
    <x v="0"/>
    <n v="0"/>
  </r>
  <r>
    <s v="FB000335"/>
    <x v="4"/>
    <x v="3"/>
    <x v="2"/>
    <m/>
    <x v="7"/>
    <x v="1"/>
    <n v="88.4"/>
    <x v="0"/>
    <n v="0"/>
    <n v="88.4"/>
    <n v="0"/>
    <d v="2025-08-06T00:00:00"/>
    <x v="1"/>
    <x v="1"/>
    <n v="1"/>
    <n v="1.4"/>
    <s v="Pocas Unidades"/>
    <n v="1.4"/>
    <s v="False"/>
    <m/>
    <n v="0"/>
    <n v="88.4"/>
    <x v="0"/>
    <n v="0"/>
  </r>
  <r>
    <s v="FB000336"/>
    <x v="3"/>
    <x v="3"/>
    <x v="1"/>
    <s v="S"/>
    <x v="3"/>
    <x v="2"/>
    <n v="112.5"/>
    <x v="0"/>
    <n v="0"/>
    <n v="112.5"/>
    <n v="0"/>
    <d v="2025-08-06T00:00:00"/>
    <x v="1"/>
    <x v="1"/>
    <n v="11"/>
    <n v="4.3"/>
    <s v="Ok"/>
    <n v="4.3"/>
    <s v="False"/>
    <m/>
    <n v="0"/>
    <n v="112.5"/>
    <x v="0"/>
    <n v="0"/>
  </r>
  <r>
    <s v="FB000337"/>
    <x v="4"/>
    <x v="0"/>
    <x v="2"/>
    <s v="XXL"/>
    <x v="4"/>
    <x v="4"/>
    <n v="97.95"/>
    <x v="122"/>
    <n v="0.111"/>
    <n v="87.08"/>
    <n v="10.870000000000005"/>
    <d v="2025-08-06T00:00:00"/>
    <x v="1"/>
    <x v="1"/>
    <n v="25"/>
    <n v="2.4"/>
    <s v="Ok"/>
    <n v="2.4"/>
    <s v="False"/>
    <m/>
    <n v="0"/>
    <n v="87.08"/>
    <x v="0"/>
    <n v="0"/>
  </r>
  <r>
    <s v="FB000338"/>
    <x v="0"/>
    <x v="4"/>
    <x v="3"/>
    <s v="M"/>
    <x v="6"/>
    <x v="1"/>
    <n v="114.51"/>
    <x v="123"/>
    <n v="0.36899999999999999"/>
    <n v="72.260000000000005"/>
    <n v="42.25"/>
    <d v="2025-08-06T00:00:00"/>
    <x v="1"/>
    <x v="1"/>
    <n v="33"/>
    <n v="1.5"/>
    <s v="Ok"/>
    <n v="1.5"/>
    <s v="False"/>
    <m/>
    <n v="0"/>
    <n v="72.260000000000005"/>
    <x v="0"/>
    <n v="0"/>
  </r>
  <r>
    <s v="FB000339"/>
    <x v="4"/>
    <x v="0"/>
    <x v="1"/>
    <s v="XS"/>
    <x v="5"/>
    <x v="10"/>
    <n v="27.85"/>
    <x v="0"/>
    <n v="0"/>
    <n v="27.85"/>
    <n v="0"/>
    <d v="2025-08-06T00:00:00"/>
    <x v="1"/>
    <x v="1"/>
    <n v="0"/>
    <n v="1.5"/>
    <s v="Agotado"/>
    <n v="1.5"/>
    <s v="False"/>
    <m/>
    <n v="0"/>
    <n v="27.85"/>
    <x v="0"/>
    <n v="0"/>
  </r>
  <r>
    <s v="FB000340"/>
    <x v="3"/>
    <x v="5"/>
    <x v="0"/>
    <s v="XL"/>
    <x v="0"/>
    <x v="5"/>
    <n v="82.08"/>
    <x v="64"/>
    <n v="0.40600000000000003"/>
    <n v="48.76"/>
    <n v="33.32"/>
    <d v="2025-05-23T00:00:00"/>
    <x v="4"/>
    <x v="8"/>
    <n v="43"/>
    <n v="2.5"/>
    <s v="Ok"/>
    <n v="2.5"/>
    <s v="True"/>
    <s v="Quality Issue"/>
    <n v="1"/>
    <n v="0"/>
    <x v="4"/>
    <n v="0"/>
  </r>
  <r>
    <s v="FB000341"/>
    <x v="4"/>
    <x v="3"/>
    <x v="3"/>
    <s v="S"/>
    <x v="3"/>
    <x v="2"/>
    <n v="116.41"/>
    <x v="124"/>
    <n v="0.40700000000000003"/>
    <n v="69.03"/>
    <n v="47.379999999999995"/>
    <d v="2025-08-06T00:00:00"/>
    <x v="1"/>
    <x v="1"/>
    <n v="23"/>
    <n v="1.2"/>
    <s v="Ok"/>
    <n v="1.2"/>
    <s v="False"/>
    <m/>
    <n v="0"/>
    <n v="69.03"/>
    <x v="0"/>
    <n v="0"/>
  </r>
  <r>
    <s v="FB000342"/>
    <x v="4"/>
    <x v="5"/>
    <x v="0"/>
    <s v="M"/>
    <x v="6"/>
    <x v="3"/>
    <n v="95.61"/>
    <x v="0"/>
    <n v="0"/>
    <n v="95.61"/>
    <n v="0"/>
    <d v="2025-06-10T00:00:00"/>
    <x v="3"/>
    <x v="7"/>
    <n v="47"/>
    <n v="4.7"/>
    <s v="Ok"/>
    <n v="4.7"/>
    <s v="True"/>
    <s v="Quality Issue"/>
    <n v="1"/>
    <n v="0"/>
    <x v="4"/>
    <n v="0"/>
  </r>
  <r>
    <s v="FB000343"/>
    <x v="3"/>
    <x v="3"/>
    <x v="2"/>
    <s v="M"/>
    <x v="6"/>
    <x v="3"/>
    <n v="70.040000000000006"/>
    <x v="0"/>
    <n v="0"/>
    <n v="70.040000000000006"/>
    <n v="0"/>
    <d v="2025-08-06T00:00:00"/>
    <x v="1"/>
    <x v="1"/>
    <n v="12"/>
    <n v="2.4"/>
    <s v="Ok"/>
    <n v="2.4"/>
    <s v="False"/>
    <m/>
    <n v="0"/>
    <n v="70.040000000000006"/>
    <x v="0"/>
    <n v="0"/>
  </r>
  <r>
    <s v="FB000344"/>
    <x v="3"/>
    <x v="2"/>
    <x v="1"/>
    <s v="S"/>
    <x v="3"/>
    <x v="4"/>
    <n v="112.59"/>
    <x v="125"/>
    <n v="0.54"/>
    <n v="51.79"/>
    <n v="60.800000000000004"/>
    <d v="2025-08-06T00:00:00"/>
    <x v="1"/>
    <x v="1"/>
    <n v="17"/>
    <n v="4"/>
    <s v="Ok"/>
    <n v="4"/>
    <s v="False"/>
    <m/>
    <n v="0"/>
    <n v="51.79"/>
    <x v="0"/>
    <n v="0"/>
  </r>
  <r>
    <s v="FB000345"/>
    <x v="2"/>
    <x v="0"/>
    <x v="3"/>
    <m/>
    <x v="2"/>
    <x v="9"/>
    <n v="26.8"/>
    <x v="126"/>
    <n v="9.0000000000000011E-3"/>
    <n v="26.56"/>
    <n v="0.24000000000000199"/>
    <d v="2025-08-06T00:00:00"/>
    <x v="1"/>
    <x v="1"/>
    <n v="25"/>
    <n v="1.2"/>
    <s v="Ok"/>
    <n v="1.2"/>
    <s v="True"/>
    <s v="Color Mismatch"/>
    <n v="1"/>
    <n v="0"/>
    <x v="1"/>
    <n v="0"/>
  </r>
  <r>
    <s v="FB000346"/>
    <x v="1"/>
    <x v="4"/>
    <x v="3"/>
    <s v="L"/>
    <x v="1"/>
    <x v="5"/>
    <n v="50.09"/>
    <x v="0"/>
    <n v="0"/>
    <n v="50.09"/>
    <n v="0"/>
    <d v="2025-08-06T00:00:00"/>
    <x v="1"/>
    <x v="1"/>
    <n v="47"/>
    <n v="4"/>
    <s v="Ok"/>
    <n v="4"/>
    <s v="False"/>
    <m/>
    <n v="0"/>
    <n v="50.09"/>
    <x v="0"/>
    <n v="0"/>
  </r>
  <r>
    <s v="FB000347"/>
    <x v="4"/>
    <x v="3"/>
    <x v="0"/>
    <s v="XS"/>
    <x v="5"/>
    <x v="6"/>
    <n v="92.84"/>
    <x v="127"/>
    <n v="4.2000000000000003E-2"/>
    <n v="88.94"/>
    <n v="3.9000000000000057"/>
    <d v="2025-01-13T00:00:00"/>
    <x v="2"/>
    <x v="5"/>
    <n v="0"/>
    <m/>
    <s v="Agotado"/>
    <s v="No valorado"/>
    <s v="True"/>
    <s v="Size Issue"/>
    <n v="1"/>
    <n v="0"/>
    <x v="2"/>
    <n v="0"/>
  </r>
  <r>
    <s v="FB000348"/>
    <x v="1"/>
    <x v="1"/>
    <x v="3"/>
    <s v="XXL"/>
    <x v="4"/>
    <x v="4"/>
    <n v="114.63"/>
    <x v="0"/>
    <n v="0"/>
    <n v="114.63"/>
    <n v="0"/>
    <d v="2025-08-06T00:00:00"/>
    <x v="1"/>
    <x v="1"/>
    <n v="47"/>
    <n v="3.8"/>
    <s v="Ok"/>
    <n v="3.8"/>
    <s v="True"/>
    <s v="Changed Mind"/>
    <n v="1"/>
    <n v="0"/>
    <x v="5"/>
    <n v="0"/>
  </r>
  <r>
    <s v="FB000349"/>
    <x v="2"/>
    <x v="6"/>
    <x v="3"/>
    <m/>
    <x v="2"/>
    <x v="9"/>
    <n v="21.9"/>
    <x v="128"/>
    <n v="0.29199999999999998"/>
    <n v="15.51"/>
    <n v="6.3899999999999988"/>
    <d v="2025-08-06T00:00:00"/>
    <x v="1"/>
    <x v="1"/>
    <n v="35"/>
    <n v="2"/>
    <s v="Ok"/>
    <n v="2"/>
    <s v="False"/>
    <m/>
    <n v="0"/>
    <n v="15.51"/>
    <x v="0"/>
    <n v="0"/>
  </r>
  <r>
    <s v="FB000350"/>
    <x v="5"/>
    <x v="0"/>
    <x v="0"/>
    <s v="XS"/>
    <x v="5"/>
    <x v="8"/>
    <n v="100.55"/>
    <x v="129"/>
    <n v="0.46700000000000003"/>
    <n v="53.59"/>
    <n v="46.959999999999994"/>
    <d v="2025-02-01T00:00:00"/>
    <x v="0"/>
    <x v="9"/>
    <n v="30"/>
    <m/>
    <s v="Ok"/>
    <s v="No valorado"/>
    <s v="False"/>
    <m/>
    <n v="0"/>
    <n v="53.59"/>
    <x v="0"/>
    <n v="0"/>
  </r>
  <r>
    <s v="FB000351"/>
    <x v="2"/>
    <x v="7"/>
    <x v="3"/>
    <m/>
    <x v="2"/>
    <x v="10"/>
    <n v="47.45"/>
    <x v="130"/>
    <n v="0.16399999999999998"/>
    <n v="39.67"/>
    <n v="7.7800000000000011"/>
    <d v="2025-08-06T00:00:00"/>
    <x v="1"/>
    <x v="1"/>
    <n v="33"/>
    <n v="1.7"/>
    <s v="Ok"/>
    <n v="1.7"/>
    <s v="False"/>
    <m/>
    <n v="0"/>
    <n v="39.67"/>
    <x v="0"/>
    <n v="0"/>
  </r>
  <r>
    <s v="FB000352"/>
    <x v="4"/>
    <x v="4"/>
    <x v="3"/>
    <s v="XL"/>
    <x v="0"/>
    <x v="10"/>
    <n v="113.21"/>
    <x v="0"/>
    <n v="0"/>
    <n v="113.21"/>
    <n v="0"/>
    <d v="2025-08-06T00:00:00"/>
    <x v="1"/>
    <x v="1"/>
    <n v="8"/>
    <n v="2.7"/>
    <s v="Pocas Unidades"/>
    <n v="2.7"/>
    <s v="False"/>
    <m/>
    <n v="0"/>
    <n v="113.21"/>
    <x v="0"/>
    <n v="0"/>
  </r>
  <r>
    <s v="FB000353"/>
    <x v="5"/>
    <x v="2"/>
    <x v="0"/>
    <s v="XS"/>
    <x v="5"/>
    <x v="2"/>
    <n v="163.27000000000001"/>
    <x v="0"/>
    <n v="0"/>
    <n v="163.27000000000001"/>
    <n v="0"/>
    <d v="2025-04-23T00:00:00"/>
    <x v="1"/>
    <x v="4"/>
    <n v="24"/>
    <n v="2.5"/>
    <s v="Ok"/>
    <n v="2.5"/>
    <s v="False"/>
    <m/>
    <n v="0"/>
    <n v="163.27000000000001"/>
    <x v="0"/>
    <n v="0"/>
  </r>
  <r>
    <s v="FB000354"/>
    <x v="2"/>
    <x v="1"/>
    <x v="2"/>
    <m/>
    <x v="2"/>
    <x v="2"/>
    <n v="44.58"/>
    <x v="0"/>
    <n v="0"/>
    <n v="44.58"/>
    <n v="0"/>
    <d v="2025-08-06T00:00:00"/>
    <x v="1"/>
    <x v="1"/>
    <n v="21"/>
    <m/>
    <s v="Ok"/>
    <s v="No valorado"/>
    <s v="False"/>
    <m/>
    <n v="0"/>
    <n v="44.58"/>
    <x v="0"/>
    <n v="0"/>
  </r>
  <r>
    <s v="FB000355"/>
    <x v="5"/>
    <x v="7"/>
    <x v="3"/>
    <s v="L"/>
    <x v="1"/>
    <x v="0"/>
    <n v="166.53"/>
    <x v="0"/>
    <n v="0"/>
    <n v="166.53"/>
    <n v="0"/>
    <d v="2025-08-06T00:00:00"/>
    <x v="1"/>
    <x v="1"/>
    <n v="28"/>
    <n v="1.7"/>
    <s v="Ok"/>
    <n v="1.7"/>
    <s v="False"/>
    <m/>
    <n v="0"/>
    <n v="166.53"/>
    <x v="0"/>
    <n v="0"/>
  </r>
  <r>
    <s v="FB000356"/>
    <x v="3"/>
    <x v="2"/>
    <x v="3"/>
    <s v="XL"/>
    <x v="0"/>
    <x v="1"/>
    <n v="144.61000000000001"/>
    <x v="0"/>
    <n v="0"/>
    <n v="144.61000000000001"/>
    <n v="0"/>
    <d v="2025-08-06T00:00:00"/>
    <x v="1"/>
    <x v="1"/>
    <n v="21"/>
    <n v="2.5"/>
    <s v="Ok"/>
    <n v="2.5"/>
    <s v="False"/>
    <m/>
    <n v="0"/>
    <n v="144.61000000000001"/>
    <x v="0"/>
    <n v="0"/>
  </r>
  <r>
    <s v="FB000357"/>
    <x v="2"/>
    <x v="3"/>
    <x v="2"/>
    <m/>
    <x v="2"/>
    <x v="8"/>
    <n v="31"/>
    <x v="0"/>
    <n v="0"/>
    <n v="31"/>
    <n v="0"/>
    <d v="2025-08-06T00:00:00"/>
    <x v="1"/>
    <x v="1"/>
    <n v="29"/>
    <n v="1.9"/>
    <s v="Ok"/>
    <n v="1.9"/>
    <s v="False"/>
    <m/>
    <n v="0"/>
    <n v="31"/>
    <x v="0"/>
    <n v="0"/>
  </r>
  <r>
    <s v="FB000358"/>
    <x v="2"/>
    <x v="7"/>
    <x v="1"/>
    <m/>
    <x v="2"/>
    <x v="1"/>
    <n v="68.569999999999993"/>
    <x v="62"/>
    <n v="0.29399999999999998"/>
    <n v="48.41"/>
    <n v="20.159999999999997"/>
    <d v="2025-08-06T00:00:00"/>
    <x v="1"/>
    <x v="1"/>
    <n v="4"/>
    <n v="3.5"/>
    <s v="Pocas Unidades"/>
    <n v="3.5"/>
    <s v="False"/>
    <m/>
    <n v="0"/>
    <n v="48.41"/>
    <x v="0"/>
    <n v="0"/>
  </r>
  <r>
    <s v="FB000359"/>
    <x v="5"/>
    <x v="7"/>
    <x v="3"/>
    <s v="L"/>
    <x v="1"/>
    <x v="0"/>
    <n v="73.040000000000006"/>
    <x v="131"/>
    <n v="0.56499999999999995"/>
    <n v="31.77"/>
    <n v="41.27000000000001"/>
    <d v="2025-08-06T00:00:00"/>
    <x v="1"/>
    <x v="1"/>
    <n v="15"/>
    <n v="3"/>
    <s v="Ok"/>
    <n v="3"/>
    <s v="True"/>
    <s v="Changed Mind"/>
    <n v="1"/>
    <n v="0"/>
    <x v="5"/>
    <n v="0"/>
  </r>
  <r>
    <s v="FB000360"/>
    <x v="1"/>
    <x v="4"/>
    <x v="0"/>
    <s v="L"/>
    <x v="1"/>
    <x v="9"/>
    <n v="95.19"/>
    <x v="0"/>
    <n v="0"/>
    <n v="95.19"/>
    <n v="0"/>
    <d v="2025-02-09T00:00:00"/>
    <x v="6"/>
    <x v="9"/>
    <n v="13"/>
    <n v="4.0999999999999996"/>
    <s v="Ok"/>
    <n v="4.0999999999999996"/>
    <s v="False"/>
    <m/>
    <n v="0"/>
    <n v="95.19"/>
    <x v="0"/>
    <n v="0"/>
  </r>
  <r>
    <s v="FB000361"/>
    <x v="1"/>
    <x v="6"/>
    <x v="1"/>
    <s v="XS"/>
    <x v="5"/>
    <x v="9"/>
    <n v="104.94"/>
    <x v="0"/>
    <n v="0"/>
    <n v="104.94"/>
    <n v="0"/>
    <d v="2025-08-06T00:00:00"/>
    <x v="1"/>
    <x v="1"/>
    <n v="42"/>
    <n v="2"/>
    <s v="Ok"/>
    <n v="2"/>
    <s v="False"/>
    <m/>
    <n v="0"/>
    <n v="104.94"/>
    <x v="0"/>
    <n v="0"/>
  </r>
  <r>
    <s v="FB000362"/>
    <x v="4"/>
    <x v="6"/>
    <x v="0"/>
    <s v="XXL"/>
    <x v="4"/>
    <x v="7"/>
    <n v="97.29"/>
    <x v="0"/>
    <n v="0"/>
    <n v="97.29"/>
    <n v="0"/>
    <d v="2025-07-29T00:00:00"/>
    <x v="3"/>
    <x v="0"/>
    <n v="42"/>
    <n v="4.5"/>
    <s v="Ok"/>
    <n v="4.5"/>
    <s v="False"/>
    <m/>
    <n v="0"/>
    <n v="97.29"/>
    <x v="0"/>
    <n v="0"/>
  </r>
  <r>
    <s v="FB000363"/>
    <x v="3"/>
    <x v="3"/>
    <x v="1"/>
    <s v="L"/>
    <x v="1"/>
    <x v="3"/>
    <n v="83.05"/>
    <x v="69"/>
    <n v="0.39799999999999996"/>
    <n v="50"/>
    <n v="33.049999999999997"/>
    <d v="2025-08-06T00:00:00"/>
    <x v="1"/>
    <x v="1"/>
    <n v="5"/>
    <n v="3.4"/>
    <s v="Pocas Unidades"/>
    <n v="3.4"/>
    <s v="False"/>
    <m/>
    <n v="0"/>
    <n v="50"/>
    <x v="0"/>
    <n v="0"/>
  </r>
  <r>
    <s v="FB000364"/>
    <x v="0"/>
    <x v="1"/>
    <x v="2"/>
    <s v="S"/>
    <x v="3"/>
    <x v="7"/>
    <n v="86.13"/>
    <x v="0"/>
    <n v="0"/>
    <n v="86.13"/>
    <n v="0"/>
    <d v="2025-08-06T00:00:00"/>
    <x v="1"/>
    <x v="1"/>
    <n v="28"/>
    <n v="2.7"/>
    <s v="Ok"/>
    <n v="2.7"/>
    <s v="False"/>
    <m/>
    <n v="0"/>
    <n v="86.13"/>
    <x v="0"/>
    <n v="0"/>
  </r>
  <r>
    <s v="FB000365"/>
    <x v="4"/>
    <x v="2"/>
    <x v="3"/>
    <s v="S"/>
    <x v="3"/>
    <x v="3"/>
    <n v="104.13"/>
    <x v="132"/>
    <n v="0.28699999999999998"/>
    <n v="74.239999999999995"/>
    <n v="29.89"/>
    <d v="2025-08-06T00:00:00"/>
    <x v="1"/>
    <x v="1"/>
    <n v="23"/>
    <n v="3.1"/>
    <s v="Ok"/>
    <n v="3.1"/>
    <s v="False"/>
    <m/>
    <n v="0"/>
    <n v="74.239999999999995"/>
    <x v="0"/>
    <n v="0"/>
  </r>
  <r>
    <s v="FB000366"/>
    <x v="2"/>
    <x v="1"/>
    <x v="2"/>
    <m/>
    <x v="2"/>
    <x v="6"/>
    <n v="41.7"/>
    <x v="0"/>
    <n v="0"/>
    <n v="41.7"/>
    <n v="0"/>
    <d v="2025-08-06T00:00:00"/>
    <x v="1"/>
    <x v="1"/>
    <n v="18"/>
    <n v="3.2"/>
    <s v="Ok"/>
    <n v="3.2"/>
    <s v="False"/>
    <m/>
    <n v="0"/>
    <n v="41.7"/>
    <x v="0"/>
    <n v="0"/>
  </r>
  <r>
    <s v="FB000367"/>
    <x v="0"/>
    <x v="2"/>
    <x v="0"/>
    <s v="L"/>
    <x v="1"/>
    <x v="3"/>
    <n v="80.11"/>
    <x v="0"/>
    <n v="0"/>
    <n v="80.11"/>
    <n v="0"/>
    <d v="2025-04-16T00:00:00"/>
    <x v="1"/>
    <x v="4"/>
    <n v="34"/>
    <n v="1.8"/>
    <s v="Ok"/>
    <n v="1.8"/>
    <s v="False"/>
    <m/>
    <n v="0"/>
    <n v="80.11"/>
    <x v="0"/>
    <n v="0"/>
  </r>
  <r>
    <s v="FB000368"/>
    <x v="1"/>
    <x v="5"/>
    <x v="2"/>
    <s v="L"/>
    <x v="1"/>
    <x v="3"/>
    <n v="97.84"/>
    <x v="0"/>
    <n v="0"/>
    <n v="97.84"/>
    <n v="0"/>
    <d v="2025-08-06T00:00:00"/>
    <x v="1"/>
    <x v="1"/>
    <n v="16"/>
    <m/>
    <s v="Ok"/>
    <s v="No valorado"/>
    <s v="False"/>
    <m/>
    <n v="0"/>
    <n v="97.84"/>
    <x v="0"/>
    <n v="0"/>
  </r>
  <r>
    <s v="FB000369"/>
    <x v="4"/>
    <x v="6"/>
    <x v="2"/>
    <s v="XL"/>
    <x v="0"/>
    <x v="7"/>
    <n v="77.37"/>
    <x v="110"/>
    <n v="0.35200000000000004"/>
    <n v="50.14"/>
    <n v="27.230000000000004"/>
    <d v="2025-08-06T00:00:00"/>
    <x v="1"/>
    <x v="1"/>
    <n v="14"/>
    <n v="2.2999999999999998"/>
    <s v="Ok"/>
    <n v="2.2999999999999998"/>
    <s v="False"/>
    <m/>
    <n v="0"/>
    <n v="50.14"/>
    <x v="0"/>
    <n v="0"/>
  </r>
  <r>
    <s v="FB000370"/>
    <x v="2"/>
    <x v="4"/>
    <x v="2"/>
    <m/>
    <x v="2"/>
    <x v="0"/>
    <n v="36.35"/>
    <x v="133"/>
    <n v="0.376"/>
    <n v="22.68"/>
    <n v="13.670000000000002"/>
    <d v="2025-08-06T00:00:00"/>
    <x v="1"/>
    <x v="1"/>
    <n v="49"/>
    <n v="4"/>
    <s v="Ok"/>
    <n v="4"/>
    <s v="True"/>
    <s v="Changed Mind"/>
    <n v="1"/>
    <n v="0"/>
    <x v="5"/>
    <n v="0"/>
  </r>
  <r>
    <s v="FB000371"/>
    <x v="0"/>
    <x v="2"/>
    <x v="1"/>
    <s v="XXL"/>
    <x v="4"/>
    <x v="6"/>
    <n v="181.04"/>
    <x v="134"/>
    <n v="0.20199999999999999"/>
    <n v="144.47"/>
    <n v="36.569999999999993"/>
    <d v="2025-08-06T00:00:00"/>
    <x v="1"/>
    <x v="1"/>
    <n v="17"/>
    <m/>
    <s v="Ok"/>
    <s v="No valorado"/>
    <s v="True"/>
    <s v="Size Issue"/>
    <n v="1"/>
    <n v="0"/>
    <x v="2"/>
    <n v="0"/>
  </r>
  <r>
    <s v="FB000372"/>
    <x v="0"/>
    <x v="0"/>
    <x v="0"/>
    <s v="XL"/>
    <x v="0"/>
    <x v="2"/>
    <n v="158.37"/>
    <x v="0"/>
    <n v="0"/>
    <n v="158.37"/>
    <n v="0"/>
    <d v="2025-02-15T00:00:00"/>
    <x v="0"/>
    <x v="9"/>
    <n v="33"/>
    <m/>
    <s v="Ok"/>
    <s v="No valorado"/>
    <s v="False"/>
    <m/>
    <n v="0"/>
    <n v="158.37"/>
    <x v="0"/>
    <n v="0"/>
  </r>
  <r>
    <s v="FB000373"/>
    <x v="3"/>
    <x v="7"/>
    <x v="3"/>
    <s v="XXL"/>
    <x v="4"/>
    <x v="9"/>
    <n v="91.98"/>
    <x v="0"/>
    <n v="0"/>
    <n v="91.98"/>
    <n v="0"/>
    <d v="2025-08-06T00:00:00"/>
    <x v="1"/>
    <x v="1"/>
    <n v="48"/>
    <n v="3.9"/>
    <s v="Ok"/>
    <n v="3.9"/>
    <s v="False"/>
    <m/>
    <n v="0"/>
    <n v="91.98"/>
    <x v="0"/>
    <n v="0"/>
  </r>
  <r>
    <s v="FB000374"/>
    <x v="3"/>
    <x v="0"/>
    <x v="1"/>
    <s v="S"/>
    <x v="3"/>
    <x v="10"/>
    <n v="140.29"/>
    <x v="38"/>
    <n v="0.55299999999999994"/>
    <n v="62.71"/>
    <n v="77.579999999999984"/>
    <d v="2025-08-06T00:00:00"/>
    <x v="1"/>
    <x v="1"/>
    <n v="5"/>
    <n v="4.4000000000000004"/>
    <s v="Pocas Unidades"/>
    <n v="4.4000000000000004"/>
    <s v="False"/>
    <m/>
    <n v="0"/>
    <n v="62.71"/>
    <x v="0"/>
    <n v="0"/>
  </r>
  <r>
    <s v="FB000375"/>
    <x v="1"/>
    <x v="1"/>
    <x v="0"/>
    <s v="XL"/>
    <x v="0"/>
    <x v="0"/>
    <n v="26.01"/>
    <x v="0"/>
    <n v="0"/>
    <n v="26.01"/>
    <n v="0"/>
    <d v="2025-02-23T00:00:00"/>
    <x v="6"/>
    <x v="9"/>
    <n v="9"/>
    <n v="4"/>
    <s v="Pocas Unidades"/>
    <n v="4"/>
    <s v="False"/>
    <m/>
    <n v="0"/>
    <n v="26.01"/>
    <x v="0"/>
    <n v="0"/>
  </r>
  <r>
    <s v="FB000376"/>
    <x v="1"/>
    <x v="7"/>
    <x v="1"/>
    <s v="XL"/>
    <x v="0"/>
    <x v="5"/>
    <n v="51.06"/>
    <x v="29"/>
    <n v="9.5000000000000001E-2"/>
    <n v="46.21"/>
    <n v="4.8500000000000014"/>
    <d v="2025-08-06T00:00:00"/>
    <x v="1"/>
    <x v="1"/>
    <n v="34"/>
    <n v="1.1000000000000001"/>
    <s v="Ok"/>
    <n v="1.1000000000000001"/>
    <s v="False"/>
    <m/>
    <n v="0"/>
    <n v="46.21"/>
    <x v="0"/>
    <n v="0"/>
  </r>
  <r>
    <s v="FB000377"/>
    <x v="0"/>
    <x v="6"/>
    <x v="2"/>
    <s v="XS"/>
    <x v="5"/>
    <x v="0"/>
    <n v="132.91999999999999"/>
    <x v="0"/>
    <n v="0"/>
    <n v="132.91999999999999"/>
    <n v="0"/>
    <d v="2025-08-06T00:00:00"/>
    <x v="1"/>
    <x v="1"/>
    <n v="36"/>
    <n v="1.2"/>
    <s v="Ok"/>
    <n v="1.2"/>
    <s v="False"/>
    <m/>
    <n v="0"/>
    <n v="132.91999999999999"/>
    <x v="0"/>
    <n v="0"/>
  </r>
  <r>
    <s v="FB000378"/>
    <x v="2"/>
    <x v="6"/>
    <x v="2"/>
    <m/>
    <x v="2"/>
    <x v="9"/>
    <n v="16.57"/>
    <x v="0"/>
    <n v="0"/>
    <n v="16.57"/>
    <n v="0"/>
    <d v="2025-08-06T00:00:00"/>
    <x v="1"/>
    <x v="1"/>
    <n v="17"/>
    <m/>
    <s v="Ok"/>
    <s v="No valorado"/>
    <s v="False"/>
    <m/>
    <n v="0"/>
    <n v="16.57"/>
    <x v="0"/>
    <n v="0"/>
  </r>
  <r>
    <s v="FB000379"/>
    <x v="4"/>
    <x v="7"/>
    <x v="1"/>
    <s v="XS"/>
    <x v="5"/>
    <x v="2"/>
    <n v="78.599999999999994"/>
    <x v="135"/>
    <n v="0.45799999999999996"/>
    <n v="42.6"/>
    <n v="35.999999999999993"/>
    <d v="2025-08-06T00:00:00"/>
    <x v="1"/>
    <x v="1"/>
    <n v="6"/>
    <n v="2.7"/>
    <s v="Pocas Unidades"/>
    <n v="2.7"/>
    <s v="False"/>
    <m/>
    <n v="0"/>
    <n v="42.6"/>
    <x v="0"/>
    <n v="0"/>
  </r>
  <r>
    <s v="FB000380"/>
    <x v="2"/>
    <x v="3"/>
    <x v="3"/>
    <m/>
    <x v="2"/>
    <x v="10"/>
    <n v="69.38"/>
    <x v="0"/>
    <n v="0"/>
    <n v="69.38"/>
    <n v="0"/>
    <d v="2025-08-06T00:00:00"/>
    <x v="1"/>
    <x v="1"/>
    <n v="43"/>
    <n v="2.4"/>
    <s v="Ok"/>
    <n v="2.4"/>
    <s v="False"/>
    <m/>
    <n v="0"/>
    <n v="69.38"/>
    <x v="0"/>
    <n v="0"/>
  </r>
  <r>
    <s v="FB000381"/>
    <x v="2"/>
    <x v="3"/>
    <x v="2"/>
    <m/>
    <x v="2"/>
    <x v="1"/>
    <n v="23.58"/>
    <x v="0"/>
    <n v="0"/>
    <n v="23.58"/>
    <n v="0"/>
    <d v="2025-08-06T00:00:00"/>
    <x v="1"/>
    <x v="1"/>
    <n v="16"/>
    <n v="1.3"/>
    <s v="Ok"/>
    <n v="1.3"/>
    <s v="False"/>
    <m/>
    <n v="0"/>
    <n v="23.58"/>
    <x v="0"/>
    <n v="0"/>
  </r>
  <r>
    <s v="FB000382"/>
    <x v="1"/>
    <x v="4"/>
    <x v="0"/>
    <s v="XS"/>
    <x v="5"/>
    <x v="8"/>
    <n v="119.91"/>
    <x v="136"/>
    <n v="0.27800000000000002"/>
    <n v="86.58"/>
    <n v="33.33"/>
    <d v="2024-09-28T00:00:00"/>
    <x v="0"/>
    <x v="6"/>
    <n v="12"/>
    <n v="1.7"/>
    <s v="Ok"/>
    <n v="1.7"/>
    <s v="False"/>
    <m/>
    <n v="0"/>
    <n v="86.58"/>
    <x v="0"/>
    <n v="0"/>
  </r>
  <r>
    <s v="FB000383"/>
    <x v="0"/>
    <x v="4"/>
    <x v="3"/>
    <s v="M"/>
    <x v="6"/>
    <x v="2"/>
    <n v="111.05"/>
    <x v="87"/>
    <n v="1.3999999999999999E-2"/>
    <n v="109.5"/>
    <n v="1.5499999999999972"/>
    <d v="2025-08-06T00:00:00"/>
    <x v="1"/>
    <x v="1"/>
    <n v="7"/>
    <n v="2.8"/>
    <s v="Pocas Unidades"/>
    <n v="2.8"/>
    <s v="False"/>
    <m/>
    <n v="0"/>
    <n v="109.5"/>
    <x v="0"/>
    <n v="0"/>
  </r>
  <r>
    <s v="FB000384"/>
    <x v="2"/>
    <x v="2"/>
    <x v="3"/>
    <m/>
    <x v="2"/>
    <x v="4"/>
    <n v="60.22"/>
    <x v="0"/>
    <n v="0"/>
    <n v="60.22"/>
    <n v="0"/>
    <d v="2025-08-06T00:00:00"/>
    <x v="1"/>
    <x v="1"/>
    <n v="6"/>
    <n v="2.1"/>
    <s v="Pocas Unidades"/>
    <n v="2.1"/>
    <s v="False"/>
    <m/>
    <n v="0"/>
    <n v="60.22"/>
    <x v="0"/>
    <n v="0"/>
  </r>
  <r>
    <s v="FB000385"/>
    <x v="0"/>
    <x v="6"/>
    <x v="1"/>
    <s v="M"/>
    <x v="6"/>
    <x v="8"/>
    <n v="133.52000000000001"/>
    <x v="0"/>
    <n v="0"/>
    <n v="133.52000000000001"/>
    <n v="0"/>
    <d v="2025-08-06T00:00:00"/>
    <x v="1"/>
    <x v="1"/>
    <n v="27"/>
    <n v="3.6"/>
    <s v="Ok"/>
    <n v="3.6"/>
    <s v="False"/>
    <m/>
    <n v="0"/>
    <n v="133.52000000000001"/>
    <x v="0"/>
    <n v="0"/>
  </r>
  <r>
    <s v="FB000386"/>
    <x v="5"/>
    <x v="2"/>
    <x v="0"/>
    <s v="XL"/>
    <x v="0"/>
    <x v="10"/>
    <n v="54.97"/>
    <x v="137"/>
    <n v="0.496"/>
    <n v="27.7"/>
    <n v="27.27"/>
    <d v="2024-10-08T00:00:00"/>
    <x v="3"/>
    <x v="2"/>
    <n v="48"/>
    <n v="4.5"/>
    <s v="Ok"/>
    <n v="4.5"/>
    <s v="False"/>
    <m/>
    <n v="0"/>
    <n v="27.7"/>
    <x v="0"/>
    <n v="0"/>
  </r>
  <r>
    <s v="FB000387"/>
    <x v="1"/>
    <x v="1"/>
    <x v="1"/>
    <s v="L"/>
    <x v="1"/>
    <x v="3"/>
    <n v="85.94"/>
    <x v="0"/>
    <n v="0"/>
    <n v="85.94"/>
    <n v="0"/>
    <d v="2025-08-06T00:00:00"/>
    <x v="1"/>
    <x v="1"/>
    <n v="42"/>
    <n v="4.3"/>
    <s v="Ok"/>
    <n v="4.3"/>
    <s v="False"/>
    <m/>
    <n v="0"/>
    <n v="85.94"/>
    <x v="0"/>
    <n v="0"/>
  </r>
  <r>
    <s v="FB000388"/>
    <x v="2"/>
    <x v="4"/>
    <x v="2"/>
    <m/>
    <x v="2"/>
    <x v="2"/>
    <n v="24.64"/>
    <x v="0"/>
    <n v="0"/>
    <n v="24.64"/>
    <n v="0"/>
    <d v="2025-08-06T00:00:00"/>
    <x v="1"/>
    <x v="1"/>
    <n v="6"/>
    <n v="4.4000000000000004"/>
    <s v="Pocas Unidades"/>
    <n v="4.4000000000000004"/>
    <s v="False"/>
    <m/>
    <n v="0"/>
    <n v="24.64"/>
    <x v="0"/>
    <n v="0"/>
  </r>
  <r>
    <s v="FB000389"/>
    <x v="2"/>
    <x v="2"/>
    <x v="0"/>
    <m/>
    <x v="2"/>
    <x v="5"/>
    <n v="28.82"/>
    <x v="0"/>
    <n v="0"/>
    <n v="28.82"/>
    <n v="0"/>
    <d v="2024-10-23T00:00:00"/>
    <x v="1"/>
    <x v="2"/>
    <n v="30"/>
    <n v="2.8"/>
    <s v="Ok"/>
    <n v="2.8"/>
    <s v="False"/>
    <m/>
    <n v="0"/>
    <n v="28.82"/>
    <x v="0"/>
    <n v="0"/>
  </r>
  <r>
    <s v="FB000390"/>
    <x v="3"/>
    <x v="7"/>
    <x v="3"/>
    <s v="L"/>
    <x v="1"/>
    <x v="1"/>
    <n v="79.59"/>
    <x v="106"/>
    <n v="0.24299999999999999"/>
    <n v="60.25"/>
    <n v="19.340000000000003"/>
    <d v="2025-08-06T00:00:00"/>
    <x v="1"/>
    <x v="1"/>
    <n v="37"/>
    <n v="1.7"/>
    <s v="Ok"/>
    <n v="1.7"/>
    <s v="False"/>
    <m/>
    <n v="0"/>
    <n v="60.25"/>
    <x v="0"/>
    <n v="0"/>
  </r>
  <r>
    <s v="FB000391"/>
    <x v="5"/>
    <x v="6"/>
    <x v="2"/>
    <s v="XL"/>
    <x v="0"/>
    <x v="5"/>
    <n v="49.44"/>
    <x v="0"/>
    <n v="0"/>
    <n v="49.44"/>
    <n v="0"/>
    <d v="2025-08-06T00:00:00"/>
    <x v="1"/>
    <x v="1"/>
    <n v="19"/>
    <n v="3.4"/>
    <s v="Ok"/>
    <n v="3.4"/>
    <s v="False"/>
    <m/>
    <n v="0"/>
    <n v="49.44"/>
    <x v="0"/>
    <n v="0"/>
  </r>
  <r>
    <s v="FB000392"/>
    <x v="1"/>
    <x v="3"/>
    <x v="1"/>
    <s v="XS"/>
    <x v="5"/>
    <x v="5"/>
    <n v="41.46"/>
    <x v="0"/>
    <n v="0"/>
    <n v="41.46"/>
    <n v="0"/>
    <d v="2025-08-06T00:00:00"/>
    <x v="1"/>
    <x v="1"/>
    <n v="36"/>
    <n v="3.5"/>
    <s v="Ok"/>
    <n v="3.5"/>
    <s v="False"/>
    <m/>
    <n v="0"/>
    <n v="41.46"/>
    <x v="0"/>
    <n v="0"/>
  </r>
  <r>
    <s v="FB000393"/>
    <x v="5"/>
    <x v="1"/>
    <x v="2"/>
    <s v="XS"/>
    <x v="5"/>
    <x v="7"/>
    <n v="131.76"/>
    <x v="1"/>
    <n v="0.35399999999999998"/>
    <n v="85.12"/>
    <n v="46.639999999999986"/>
    <d v="2025-08-06T00:00:00"/>
    <x v="1"/>
    <x v="1"/>
    <n v="21"/>
    <n v="4.7"/>
    <s v="Ok"/>
    <n v="4.7"/>
    <s v="False"/>
    <m/>
    <n v="0"/>
    <n v="85.12"/>
    <x v="0"/>
    <n v="0"/>
  </r>
  <r>
    <s v="FB000394"/>
    <x v="4"/>
    <x v="3"/>
    <x v="2"/>
    <s v="M"/>
    <x v="6"/>
    <x v="5"/>
    <n v="56.53"/>
    <x v="138"/>
    <n v="0.27899999999999997"/>
    <n v="40.76"/>
    <n v="15.770000000000003"/>
    <d v="2025-08-06T00:00:00"/>
    <x v="1"/>
    <x v="1"/>
    <n v="22"/>
    <m/>
    <s v="Ok"/>
    <s v="No valorado"/>
    <s v="False"/>
    <m/>
    <n v="0"/>
    <n v="40.76"/>
    <x v="0"/>
    <n v="0"/>
  </r>
  <r>
    <s v="FB000395"/>
    <x v="1"/>
    <x v="0"/>
    <x v="1"/>
    <m/>
    <x v="7"/>
    <x v="5"/>
    <n v="111.72"/>
    <x v="79"/>
    <n v="0.33299999999999996"/>
    <n v="74.52"/>
    <n v="37.200000000000003"/>
    <d v="2025-08-06T00:00:00"/>
    <x v="1"/>
    <x v="1"/>
    <n v="47"/>
    <n v="2"/>
    <s v="Ok"/>
    <n v="2"/>
    <s v="True"/>
    <s v="Quality Issue"/>
    <n v="1"/>
    <n v="0"/>
    <x v="4"/>
    <n v="0"/>
  </r>
  <r>
    <s v="FB000396"/>
    <x v="1"/>
    <x v="0"/>
    <x v="1"/>
    <s v="L"/>
    <x v="1"/>
    <x v="7"/>
    <n v="99.96"/>
    <x v="91"/>
    <n v="0.47600000000000003"/>
    <n v="52.38"/>
    <n v="47.579999999999991"/>
    <d v="2025-08-06T00:00:00"/>
    <x v="1"/>
    <x v="1"/>
    <n v="18"/>
    <n v="2"/>
    <s v="Ok"/>
    <n v="2"/>
    <s v="True"/>
    <s v="Quality Issue"/>
    <n v="1"/>
    <n v="0"/>
    <x v="4"/>
    <n v="0"/>
  </r>
  <r>
    <s v="FB000397"/>
    <x v="5"/>
    <x v="1"/>
    <x v="2"/>
    <s v="XS"/>
    <x v="5"/>
    <x v="0"/>
    <n v="110.04"/>
    <x v="19"/>
    <n v="0.57100000000000006"/>
    <n v="47.21"/>
    <n v="62.830000000000005"/>
    <d v="2025-08-06T00:00:00"/>
    <x v="1"/>
    <x v="1"/>
    <n v="0"/>
    <n v="4.7"/>
    <s v="Agotado"/>
    <n v="4.7"/>
    <s v="False"/>
    <m/>
    <n v="0"/>
    <n v="47.21"/>
    <x v="0"/>
    <n v="0"/>
  </r>
  <r>
    <s v="FB000398"/>
    <x v="5"/>
    <x v="7"/>
    <x v="1"/>
    <s v="L"/>
    <x v="1"/>
    <x v="5"/>
    <n v="141.84"/>
    <x v="0"/>
    <n v="0"/>
    <n v="141.84"/>
    <n v="0"/>
    <d v="2025-08-06T00:00:00"/>
    <x v="1"/>
    <x v="1"/>
    <n v="39"/>
    <n v="1.7"/>
    <s v="Ok"/>
    <n v="1.7"/>
    <s v="False"/>
    <m/>
    <n v="0"/>
    <n v="141.84"/>
    <x v="0"/>
    <n v="0"/>
  </r>
  <r>
    <s v="FB000399"/>
    <x v="2"/>
    <x v="4"/>
    <x v="1"/>
    <m/>
    <x v="2"/>
    <x v="10"/>
    <n v="32.630000000000003"/>
    <x v="139"/>
    <n v="0.42899999999999999"/>
    <n v="18.63"/>
    <n v="14.000000000000004"/>
    <d v="2025-08-06T00:00:00"/>
    <x v="1"/>
    <x v="1"/>
    <n v="5"/>
    <n v="1.1000000000000001"/>
    <s v="Pocas Unidades"/>
    <n v="1.1000000000000001"/>
    <s v="False"/>
    <m/>
    <n v="0"/>
    <n v="18.63"/>
    <x v="0"/>
    <n v="0"/>
  </r>
  <r>
    <s v="FB000400"/>
    <x v="0"/>
    <x v="0"/>
    <x v="0"/>
    <s v="L"/>
    <x v="1"/>
    <x v="2"/>
    <n v="189.68"/>
    <x v="140"/>
    <n v="0.40799999999999997"/>
    <n v="112.29"/>
    <n v="77.39"/>
    <d v="2024-09-21T00:00:00"/>
    <x v="0"/>
    <x v="6"/>
    <n v="27"/>
    <n v="1.8"/>
    <s v="Ok"/>
    <n v="1.8"/>
    <s v="True"/>
    <s v="Damaged"/>
    <n v="1"/>
    <n v="0"/>
    <x v="3"/>
    <n v="0"/>
  </r>
  <r>
    <s v="FB000401"/>
    <x v="5"/>
    <x v="5"/>
    <x v="2"/>
    <s v="XL"/>
    <x v="0"/>
    <x v="1"/>
    <n v="150.88999999999999"/>
    <x v="141"/>
    <n v="0.46799999999999997"/>
    <n v="80.27"/>
    <n v="70.61999999999999"/>
    <d v="2025-08-06T00:00:00"/>
    <x v="1"/>
    <x v="1"/>
    <n v="18"/>
    <n v="4.9000000000000004"/>
    <s v="Ok"/>
    <n v="4.9000000000000004"/>
    <s v="False"/>
    <m/>
    <n v="0"/>
    <n v="80.27"/>
    <x v="0"/>
    <n v="0"/>
  </r>
  <r>
    <s v="FB000402"/>
    <x v="2"/>
    <x v="6"/>
    <x v="2"/>
    <m/>
    <x v="2"/>
    <x v="8"/>
    <n v="42.66"/>
    <x v="53"/>
    <n v="0.215"/>
    <n v="33.49"/>
    <n v="9.1699999999999946"/>
    <d v="2025-08-06T00:00:00"/>
    <x v="1"/>
    <x v="1"/>
    <n v="16"/>
    <m/>
    <s v="Ok"/>
    <s v="No valorado"/>
    <s v="False"/>
    <m/>
    <n v="0"/>
    <n v="33.49"/>
    <x v="0"/>
    <n v="0"/>
  </r>
  <r>
    <s v="FB000403"/>
    <x v="2"/>
    <x v="1"/>
    <x v="2"/>
    <m/>
    <x v="2"/>
    <x v="0"/>
    <n v="62.05"/>
    <x v="0"/>
    <n v="0"/>
    <n v="62.05"/>
    <n v="0"/>
    <d v="2025-08-06T00:00:00"/>
    <x v="1"/>
    <x v="1"/>
    <n v="50"/>
    <n v="1.4"/>
    <s v="Ok"/>
    <n v="1.4"/>
    <s v="True"/>
    <s v="Changed Mind"/>
    <n v="1"/>
    <n v="0"/>
    <x v="5"/>
    <n v="0"/>
  </r>
  <r>
    <s v="FB000404"/>
    <x v="2"/>
    <x v="2"/>
    <x v="1"/>
    <m/>
    <x v="2"/>
    <x v="6"/>
    <n v="74.319999999999993"/>
    <x v="0"/>
    <n v="0"/>
    <n v="74.319999999999993"/>
    <n v="0"/>
    <d v="2025-08-06T00:00:00"/>
    <x v="1"/>
    <x v="1"/>
    <n v="4"/>
    <n v="2.2000000000000002"/>
    <s v="Pocas Unidades"/>
    <n v="2.2000000000000002"/>
    <s v="False"/>
    <m/>
    <n v="0"/>
    <n v="74.319999999999993"/>
    <x v="0"/>
    <n v="0"/>
  </r>
  <r>
    <s v="FB000405"/>
    <x v="0"/>
    <x v="1"/>
    <x v="1"/>
    <s v="XS"/>
    <x v="5"/>
    <x v="8"/>
    <n v="217.34"/>
    <x v="0"/>
    <n v="0"/>
    <n v="217.34"/>
    <n v="0"/>
    <d v="2025-08-06T00:00:00"/>
    <x v="1"/>
    <x v="1"/>
    <n v="4"/>
    <n v="4.2"/>
    <s v="Pocas Unidades"/>
    <n v="4.2"/>
    <s v="False"/>
    <m/>
    <n v="0"/>
    <n v="217.34"/>
    <x v="0"/>
    <n v="0"/>
  </r>
  <r>
    <s v="FB000406"/>
    <x v="1"/>
    <x v="0"/>
    <x v="3"/>
    <s v="XL"/>
    <x v="0"/>
    <x v="3"/>
    <n v="111.14"/>
    <x v="142"/>
    <n v="0.56700000000000006"/>
    <n v="48.12"/>
    <n v="63.02"/>
    <d v="2025-08-06T00:00:00"/>
    <x v="1"/>
    <x v="1"/>
    <n v="29"/>
    <n v="1.5"/>
    <s v="Ok"/>
    <n v="1.5"/>
    <s v="False"/>
    <m/>
    <n v="0"/>
    <n v="48.12"/>
    <x v="0"/>
    <n v="0"/>
  </r>
  <r>
    <s v="FB000407"/>
    <x v="3"/>
    <x v="4"/>
    <x v="1"/>
    <s v="XL"/>
    <x v="0"/>
    <x v="8"/>
    <n v="62.5"/>
    <x v="0"/>
    <n v="0"/>
    <n v="62.5"/>
    <n v="0"/>
    <d v="2025-08-06T00:00:00"/>
    <x v="1"/>
    <x v="1"/>
    <n v="0"/>
    <n v="1.9"/>
    <s v="Agotado"/>
    <n v="1.9"/>
    <s v="True"/>
    <s v="Changed Mind"/>
    <n v="1"/>
    <n v="0"/>
    <x v="5"/>
    <n v="0"/>
  </r>
  <r>
    <s v="FB000408"/>
    <x v="0"/>
    <x v="2"/>
    <x v="1"/>
    <s v="XS"/>
    <x v="5"/>
    <x v="5"/>
    <n v="165.88"/>
    <x v="143"/>
    <n v="3.4000000000000002E-2"/>
    <n v="160.24"/>
    <n v="5.6399999999999864"/>
    <d v="2025-08-06T00:00:00"/>
    <x v="1"/>
    <x v="1"/>
    <n v="42"/>
    <n v="2.4"/>
    <s v="Ok"/>
    <n v="2.4"/>
    <s v="False"/>
    <m/>
    <n v="0"/>
    <n v="160.24"/>
    <x v="0"/>
    <n v="0"/>
  </r>
  <r>
    <s v="FB000409"/>
    <x v="0"/>
    <x v="6"/>
    <x v="2"/>
    <s v="XS"/>
    <x v="5"/>
    <x v="10"/>
    <n v="179.8"/>
    <x v="0"/>
    <n v="0"/>
    <n v="179.8"/>
    <n v="0"/>
    <d v="2025-08-06T00:00:00"/>
    <x v="1"/>
    <x v="1"/>
    <n v="25"/>
    <n v="1.7"/>
    <s v="Ok"/>
    <n v="1.7"/>
    <s v="False"/>
    <m/>
    <n v="0"/>
    <n v="179.8"/>
    <x v="0"/>
    <n v="0"/>
  </r>
  <r>
    <s v="FB000410"/>
    <x v="2"/>
    <x v="0"/>
    <x v="3"/>
    <m/>
    <x v="2"/>
    <x v="7"/>
    <n v="34.15"/>
    <x v="0"/>
    <n v="0"/>
    <n v="34.15"/>
    <n v="0"/>
    <d v="2025-08-06T00:00:00"/>
    <x v="1"/>
    <x v="1"/>
    <n v="27"/>
    <n v="4.0999999999999996"/>
    <s v="Ok"/>
    <n v="4.0999999999999996"/>
    <s v="False"/>
    <m/>
    <n v="0"/>
    <n v="34.15"/>
    <x v="0"/>
    <n v="0"/>
  </r>
  <r>
    <s v="FB000411"/>
    <x v="1"/>
    <x v="6"/>
    <x v="0"/>
    <s v="XS"/>
    <x v="5"/>
    <x v="6"/>
    <n v="101.88"/>
    <x v="0"/>
    <n v="0"/>
    <n v="101.88"/>
    <n v="0"/>
    <d v="2025-03-14T00:00:00"/>
    <x v="4"/>
    <x v="3"/>
    <n v="46"/>
    <m/>
    <s v="Ok"/>
    <s v="No valorado"/>
    <s v="True"/>
    <s v="Size Issue"/>
    <n v="1"/>
    <n v="0"/>
    <x v="2"/>
    <n v="0"/>
  </r>
  <r>
    <s v="FB000412"/>
    <x v="3"/>
    <x v="2"/>
    <x v="3"/>
    <s v="XL"/>
    <x v="0"/>
    <x v="5"/>
    <n v="187.58"/>
    <x v="0"/>
    <n v="0"/>
    <n v="187.58"/>
    <n v="0"/>
    <d v="2025-08-06T00:00:00"/>
    <x v="1"/>
    <x v="1"/>
    <n v="46"/>
    <n v="2.9"/>
    <s v="Ok"/>
    <n v="2.9"/>
    <s v="False"/>
    <m/>
    <n v="0"/>
    <n v="187.58"/>
    <x v="0"/>
    <n v="0"/>
  </r>
  <r>
    <s v="FB000413"/>
    <x v="0"/>
    <x v="5"/>
    <x v="2"/>
    <s v="L"/>
    <x v="1"/>
    <x v="1"/>
    <n v="145.02000000000001"/>
    <x v="0"/>
    <n v="0"/>
    <n v="145.02000000000001"/>
    <n v="0"/>
    <d v="2025-08-06T00:00:00"/>
    <x v="1"/>
    <x v="1"/>
    <n v="36"/>
    <n v="2.6"/>
    <s v="Ok"/>
    <n v="2.6"/>
    <s v="False"/>
    <m/>
    <n v="0"/>
    <n v="145.02000000000001"/>
    <x v="0"/>
    <n v="0"/>
  </r>
  <r>
    <s v="FB000414"/>
    <x v="4"/>
    <x v="6"/>
    <x v="3"/>
    <s v="XS"/>
    <x v="5"/>
    <x v="5"/>
    <n v="101.61"/>
    <x v="144"/>
    <n v="0.26899999999999996"/>
    <n v="74.28"/>
    <n v="27.33"/>
    <d v="2025-08-06T00:00:00"/>
    <x v="1"/>
    <x v="1"/>
    <n v="38"/>
    <n v="3.4"/>
    <s v="Ok"/>
    <n v="3.4"/>
    <s v="True"/>
    <s v="Damaged"/>
    <n v="1"/>
    <n v="0"/>
    <x v="3"/>
    <n v="0"/>
  </r>
  <r>
    <s v="FB000415"/>
    <x v="5"/>
    <x v="4"/>
    <x v="2"/>
    <s v="XXL"/>
    <x v="4"/>
    <x v="7"/>
    <n v="71.14"/>
    <x v="0"/>
    <n v="0"/>
    <n v="71.14"/>
    <n v="0"/>
    <d v="2025-08-06T00:00:00"/>
    <x v="1"/>
    <x v="1"/>
    <n v="33"/>
    <n v="3.1"/>
    <s v="Ok"/>
    <n v="3.1"/>
    <s v="False"/>
    <m/>
    <n v="0"/>
    <n v="71.14"/>
    <x v="0"/>
    <n v="0"/>
  </r>
  <r>
    <s v="FB000416"/>
    <x v="5"/>
    <x v="5"/>
    <x v="3"/>
    <s v="M"/>
    <x v="6"/>
    <x v="6"/>
    <n v="55.21"/>
    <x v="0"/>
    <n v="0"/>
    <n v="55.21"/>
    <n v="0"/>
    <d v="2025-08-06T00:00:00"/>
    <x v="1"/>
    <x v="1"/>
    <n v="2"/>
    <n v="3.8"/>
    <s v="Pocas Unidades"/>
    <n v="3.8"/>
    <s v="True"/>
    <s v="Wrong Item"/>
    <n v="1"/>
    <n v="0"/>
    <x v="6"/>
    <n v="0"/>
  </r>
  <r>
    <s v="FB000417"/>
    <x v="1"/>
    <x v="0"/>
    <x v="3"/>
    <s v="XXL"/>
    <x v="4"/>
    <x v="2"/>
    <n v="94.96"/>
    <x v="1"/>
    <n v="0.35399999999999998"/>
    <n v="61.34"/>
    <n v="33.61999999999999"/>
    <d v="2025-08-06T00:00:00"/>
    <x v="1"/>
    <x v="1"/>
    <n v="34"/>
    <n v="3.9"/>
    <s v="Ok"/>
    <n v="3.9"/>
    <s v="False"/>
    <m/>
    <n v="0"/>
    <n v="61.34"/>
    <x v="0"/>
    <n v="0"/>
  </r>
  <r>
    <s v="FB000418"/>
    <x v="3"/>
    <x v="3"/>
    <x v="0"/>
    <s v="M"/>
    <x v="6"/>
    <x v="9"/>
    <n v="138.69"/>
    <x v="0"/>
    <n v="0"/>
    <n v="138.69"/>
    <n v="0"/>
    <d v="2024-12-02T00:00:00"/>
    <x v="2"/>
    <x v="10"/>
    <n v="0"/>
    <n v="2.9"/>
    <s v="Agotado"/>
    <n v="2.9"/>
    <s v="False"/>
    <m/>
    <n v="0"/>
    <n v="138.69"/>
    <x v="0"/>
    <n v="0"/>
  </r>
  <r>
    <s v="FB000419"/>
    <x v="0"/>
    <x v="6"/>
    <x v="0"/>
    <s v="XXL"/>
    <x v="4"/>
    <x v="8"/>
    <n v="175.7"/>
    <x v="0"/>
    <n v="0"/>
    <n v="175.7"/>
    <n v="0"/>
    <d v="2025-02-23T00:00:00"/>
    <x v="6"/>
    <x v="9"/>
    <n v="20"/>
    <n v="3"/>
    <s v="Ok"/>
    <n v="3"/>
    <s v="False"/>
    <m/>
    <n v="0"/>
    <n v="175.7"/>
    <x v="0"/>
    <n v="0"/>
  </r>
  <r>
    <s v="FB000420"/>
    <x v="3"/>
    <x v="1"/>
    <x v="3"/>
    <s v="XS"/>
    <x v="5"/>
    <x v="2"/>
    <n v="145.18"/>
    <x v="145"/>
    <n v="0.35700000000000004"/>
    <n v="93.35"/>
    <n v="51.830000000000013"/>
    <d v="2025-08-06T00:00:00"/>
    <x v="1"/>
    <x v="1"/>
    <n v="25"/>
    <n v="2.2000000000000002"/>
    <s v="Ok"/>
    <n v="2.2000000000000002"/>
    <s v="False"/>
    <m/>
    <n v="0"/>
    <n v="93.35"/>
    <x v="0"/>
    <n v="0"/>
  </r>
  <r>
    <s v="FB000421"/>
    <x v="5"/>
    <x v="3"/>
    <x v="3"/>
    <s v="M"/>
    <x v="6"/>
    <x v="2"/>
    <n v="169.34"/>
    <x v="146"/>
    <n v="0.44600000000000001"/>
    <n v="93.81"/>
    <n v="75.53"/>
    <d v="2025-08-06T00:00:00"/>
    <x v="1"/>
    <x v="1"/>
    <n v="37"/>
    <n v="2.7"/>
    <s v="Ok"/>
    <n v="2.7"/>
    <s v="False"/>
    <m/>
    <n v="0"/>
    <n v="93.81"/>
    <x v="0"/>
    <n v="0"/>
  </r>
  <r>
    <s v="FB000422"/>
    <x v="1"/>
    <x v="1"/>
    <x v="3"/>
    <s v="L"/>
    <x v="1"/>
    <x v="0"/>
    <n v="103.14"/>
    <x v="0"/>
    <n v="0"/>
    <n v="103.14"/>
    <n v="0"/>
    <d v="2025-08-06T00:00:00"/>
    <x v="1"/>
    <x v="1"/>
    <n v="13"/>
    <n v="4.5"/>
    <s v="Ok"/>
    <n v="4.5"/>
    <s v="False"/>
    <m/>
    <n v="0"/>
    <n v="103.14"/>
    <x v="0"/>
    <n v="0"/>
  </r>
  <r>
    <s v="FB000423"/>
    <x v="1"/>
    <x v="3"/>
    <x v="2"/>
    <s v="M"/>
    <x v="6"/>
    <x v="7"/>
    <n v="97.47"/>
    <x v="147"/>
    <n v="0.32"/>
    <n v="66.28"/>
    <n v="31.189999999999998"/>
    <d v="2025-08-06T00:00:00"/>
    <x v="1"/>
    <x v="1"/>
    <n v="27"/>
    <n v="3"/>
    <s v="Ok"/>
    <n v="3"/>
    <s v="False"/>
    <m/>
    <n v="0"/>
    <n v="66.28"/>
    <x v="0"/>
    <n v="0"/>
  </r>
  <r>
    <s v="FB000424"/>
    <x v="5"/>
    <x v="5"/>
    <x v="0"/>
    <s v="M"/>
    <x v="6"/>
    <x v="8"/>
    <n v="50.69"/>
    <x v="22"/>
    <n v="0.26300000000000001"/>
    <n v="37.36"/>
    <n v="13.329999999999998"/>
    <d v="2024-10-29T00:00:00"/>
    <x v="3"/>
    <x v="2"/>
    <n v="37"/>
    <n v="4.0999999999999996"/>
    <s v="Ok"/>
    <n v="4.0999999999999996"/>
    <s v="False"/>
    <m/>
    <n v="0"/>
    <n v="37.36"/>
    <x v="0"/>
    <n v="0"/>
  </r>
  <r>
    <s v="FB000425"/>
    <x v="0"/>
    <x v="2"/>
    <x v="2"/>
    <s v="XL"/>
    <x v="0"/>
    <x v="2"/>
    <n v="127.75"/>
    <x v="0"/>
    <n v="0"/>
    <n v="127.75"/>
    <n v="0"/>
    <d v="2025-08-06T00:00:00"/>
    <x v="1"/>
    <x v="1"/>
    <n v="32"/>
    <n v="3.6"/>
    <s v="Ok"/>
    <n v="3.6"/>
    <s v="False"/>
    <m/>
    <n v="0"/>
    <n v="127.75"/>
    <x v="0"/>
    <n v="0"/>
  </r>
  <r>
    <s v="FB000426"/>
    <x v="1"/>
    <x v="7"/>
    <x v="1"/>
    <s v="XL"/>
    <x v="0"/>
    <x v="2"/>
    <n v="111.64"/>
    <x v="0"/>
    <n v="0"/>
    <n v="111.64"/>
    <n v="0"/>
    <d v="2025-08-06T00:00:00"/>
    <x v="1"/>
    <x v="1"/>
    <n v="13"/>
    <n v="4.8"/>
    <s v="Ok"/>
    <n v="4.8"/>
    <s v="False"/>
    <m/>
    <n v="0"/>
    <n v="111.64"/>
    <x v="0"/>
    <n v="0"/>
  </r>
  <r>
    <s v="FB000427"/>
    <x v="3"/>
    <x v="1"/>
    <x v="2"/>
    <m/>
    <x v="7"/>
    <x v="9"/>
    <n v="134.6"/>
    <x v="148"/>
    <n v="0.11599999999999999"/>
    <n v="118.99"/>
    <n v="15.61"/>
    <d v="2025-08-06T00:00:00"/>
    <x v="1"/>
    <x v="1"/>
    <n v="47"/>
    <n v="3.9"/>
    <s v="Ok"/>
    <n v="3.9"/>
    <s v="False"/>
    <m/>
    <n v="0"/>
    <n v="118.99"/>
    <x v="0"/>
    <n v="0"/>
  </r>
  <r>
    <s v="FB000428"/>
    <x v="4"/>
    <x v="0"/>
    <x v="0"/>
    <s v="XXL"/>
    <x v="4"/>
    <x v="9"/>
    <n v="56.05"/>
    <x v="0"/>
    <n v="0"/>
    <n v="56.05"/>
    <n v="0"/>
    <d v="2025-07-16T00:00:00"/>
    <x v="1"/>
    <x v="0"/>
    <n v="9"/>
    <m/>
    <s v="Pocas Unidades"/>
    <s v="No valorado"/>
    <s v="False"/>
    <m/>
    <n v="0"/>
    <n v="56.05"/>
    <x v="0"/>
    <n v="0"/>
  </r>
  <r>
    <s v="FB000429"/>
    <x v="5"/>
    <x v="2"/>
    <x v="2"/>
    <s v="XL"/>
    <x v="0"/>
    <x v="9"/>
    <n v="106.2"/>
    <x v="0"/>
    <n v="0"/>
    <n v="106.2"/>
    <n v="0"/>
    <d v="2025-08-06T00:00:00"/>
    <x v="1"/>
    <x v="1"/>
    <n v="35"/>
    <n v="4.5"/>
    <s v="Ok"/>
    <n v="4.5"/>
    <s v="False"/>
    <m/>
    <n v="0"/>
    <n v="106.2"/>
    <x v="0"/>
    <n v="0"/>
  </r>
  <r>
    <s v="FB000430"/>
    <x v="3"/>
    <x v="3"/>
    <x v="2"/>
    <m/>
    <x v="7"/>
    <x v="6"/>
    <n v="104.26"/>
    <x v="149"/>
    <n v="0.20600000000000002"/>
    <n v="82.78"/>
    <n v="21.480000000000004"/>
    <d v="2025-08-06T00:00:00"/>
    <x v="1"/>
    <x v="1"/>
    <n v="31"/>
    <n v="3"/>
    <s v="Ok"/>
    <n v="3"/>
    <s v="False"/>
    <m/>
    <n v="0"/>
    <n v="82.78"/>
    <x v="0"/>
    <n v="0"/>
  </r>
  <r>
    <s v="FB000431"/>
    <x v="2"/>
    <x v="1"/>
    <x v="0"/>
    <m/>
    <x v="2"/>
    <x v="9"/>
    <n v="24.53"/>
    <x v="0"/>
    <n v="0"/>
    <n v="24.53"/>
    <n v="0"/>
    <d v="2024-08-20T00:00:00"/>
    <x v="3"/>
    <x v="1"/>
    <n v="44"/>
    <n v="4.2"/>
    <s v="Ok"/>
    <n v="4.2"/>
    <s v="False"/>
    <m/>
    <n v="0"/>
    <n v="24.53"/>
    <x v="0"/>
    <n v="0"/>
  </r>
  <r>
    <s v="FB000432"/>
    <x v="3"/>
    <x v="3"/>
    <x v="0"/>
    <s v="L"/>
    <x v="1"/>
    <x v="6"/>
    <n v="131.25"/>
    <x v="0"/>
    <n v="0"/>
    <n v="131.25"/>
    <n v="0"/>
    <d v="2025-06-18T00:00:00"/>
    <x v="1"/>
    <x v="7"/>
    <n v="12"/>
    <n v="1.6"/>
    <s v="Ok"/>
    <n v="1.6"/>
    <s v="False"/>
    <m/>
    <n v="0"/>
    <n v="131.25"/>
    <x v="0"/>
    <n v="0"/>
  </r>
  <r>
    <s v="FB000433"/>
    <x v="4"/>
    <x v="7"/>
    <x v="2"/>
    <s v="M"/>
    <x v="6"/>
    <x v="0"/>
    <n v="72.849999999999994"/>
    <x v="0"/>
    <n v="0"/>
    <n v="72.849999999999994"/>
    <n v="0"/>
    <d v="2025-08-06T00:00:00"/>
    <x v="1"/>
    <x v="1"/>
    <n v="25"/>
    <n v="3.8"/>
    <s v="Ok"/>
    <n v="3.8"/>
    <s v="False"/>
    <m/>
    <n v="0"/>
    <n v="72.849999999999994"/>
    <x v="0"/>
    <n v="0"/>
  </r>
  <r>
    <s v="FB000434"/>
    <x v="3"/>
    <x v="0"/>
    <x v="1"/>
    <s v="XS"/>
    <x v="5"/>
    <x v="6"/>
    <n v="135.38999999999999"/>
    <x v="0"/>
    <n v="0"/>
    <n v="135.38999999999999"/>
    <n v="0"/>
    <d v="2025-08-06T00:00:00"/>
    <x v="1"/>
    <x v="1"/>
    <n v="26"/>
    <n v="3.9"/>
    <s v="Ok"/>
    <n v="3.9"/>
    <s v="False"/>
    <m/>
    <n v="0"/>
    <n v="135.38999999999999"/>
    <x v="0"/>
    <n v="0"/>
  </r>
  <r>
    <s v="FB000435"/>
    <x v="3"/>
    <x v="0"/>
    <x v="1"/>
    <s v="XL"/>
    <x v="0"/>
    <x v="8"/>
    <n v="166.94"/>
    <x v="127"/>
    <n v="4.2000000000000003E-2"/>
    <n v="159.93"/>
    <n v="7.0099999999999909"/>
    <d v="2025-08-06T00:00:00"/>
    <x v="1"/>
    <x v="1"/>
    <n v="17"/>
    <n v="2.6"/>
    <s v="Ok"/>
    <n v="2.6"/>
    <s v="True"/>
    <s v="Color Mismatch"/>
    <n v="1"/>
    <n v="0"/>
    <x v="1"/>
    <n v="0"/>
  </r>
  <r>
    <s v="FB000436"/>
    <x v="3"/>
    <x v="2"/>
    <x v="0"/>
    <s v="XL"/>
    <x v="0"/>
    <x v="6"/>
    <n v="135.36000000000001"/>
    <x v="90"/>
    <n v="0.41700000000000004"/>
    <n v="78.91"/>
    <n v="56.450000000000017"/>
    <d v="2024-12-20T00:00:00"/>
    <x v="4"/>
    <x v="10"/>
    <n v="17"/>
    <n v="4.3"/>
    <s v="Ok"/>
    <n v="4.3"/>
    <s v="False"/>
    <m/>
    <n v="0"/>
    <n v="78.91"/>
    <x v="0"/>
    <n v="0"/>
  </r>
  <r>
    <s v="FB000437"/>
    <x v="4"/>
    <x v="5"/>
    <x v="0"/>
    <s v="L"/>
    <x v="1"/>
    <x v="5"/>
    <n v="96.05"/>
    <x v="0"/>
    <n v="0"/>
    <n v="96.05"/>
    <n v="0"/>
    <d v="2024-09-09T00:00:00"/>
    <x v="2"/>
    <x v="6"/>
    <n v="15"/>
    <n v="4"/>
    <s v="Ok"/>
    <n v="4"/>
    <s v="False"/>
    <m/>
    <n v="0"/>
    <n v="96.05"/>
    <x v="0"/>
    <n v="0"/>
  </r>
  <r>
    <s v="FB000438"/>
    <x v="0"/>
    <x v="4"/>
    <x v="3"/>
    <s v="L"/>
    <x v="1"/>
    <x v="0"/>
    <n v="116.1"/>
    <x v="0"/>
    <n v="0"/>
    <n v="116.1"/>
    <n v="0"/>
    <d v="2025-08-06T00:00:00"/>
    <x v="1"/>
    <x v="1"/>
    <n v="27"/>
    <n v="3.6"/>
    <s v="Ok"/>
    <n v="3.6"/>
    <s v="True"/>
    <s v="Changed Mind"/>
    <n v="1"/>
    <n v="0"/>
    <x v="5"/>
    <n v="0"/>
  </r>
  <r>
    <s v="FB000439"/>
    <x v="3"/>
    <x v="3"/>
    <x v="2"/>
    <s v="L"/>
    <x v="1"/>
    <x v="2"/>
    <n v="91.53"/>
    <x v="0"/>
    <n v="0"/>
    <n v="91.53"/>
    <n v="0"/>
    <d v="2025-08-06T00:00:00"/>
    <x v="1"/>
    <x v="1"/>
    <n v="8"/>
    <n v="1.5"/>
    <s v="Pocas Unidades"/>
    <n v="1.5"/>
    <s v="False"/>
    <m/>
    <n v="0"/>
    <n v="91.53"/>
    <x v="0"/>
    <n v="0"/>
  </r>
  <r>
    <s v="FB000440"/>
    <x v="4"/>
    <x v="0"/>
    <x v="1"/>
    <s v="XS"/>
    <x v="5"/>
    <x v="4"/>
    <n v="102.16"/>
    <x v="0"/>
    <n v="0"/>
    <n v="102.16"/>
    <n v="0"/>
    <d v="2025-08-06T00:00:00"/>
    <x v="1"/>
    <x v="1"/>
    <n v="50"/>
    <m/>
    <s v="Ok"/>
    <s v="No valorado"/>
    <s v="False"/>
    <m/>
    <n v="0"/>
    <n v="102.16"/>
    <x v="0"/>
    <n v="0"/>
  </r>
  <r>
    <s v="FB000441"/>
    <x v="3"/>
    <x v="1"/>
    <x v="1"/>
    <s v="L"/>
    <x v="1"/>
    <x v="4"/>
    <n v="67.739999999999995"/>
    <x v="150"/>
    <n v="3.3000000000000002E-2"/>
    <n v="65.5"/>
    <n v="2.2399999999999949"/>
    <d v="2025-08-06T00:00:00"/>
    <x v="1"/>
    <x v="1"/>
    <n v="23"/>
    <n v="1.5"/>
    <s v="Ok"/>
    <n v="1.5"/>
    <s v="False"/>
    <m/>
    <n v="0"/>
    <n v="65.5"/>
    <x v="0"/>
    <n v="0"/>
  </r>
  <r>
    <s v="FB000442"/>
    <x v="2"/>
    <x v="2"/>
    <x v="1"/>
    <m/>
    <x v="2"/>
    <x v="6"/>
    <n v="38.340000000000003"/>
    <x v="0"/>
    <n v="0"/>
    <n v="38.340000000000003"/>
    <n v="0"/>
    <d v="2025-08-06T00:00:00"/>
    <x v="1"/>
    <x v="1"/>
    <n v="14"/>
    <n v="1.4"/>
    <s v="Ok"/>
    <n v="1.4"/>
    <s v="False"/>
    <m/>
    <n v="0"/>
    <n v="38.340000000000003"/>
    <x v="0"/>
    <n v="0"/>
  </r>
  <r>
    <s v="FB000443"/>
    <x v="2"/>
    <x v="0"/>
    <x v="1"/>
    <m/>
    <x v="2"/>
    <x v="4"/>
    <n v="60.49"/>
    <x v="0"/>
    <n v="0"/>
    <n v="60.49"/>
    <n v="0"/>
    <d v="2025-08-06T00:00:00"/>
    <x v="1"/>
    <x v="1"/>
    <n v="30"/>
    <n v="2.5"/>
    <s v="Ok"/>
    <n v="2.5"/>
    <s v="False"/>
    <m/>
    <n v="0"/>
    <n v="60.49"/>
    <x v="0"/>
    <n v="0"/>
  </r>
  <r>
    <s v="FB000444"/>
    <x v="0"/>
    <x v="2"/>
    <x v="0"/>
    <s v="L"/>
    <x v="1"/>
    <x v="8"/>
    <n v="90.27"/>
    <x v="0"/>
    <n v="0"/>
    <n v="90.27"/>
    <n v="0"/>
    <d v="2025-04-16T00:00:00"/>
    <x v="1"/>
    <x v="4"/>
    <n v="35"/>
    <n v="4.2"/>
    <s v="Ok"/>
    <n v="4.2"/>
    <s v="False"/>
    <m/>
    <n v="0"/>
    <n v="90.27"/>
    <x v="0"/>
    <n v="0"/>
  </r>
  <r>
    <s v="FB000445"/>
    <x v="2"/>
    <x v="2"/>
    <x v="3"/>
    <m/>
    <x v="2"/>
    <x v="0"/>
    <n v="45.42"/>
    <x v="0"/>
    <n v="0"/>
    <n v="45.42"/>
    <n v="0"/>
    <d v="2025-08-06T00:00:00"/>
    <x v="1"/>
    <x v="1"/>
    <n v="36"/>
    <n v="1.3"/>
    <s v="Ok"/>
    <n v="1.3"/>
    <s v="False"/>
    <m/>
    <n v="0"/>
    <n v="45.42"/>
    <x v="0"/>
    <n v="0"/>
  </r>
  <r>
    <s v="FB000446"/>
    <x v="1"/>
    <x v="5"/>
    <x v="0"/>
    <m/>
    <x v="7"/>
    <x v="9"/>
    <n v="58.56"/>
    <x v="0"/>
    <n v="0"/>
    <n v="58.56"/>
    <n v="0"/>
    <d v="2025-01-23T00:00:00"/>
    <x v="5"/>
    <x v="5"/>
    <n v="21"/>
    <n v="2.2999999999999998"/>
    <s v="Ok"/>
    <n v="2.2999999999999998"/>
    <s v="False"/>
    <m/>
    <n v="0"/>
    <n v="58.56"/>
    <x v="0"/>
    <n v="0"/>
  </r>
  <r>
    <s v="FB000447"/>
    <x v="5"/>
    <x v="4"/>
    <x v="3"/>
    <s v="L"/>
    <x v="1"/>
    <x v="1"/>
    <n v="167.64"/>
    <x v="0"/>
    <n v="0"/>
    <n v="167.64"/>
    <n v="0"/>
    <d v="2025-08-06T00:00:00"/>
    <x v="1"/>
    <x v="1"/>
    <n v="18"/>
    <n v="4.0999999999999996"/>
    <s v="Ok"/>
    <n v="4.0999999999999996"/>
    <s v="False"/>
    <m/>
    <n v="0"/>
    <n v="167.64"/>
    <x v="0"/>
    <n v="0"/>
  </r>
  <r>
    <s v="FB000448"/>
    <x v="0"/>
    <x v="0"/>
    <x v="2"/>
    <s v="XXL"/>
    <x v="4"/>
    <x v="0"/>
    <n v="193.14"/>
    <x v="0"/>
    <n v="0"/>
    <n v="193.14"/>
    <n v="0"/>
    <d v="2025-08-06T00:00:00"/>
    <x v="1"/>
    <x v="1"/>
    <n v="7"/>
    <n v="3.5"/>
    <s v="Pocas Unidades"/>
    <n v="3.5"/>
    <s v="False"/>
    <m/>
    <n v="0"/>
    <n v="193.14"/>
    <x v="0"/>
    <n v="0"/>
  </r>
  <r>
    <s v="FB000449"/>
    <x v="2"/>
    <x v="6"/>
    <x v="1"/>
    <m/>
    <x v="2"/>
    <x v="4"/>
    <n v="60.06"/>
    <x v="151"/>
    <n v="0.156"/>
    <n v="50.69"/>
    <n v="9.3700000000000045"/>
    <d v="2025-08-06T00:00:00"/>
    <x v="1"/>
    <x v="1"/>
    <n v="49"/>
    <n v="2"/>
    <s v="Ok"/>
    <n v="2"/>
    <s v="True"/>
    <s v="Color Mismatch"/>
    <n v="1"/>
    <n v="0"/>
    <x v="1"/>
    <n v="0"/>
  </r>
  <r>
    <s v="FB000450"/>
    <x v="4"/>
    <x v="2"/>
    <x v="2"/>
    <s v="M"/>
    <x v="6"/>
    <x v="4"/>
    <n v="35.369999999999997"/>
    <x v="0"/>
    <n v="0"/>
    <n v="35.369999999999997"/>
    <n v="0"/>
    <d v="2025-08-06T00:00:00"/>
    <x v="1"/>
    <x v="1"/>
    <n v="29"/>
    <n v="4.7"/>
    <s v="Ok"/>
    <n v="4.7"/>
    <s v="False"/>
    <m/>
    <n v="0"/>
    <n v="35.369999999999997"/>
    <x v="0"/>
    <n v="0"/>
  </r>
  <r>
    <s v="FB000451"/>
    <x v="2"/>
    <x v="3"/>
    <x v="3"/>
    <m/>
    <x v="2"/>
    <x v="9"/>
    <n v="39.85"/>
    <x v="0"/>
    <n v="0"/>
    <n v="39.85"/>
    <n v="0"/>
    <d v="2025-08-06T00:00:00"/>
    <x v="1"/>
    <x v="1"/>
    <n v="28"/>
    <n v="2.4"/>
    <s v="Ok"/>
    <n v="2.4"/>
    <s v="False"/>
    <m/>
    <n v="0"/>
    <n v="39.85"/>
    <x v="0"/>
    <n v="0"/>
  </r>
  <r>
    <s v="FB000452"/>
    <x v="1"/>
    <x v="0"/>
    <x v="1"/>
    <s v="XL"/>
    <x v="0"/>
    <x v="2"/>
    <n v="85.34"/>
    <x v="152"/>
    <n v="0.59399999999999997"/>
    <n v="34.65"/>
    <n v="50.690000000000005"/>
    <d v="2025-08-06T00:00:00"/>
    <x v="1"/>
    <x v="1"/>
    <n v="5"/>
    <n v="4.9000000000000004"/>
    <s v="Pocas Unidades"/>
    <n v="4.9000000000000004"/>
    <s v="False"/>
    <m/>
    <n v="0"/>
    <n v="34.65"/>
    <x v="0"/>
    <n v="0"/>
  </r>
  <r>
    <s v="FB000453"/>
    <x v="4"/>
    <x v="7"/>
    <x v="2"/>
    <s v="XXL"/>
    <x v="4"/>
    <x v="3"/>
    <n v="81.17"/>
    <x v="0"/>
    <n v="0"/>
    <n v="81.17"/>
    <n v="0"/>
    <d v="2025-08-06T00:00:00"/>
    <x v="1"/>
    <x v="1"/>
    <n v="21"/>
    <n v="1.2"/>
    <s v="Ok"/>
    <n v="1.2"/>
    <s v="False"/>
    <m/>
    <n v="0"/>
    <n v="81.17"/>
    <x v="0"/>
    <n v="0"/>
  </r>
  <r>
    <s v="FB000454"/>
    <x v="2"/>
    <x v="5"/>
    <x v="0"/>
    <m/>
    <x v="2"/>
    <x v="3"/>
    <n v="16.809999999999999"/>
    <x v="0"/>
    <n v="0"/>
    <n v="16.809999999999999"/>
    <n v="0"/>
    <d v="2025-07-31T00:00:00"/>
    <x v="5"/>
    <x v="0"/>
    <n v="16"/>
    <n v="2.8"/>
    <s v="Ok"/>
    <n v="2.8"/>
    <s v="False"/>
    <m/>
    <n v="0"/>
    <n v="16.809999999999999"/>
    <x v="0"/>
    <n v="0"/>
  </r>
  <r>
    <s v="FB000455"/>
    <x v="1"/>
    <x v="5"/>
    <x v="1"/>
    <s v="XL"/>
    <x v="0"/>
    <x v="2"/>
    <n v="115.71"/>
    <x v="153"/>
    <n v="0.55000000000000004"/>
    <n v="52.07"/>
    <n v="63.639999999999993"/>
    <d v="2025-08-06T00:00:00"/>
    <x v="1"/>
    <x v="1"/>
    <n v="6"/>
    <n v="1.6"/>
    <s v="Pocas Unidades"/>
    <n v="1.6"/>
    <s v="False"/>
    <m/>
    <n v="0"/>
    <n v="52.07"/>
    <x v="0"/>
    <n v="0"/>
  </r>
  <r>
    <s v="FB000456"/>
    <x v="4"/>
    <x v="3"/>
    <x v="3"/>
    <s v="XXL"/>
    <x v="4"/>
    <x v="1"/>
    <n v="49.87"/>
    <x v="0"/>
    <n v="0"/>
    <n v="49.87"/>
    <n v="0"/>
    <d v="2025-08-06T00:00:00"/>
    <x v="1"/>
    <x v="1"/>
    <n v="17"/>
    <n v="2.1"/>
    <s v="Ok"/>
    <n v="2.1"/>
    <s v="False"/>
    <m/>
    <n v="0"/>
    <n v="49.87"/>
    <x v="0"/>
    <n v="0"/>
  </r>
  <r>
    <s v="FB000457"/>
    <x v="3"/>
    <x v="3"/>
    <x v="2"/>
    <s v="XS"/>
    <x v="5"/>
    <x v="7"/>
    <n v="107.96"/>
    <x v="154"/>
    <n v="0.52900000000000003"/>
    <n v="50.85"/>
    <n v="57.109999999999992"/>
    <d v="2025-08-06T00:00:00"/>
    <x v="1"/>
    <x v="1"/>
    <n v="2"/>
    <n v="4.9000000000000004"/>
    <s v="Pocas Unidades"/>
    <n v="4.9000000000000004"/>
    <s v="False"/>
    <m/>
    <n v="0"/>
    <n v="50.85"/>
    <x v="0"/>
    <n v="0"/>
  </r>
  <r>
    <s v="FB000458"/>
    <x v="3"/>
    <x v="3"/>
    <x v="3"/>
    <s v="M"/>
    <x v="6"/>
    <x v="2"/>
    <n v="138.35"/>
    <x v="155"/>
    <n v="0.317"/>
    <n v="94.49"/>
    <n v="43.86"/>
    <d v="2025-08-06T00:00:00"/>
    <x v="1"/>
    <x v="1"/>
    <n v="3"/>
    <n v="2.5"/>
    <s v="Pocas Unidades"/>
    <n v="2.5"/>
    <s v="False"/>
    <m/>
    <n v="0"/>
    <n v="94.49"/>
    <x v="0"/>
    <n v="0"/>
  </r>
  <r>
    <s v="FB000459"/>
    <x v="1"/>
    <x v="6"/>
    <x v="0"/>
    <s v="XS"/>
    <x v="5"/>
    <x v="0"/>
    <n v="32.01"/>
    <x v="0"/>
    <n v="0"/>
    <n v="32.01"/>
    <n v="0"/>
    <d v="2025-05-09T00:00:00"/>
    <x v="4"/>
    <x v="8"/>
    <n v="43"/>
    <n v="3.4"/>
    <s v="Ok"/>
    <n v="3.4"/>
    <s v="True"/>
    <s v="Wrong Item"/>
    <n v="1"/>
    <n v="0"/>
    <x v="6"/>
    <n v="0"/>
  </r>
  <r>
    <s v="FB000460"/>
    <x v="5"/>
    <x v="4"/>
    <x v="2"/>
    <s v="XS"/>
    <x v="5"/>
    <x v="2"/>
    <n v="129.08000000000001"/>
    <x v="156"/>
    <n v="0.50600000000000001"/>
    <n v="63.77"/>
    <n v="65.31"/>
    <d v="2025-08-06T00:00:00"/>
    <x v="1"/>
    <x v="1"/>
    <n v="10"/>
    <n v="4.4000000000000004"/>
    <s v="Ok"/>
    <n v="4.4000000000000004"/>
    <s v="False"/>
    <m/>
    <n v="0"/>
    <n v="63.77"/>
    <x v="0"/>
    <n v="0"/>
  </r>
  <r>
    <s v="FB000461"/>
    <x v="5"/>
    <x v="2"/>
    <x v="1"/>
    <s v="M"/>
    <x v="6"/>
    <x v="4"/>
    <n v="68.569999999999993"/>
    <x v="43"/>
    <n v="0.56399999999999995"/>
    <n v="29.9"/>
    <n v="38.669999999999995"/>
    <d v="2025-08-06T00:00:00"/>
    <x v="1"/>
    <x v="1"/>
    <n v="30"/>
    <n v="1.8"/>
    <s v="Ok"/>
    <n v="1.8"/>
    <s v="False"/>
    <m/>
    <n v="0"/>
    <n v="29.9"/>
    <x v="0"/>
    <n v="0"/>
  </r>
  <r>
    <s v="FB000462"/>
    <x v="2"/>
    <x v="4"/>
    <x v="1"/>
    <m/>
    <x v="2"/>
    <x v="4"/>
    <n v="46.46"/>
    <x v="0"/>
    <n v="0"/>
    <n v="46.46"/>
    <n v="0"/>
    <d v="2025-08-06T00:00:00"/>
    <x v="1"/>
    <x v="1"/>
    <n v="30"/>
    <m/>
    <s v="Ok"/>
    <s v="No valorado"/>
    <s v="False"/>
    <m/>
    <n v="0"/>
    <n v="46.46"/>
    <x v="0"/>
    <n v="0"/>
  </r>
  <r>
    <s v="FB000463"/>
    <x v="0"/>
    <x v="2"/>
    <x v="2"/>
    <s v="XXL"/>
    <x v="4"/>
    <x v="3"/>
    <n v="124.68"/>
    <x v="46"/>
    <n v="0.58200000000000007"/>
    <n v="52.12"/>
    <n v="72.56"/>
    <d v="2025-08-06T00:00:00"/>
    <x v="1"/>
    <x v="1"/>
    <n v="44"/>
    <n v="3.2"/>
    <s v="Ok"/>
    <n v="3.2"/>
    <s v="False"/>
    <m/>
    <n v="0"/>
    <n v="52.12"/>
    <x v="0"/>
    <n v="0"/>
  </r>
  <r>
    <s v="FB000464"/>
    <x v="4"/>
    <x v="4"/>
    <x v="0"/>
    <s v="XL"/>
    <x v="0"/>
    <x v="0"/>
    <n v="36.85"/>
    <x v="0"/>
    <n v="0"/>
    <n v="36.85"/>
    <n v="0"/>
    <d v="2025-07-03T00:00:00"/>
    <x v="5"/>
    <x v="0"/>
    <n v="0"/>
    <n v="4.4000000000000004"/>
    <s v="Agotado"/>
    <n v="4.4000000000000004"/>
    <s v="False"/>
    <m/>
    <n v="0"/>
    <n v="36.85"/>
    <x v="0"/>
    <n v="0"/>
  </r>
  <r>
    <s v="FB000465"/>
    <x v="0"/>
    <x v="5"/>
    <x v="1"/>
    <s v="XS"/>
    <x v="5"/>
    <x v="2"/>
    <n v="229.63"/>
    <x v="157"/>
    <n v="3.0000000000000001E-3"/>
    <n v="228.94"/>
    <n v="0.68999999999999773"/>
    <d v="2025-08-06T00:00:00"/>
    <x v="1"/>
    <x v="1"/>
    <n v="30"/>
    <n v="3.4"/>
    <s v="Ok"/>
    <n v="3.4"/>
    <s v="False"/>
    <m/>
    <n v="0"/>
    <n v="228.94"/>
    <x v="0"/>
    <n v="0"/>
  </r>
  <r>
    <s v="FB000466"/>
    <x v="1"/>
    <x v="5"/>
    <x v="0"/>
    <s v="S"/>
    <x v="3"/>
    <x v="8"/>
    <n v="74.09"/>
    <x v="0"/>
    <n v="0"/>
    <n v="74.09"/>
    <n v="0"/>
    <d v="2024-09-07T00:00:00"/>
    <x v="0"/>
    <x v="6"/>
    <n v="35"/>
    <n v="3.4"/>
    <s v="Ok"/>
    <n v="3.4"/>
    <s v="False"/>
    <m/>
    <n v="0"/>
    <n v="74.09"/>
    <x v="0"/>
    <n v="0"/>
  </r>
  <r>
    <s v="FB000467"/>
    <x v="4"/>
    <x v="2"/>
    <x v="0"/>
    <s v="XS"/>
    <x v="5"/>
    <x v="10"/>
    <n v="27.22"/>
    <x v="0"/>
    <n v="0"/>
    <n v="27.22"/>
    <n v="0"/>
    <d v="2024-09-09T00:00:00"/>
    <x v="2"/>
    <x v="6"/>
    <n v="14"/>
    <n v="2.4"/>
    <s v="Ok"/>
    <n v="2.4"/>
    <s v="False"/>
    <m/>
    <n v="0"/>
    <n v="27.22"/>
    <x v="0"/>
    <n v="0"/>
  </r>
  <r>
    <s v="FB000468"/>
    <x v="1"/>
    <x v="5"/>
    <x v="0"/>
    <s v="L"/>
    <x v="1"/>
    <x v="9"/>
    <n v="32.64"/>
    <x v="87"/>
    <n v="1.3999999999999999E-2"/>
    <n v="32.18"/>
    <n v="0.46000000000000085"/>
    <d v="2025-05-06T00:00:00"/>
    <x v="3"/>
    <x v="8"/>
    <n v="29"/>
    <n v="1.5"/>
    <s v="Ok"/>
    <n v="1.5"/>
    <s v="True"/>
    <s v="Changed Mind"/>
    <n v="1"/>
    <n v="0"/>
    <x v="5"/>
    <n v="0"/>
  </r>
  <r>
    <s v="FB000469"/>
    <x v="2"/>
    <x v="0"/>
    <x v="3"/>
    <m/>
    <x v="2"/>
    <x v="9"/>
    <n v="30.25"/>
    <x v="158"/>
    <n v="0.11800000000000001"/>
    <n v="26.68"/>
    <n v="3.5700000000000003"/>
    <d v="2025-08-06T00:00:00"/>
    <x v="1"/>
    <x v="1"/>
    <n v="30"/>
    <n v="3.4"/>
    <s v="Ok"/>
    <n v="3.4"/>
    <s v="False"/>
    <m/>
    <n v="0"/>
    <n v="26.68"/>
    <x v="0"/>
    <n v="0"/>
  </r>
  <r>
    <s v="FB000470"/>
    <x v="0"/>
    <x v="1"/>
    <x v="3"/>
    <s v="S"/>
    <x v="3"/>
    <x v="10"/>
    <n v="180.57"/>
    <x v="0"/>
    <n v="0"/>
    <n v="180.57"/>
    <n v="0"/>
    <d v="2025-08-06T00:00:00"/>
    <x v="1"/>
    <x v="1"/>
    <n v="28"/>
    <m/>
    <s v="Ok"/>
    <s v="No valorado"/>
    <s v="False"/>
    <m/>
    <n v="0"/>
    <n v="180.57"/>
    <x v="0"/>
    <n v="0"/>
  </r>
  <r>
    <s v="FB000471"/>
    <x v="4"/>
    <x v="1"/>
    <x v="3"/>
    <s v="XS"/>
    <x v="5"/>
    <x v="3"/>
    <n v="96.55"/>
    <x v="0"/>
    <n v="0"/>
    <n v="96.55"/>
    <n v="0"/>
    <d v="2025-08-06T00:00:00"/>
    <x v="1"/>
    <x v="1"/>
    <n v="17"/>
    <n v="4.4000000000000004"/>
    <s v="Ok"/>
    <n v="4.4000000000000004"/>
    <s v="False"/>
    <m/>
    <n v="0"/>
    <n v="96.55"/>
    <x v="0"/>
    <n v="0"/>
  </r>
  <r>
    <s v="FB000472"/>
    <x v="4"/>
    <x v="5"/>
    <x v="2"/>
    <m/>
    <x v="7"/>
    <x v="1"/>
    <n v="68.53"/>
    <x v="159"/>
    <n v="0.54299999999999993"/>
    <n v="31.32"/>
    <n v="37.21"/>
    <d v="2025-08-06T00:00:00"/>
    <x v="1"/>
    <x v="1"/>
    <n v="38"/>
    <n v="2.9"/>
    <s v="Ok"/>
    <n v="2.9"/>
    <s v="False"/>
    <m/>
    <n v="0"/>
    <n v="31.32"/>
    <x v="0"/>
    <n v="0"/>
  </r>
  <r>
    <s v="FB000473"/>
    <x v="3"/>
    <x v="6"/>
    <x v="2"/>
    <s v="XS"/>
    <x v="5"/>
    <x v="3"/>
    <n v="71.94"/>
    <x v="0"/>
    <n v="0"/>
    <n v="71.94"/>
    <n v="0"/>
    <d v="2025-08-06T00:00:00"/>
    <x v="1"/>
    <x v="1"/>
    <n v="45"/>
    <n v="3.3"/>
    <s v="Ok"/>
    <n v="3.3"/>
    <s v="False"/>
    <m/>
    <n v="0"/>
    <n v="71.94"/>
    <x v="0"/>
    <n v="0"/>
  </r>
  <r>
    <s v="FB000474"/>
    <x v="3"/>
    <x v="6"/>
    <x v="2"/>
    <s v="L"/>
    <x v="1"/>
    <x v="5"/>
    <n v="80.72"/>
    <x v="160"/>
    <n v="9.9000000000000005E-2"/>
    <n v="72.73"/>
    <n v="7.9899999999999949"/>
    <d v="2025-08-06T00:00:00"/>
    <x v="1"/>
    <x v="1"/>
    <n v="37"/>
    <n v="2.5"/>
    <s v="Ok"/>
    <n v="2.5"/>
    <s v="False"/>
    <m/>
    <n v="0"/>
    <n v="72.73"/>
    <x v="0"/>
    <n v="0"/>
  </r>
  <r>
    <s v="FB000475"/>
    <x v="0"/>
    <x v="0"/>
    <x v="1"/>
    <s v="L"/>
    <x v="1"/>
    <x v="6"/>
    <n v="208.8"/>
    <x v="0"/>
    <n v="0"/>
    <n v="208.8"/>
    <n v="0"/>
    <d v="2025-08-06T00:00:00"/>
    <x v="1"/>
    <x v="1"/>
    <n v="13"/>
    <n v="1.6"/>
    <s v="Ok"/>
    <n v="1.6"/>
    <s v="False"/>
    <m/>
    <n v="0"/>
    <n v="208.8"/>
    <x v="0"/>
    <n v="0"/>
  </r>
  <r>
    <s v="FB000476"/>
    <x v="3"/>
    <x v="3"/>
    <x v="3"/>
    <s v="M"/>
    <x v="6"/>
    <x v="8"/>
    <n v="158.15"/>
    <x v="161"/>
    <n v="0.54100000000000004"/>
    <n v="72.59"/>
    <n v="85.56"/>
    <d v="2025-08-06T00:00:00"/>
    <x v="1"/>
    <x v="1"/>
    <n v="36"/>
    <n v="4.5"/>
    <s v="Ok"/>
    <n v="4.5"/>
    <s v="False"/>
    <m/>
    <n v="0"/>
    <n v="72.59"/>
    <x v="0"/>
    <n v="0"/>
  </r>
  <r>
    <s v="FB000477"/>
    <x v="1"/>
    <x v="0"/>
    <x v="2"/>
    <s v="S"/>
    <x v="3"/>
    <x v="3"/>
    <n v="85.92"/>
    <x v="0"/>
    <n v="0"/>
    <n v="85.92"/>
    <n v="0"/>
    <d v="2025-08-06T00:00:00"/>
    <x v="1"/>
    <x v="1"/>
    <n v="12"/>
    <m/>
    <s v="Ok"/>
    <s v="No valorado"/>
    <s v="False"/>
    <m/>
    <n v="0"/>
    <n v="85.92"/>
    <x v="0"/>
    <n v="0"/>
  </r>
  <r>
    <s v="FB000478"/>
    <x v="2"/>
    <x v="6"/>
    <x v="0"/>
    <m/>
    <x v="2"/>
    <x v="1"/>
    <n v="69.59"/>
    <x v="0"/>
    <n v="0"/>
    <n v="69.59"/>
    <n v="0"/>
    <d v="2024-09-26T00:00:00"/>
    <x v="5"/>
    <x v="6"/>
    <n v="38"/>
    <n v="1.5"/>
    <s v="Ok"/>
    <n v="1.5"/>
    <s v="False"/>
    <m/>
    <n v="0"/>
    <n v="69.59"/>
    <x v="0"/>
    <n v="0"/>
  </r>
  <r>
    <s v="FB000479"/>
    <x v="5"/>
    <x v="0"/>
    <x v="1"/>
    <s v="XL"/>
    <x v="0"/>
    <x v="0"/>
    <n v="136.16999999999999"/>
    <x v="35"/>
    <n v="0.191"/>
    <n v="110.16"/>
    <n v="26.009999999999991"/>
    <d v="2025-08-06T00:00:00"/>
    <x v="1"/>
    <x v="1"/>
    <n v="14"/>
    <m/>
    <s v="Ok"/>
    <s v="No valorado"/>
    <s v="False"/>
    <m/>
    <n v="0"/>
    <n v="110.16"/>
    <x v="0"/>
    <n v="0"/>
  </r>
  <r>
    <s v="FB000480"/>
    <x v="3"/>
    <x v="3"/>
    <x v="0"/>
    <s v="XS"/>
    <x v="5"/>
    <x v="1"/>
    <n v="124.26"/>
    <x v="0"/>
    <n v="0"/>
    <n v="124.26"/>
    <n v="0"/>
    <d v="2024-08-08T00:00:00"/>
    <x v="5"/>
    <x v="1"/>
    <n v="44"/>
    <n v="4"/>
    <s v="Ok"/>
    <n v="4"/>
    <s v="False"/>
    <m/>
    <n v="0"/>
    <n v="124.26"/>
    <x v="0"/>
    <n v="0"/>
  </r>
  <r>
    <s v="FB000481"/>
    <x v="3"/>
    <x v="2"/>
    <x v="1"/>
    <s v="S"/>
    <x v="3"/>
    <x v="2"/>
    <n v="129.33000000000001"/>
    <x v="0"/>
    <n v="0"/>
    <n v="129.33000000000001"/>
    <n v="0"/>
    <d v="2025-08-06T00:00:00"/>
    <x v="1"/>
    <x v="1"/>
    <n v="15"/>
    <n v="3.1"/>
    <s v="Ok"/>
    <n v="3.1"/>
    <s v="False"/>
    <m/>
    <n v="0"/>
    <n v="129.33000000000001"/>
    <x v="0"/>
    <n v="0"/>
  </r>
  <r>
    <s v="FB000482"/>
    <x v="5"/>
    <x v="4"/>
    <x v="0"/>
    <s v="S"/>
    <x v="3"/>
    <x v="8"/>
    <n v="123.93"/>
    <x v="162"/>
    <n v="0.3"/>
    <n v="86.75"/>
    <n v="37.180000000000007"/>
    <d v="2025-07-31T00:00:00"/>
    <x v="5"/>
    <x v="0"/>
    <n v="39"/>
    <n v="1.9"/>
    <s v="Ok"/>
    <n v="1.9"/>
    <s v="False"/>
    <m/>
    <n v="0"/>
    <n v="86.75"/>
    <x v="0"/>
    <n v="0"/>
  </r>
  <r>
    <s v="FB000483"/>
    <x v="3"/>
    <x v="0"/>
    <x v="3"/>
    <s v="XS"/>
    <x v="5"/>
    <x v="7"/>
    <n v="62.76"/>
    <x v="0"/>
    <n v="0"/>
    <n v="62.76"/>
    <n v="0"/>
    <d v="2025-08-06T00:00:00"/>
    <x v="1"/>
    <x v="1"/>
    <n v="12"/>
    <n v="4.7"/>
    <s v="Ok"/>
    <n v="4.7"/>
    <s v="False"/>
    <m/>
    <n v="0"/>
    <n v="62.76"/>
    <x v="0"/>
    <n v="0"/>
  </r>
  <r>
    <s v="FB000484"/>
    <x v="3"/>
    <x v="1"/>
    <x v="0"/>
    <s v="XS"/>
    <x v="5"/>
    <x v="5"/>
    <n v="74.540000000000006"/>
    <x v="0"/>
    <n v="0"/>
    <n v="74.540000000000006"/>
    <n v="0"/>
    <d v="2024-11-07T00:00:00"/>
    <x v="5"/>
    <x v="11"/>
    <n v="4"/>
    <n v="3.5"/>
    <s v="Pocas Unidades"/>
    <n v="3.5"/>
    <s v="False"/>
    <m/>
    <n v="0"/>
    <n v="74.540000000000006"/>
    <x v="0"/>
    <n v="0"/>
  </r>
  <r>
    <s v="FB000485"/>
    <x v="1"/>
    <x v="6"/>
    <x v="3"/>
    <s v="S"/>
    <x v="3"/>
    <x v="1"/>
    <n v="114.03"/>
    <x v="0"/>
    <n v="0"/>
    <n v="114.03"/>
    <n v="0"/>
    <d v="2025-08-06T00:00:00"/>
    <x v="1"/>
    <x v="1"/>
    <n v="2"/>
    <m/>
    <s v="Pocas Unidades"/>
    <s v="No valorado"/>
    <s v="False"/>
    <m/>
    <n v="0"/>
    <n v="114.03"/>
    <x v="0"/>
    <n v="0"/>
  </r>
  <r>
    <s v="FB000486"/>
    <x v="2"/>
    <x v="6"/>
    <x v="2"/>
    <m/>
    <x v="2"/>
    <x v="3"/>
    <n v="20.59"/>
    <x v="163"/>
    <n v="0.27600000000000002"/>
    <n v="14.91"/>
    <n v="5.68"/>
    <d v="2025-08-06T00:00:00"/>
    <x v="1"/>
    <x v="1"/>
    <n v="36"/>
    <m/>
    <s v="Ok"/>
    <s v="No valorado"/>
    <s v="False"/>
    <m/>
    <n v="0"/>
    <n v="14.91"/>
    <x v="0"/>
    <n v="0"/>
  </r>
  <r>
    <s v="FB000487"/>
    <x v="3"/>
    <x v="2"/>
    <x v="3"/>
    <s v="XL"/>
    <x v="0"/>
    <x v="5"/>
    <n v="167.86"/>
    <x v="0"/>
    <n v="0"/>
    <n v="167.86"/>
    <n v="0"/>
    <d v="2025-08-06T00:00:00"/>
    <x v="1"/>
    <x v="1"/>
    <n v="17"/>
    <n v="3.2"/>
    <s v="Ok"/>
    <n v="3.2"/>
    <s v="False"/>
    <m/>
    <n v="0"/>
    <n v="167.86"/>
    <x v="0"/>
    <n v="0"/>
  </r>
  <r>
    <s v="FB000488"/>
    <x v="2"/>
    <x v="1"/>
    <x v="2"/>
    <m/>
    <x v="2"/>
    <x v="4"/>
    <n v="62.2"/>
    <x v="164"/>
    <n v="0.377"/>
    <n v="38.75"/>
    <n v="23.450000000000003"/>
    <d v="2025-08-06T00:00:00"/>
    <x v="1"/>
    <x v="1"/>
    <n v="16"/>
    <n v="3.1"/>
    <s v="Ok"/>
    <n v="3.1"/>
    <s v="False"/>
    <m/>
    <n v="0"/>
    <n v="38.75"/>
    <x v="0"/>
    <n v="0"/>
  </r>
  <r>
    <s v="FB000489"/>
    <x v="0"/>
    <x v="2"/>
    <x v="2"/>
    <m/>
    <x v="7"/>
    <x v="1"/>
    <n v="223.69"/>
    <x v="165"/>
    <n v="6.3E-2"/>
    <n v="209.6"/>
    <n v="14.090000000000003"/>
    <d v="2025-08-06T00:00:00"/>
    <x v="1"/>
    <x v="1"/>
    <n v="18"/>
    <n v="1.9"/>
    <s v="Ok"/>
    <n v="1.9"/>
    <s v="False"/>
    <m/>
    <n v="0"/>
    <n v="209.6"/>
    <x v="0"/>
    <n v="0"/>
  </r>
  <r>
    <s v="FB000490"/>
    <x v="2"/>
    <x v="3"/>
    <x v="3"/>
    <m/>
    <x v="2"/>
    <x v="5"/>
    <n v="67.13"/>
    <x v="0"/>
    <n v="0"/>
    <n v="67.13"/>
    <n v="0"/>
    <d v="2025-08-06T00:00:00"/>
    <x v="1"/>
    <x v="1"/>
    <n v="3"/>
    <n v="1.4"/>
    <s v="Pocas Unidades"/>
    <n v="1.4"/>
    <s v="False"/>
    <m/>
    <n v="0"/>
    <n v="67.13"/>
    <x v="0"/>
    <n v="0"/>
  </r>
  <r>
    <s v="FB000491"/>
    <x v="5"/>
    <x v="0"/>
    <x v="3"/>
    <s v="M"/>
    <x v="6"/>
    <x v="0"/>
    <n v="144.81"/>
    <x v="79"/>
    <n v="0.33299999999999996"/>
    <n v="96.59"/>
    <n v="48.22"/>
    <d v="2025-08-06T00:00:00"/>
    <x v="1"/>
    <x v="1"/>
    <n v="33"/>
    <n v="2.8"/>
    <s v="Ok"/>
    <n v="2.8"/>
    <s v="False"/>
    <m/>
    <n v="0"/>
    <n v="96.59"/>
    <x v="0"/>
    <n v="0"/>
  </r>
  <r>
    <s v="FB000492"/>
    <x v="0"/>
    <x v="6"/>
    <x v="1"/>
    <s v="XS"/>
    <x v="5"/>
    <x v="9"/>
    <n v="152.93"/>
    <x v="166"/>
    <n v="0.53"/>
    <n v="71.88"/>
    <n v="81.050000000000011"/>
    <d v="2025-08-06T00:00:00"/>
    <x v="1"/>
    <x v="1"/>
    <n v="2"/>
    <n v="4.5999999999999996"/>
    <s v="Pocas Unidades"/>
    <n v="4.5999999999999996"/>
    <s v="True"/>
    <s v="Changed Mind"/>
    <n v="1"/>
    <n v="0"/>
    <x v="5"/>
    <n v="0"/>
  </r>
  <r>
    <s v="FB000493"/>
    <x v="5"/>
    <x v="7"/>
    <x v="3"/>
    <s v="XXL"/>
    <x v="4"/>
    <x v="3"/>
    <n v="111.29"/>
    <x v="0"/>
    <n v="0"/>
    <n v="111.29"/>
    <n v="0"/>
    <d v="2025-08-06T00:00:00"/>
    <x v="1"/>
    <x v="1"/>
    <n v="48"/>
    <n v="4.9000000000000004"/>
    <s v="Ok"/>
    <n v="4.9000000000000004"/>
    <s v="False"/>
    <m/>
    <n v="0"/>
    <n v="111.29"/>
    <x v="0"/>
    <n v="0"/>
  </r>
  <r>
    <s v="FB000494"/>
    <x v="0"/>
    <x v="2"/>
    <x v="1"/>
    <s v="XS"/>
    <x v="5"/>
    <x v="1"/>
    <n v="159.18"/>
    <x v="0"/>
    <n v="0"/>
    <n v="159.18"/>
    <n v="0"/>
    <d v="2025-08-06T00:00:00"/>
    <x v="1"/>
    <x v="1"/>
    <n v="38"/>
    <n v="2.4"/>
    <s v="Ok"/>
    <n v="2.4"/>
    <s v="True"/>
    <s v="Quality Issue"/>
    <n v="1"/>
    <n v="0"/>
    <x v="4"/>
    <n v="0"/>
  </r>
  <r>
    <s v="FB000495"/>
    <x v="0"/>
    <x v="0"/>
    <x v="1"/>
    <s v="XXL"/>
    <x v="4"/>
    <x v="3"/>
    <n v="215.93"/>
    <x v="0"/>
    <n v="0"/>
    <n v="215.93"/>
    <n v="0"/>
    <d v="2025-08-06T00:00:00"/>
    <x v="1"/>
    <x v="1"/>
    <n v="43"/>
    <n v="3.5"/>
    <s v="Ok"/>
    <n v="3.5"/>
    <s v="False"/>
    <m/>
    <n v="0"/>
    <n v="215.93"/>
    <x v="0"/>
    <n v="0"/>
  </r>
  <r>
    <s v="FB000496"/>
    <x v="1"/>
    <x v="5"/>
    <x v="0"/>
    <m/>
    <x v="7"/>
    <x v="7"/>
    <n v="51.69"/>
    <x v="167"/>
    <n v="0.33399999999999996"/>
    <n v="34.43"/>
    <n v="17.259999999999998"/>
    <d v="2024-08-07T00:00:00"/>
    <x v="1"/>
    <x v="1"/>
    <n v="36"/>
    <n v="3.4"/>
    <s v="Ok"/>
    <n v="3.4"/>
    <s v="False"/>
    <m/>
    <n v="0"/>
    <n v="34.43"/>
    <x v="0"/>
    <n v="0"/>
  </r>
  <r>
    <s v="FB000497"/>
    <x v="0"/>
    <x v="5"/>
    <x v="3"/>
    <s v="L"/>
    <x v="1"/>
    <x v="1"/>
    <n v="137.38"/>
    <x v="0"/>
    <n v="0"/>
    <n v="137.38"/>
    <n v="0"/>
    <d v="2025-08-06T00:00:00"/>
    <x v="1"/>
    <x v="1"/>
    <n v="43"/>
    <n v="3.5"/>
    <s v="Ok"/>
    <n v="3.5"/>
    <s v="False"/>
    <m/>
    <n v="0"/>
    <n v="137.38"/>
    <x v="0"/>
    <n v="0"/>
  </r>
  <r>
    <s v="FB000498"/>
    <x v="4"/>
    <x v="7"/>
    <x v="2"/>
    <s v="XXL"/>
    <x v="4"/>
    <x v="6"/>
    <n v="96.7"/>
    <x v="168"/>
    <n v="0.38799999999999996"/>
    <n v="59.18"/>
    <n v="37.520000000000003"/>
    <d v="2025-08-06T00:00:00"/>
    <x v="1"/>
    <x v="1"/>
    <n v="46"/>
    <n v="1.7"/>
    <s v="Ok"/>
    <n v="1.7"/>
    <s v="False"/>
    <m/>
    <n v="0"/>
    <n v="59.18"/>
    <x v="0"/>
    <n v="0"/>
  </r>
  <r>
    <s v="FB000499"/>
    <x v="4"/>
    <x v="4"/>
    <x v="0"/>
    <s v="M"/>
    <x v="6"/>
    <x v="9"/>
    <n v="58.73"/>
    <x v="169"/>
    <n v="0.38100000000000001"/>
    <n v="36.35"/>
    <n v="22.379999999999995"/>
    <d v="2024-12-27T00:00:00"/>
    <x v="4"/>
    <x v="10"/>
    <n v="50"/>
    <n v="1.2"/>
    <s v="Ok"/>
    <n v="1.2"/>
    <s v="False"/>
    <m/>
    <n v="0"/>
    <n v="36.35"/>
    <x v="0"/>
    <n v="0"/>
  </r>
  <r>
    <s v="FB000500"/>
    <x v="0"/>
    <x v="6"/>
    <x v="1"/>
    <s v="S"/>
    <x v="3"/>
    <x v="6"/>
    <n v="204.68"/>
    <x v="0"/>
    <n v="0"/>
    <n v="204.68"/>
    <n v="0"/>
    <d v="2025-08-06T00:00:00"/>
    <x v="1"/>
    <x v="1"/>
    <n v="33"/>
    <n v="3.1"/>
    <s v="Ok"/>
    <n v="3.1"/>
    <s v="False"/>
    <m/>
    <n v="0"/>
    <n v="204.68"/>
    <x v="0"/>
    <n v="0"/>
  </r>
  <r>
    <s v="FB000501"/>
    <x v="4"/>
    <x v="7"/>
    <x v="0"/>
    <s v="L"/>
    <x v="1"/>
    <x v="3"/>
    <n v="117.26"/>
    <x v="0"/>
    <n v="0"/>
    <n v="117.26"/>
    <n v="0"/>
    <d v="2024-09-25T00:00:00"/>
    <x v="1"/>
    <x v="6"/>
    <n v="29"/>
    <m/>
    <s v="Ok"/>
    <s v="No valorado"/>
    <s v="False"/>
    <m/>
    <n v="0"/>
    <n v="117.26"/>
    <x v="0"/>
    <n v="0"/>
  </r>
  <r>
    <s v="FB000502"/>
    <x v="0"/>
    <x v="6"/>
    <x v="3"/>
    <s v="XXL"/>
    <x v="4"/>
    <x v="3"/>
    <n v="91.95"/>
    <x v="0"/>
    <n v="0"/>
    <n v="91.95"/>
    <n v="0"/>
    <d v="2025-08-06T00:00:00"/>
    <x v="1"/>
    <x v="1"/>
    <n v="1"/>
    <n v="2.5"/>
    <s v="Pocas Unidades"/>
    <n v="2.5"/>
    <s v="False"/>
    <m/>
    <n v="0"/>
    <n v="91.95"/>
    <x v="0"/>
    <n v="0"/>
  </r>
  <r>
    <s v="FB000503"/>
    <x v="4"/>
    <x v="6"/>
    <x v="2"/>
    <s v="XL"/>
    <x v="0"/>
    <x v="8"/>
    <n v="94.53"/>
    <x v="0"/>
    <n v="0"/>
    <n v="94.53"/>
    <n v="0"/>
    <d v="2025-08-06T00:00:00"/>
    <x v="1"/>
    <x v="1"/>
    <n v="13"/>
    <n v="2.4"/>
    <s v="Ok"/>
    <n v="2.4"/>
    <s v="False"/>
    <m/>
    <n v="0"/>
    <n v="94.53"/>
    <x v="0"/>
    <n v="0"/>
  </r>
  <r>
    <s v="FB000504"/>
    <x v="5"/>
    <x v="3"/>
    <x v="2"/>
    <s v="XXL"/>
    <x v="4"/>
    <x v="3"/>
    <n v="71.94"/>
    <x v="44"/>
    <n v="0.03"/>
    <n v="69.78"/>
    <n v="2.1599999999999966"/>
    <d v="2025-08-06T00:00:00"/>
    <x v="1"/>
    <x v="1"/>
    <n v="45"/>
    <n v="1.4"/>
    <s v="Ok"/>
    <n v="1.4"/>
    <s v="False"/>
    <m/>
    <n v="0"/>
    <n v="69.78"/>
    <x v="0"/>
    <n v="0"/>
  </r>
  <r>
    <s v="FB000505"/>
    <x v="5"/>
    <x v="5"/>
    <x v="1"/>
    <s v="XL"/>
    <x v="0"/>
    <x v="6"/>
    <n v="177.72"/>
    <x v="170"/>
    <n v="5.9000000000000004E-2"/>
    <n v="167.23"/>
    <n v="10.490000000000009"/>
    <d v="2025-08-06T00:00:00"/>
    <x v="1"/>
    <x v="1"/>
    <n v="47"/>
    <m/>
    <s v="Ok"/>
    <s v="No valorado"/>
    <s v="False"/>
    <m/>
    <n v="0"/>
    <n v="167.23"/>
    <x v="0"/>
    <n v="0"/>
  </r>
  <r>
    <s v="FB000506"/>
    <x v="2"/>
    <x v="0"/>
    <x v="3"/>
    <m/>
    <x v="2"/>
    <x v="3"/>
    <n v="34.4"/>
    <x v="0"/>
    <n v="0"/>
    <n v="34.4"/>
    <n v="0"/>
    <d v="2025-08-06T00:00:00"/>
    <x v="1"/>
    <x v="1"/>
    <n v="43"/>
    <n v="3"/>
    <s v="Ok"/>
    <n v="3"/>
    <s v="True"/>
    <s v="Wrong Item"/>
    <n v="1"/>
    <n v="0"/>
    <x v="6"/>
    <n v="0"/>
  </r>
  <r>
    <s v="FB000507"/>
    <x v="4"/>
    <x v="2"/>
    <x v="0"/>
    <s v="M"/>
    <x v="6"/>
    <x v="4"/>
    <n v="119.72"/>
    <x v="0"/>
    <n v="0"/>
    <n v="119.72"/>
    <n v="0"/>
    <d v="2025-01-18T00:00:00"/>
    <x v="0"/>
    <x v="5"/>
    <n v="18"/>
    <n v="3.7"/>
    <s v="Ok"/>
    <n v="3.7"/>
    <s v="False"/>
    <m/>
    <n v="0"/>
    <n v="119.72"/>
    <x v="0"/>
    <n v="0"/>
  </r>
  <r>
    <s v="FB000508"/>
    <x v="2"/>
    <x v="4"/>
    <x v="3"/>
    <m/>
    <x v="2"/>
    <x v="10"/>
    <n v="44.09"/>
    <x v="0"/>
    <n v="0"/>
    <n v="44.09"/>
    <n v="0"/>
    <d v="2025-08-06T00:00:00"/>
    <x v="1"/>
    <x v="1"/>
    <n v="2"/>
    <n v="2"/>
    <s v="Pocas Unidades"/>
    <n v="2"/>
    <s v="False"/>
    <m/>
    <n v="0"/>
    <n v="44.09"/>
    <x v="0"/>
    <n v="0"/>
  </r>
  <r>
    <s v="FB000509"/>
    <x v="4"/>
    <x v="3"/>
    <x v="0"/>
    <s v="XL"/>
    <x v="0"/>
    <x v="9"/>
    <n v="42.47"/>
    <x v="0"/>
    <n v="0"/>
    <n v="42.47"/>
    <n v="0"/>
    <d v="2024-11-14T00:00:00"/>
    <x v="5"/>
    <x v="11"/>
    <n v="33"/>
    <n v="4.5"/>
    <s v="Ok"/>
    <n v="4.5"/>
    <s v="True"/>
    <s v="Changed Mind"/>
    <n v="1"/>
    <n v="0"/>
    <x v="5"/>
    <n v="0"/>
  </r>
  <r>
    <s v="FB000510"/>
    <x v="5"/>
    <x v="2"/>
    <x v="3"/>
    <s v="XL"/>
    <x v="0"/>
    <x v="9"/>
    <n v="68.430000000000007"/>
    <x v="0"/>
    <n v="0"/>
    <n v="68.430000000000007"/>
    <n v="0"/>
    <d v="2025-08-06T00:00:00"/>
    <x v="1"/>
    <x v="1"/>
    <n v="16"/>
    <m/>
    <s v="Ok"/>
    <s v="No valorado"/>
    <s v="False"/>
    <m/>
    <n v="0"/>
    <n v="68.430000000000007"/>
    <x v="0"/>
    <n v="0"/>
  </r>
  <r>
    <s v="FB000511"/>
    <x v="3"/>
    <x v="0"/>
    <x v="2"/>
    <s v="XS"/>
    <x v="5"/>
    <x v="6"/>
    <n v="165.39"/>
    <x v="171"/>
    <n v="0.318"/>
    <n v="112.8"/>
    <n v="52.589999999999989"/>
    <d v="2025-08-06T00:00:00"/>
    <x v="1"/>
    <x v="1"/>
    <n v="9"/>
    <n v="4.5999999999999996"/>
    <s v="Pocas Unidades"/>
    <n v="4.5999999999999996"/>
    <s v="False"/>
    <m/>
    <n v="0"/>
    <n v="112.8"/>
    <x v="0"/>
    <n v="0"/>
  </r>
  <r>
    <s v="FB000512"/>
    <x v="2"/>
    <x v="5"/>
    <x v="1"/>
    <m/>
    <x v="2"/>
    <x v="6"/>
    <n v="35.36"/>
    <x v="0"/>
    <n v="0"/>
    <n v="35.36"/>
    <n v="0"/>
    <d v="2025-08-06T00:00:00"/>
    <x v="1"/>
    <x v="1"/>
    <n v="42"/>
    <n v="4.5"/>
    <s v="Ok"/>
    <n v="4.5"/>
    <s v="False"/>
    <m/>
    <n v="0"/>
    <n v="35.36"/>
    <x v="0"/>
    <n v="0"/>
  </r>
  <r>
    <s v="FB000513"/>
    <x v="5"/>
    <x v="4"/>
    <x v="3"/>
    <s v="M"/>
    <x v="6"/>
    <x v="8"/>
    <n v="95.73"/>
    <x v="0"/>
    <n v="0"/>
    <n v="95.73"/>
    <n v="0"/>
    <d v="2025-08-06T00:00:00"/>
    <x v="1"/>
    <x v="1"/>
    <n v="6"/>
    <n v="4.5999999999999996"/>
    <s v="Pocas Unidades"/>
    <n v="4.5999999999999996"/>
    <s v="False"/>
    <m/>
    <n v="0"/>
    <n v="95.73"/>
    <x v="0"/>
    <n v="0"/>
  </r>
  <r>
    <s v="FB000514"/>
    <x v="2"/>
    <x v="2"/>
    <x v="0"/>
    <m/>
    <x v="2"/>
    <x v="10"/>
    <n v="72.28"/>
    <x v="172"/>
    <n v="0.51300000000000001"/>
    <n v="35.200000000000003"/>
    <n v="37.08"/>
    <d v="2025-02-15T00:00:00"/>
    <x v="0"/>
    <x v="9"/>
    <n v="31"/>
    <n v="1.9"/>
    <s v="Ok"/>
    <n v="1.9"/>
    <s v="False"/>
    <m/>
    <n v="0"/>
    <n v="35.200000000000003"/>
    <x v="0"/>
    <n v="0"/>
  </r>
  <r>
    <s v="FB000515"/>
    <x v="0"/>
    <x v="5"/>
    <x v="3"/>
    <m/>
    <x v="7"/>
    <x v="3"/>
    <n v="80.349999999999994"/>
    <x v="0"/>
    <n v="0"/>
    <n v="80.349999999999994"/>
    <n v="0"/>
    <d v="2025-08-06T00:00:00"/>
    <x v="1"/>
    <x v="1"/>
    <n v="28"/>
    <n v="2.9"/>
    <s v="Ok"/>
    <n v="2.9"/>
    <s v="False"/>
    <m/>
    <n v="0"/>
    <n v="80.349999999999994"/>
    <x v="0"/>
    <n v="0"/>
  </r>
  <r>
    <s v="FB000516"/>
    <x v="4"/>
    <x v="2"/>
    <x v="1"/>
    <s v="XL"/>
    <x v="0"/>
    <x v="4"/>
    <n v="119.04"/>
    <x v="0"/>
    <n v="0"/>
    <n v="119.04"/>
    <n v="0"/>
    <d v="2025-08-06T00:00:00"/>
    <x v="1"/>
    <x v="1"/>
    <n v="35"/>
    <n v="1.4"/>
    <s v="Ok"/>
    <n v="1.4"/>
    <s v="False"/>
    <m/>
    <n v="0"/>
    <n v="119.04"/>
    <x v="0"/>
    <n v="0"/>
  </r>
  <r>
    <s v="FB000517"/>
    <x v="1"/>
    <x v="6"/>
    <x v="1"/>
    <s v="XS"/>
    <x v="5"/>
    <x v="10"/>
    <n v="60.53"/>
    <x v="173"/>
    <n v="0.42499999999999999"/>
    <n v="34.799999999999997"/>
    <n v="25.730000000000004"/>
    <d v="2025-08-06T00:00:00"/>
    <x v="1"/>
    <x v="1"/>
    <n v="8"/>
    <m/>
    <s v="Pocas Unidades"/>
    <s v="No valorado"/>
    <s v="True"/>
    <s v="Color Mismatch"/>
    <n v="1"/>
    <n v="0"/>
    <x v="1"/>
    <n v="0"/>
  </r>
  <r>
    <s v="FB000518"/>
    <x v="0"/>
    <x v="4"/>
    <x v="2"/>
    <s v="M"/>
    <x v="6"/>
    <x v="8"/>
    <n v="92.54"/>
    <x v="174"/>
    <n v="0.43799999999999994"/>
    <n v="52.01"/>
    <n v="40.530000000000008"/>
    <d v="2025-08-06T00:00:00"/>
    <x v="1"/>
    <x v="1"/>
    <n v="33"/>
    <n v="1.5"/>
    <s v="Ok"/>
    <n v="1.5"/>
    <s v="True"/>
    <s v="Damaged"/>
    <n v="1"/>
    <n v="0"/>
    <x v="3"/>
    <n v="0"/>
  </r>
  <r>
    <s v="FB000519"/>
    <x v="2"/>
    <x v="1"/>
    <x v="2"/>
    <m/>
    <x v="2"/>
    <x v="1"/>
    <n v="28.4"/>
    <x v="0"/>
    <n v="0"/>
    <n v="28.4"/>
    <n v="0"/>
    <d v="2025-08-06T00:00:00"/>
    <x v="1"/>
    <x v="1"/>
    <n v="4"/>
    <n v="3.1"/>
    <s v="Pocas Unidades"/>
    <n v="3.1"/>
    <s v="False"/>
    <m/>
    <n v="0"/>
    <n v="28.4"/>
    <x v="0"/>
    <n v="0"/>
  </r>
  <r>
    <s v="FB000520"/>
    <x v="4"/>
    <x v="0"/>
    <x v="3"/>
    <s v="M"/>
    <x v="6"/>
    <x v="4"/>
    <n v="91.65"/>
    <x v="0"/>
    <n v="0"/>
    <n v="91.65"/>
    <n v="0"/>
    <d v="2025-08-06T00:00:00"/>
    <x v="1"/>
    <x v="1"/>
    <n v="40"/>
    <n v="3.8"/>
    <s v="Ok"/>
    <n v="3.8"/>
    <s v="False"/>
    <m/>
    <n v="0"/>
    <n v="91.65"/>
    <x v="0"/>
    <n v="0"/>
  </r>
  <r>
    <s v="FB000521"/>
    <x v="2"/>
    <x v="3"/>
    <x v="2"/>
    <m/>
    <x v="2"/>
    <x v="8"/>
    <n v="72.569999999999993"/>
    <x v="0"/>
    <n v="0"/>
    <n v="72.569999999999993"/>
    <n v="0"/>
    <d v="2025-08-06T00:00:00"/>
    <x v="1"/>
    <x v="1"/>
    <n v="27"/>
    <n v="2.5"/>
    <s v="Ok"/>
    <n v="2.5"/>
    <s v="False"/>
    <m/>
    <n v="0"/>
    <n v="72.569999999999993"/>
    <x v="0"/>
    <n v="0"/>
  </r>
  <r>
    <s v="FB000522"/>
    <x v="4"/>
    <x v="4"/>
    <x v="2"/>
    <s v="L"/>
    <x v="1"/>
    <x v="5"/>
    <n v="39.049999999999997"/>
    <x v="0"/>
    <n v="0"/>
    <n v="39.049999999999997"/>
    <n v="0"/>
    <d v="2025-08-06T00:00:00"/>
    <x v="1"/>
    <x v="1"/>
    <n v="10"/>
    <n v="3.5"/>
    <s v="Ok"/>
    <n v="3.5"/>
    <s v="False"/>
    <m/>
    <n v="0"/>
    <n v="39.049999999999997"/>
    <x v="0"/>
    <n v="0"/>
  </r>
  <r>
    <s v="FB000523"/>
    <x v="5"/>
    <x v="0"/>
    <x v="1"/>
    <s v="S"/>
    <x v="3"/>
    <x v="4"/>
    <n v="113.21"/>
    <x v="0"/>
    <n v="0"/>
    <n v="113.21"/>
    <n v="0"/>
    <d v="2025-08-06T00:00:00"/>
    <x v="1"/>
    <x v="1"/>
    <n v="12"/>
    <n v="4.4000000000000004"/>
    <s v="Ok"/>
    <n v="4.4000000000000004"/>
    <s v="False"/>
    <m/>
    <n v="0"/>
    <n v="113.21"/>
    <x v="0"/>
    <n v="0"/>
  </r>
  <r>
    <s v="FB000524"/>
    <x v="2"/>
    <x v="7"/>
    <x v="0"/>
    <m/>
    <x v="2"/>
    <x v="8"/>
    <n v="25.34"/>
    <x v="0"/>
    <n v="0"/>
    <n v="25.34"/>
    <n v="0"/>
    <d v="2025-07-31T00:00:00"/>
    <x v="5"/>
    <x v="0"/>
    <n v="17"/>
    <n v="3.3"/>
    <s v="Ok"/>
    <n v="3.3"/>
    <s v="False"/>
    <m/>
    <n v="0"/>
    <n v="25.34"/>
    <x v="0"/>
    <n v="0"/>
  </r>
  <r>
    <s v="FB000525"/>
    <x v="1"/>
    <x v="3"/>
    <x v="0"/>
    <s v="L"/>
    <x v="1"/>
    <x v="2"/>
    <n v="98.16"/>
    <x v="142"/>
    <n v="0.56700000000000006"/>
    <n v="42.5"/>
    <n v="55.66"/>
    <d v="2025-02-05T00:00:00"/>
    <x v="1"/>
    <x v="9"/>
    <n v="44"/>
    <n v="2.6"/>
    <s v="Ok"/>
    <n v="2.6"/>
    <s v="False"/>
    <m/>
    <n v="0"/>
    <n v="42.5"/>
    <x v="0"/>
    <n v="0"/>
  </r>
  <r>
    <s v="FB000526"/>
    <x v="1"/>
    <x v="2"/>
    <x v="0"/>
    <s v="XS"/>
    <x v="5"/>
    <x v="9"/>
    <n v="60.54"/>
    <x v="0"/>
    <n v="0"/>
    <n v="60.54"/>
    <n v="0"/>
    <d v="2025-04-10T00:00:00"/>
    <x v="5"/>
    <x v="4"/>
    <n v="35"/>
    <n v="1.7"/>
    <s v="Ok"/>
    <n v="1.7"/>
    <s v="False"/>
    <m/>
    <n v="0"/>
    <n v="60.54"/>
    <x v="0"/>
    <n v="0"/>
  </r>
  <r>
    <s v="FB000527"/>
    <x v="5"/>
    <x v="0"/>
    <x v="1"/>
    <s v="S"/>
    <x v="3"/>
    <x v="1"/>
    <n v="132.61000000000001"/>
    <x v="31"/>
    <n v="7.400000000000001E-2"/>
    <n v="122.8"/>
    <n v="9.8100000000000165"/>
    <d v="2025-08-06T00:00:00"/>
    <x v="1"/>
    <x v="1"/>
    <n v="0"/>
    <n v="4.2"/>
    <s v="Agotado"/>
    <n v="4.2"/>
    <s v="False"/>
    <m/>
    <n v="0"/>
    <n v="122.8"/>
    <x v="0"/>
    <n v="0"/>
  </r>
  <r>
    <s v="FB000528"/>
    <x v="0"/>
    <x v="5"/>
    <x v="2"/>
    <s v="XL"/>
    <x v="0"/>
    <x v="1"/>
    <n v="234.14"/>
    <x v="0"/>
    <n v="0"/>
    <n v="234.14"/>
    <n v="0"/>
    <d v="2025-08-06T00:00:00"/>
    <x v="1"/>
    <x v="1"/>
    <n v="40"/>
    <n v="1.7"/>
    <s v="Ok"/>
    <n v="1.7"/>
    <s v="False"/>
    <m/>
    <n v="0"/>
    <n v="234.14"/>
    <x v="0"/>
    <n v="0"/>
  </r>
  <r>
    <s v="FB000529"/>
    <x v="2"/>
    <x v="4"/>
    <x v="2"/>
    <m/>
    <x v="2"/>
    <x v="2"/>
    <n v="31.86"/>
    <x v="175"/>
    <n v="0.48200000000000004"/>
    <n v="16.5"/>
    <n v="15.36"/>
    <d v="2025-08-06T00:00:00"/>
    <x v="1"/>
    <x v="1"/>
    <n v="32"/>
    <n v="4.5"/>
    <s v="Ok"/>
    <n v="4.5"/>
    <s v="False"/>
    <m/>
    <n v="0"/>
    <n v="16.5"/>
    <x v="0"/>
    <n v="0"/>
  </r>
  <r>
    <s v="FB000530"/>
    <x v="2"/>
    <x v="1"/>
    <x v="0"/>
    <m/>
    <x v="2"/>
    <x v="4"/>
    <n v="15.14"/>
    <x v="176"/>
    <n v="0.36700000000000005"/>
    <n v="9.58"/>
    <n v="5.5600000000000005"/>
    <d v="2025-07-23T00:00:00"/>
    <x v="1"/>
    <x v="0"/>
    <n v="41"/>
    <n v="3.8"/>
    <s v="Ok"/>
    <n v="3.8"/>
    <s v="False"/>
    <m/>
    <n v="0"/>
    <n v="9.58"/>
    <x v="0"/>
    <n v="0"/>
  </r>
  <r>
    <s v="FB000531"/>
    <x v="3"/>
    <x v="4"/>
    <x v="1"/>
    <s v="XS"/>
    <x v="5"/>
    <x v="9"/>
    <n v="77.72"/>
    <x v="0"/>
    <n v="0"/>
    <n v="77.72"/>
    <n v="0"/>
    <d v="2025-08-06T00:00:00"/>
    <x v="1"/>
    <x v="1"/>
    <n v="48"/>
    <n v="1.1000000000000001"/>
    <s v="Ok"/>
    <n v="1.1000000000000001"/>
    <s v="False"/>
    <m/>
    <n v="0"/>
    <n v="77.72"/>
    <x v="0"/>
    <n v="0"/>
  </r>
  <r>
    <s v="FB000532"/>
    <x v="2"/>
    <x v="0"/>
    <x v="0"/>
    <m/>
    <x v="2"/>
    <x v="4"/>
    <n v="78.040000000000006"/>
    <x v="0"/>
    <n v="0"/>
    <n v="78.040000000000006"/>
    <n v="0"/>
    <d v="2025-04-09T00:00:00"/>
    <x v="1"/>
    <x v="4"/>
    <n v="38"/>
    <n v="4.9000000000000004"/>
    <s v="Ok"/>
    <n v="4.9000000000000004"/>
    <s v="False"/>
    <m/>
    <n v="0"/>
    <n v="78.040000000000006"/>
    <x v="0"/>
    <n v="0"/>
  </r>
  <r>
    <s v="FB000533"/>
    <x v="0"/>
    <x v="6"/>
    <x v="2"/>
    <s v="M"/>
    <x v="6"/>
    <x v="10"/>
    <n v="169.82"/>
    <x v="0"/>
    <n v="0"/>
    <n v="169.82"/>
    <n v="0"/>
    <d v="2025-08-06T00:00:00"/>
    <x v="1"/>
    <x v="1"/>
    <n v="28"/>
    <n v="4"/>
    <s v="Ok"/>
    <n v="4"/>
    <s v="False"/>
    <m/>
    <n v="0"/>
    <n v="169.82"/>
    <x v="0"/>
    <n v="0"/>
  </r>
  <r>
    <s v="FB000534"/>
    <x v="4"/>
    <x v="4"/>
    <x v="0"/>
    <s v="L"/>
    <x v="1"/>
    <x v="3"/>
    <n v="94.71"/>
    <x v="177"/>
    <n v="0.38900000000000001"/>
    <n v="57.87"/>
    <n v="36.839999999999996"/>
    <d v="2024-08-16T00:00:00"/>
    <x v="4"/>
    <x v="1"/>
    <n v="39"/>
    <n v="4.7"/>
    <s v="Ok"/>
    <n v="4.7"/>
    <s v="False"/>
    <m/>
    <n v="0"/>
    <n v="57.87"/>
    <x v="0"/>
    <n v="0"/>
  </r>
  <r>
    <s v="FB000535"/>
    <x v="3"/>
    <x v="5"/>
    <x v="0"/>
    <s v="XL"/>
    <x v="0"/>
    <x v="0"/>
    <n v="112.6"/>
    <x v="178"/>
    <n v="0.22"/>
    <n v="87.83"/>
    <n v="24.769999999999996"/>
    <d v="2025-07-22T00:00:00"/>
    <x v="3"/>
    <x v="0"/>
    <n v="29"/>
    <n v="2.1"/>
    <s v="Ok"/>
    <n v="2.1"/>
    <s v="True"/>
    <s v="Color Mismatch"/>
    <n v="1"/>
    <n v="0"/>
    <x v="1"/>
    <n v="0"/>
  </r>
  <r>
    <s v="FB000536"/>
    <x v="4"/>
    <x v="0"/>
    <x v="3"/>
    <s v="L"/>
    <x v="1"/>
    <x v="9"/>
    <n v="104.16"/>
    <x v="0"/>
    <n v="0"/>
    <n v="104.16"/>
    <n v="0"/>
    <d v="2025-08-06T00:00:00"/>
    <x v="1"/>
    <x v="1"/>
    <n v="21"/>
    <n v="1.6"/>
    <s v="Ok"/>
    <n v="1.6"/>
    <s v="False"/>
    <m/>
    <n v="0"/>
    <n v="104.16"/>
    <x v="0"/>
    <n v="0"/>
  </r>
  <r>
    <s v="FB000537"/>
    <x v="0"/>
    <x v="6"/>
    <x v="1"/>
    <s v="XXL"/>
    <x v="4"/>
    <x v="4"/>
    <n v="174.86"/>
    <x v="0"/>
    <n v="0"/>
    <n v="174.86"/>
    <n v="0"/>
    <d v="2025-08-06T00:00:00"/>
    <x v="1"/>
    <x v="1"/>
    <n v="15"/>
    <n v="1.7"/>
    <s v="Ok"/>
    <n v="1.7"/>
    <s v="False"/>
    <m/>
    <n v="0"/>
    <n v="174.86"/>
    <x v="0"/>
    <n v="0"/>
  </r>
  <r>
    <s v="FB000538"/>
    <x v="0"/>
    <x v="1"/>
    <x v="0"/>
    <s v="L"/>
    <x v="1"/>
    <x v="9"/>
    <n v="217.89"/>
    <x v="179"/>
    <n v="0.49399999999999999"/>
    <n v="110.25"/>
    <n v="107.63999999999999"/>
    <d v="2024-11-27T00:00:00"/>
    <x v="1"/>
    <x v="11"/>
    <n v="42"/>
    <n v="2.9"/>
    <s v="Ok"/>
    <n v="2.9"/>
    <s v="False"/>
    <m/>
    <n v="0"/>
    <n v="110.25"/>
    <x v="0"/>
    <n v="0"/>
  </r>
  <r>
    <s v="FB000539"/>
    <x v="3"/>
    <x v="3"/>
    <x v="1"/>
    <s v="L"/>
    <x v="1"/>
    <x v="2"/>
    <n v="123.14"/>
    <x v="0"/>
    <n v="0"/>
    <n v="123.14"/>
    <n v="0"/>
    <d v="2025-08-06T00:00:00"/>
    <x v="1"/>
    <x v="1"/>
    <n v="15"/>
    <n v="1.8"/>
    <s v="Ok"/>
    <n v="1.8"/>
    <s v="True"/>
    <s v="Wrong Item"/>
    <n v="1"/>
    <n v="0"/>
    <x v="6"/>
    <n v="0"/>
  </r>
  <r>
    <s v="FB000540"/>
    <x v="1"/>
    <x v="5"/>
    <x v="1"/>
    <s v="XL"/>
    <x v="0"/>
    <x v="8"/>
    <n v="103.96"/>
    <x v="0"/>
    <n v="0"/>
    <n v="103.96"/>
    <n v="0"/>
    <d v="2025-08-06T00:00:00"/>
    <x v="1"/>
    <x v="1"/>
    <n v="23"/>
    <n v="3.3"/>
    <s v="Ok"/>
    <n v="3.3"/>
    <s v="False"/>
    <m/>
    <n v="0"/>
    <n v="103.96"/>
    <x v="0"/>
    <n v="0"/>
  </r>
  <r>
    <s v="FB000541"/>
    <x v="5"/>
    <x v="4"/>
    <x v="0"/>
    <s v="XL"/>
    <x v="0"/>
    <x v="5"/>
    <n v="138.44999999999999"/>
    <x v="0"/>
    <n v="0"/>
    <n v="138.44999999999999"/>
    <n v="0"/>
    <d v="2025-03-28T00:00:00"/>
    <x v="4"/>
    <x v="3"/>
    <n v="18"/>
    <n v="3.3"/>
    <s v="Ok"/>
    <n v="3.3"/>
    <s v="False"/>
    <m/>
    <n v="0"/>
    <n v="138.44999999999999"/>
    <x v="0"/>
    <n v="0"/>
  </r>
  <r>
    <s v="FB000542"/>
    <x v="3"/>
    <x v="6"/>
    <x v="3"/>
    <s v="S"/>
    <x v="3"/>
    <x v="2"/>
    <n v="165.1"/>
    <x v="0"/>
    <n v="0"/>
    <n v="165.1"/>
    <n v="0"/>
    <d v="2025-08-06T00:00:00"/>
    <x v="1"/>
    <x v="1"/>
    <n v="7"/>
    <m/>
    <s v="Pocas Unidades"/>
    <s v="No valorado"/>
    <s v="False"/>
    <m/>
    <n v="0"/>
    <n v="165.1"/>
    <x v="0"/>
    <n v="0"/>
  </r>
  <r>
    <s v="FB000543"/>
    <x v="3"/>
    <x v="6"/>
    <x v="1"/>
    <s v="XXL"/>
    <x v="4"/>
    <x v="4"/>
    <n v="147.25"/>
    <x v="0"/>
    <n v="0"/>
    <n v="147.25"/>
    <n v="0"/>
    <d v="2025-08-06T00:00:00"/>
    <x v="1"/>
    <x v="1"/>
    <n v="15"/>
    <n v="2.7"/>
    <s v="Ok"/>
    <n v="2.7"/>
    <s v="False"/>
    <m/>
    <n v="0"/>
    <n v="147.25"/>
    <x v="0"/>
    <n v="0"/>
  </r>
  <r>
    <s v="FB000544"/>
    <x v="3"/>
    <x v="1"/>
    <x v="2"/>
    <s v="L"/>
    <x v="1"/>
    <x v="1"/>
    <n v="126.23"/>
    <x v="0"/>
    <n v="0"/>
    <n v="126.23"/>
    <n v="0"/>
    <d v="2025-08-06T00:00:00"/>
    <x v="1"/>
    <x v="1"/>
    <n v="48"/>
    <n v="2.1"/>
    <s v="Ok"/>
    <n v="2.1"/>
    <s v="False"/>
    <m/>
    <n v="0"/>
    <n v="126.23"/>
    <x v="0"/>
    <n v="0"/>
  </r>
  <r>
    <s v="FB000545"/>
    <x v="0"/>
    <x v="5"/>
    <x v="2"/>
    <s v="M"/>
    <x v="6"/>
    <x v="8"/>
    <n v="229.04"/>
    <x v="0"/>
    <n v="0"/>
    <n v="229.04"/>
    <n v="0"/>
    <d v="2025-08-06T00:00:00"/>
    <x v="1"/>
    <x v="1"/>
    <n v="5"/>
    <n v="4.5"/>
    <s v="Pocas Unidades"/>
    <n v="4.5"/>
    <s v="False"/>
    <m/>
    <n v="0"/>
    <n v="229.04"/>
    <x v="0"/>
    <n v="0"/>
  </r>
  <r>
    <s v="FB000546"/>
    <x v="2"/>
    <x v="5"/>
    <x v="1"/>
    <m/>
    <x v="2"/>
    <x v="4"/>
    <n v="38.65"/>
    <x v="180"/>
    <n v="0.32600000000000001"/>
    <n v="26.05"/>
    <n v="12.599999999999998"/>
    <d v="2025-08-06T00:00:00"/>
    <x v="1"/>
    <x v="1"/>
    <n v="46"/>
    <n v="1.1000000000000001"/>
    <s v="Ok"/>
    <n v="1.1000000000000001"/>
    <s v="False"/>
    <m/>
    <n v="0"/>
    <n v="26.05"/>
    <x v="0"/>
    <n v="0"/>
  </r>
  <r>
    <s v="FB000547"/>
    <x v="4"/>
    <x v="2"/>
    <x v="0"/>
    <s v="XS"/>
    <x v="5"/>
    <x v="1"/>
    <n v="80.819999999999993"/>
    <x v="0"/>
    <n v="0"/>
    <n v="80.819999999999993"/>
    <n v="0"/>
    <d v="2025-02-11T00:00:00"/>
    <x v="3"/>
    <x v="9"/>
    <n v="42"/>
    <m/>
    <s v="Ok"/>
    <s v="No valorado"/>
    <s v="False"/>
    <m/>
    <n v="0"/>
    <n v="80.819999999999993"/>
    <x v="0"/>
    <n v="0"/>
  </r>
  <r>
    <s v="FB000548"/>
    <x v="2"/>
    <x v="1"/>
    <x v="0"/>
    <m/>
    <x v="2"/>
    <x v="7"/>
    <n v="56.44"/>
    <x v="0"/>
    <n v="0"/>
    <n v="56.44"/>
    <n v="0"/>
    <d v="2025-03-18T00:00:00"/>
    <x v="3"/>
    <x v="3"/>
    <n v="35"/>
    <n v="4"/>
    <s v="Ok"/>
    <n v="4"/>
    <s v="False"/>
    <m/>
    <n v="0"/>
    <n v="56.44"/>
    <x v="0"/>
    <n v="0"/>
  </r>
  <r>
    <s v="FB000549"/>
    <x v="5"/>
    <x v="0"/>
    <x v="2"/>
    <s v="M"/>
    <x v="6"/>
    <x v="7"/>
    <n v="121.3"/>
    <x v="0"/>
    <n v="0"/>
    <n v="121.3"/>
    <n v="0"/>
    <d v="2025-08-06T00:00:00"/>
    <x v="1"/>
    <x v="1"/>
    <n v="33"/>
    <n v="2.2999999999999998"/>
    <s v="Ok"/>
    <n v="2.2999999999999998"/>
    <s v="False"/>
    <m/>
    <n v="0"/>
    <n v="121.3"/>
    <x v="0"/>
    <n v="0"/>
  </r>
  <r>
    <s v="FB000550"/>
    <x v="4"/>
    <x v="6"/>
    <x v="2"/>
    <m/>
    <x v="7"/>
    <x v="2"/>
    <n v="101.98"/>
    <x v="181"/>
    <n v="0.28399999999999997"/>
    <n v="73.02"/>
    <n v="28.960000000000008"/>
    <d v="2025-08-06T00:00:00"/>
    <x v="1"/>
    <x v="1"/>
    <n v="40"/>
    <n v="4.5"/>
    <s v="Ok"/>
    <n v="4.5"/>
    <s v="False"/>
    <m/>
    <n v="0"/>
    <n v="73.02"/>
    <x v="0"/>
    <n v="0"/>
  </r>
  <r>
    <s v="FB000551"/>
    <x v="4"/>
    <x v="2"/>
    <x v="0"/>
    <s v="L"/>
    <x v="1"/>
    <x v="0"/>
    <n v="89.99"/>
    <x v="0"/>
    <n v="0"/>
    <n v="89.99"/>
    <n v="0"/>
    <d v="2025-02-28T00:00:00"/>
    <x v="4"/>
    <x v="9"/>
    <n v="26"/>
    <n v="4.0999999999999996"/>
    <s v="Ok"/>
    <n v="4.0999999999999996"/>
    <s v="False"/>
    <m/>
    <n v="0"/>
    <n v="89.99"/>
    <x v="0"/>
    <n v="0"/>
  </r>
  <r>
    <s v="FB000552"/>
    <x v="3"/>
    <x v="7"/>
    <x v="3"/>
    <s v="XXL"/>
    <x v="4"/>
    <x v="6"/>
    <n v="64.31"/>
    <x v="182"/>
    <n v="0.34499999999999997"/>
    <n v="42.12"/>
    <n v="22.190000000000005"/>
    <d v="2025-08-06T00:00:00"/>
    <x v="1"/>
    <x v="1"/>
    <n v="48"/>
    <n v="4.5"/>
    <s v="Ok"/>
    <n v="4.5"/>
    <s v="False"/>
    <m/>
    <n v="0"/>
    <n v="42.12"/>
    <x v="0"/>
    <n v="0"/>
  </r>
  <r>
    <s v="FB000553"/>
    <x v="5"/>
    <x v="0"/>
    <x v="0"/>
    <s v="L"/>
    <x v="1"/>
    <x v="7"/>
    <n v="168.92"/>
    <x v="0"/>
    <n v="0"/>
    <n v="168.92"/>
    <n v="0"/>
    <d v="2025-07-14T00:00:00"/>
    <x v="2"/>
    <x v="0"/>
    <n v="11"/>
    <n v="4.4000000000000004"/>
    <s v="Ok"/>
    <n v="4.4000000000000004"/>
    <s v="False"/>
    <m/>
    <n v="0"/>
    <n v="168.92"/>
    <x v="0"/>
    <n v="0"/>
  </r>
  <r>
    <s v="FB000554"/>
    <x v="4"/>
    <x v="6"/>
    <x v="3"/>
    <s v="XL"/>
    <x v="0"/>
    <x v="8"/>
    <n v="86.46"/>
    <x v="41"/>
    <n v="0.495"/>
    <n v="43.66"/>
    <n v="42.8"/>
    <d v="2025-08-06T00:00:00"/>
    <x v="1"/>
    <x v="1"/>
    <n v="19"/>
    <n v="4.3"/>
    <s v="Ok"/>
    <n v="4.3"/>
    <s v="False"/>
    <m/>
    <n v="0"/>
    <n v="43.66"/>
    <x v="0"/>
    <n v="0"/>
  </r>
  <r>
    <s v="FB000555"/>
    <x v="1"/>
    <x v="7"/>
    <x v="1"/>
    <s v="XS"/>
    <x v="5"/>
    <x v="0"/>
    <n v="36.840000000000003"/>
    <x v="183"/>
    <n v="0.18899999999999997"/>
    <n v="29.88"/>
    <n v="6.9600000000000044"/>
    <d v="2025-08-06T00:00:00"/>
    <x v="1"/>
    <x v="1"/>
    <n v="39"/>
    <n v="1.2"/>
    <s v="Ok"/>
    <n v="1.2"/>
    <s v="False"/>
    <m/>
    <n v="0"/>
    <n v="29.88"/>
    <x v="0"/>
    <n v="0"/>
  </r>
  <r>
    <s v="FB000556"/>
    <x v="1"/>
    <x v="5"/>
    <x v="0"/>
    <s v="XS"/>
    <x v="5"/>
    <x v="1"/>
    <n v="38.5"/>
    <x v="0"/>
    <n v="0"/>
    <n v="38.5"/>
    <n v="0"/>
    <d v="2025-03-06T00:00:00"/>
    <x v="5"/>
    <x v="3"/>
    <n v="2"/>
    <n v="3.2"/>
    <s v="Pocas Unidades"/>
    <n v="3.2"/>
    <s v="False"/>
    <m/>
    <n v="0"/>
    <n v="38.5"/>
    <x v="0"/>
    <n v="0"/>
  </r>
  <r>
    <s v="FB000557"/>
    <x v="4"/>
    <x v="3"/>
    <x v="1"/>
    <m/>
    <x v="7"/>
    <x v="7"/>
    <n v="68.02"/>
    <x v="164"/>
    <n v="0.377"/>
    <n v="42.38"/>
    <n v="25.639999999999993"/>
    <d v="2025-08-06T00:00:00"/>
    <x v="1"/>
    <x v="1"/>
    <n v="40"/>
    <n v="2.1"/>
    <s v="Ok"/>
    <n v="2.1"/>
    <s v="False"/>
    <m/>
    <n v="0"/>
    <n v="42.38"/>
    <x v="0"/>
    <n v="0"/>
  </r>
  <r>
    <s v="FB000558"/>
    <x v="5"/>
    <x v="1"/>
    <x v="2"/>
    <s v="M"/>
    <x v="6"/>
    <x v="10"/>
    <n v="117.23"/>
    <x v="0"/>
    <n v="0"/>
    <n v="117.23"/>
    <n v="0"/>
    <d v="2025-08-06T00:00:00"/>
    <x v="1"/>
    <x v="1"/>
    <n v="30"/>
    <m/>
    <s v="Ok"/>
    <s v="No valorado"/>
    <s v="True"/>
    <s v="Changed Mind"/>
    <n v="1"/>
    <n v="0"/>
    <x v="5"/>
    <n v="0"/>
  </r>
  <r>
    <s v="FB000559"/>
    <x v="1"/>
    <x v="5"/>
    <x v="0"/>
    <s v="S"/>
    <x v="3"/>
    <x v="8"/>
    <n v="79.33"/>
    <x v="0"/>
    <n v="0"/>
    <n v="79.33"/>
    <n v="0"/>
    <d v="2025-01-30T00:00:00"/>
    <x v="5"/>
    <x v="5"/>
    <n v="10"/>
    <n v="3.4"/>
    <s v="Ok"/>
    <n v="3.4"/>
    <s v="True"/>
    <s v="Changed Mind"/>
    <n v="1"/>
    <n v="0"/>
    <x v="5"/>
    <n v="0"/>
  </r>
  <r>
    <s v="FB000560"/>
    <x v="4"/>
    <x v="3"/>
    <x v="3"/>
    <s v="L"/>
    <x v="1"/>
    <x v="6"/>
    <n v="75.819999999999993"/>
    <x v="76"/>
    <n v="0.42700000000000005"/>
    <n v="43.44"/>
    <n v="32.379999999999995"/>
    <d v="2025-08-06T00:00:00"/>
    <x v="1"/>
    <x v="1"/>
    <n v="11"/>
    <n v="2"/>
    <s v="Ok"/>
    <n v="2"/>
    <s v="False"/>
    <m/>
    <n v="0"/>
    <n v="43.44"/>
    <x v="0"/>
    <n v="0"/>
  </r>
  <r>
    <s v="FB000561"/>
    <x v="5"/>
    <x v="5"/>
    <x v="0"/>
    <s v="M"/>
    <x v="6"/>
    <x v="3"/>
    <n v="141.41999999999999"/>
    <x v="0"/>
    <n v="0"/>
    <n v="141.41999999999999"/>
    <n v="0"/>
    <d v="2025-03-25T00:00:00"/>
    <x v="3"/>
    <x v="3"/>
    <n v="10"/>
    <n v="2.5"/>
    <s v="Ok"/>
    <n v="2.5"/>
    <s v="False"/>
    <m/>
    <n v="0"/>
    <n v="141.41999999999999"/>
    <x v="0"/>
    <n v="0"/>
  </r>
  <r>
    <s v="FB000562"/>
    <x v="3"/>
    <x v="1"/>
    <x v="0"/>
    <s v="L"/>
    <x v="1"/>
    <x v="2"/>
    <n v="124.2"/>
    <x v="0"/>
    <n v="0"/>
    <n v="124.2"/>
    <n v="0"/>
    <d v="2024-08-28T00:00:00"/>
    <x v="1"/>
    <x v="1"/>
    <n v="24"/>
    <n v="1"/>
    <s v="Ok"/>
    <n v="1"/>
    <s v="False"/>
    <m/>
    <n v="0"/>
    <n v="124.2"/>
    <x v="0"/>
    <n v="0"/>
  </r>
  <r>
    <s v="FB000563"/>
    <x v="4"/>
    <x v="7"/>
    <x v="1"/>
    <s v="L"/>
    <x v="1"/>
    <x v="8"/>
    <n v="48.42"/>
    <x v="0"/>
    <n v="0"/>
    <n v="48.42"/>
    <n v="0"/>
    <d v="2025-08-06T00:00:00"/>
    <x v="1"/>
    <x v="1"/>
    <n v="6"/>
    <n v="4.3"/>
    <s v="Pocas Unidades"/>
    <n v="4.3"/>
    <s v="False"/>
    <m/>
    <n v="0"/>
    <n v="48.42"/>
    <x v="0"/>
    <n v="0"/>
  </r>
  <r>
    <s v="FB000564"/>
    <x v="5"/>
    <x v="4"/>
    <x v="2"/>
    <s v="XS"/>
    <x v="5"/>
    <x v="4"/>
    <n v="119.4"/>
    <x v="0"/>
    <n v="0"/>
    <n v="119.4"/>
    <n v="0"/>
    <d v="2025-08-06T00:00:00"/>
    <x v="1"/>
    <x v="1"/>
    <n v="45"/>
    <n v="4.2"/>
    <s v="Ok"/>
    <n v="4.2"/>
    <s v="False"/>
    <m/>
    <n v="0"/>
    <n v="119.4"/>
    <x v="0"/>
    <n v="0"/>
  </r>
  <r>
    <s v="FB000565"/>
    <x v="3"/>
    <x v="3"/>
    <x v="3"/>
    <s v="M"/>
    <x v="6"/>
    <x v="10"/>
    <n v="186.07"/>
    <x v="0"/>
    <n v="0"/>
    <n v="186.07"/>
    <n v="0"/>
    <d v="2025-08-06T00:00:00"/>
    <x v="1"/>
    <x v="1"/>
    <n v="41"/>
    <n v="2.6"/>
    <s v="Ok"/>
    <n v="2.6"/>
    <s v="False"/>
    <m/>
    <n v="0"/>
    <n v="186.07"/>
    <x v="0"/>
    <n v="0"/>
  </r>
  <r>
    <s v="FB000566"/>
    <x v="3"/>
    <x v="3"/>
    <x v="3"/>
    <s v="XL"/>
    <x v="0"/>
    <x v="10"/>
    <n v="109.46"/>
    <x v="0"/>
    <n v="0"/>
    <n v="109.46"/>
    <n v="0"/>
    <d v="2025-08-06T00:00:00"/>
    <x v="1"/>
    <x v="1"/>
    <n v="38"/>
    <n v="4.0999999999999996"/>
    <s v="Ok"/>
    <n v="4.0999999999999996"/>
    <s v="False"/>
    <m/>
    <n v="0"/>
    <n v="109.46"/>
    <x v="0"/>
    <n v="0"/>
  </r>
  <r>
    <s v="FB000567"/>
    <x v="5"/>
    <x v="6"/>
    <x v="1"/>
    <s v="S"/>
    <x v="3"/>
    <x v="4"/>
    <n v="116.18"/>
    <x v="76"/>
    <n v="0.42700000000000005"/>
    <n v="66.569999999999993"/>
    <n v="49.610000000000014"/>
    <d v="2025-08-06T00:00:00"/>
    <x v="1"/>
    <x v="1"/>
    <n v="3"/>
    <n v="3.5"/>
    <s v="Pocas Unidades"/>
    <n v="3.5"/>
    <s v="False"/>
    <m/>
    <n v="0"/>
    <n v="66.569999999999993"/>
    <x v="0"/>
    <n v="0"/>
  </r>
  <r>
    <s v="FB000568"/>
    <x v="2"/>
    <x v="0"/>
    <x v="1"/>
    <m/>
    <x v="2"/>
    <x v="6"/>
    <n v="41.29"/>
    <x v="22"/>
    <n v="0.26300000000000001"/>
    <n v="30.43"/>
    <n v="10.86"/>
    <d v="2025-08-06T00:00:00"/>
    <x v="1"/>
    <x v="1"/>
    <n v="5"/>
    <n v="4.7"/>
    <s v="Pocas Unidades"/>
    <n v="4.7"/>
    <s v="False"/>
    <m/>
    <n v="0"/>
    <n v="30.43"/>
    <x v="0"/>
    <n v="0"/>
  </r>
  <r>
    <s v="FB000569"/>
    <x v="1"/>
    <x v="1"/>
    <x v="1"/>
    <s v="S"/>
    <x v="3"/>
    <x v="6"/>
    <n v="94.68"/>
    <x v="184"/>
    <n v="0.45"/>
    <n v="52.07"/>
    <n v="42.610000000000007"/>
    <d v="2025-08-06T00:00:00"/>
    <x v="1"/>
    <x v="1"/>
    <n v="47"/>
    <n v="2.6"/>
    <s v="Ok"/>
    <n v="2.6"/>
    <s v="False"/>
    <m/>
    <n v="0"/>
    <n v="52.07"/>
    <x v="0"/>
    <n v="0"/>
  </r>
  <r>
    <s v="FB000570"/>
    <x v="2"/>
    <x v="0"/>
    <x v="0"/>
    <m/>
    <x v="2"/>
    <x v="3"/>
    <n v="48.55"/>
    <x v="185"/>
    <n v="0.32700000000000001"/>
    <n v="32.67"/>
    <n v="15.879999999999995"/>
    <d v="2024-10-01T00:00:00"/>
    <x v="3"/>
    <x v="2"/>
    <n v="39"/>
    <n v="2.8"/>
    <s v="Ok"/>
    <n v="2.8"/>
    <s v="False"/>
    <m/>
    <n v="0"/>
    <n v="32.67"/>
    <x v="0"/>
    <n v="0"/>
  </r>
  <r>
    <s v="FB000571"/>
    <x v="1"/>
    <x v="6"/>
    <x v="3"/>
    <s v="M"/>
    <x v="6"/>
    <x v="9"/>
    <n v="75.22"/>
    <x v="0"/>
    <n v="0"/>
    <n v="75.22"/>
    <n v="0"/>
    <d v="2025-08-06T00:00:00"/>
    <x v="1"/>
    <x v="1"/>
    <n v="22"/>
    <n v="2.1"/>
    <s v="Ok"/>
    <n v="2.1"/>
    <s v="True"/>
    <s v="Size Issue"/>
    <n v="1"/>
    <n v="0"/>
    <x v="2"/>
    <n v="0"/>
  </r>
  <r>
    <s v="FB000572"/>
    <x v="3"/>
    <x v="4"/>
    <x v="3"/>
    <s v="XS"/>
    <x v="5"/>
    <x v="3"/>
    <n v="98.95"/>
    <x v="16"/>
    <n v="0.30299999999999999"/>
    <n v="68.97"/>
    <n v="29.980000000000004"/>
    <d v="2025-08-06T00:00:00"/>
    <x v="1"/>
    <x v="1"/>
    <n v="16"/>
    <m/>
    <s v="Ok"/>
    <s v="No valorado"/>
    <s v="False"/>
    <m/>
    <n v="0"/>
    <n v="68.97"/>
    <x v="0"/>
    <n v="0"/>
  </r>
  <r>
    <s v="FB000573"/>
    <x v="1"/>
    <x v="4"/>
    <x v="0"/>
    <s v="XL"/>
    <x v="0"/>
    <x v="10"/>
    <n v="39.56"/>
    <x v="0"/>
    <n v="0"/>
    <n v="39.56"/>
    <n v="0"/>
    <d v="2025-01-21T00:00:00"/>
    <x v="3"/>
    <x v="5"/>
    <n v="15"/>
    <m/>
    <s v="Ok"/>
    <s v="No valorado"/>
    <s v="False"/>
    <m/>
    <n v="0"/>
    <n v="39.56"/>
    <x v="0"/>
    <n v="0"/>
  </r>
  <r>
    <s v="FB000574"/>
    <x v="0"/>
    <x v="1"/>
    <x v="1"/>
    <s v="S"/>
    <x v="3"/>
    <x v="3"/>
    <n v="153.88"/>
    <x v="0"/>
    <n v="0"/>
    <n v="153.88"/>
    <n v="0"/>
    <d v="2025-08-06T00:00:00"/>
    <x v="1"/>
    <x v="1"/>
    <n v="42"/>
    <n v="2.2000000000000002"/>
    <s v="Ok"/>
    <n v="2.2000000000000002"/>
    <s v="False"/>
    <m/>
    <n v="0"/>
    <n v="153.88"/>
    <x v="0"/>
    <n v="0"/>
  </r>
  <r>
    <s v="FB000575"/>
    <x v="2"/>
    <x v="5"/>
    <x v="3"/>
    <m/>
    <x v="2"/>
    <x v="7"/>
    <n v="68.87"/>
    <x v="0"/>
    <n v="0"/>
    <n v="68.87"/>
    <n v="0"/>
    <d v="2025-08-06T00:00:00"/>
    <x v="1"/>
    <x v="1"/>
    <n v="9"/>
    <n v="1.1000000000000001"/>
    <s v="Pocas Unidades"/>
    <n v="1.1000000000000001"/>
    <s v="False"/>
    <m/>
    <n v="0"/>
    <n v="68.87"/>
    <x v="0"/>
    <n v="0"/>
  </r>
  <r>
    <s v="FB000576"/>
    <x v="4"/>
    <x v="5"/>
    <x v="2"/>
    <s v="M"/>
    <x v="6"/>
    <x v="1"/>
    <n v="25.56"/>
    <x v="177"/>
    <n v="0.38900000000000001"/>
    <n v="15.62"/>
    <n v="9.94"/>
    <d v="2025-08-06T00:00:00"/>
    <x v="1"/>
    <x v="1"/>
    <n v="48"/>
    <m/>
    <s v="Ok"/>
    <s v="No valorado"/>
    <s v="False"/>
    <m/>
    <n v="0"/>
    <n v="15.62"/>
    <x v="0"/>
    <n v="0"/>
  </r>
  <r>
    <s v="FB000577"/>
    <x v="0"/>
    <x v="4"/>
    <x v="2"/>
    <s v="XXL"/>
    <x v="4"/>
    <x v="3"/>
    <n v="246.49"/>
    <x v="0"/>
    <n v="0"/>
    <n v="246.49"/>
    <n v="0"/>
    <d v="2025-08-06T00:00:00"/>
    <x v="1"/>
    <x v="1"/>
    <n v="20"/>
    <n v="4.8"/>
    <s v="Ok"/>
    <n v="4.8"/>
    <s v="False"/>
    <m/>
    <n v="0"/>
    <n v="246.49"/>
    <x v="0"/>
    <n v="0"/>
  </r>
  <r>
    <s v="FB000578"/>
    <x v="2"/>
    <x v="4"/>
    <x v="2"/>
    <m/>
    <x v="2"/>
    <x v="6"/>
    <n v="52.41"/>
    <x v="0"/>
    <n v="0"/>
    <n v="52.41"/>
    <n v="0"/>
    <d v="2025-08-06T00:00:00"/>
    <x v="1"/>
    <x v="1"/>
    <n v="14"/>
    <m/>
    <s v="Ok"/>
    <s v="No valorado"/>
    <s v="False"/>
    <m/>
    <n v="0"/>
    <n v="52.41"/>
    <x v="0"/>
    <n v="0"/>
  </r>
  <r>
    <s v="FB000579"/>
    <x v="1"/>
    <x v="0"/>
    <x v="3"/>
    <s v="M"/>
    <x v="6"/>
    <x v="8"/>
    <n v="33.770000000000003"/>
    <x v="0"/>
    <n v="0"/>
    <n v="33.770000000000003"/>
    <n v="0"/>
    <d v="2025-08-06T00:00:00"/>
    <x v="1"/>
    <x v="1"/>
    <n v="12"/>
    <n v="3.8"/>
    <s v="Ok"/>
    <n v="3.8"/>
    <s v="False"/>
    <m/>
    <n v="0"/>
    <n v="33.770000000000003"/>
    <x v="0"/>
    <n v="0"/>
  </r>
  <r>
    <s v="FB000580"/>
    <x v="3"/>
    <x v="4"/>
    <x v="3"/>
    <s v="M"/>
    <x v="6"/>
    <x v="1"/>
    <n v="96.7"/>
    <x v="0"/>
    <n v="0"/>
    <n v="96.7"/>
    <n v="0"/>
    <d v="2025-08-06T00:00:00"/>
    <x v="1"/>
    <x v="1"/>
    <n v="28"/>
    <n v="3"/>
    <s v="Ok"/>
    <n v="3"/>
    <s v="False"/>
    <m/>
    <n v="0"/>
    <n v="96.7"/>
    <x v="0"/>
    <n v="0"/>
  </r>
  <r>
    <s v="FB000581"/>
    <x v="5"/>
    <x v="4"/>
    <x v="0"/>
    <s v="M"/>
    <x v="6"/>
    <x v="0"/>
    <n v="95.81"/>
    <x v="0"/>
    <n v="0"/>
    <n v="95.81"/>
    <n v="0"/>
    <d v="2025-05-09T00:00:00"/>
    <x v="4"/>
    <x v="8"/>
    <n v="47"/>
    <n v="4.9000000000000004"/>
    <s v="Ok"/>
    <n v="4.9000000000000004"/>
    <s v="False"/>
    <m/>
    <n v="0"/>
    <n v="95.81"/>
    <x v="0"/>
    <n v="0"/>
  </r>
  <r>
    <s v="FB000582"/>
    <x v="1"/>
    <x v="6"/>
    <x v="2"/>
    <s v="M"/>
    <x v="6"/>
    <x v="10"/>
    <n v="41.58"/>
    <x v="0"/>
    <n v="0"/>
    <n v="41.58"/>
    <n v="0"/>
    <d v="2025-08-06T00:00:00"/>
    <x v="1"/>
    <x v="1"/>
    <n v="3"/>
    <n v="1.6"/>
    <s v="Pocas Unidades"/>
    <n v="1.6"/>
    <s v="False"/>
    <m/>
    <n v="0"/>
    <n v="41.58"/>
    <x v="0"/>
    <n v="0"/>
  </r>
  <r>
    <s v="FB000583"/>
    <x v="1"/>
    <x v="1"/>
    <x v="3"/>
    <s v="XL"/>
    <x v="0"/>
    <x v="4"/>
    <n v="46.67"/>
    <x v="24"/>
    <n v="6.6000000000000003E-2"/>
    <n v="43.59"/>
    <n v="3.0799999999999983"/>
    <d v="2025-08-06T00:00:00"/>
    <x v="1"/>
    <x v="1"/>
    <n v="35"/>
    <n v="1.3"/>
    <s v="Ok"/>
    <n v="1.3"/>
    <s v="True"/>
    <s v="Quality Issue"/>
    <n v="1"/>
    <n v="0"/>
    <x v="4"/>
    <n v="0"/>
  </r>
  <r>
    <s v="FB000584"/>
    <x v="4"/>
    <x v="0"/>
    <x v="1"/>
    <s v="L"/>
    <x v="1"/>
    <x v="7"/>
    <n v="25.98"/>
    <x v="152"/>
    <n v="0.59399999999999997"/>
    <n v="10.55"/>
    <n v="15.43"/>
    <d v="2025-08-06T00:00:00"/>
    <x v="1"/>
    <x v="1"/>
    <n v="40"/>
    <m/>
    <s v="Ok"/>
    <s v="No valorado"/>
    <s v="False"/>
    <m/>
    <n v="0"/>
    <n v="10.55"/>
    <x v="0"/>
    <n v="0"/>
  </r>
  <r>
    <s v="FB000585"/>
    <x v="0"/>
    <x v="1"/>
    <x v="3"/>
    <s v="L"/>
    <x v="1"/>
    <x v="7"/>
    <n v="204.82"/>
    <x v="186"/>
    <n v="0.14000000000000001"/>
    <n v="176.15"/>
    <n v="28.669999999999987"/>
    <d v="2025-08-06T00:00:00"/>
    <x v="1"/>
    <x v="1"/>
    <n v="27"/>
    <n v="3.8"/>
    <s v="Ok"/>
    <n v="3.8"/>
    <s v="False"/>
    <m/>
    <n v="0"/>
    <n v="176.15"/>
    <x v="0"/>
    <n v="0"/>
  </r>
  <r>
    <s v="FB000586"/>
    <x v="1"/>
    <x v="0"/>
    <x v="1"/>
    <s v="XXL"/>
    <x v="4"/>
    <x v="1"/>
    <n v="43.43"/>
    <x v="187"/>
    <n v="0.47100000000000003"/>
    <n v="22.97"/>
    <n v="20.46"/>
    <d v="2025-08-06T00:00:00"/>
    <x v="1"/>
    <x v="1"/>
    <n v="44"/>
    <n v="4.7"/>
    <s v="Ok"/>
    <n v="4.7"/>
    <s v="False"/>
    <m/>
    <n v="0"/>
    <n v="22.97"/>
    <x v="0"/>
    <n v="0"/>
  </r>
  <r>
    <s v="FB000587"/>
    <x v="2"/>
    <x v="4"/>
    <x v="3"/>
    <m/>
    <x v="2"/>
    <x v="5"/>
    <n v="40.5"/>
    <x v="188"/>
    <n v="0.40500000000000003"/>
    <n v="24.1"/>
    <n v="16.399999999999999"/>
    <d v="2025-08-06T00:00:00"/>
    <x v="1"/>
    <x v="1"/>
    <n v="25"/>
    <n v="2.9"/>
    <s v="Ok"/>
    <n v="2.9"/>
    <s v="False"/>
    <m/>
    <n v="0"/>
    <n v="24.1"/>
    <x v="0"/>
    <n v="0"/>
  </r>
  <r>
    <s v="FB000588"/>
    <x v="4"/>
    <x v="7"/>
    <x v="1"/>
    <s v="M"/>
    <x v="6"/>
    <x v="0"/>
    <n v="73.59"/>
    <x v="189"/>
    <n v="0.16600000000000001"/>
    <n v="61.37"/>
    <n v="12.220000000000006"/>
    <d v="2025-08-06T00:00:00"/>
    <x v="1"/>
    <x v="1"/>
    <n v="34"/>
    <n v="4"/>
    <s v="Ok"/>
    <n v="4"/>
    <s v="False"/>
    <m/>
    <n v="0"/>
    <n v="61.37"/>
    <x v="0"/>
    <n v="0"/>
  </r>
  <r>
    <s v="FB000589"/>
    <x v="2"/>
    <x v="5"/>
    <x v="3"/>
    <m/>
    <x v="2"/>
    <x v="8"/>
    <n v="17.670000000000002"/>
    <x v="0"/>
    <n v="0"/>
    <n v="17.670000000000002"/>
    <n v="0"/>
    <d v="2025-08-06T00:00:00"/>
    <x v="1"/>
    <x v="1"/>
    <n v="29"/>
    <n v="4.3"/>
    <s v="Ok"/>
    <n v="4.3"/>
    <s v="False"/>
    <m/>
    <n v="0"/>
    <n v="17.670000000000002"/>
    <x v="0"/>
    <n v="0"/>
  </r>
  <r>
    <s v="FB000590"/>
    <x v="5"/>
    <x v="6"/>
    <x v="1"/>
    <s v="S"/>
    <x v="3"/>
    <x v="6"/>
    <n v="70.010000000000005"/>
    <x v="190"/>
    <n v="0.28000000000000003"/>
    <n v="50.41"/>
    <n v="19.600000000000009"/>
    <d v="2025-08-06T00:00:00"/>
    <x v="1"/>
    <x v="1"/>
    <n v="23"/>
    <m/>
    <s v="Ok"/>
    <s v="No valorado"/>
    <s v="False"/>
    <m/>
    <n v="0"/>
    <n v="50.41"/>
    <x v="0"/>
    <n v="0"/>
  </r>
  <r>
    <s v="FB000591"/>
    <x v="3"/>
    <x v="3"/>
    <x v="2"/>
    <s v="XS"/>
    <x v="5"/>
    <x v="0"/>
    <n v="79.319999999999993"/>
    <x v="191"/>
    <n v="0.33700000000000002"/>
    <n v="52.59"/>
    <n v="26.72999999999999"/>
    <d v="2025-08-06T00:00:00"/>
    <x v="1"/>
    <x v="1"/>
    <n v="38"/>
    <n v="3"/>
    <s v="Ok"/>
    <n v="3"/>
    <s v="True"/>
    <s v="Size Issue"/>
    <n v="1"/>
    <n v="0"/>
    <x v="2"/>
    <n v="0"/>
  </r>
  <r>
    <s v="FB000592"/>
    <x v="2"/>
    <x v="0"/>
    <x v="3"/>
    <m/>
    <x v="2"/>
    <x v="7"/>
    <n v="45.24"/>
    <x v="0"/>
    <n v="0"/>
    <n v="45.24"/>
    <n v="0"/>
    <d v="2025-08-06T00:00:00"/>
    <x v="1"/>
    <x v="1"/>
    <n v="20"/>
    <n v="3"/>
    <s v="Ok"/>
    <n v="3"/>
    <s v="True"/>
    <s v="Quality Issue"/>
    <n v="1"/>
    <n v="0"/>
    <x v="4"/>
    <n v="0"/>
  </r>
  <r>
    <s v="FB000593"/>
    <x v="1"/>
    <x v="4"/>
    <x v="3"/>
    <s v="XXL"/>
    <x v="4"/>
    <x v="0"/>
    <n v="63.51"/>
    <x v="192"/>
    <n v="0.13600000000000001"/>
    <n v="54.87"/>
    <n v="8.64"/>
    <d v="2025-08-06T00:00:00"/>
    <x v="1"/>
    <x v="1"/>
    <n v="19"/>
    <m/>
    <s v="Ok"/>
    <s v="No valorado"/>
    <s v="False"/>
    <m/>
    <n v="0"/>
    <n v="54.87"/>
    <x v="0"/>
    <n v="0"/>
  </r>
  <r>
    <s v="FB000594"/>
    <x v="4"/>
    <x v="5"/>
    <x v="1"/>
    <s v="XXL"/>
    <x v="4"/>
    <x v="3"/>
    <n v="55.23"/>
    <x v="193"/>
    <n v="0.33600000000000002"/>
    <n v="36.67"/>
    <n v="18.559999999999995"/>
    <d v="2025-08-06T00:00:00"/>
    <x v="1"/>
    <x v="1"/>
    <n v="9"/>
    <m/>
    <s v="Pocas Unidades"/>
    <s v="No valorado"/>
    <s v="False"/>
    <m/>
    <n v="0"/>
    <n v="36.67"/>
    <x v="0"/>
    <n v="0"/>
  </r>
  <r>
    <s v="FB000595"/>
    <x v="5"/>
    <x v="2"/>
    <x v="2"/>
    <s v="M"/>
    <x v="6"/>
    <x v="8"/>
    <n v="137.59"/>
    <x v="0"/>
    <n v="0"/>
    <n v="137.59"/>
    <n v="0"/>
    <d v="2025-08-06T00:00:00"/>
    <x v="1"/>
    <x v="1"/>
    <n v="18"/>
    <m/>
    <s v="Ok"/>
    <s v="No valorado"/>
    <s v="False"/>
    <m/>
    <n v="0"/>
    <n v="137.59"/>
    <x v="0"/>
    <n v="0"/>
  </r>
  <r>
    <s v="FB000596"/>
    <x v="3"/>
    <x v="4"/>
    <x v="2"/>
    <m/>
    <x v="7"/>
    <x v="3"/>
    <n v="65.8"/>
    <x v="0"/>
    <n v="0"/>
    <n v="65.8"/>
    <n v="0"/>
    <d v="2025-08-06T00:00:00"/>
    <x v="1"/>
    <x v="1"/>
    <n v="46"/>
    <n v="3.2"/>
    <s v="Ok"/>
    <n v="3.2"/>
    <s v="False"/>
    <m/>
    <n v="0"/>
    <n v="65.8"/>
    <x v="0"/>
    <n v="0"/>
  </r>
  <r>
    <s v="FB000597"/>
    <x v="3"/>
    <x v="1"/>
    <x v="1"/>
    <s v="XL"/>
    <x v="0"/>
    <x v="5"/>
    <n v="88.42"/>
    <x v="0"/>
    <n v="0"/>
    <n v="88.42"/>
    <n v="0"/>
    <d v="2025-08-06T00:00:00"/>
    <x v="1"/>
    <x v="1"/>
    <n v="44"/>
    <n v="3.4"/>
    <s v="Ok"/>
    <n v="3.4"/>
    <s v="True"/>
    <s v="Damaged"/>
    <n v="1"/>
    <n v="0"/>
    <x v="3"/>
    <n v="0"/>
  </r>
  <r>
    <s v="FB000598"/>
    <x v="5"/>
    <x v="3"/>
    <x v="2"/>
    <s v="M"/>
    <x v="6"/>
    <x v="0"/>
    <n v="75.540000000000006"/>
    <x v="0"/>
    <n v="0"/>
    <n v="75.540000000000006"/>
    <n v="0"/>
    <d v="2025-08-06T00:00:00"/>
    <x v="1"/>
    <x v="1"/>
    <n v="6"/>
    <n v="4.5999999999999996"/>
    <s v="Pocas Unidades"/>
    <n v="4.5999999999999996"/>
    <s v="False"/>
    <m/>
    <n v="0"/>
    <n v="75.540000000000006"/>
    <x v="0"/>
    <n v="0"/>
  </r>
  <r>
    <s v="FB000599"/>
    <x v="3"/>
    <x v="4"/>
    <x v="0"/>
    <s v="L"/>
    <x v="1"/>
    <x v="3"/>
    <n v="185.13"/>
    <x v="0"/>
    <n v="0"/>
    <n v="185.13"/>
    <n v="0"/>
    <d v="2025-05-09T00:00:00"/>
    <x v="4"/>
    <x v="8"/>
    <n v="49"/>
    <n v="4.9000000000000004"/>
    <s v="Ok"/>
    <n v="4.9000000000000004"/>
    <s v="False"/>
    <m/>
    <n v="0"/>
    <n v="185.13"/>
    <x v="0"/>
    <n v="0"/>
  </r>
  <r>
    <s v="FB000600"/>
    <x v="0"/>
    <x v="3"/>
    <x v="2"/>
    <s v="L"/>
    <x v="1"/>
    <x v="2"/>
    <n v="132.58000000000001"/>
    <x v="0"/>
    <n v="0"/>
    <n v="132.58000000000001"/>
    <n v="0"/>
    <d v="2025-08-06T00:00:00"/>
    <x v="1"/>
    <x v="1"/>
    <n v="45"/>
    <n v="1.6"/>
    <s v="Ok"/>
    <n v="1.6"/>
    <s v="False"/>
    <m/>
    <n v="0"/>
    <n v="132.58000000000001"/>
    <x v="0"/>
    <n v="0"/>
  </r>
  <r>
    <s v="FB000601"/>
    <x v="4"/>
    <x v="0"/>
    <x v="2"/>
    <s v="M"/>
    <x v="6"/>
    <x v="3"/>
    <n v="93.38"/>
    <x v="0"/>
    <n v="0"/>
    <n v="93.38"/>
    <n v="0"/>
    <d v="2025-08-06T00:00:00"/>
    <x v="1"/>
    <x v="1"/>
    <n v="7"/>
    <n v="3.5"/>
    <s v="Pocas Unidades"/>
    <n v="3.5"/>
    <s v="False"/>
    <m/>
    <n v="0"/>
    <n v="93.38"/>
    <x v="0"/>
    <n v="0"/>
  </r>
  <r>
    <s v="FB000602"/>
    <x v="2"/>
    <x v="5"/>
    <x v="2"/>
    <m/>
    <x v="2"/>
    <x v="2"/>
    <n v="47.28"/>
    <x v="0"/>
    <n v="0"/>
    <n v="47.28"/>
    <n v="0"/>
    <d v="2025-08-06T00:00:00"/>
    <x v="1"/>
    <x v="1"/>
    <n v="38"/>
    <n v="4.2"/>
    <s v="Ok"/>
    <n v="4.2"/>
    <s v="False"/>
    <m/>
    <n v="0"/>
    <n v="47.28"/>
    <x v="0"/>
    <n v="0"/>
  </r>
  <r>
    <s v="FB000603"/>
    <x v="4"/>
    <x v="2"/>
    <x v="0"/>
    <s v="L"/>
    <x v="1"/>
    <x v="6"/>
    <n v="59.88"/>
    <x v="0"/>
    <n v="0"/>
    <n v="59.88"/>
    <n v="0"/>
    <d v="2024-10-12T00:00:00"/>
    <x v="0"/>
    <x v="2"/>
    <n v="33"/>
    <n v="2.9"/>
    <s v="Ok"/>
    <n v="2.9"/>
    <s v="False"/>
    <m/>
    <n v="0"/>
    <n v="59.88"/>
    <x v="0"/>
    <n v="0"/>
  </r>
  <r>
    <s v="FB000604"/>
    <x v="5"/>
    <x v="4"/>
    <x v="1"/>
    <s v="XXL"/>
    <x v="4"/>
    <x v="2"/>
    <n v="140.07"/>
    <x v="0"/>
    <n v="0"/>
    <n v="140.07"/>
    <n v="0"/>
    <d v="2025-08-06T00:00:00"/>
    <x v="1"/>
    <x v="1"/>
    <n v="15"/>
    <n v="2.7"/>
    <s v="Ok"/>
    <n v="2.7"/>
    <s v="False"/>
    <m/>
    <n v="0"/>
    <n v="140.07"/>
    <x v="0"/>
    <n v="0"/>
  </r>
  <r>
    <s v="FB000605"/>
    <x v="2"/>
    <x v="1"/>
    <x v="1"/>
    <m/>
    <x v="2"/>
    <x v="2"/>
    <n v="66.599999999999994"/>
    <x v="0"/>
    <n v="0"/>
    <n v="66.599999999999994"/>
    <n v="0"/>
    <d v="2025-08-06T00:00:00"/>
    <x v="1"/>
    <x v="1"/>
    <n v="47"/>
    <n v="4"/>
    <s v="Ok"/>
    <n v="4"/>
    <s v="False"/>
    <m/>
    <n v="0"/>
    <n v="66.599999999999994"/>
    <x v="0"/>
    <n v="0"/>
  </r>
  <r>
    <s v="FB000606"/>
    <x v="2"/>
    <x v="6"/>
    <x v="3"/>
    <m/>
    <x v="2"/>
    <x v="9"/>
    <n v="39.82"/>
    <x v="1"/>
    <n v="0.35399999999999998"/>
    <n v="25.72"/>
    <n v="14.100000000000001"/>
    <d v="2025-08-06T00:00:00"/>
    <x v="1"/>
    <x v="1"/>
    <n v="9"/>
    <n v="4.5999999999999996"/>
    <s v="Pocas Unidades"/>
    <n v="4.5999999999999996"/>
    <s v="False"/>
    <m/>
    <n v="0"/>
    <n v="25.72"/>
    <x v="0"/>
    <n v="0"/>
  </r>
  <r>
    <s v="FB000607"/>
    <x v="2"/>
    <x v="0"/>
    <x v="2"/>
    <m/>
    <x v="2"/>
    <x v="0"/>
    <n v="70.739999999999995"/>
    <x v="0"/>
    <n v="0"/>
    <n v="70.739999999999995"/>
    <n v="0"/>
    <d v="2025-08-06T00:00:00"/>
    <x v="1"/>
    <x v="1"/>
    <n v="49"/>
    <n v="1.8"/>
    <s v="Ok"/>
    <n v="1.8"/>
    <s v="False"/>
    <m/>
    <n v="0"/>
    <n v="70.739999999999995"/>
    <x v="0"/>
    <n v="0"/>
  </r>
  <r>
    <s v="FB000608"/>
    <x v="5"/>
    <x v="0"/>
    <x v="0"/>
    <s v="M"/>
    <x v="6"/>
    <x v="0"/>
    <n v="95.33"/>
    <x v="0"/>
    <n v="0"/>
    <n v="95.33"/>
    <n v="0"/>
    <d v="2025-06-07T00:00:00"/>
    <x v="0"/>
    <x v="7"/>
    <n v="36"/>
    <m/>
    <s v="Ok"/>
    <s v="No valorado"/>
    <s v="True"/>
    <s v="Quality Issue"/>
    <n v="1"/>
    <n v="0"/>
    <x v="4"/>
    <n v="0"/>
  </r>
  <r>
    <s v="FB000609"/>
    <x v="2"/>
    <x v="7"/>
    <x v="0"/>
    <m/>
    <x v="2"/>
    <x v="0"/>
    <n v="32.619999999999997"/>
    <x v="8"/>
    <n v="0.29100000000000004"/>
    <n v="23.13"/>
    <n v="9.4899999999999984"/>
    <d v="2025-07-27T00:00:00"/>
    <x v="6"/>
    <x v="0"/>
    <n v="9"/>
    <n v="1.4"/>
    <s v="Pocas Unidades"/>
    <n v="1.4"/>
    <s v="False"/>
    <m/>
    <n v="0"/>
    <n v="23.13"/>
    <x v="0"/>
    <n v="0"/>
  </r>
  <r>
    <s v="FB000610"/>
    <x v="4"/>
    <x v="3"/>
    <x v="3"/>
    <s v="XL"/>
    <x v="0"/>
    <x v="9"/>
    <n v="41.07"/>
    <x v="0"/>
    <n v="0"/>
    <n v="41.07"/>
    <n v="0"/>
    <d v="2025-08-06T00:00:00"/>
    <x v="1"/>
    <x v="1"/>
    <n v="10"/>
    <n v="4.8"/>
    <s v="Ok"/>
    <n v="4.8"/>
    <s v="False"/>
    <m/>
    <n v="0"/>
    <n v="41.07"/>
    <x v="0"/>
    <n v="0"/>
  </r>
  <r>
    <s v="FB000611"/>
    <x v="4"/>
    <x v="0"/>
    <x v="1"/>
    <s v="XL"/>
    <x v="0"/>
    <x v="4"/>
    <n v="43.1"/>
    <x v="0"/>
    <n v="0"/>
    <n v="43.1"/>
    <n v="0"/>
    <d v="2025-08-06T00:00:00"/>
    <x v="1"/>
    <x v="1"/>
    <n v="34"/>
    <n v="4.9000000000000004"/>
    <s v="Ok"/>
    <n v="4.9000000000000004"/>
    <s v="False"/>
    <m/>
    <n v="0"/>
    <n v="43.1"/>
    <x v="0"/>
    <n v="0"/>
  </r>
  <r>
    <s v="FB000612"/>
    <x v="0"/>
    <x v="5"/>
    <x v="1"/>
    <s v="XXL"/>
    <x v="4"/>
    <x v="8"/>
    <n v="102.03"/>
    <x v="138"/>
    <n v="0.27899999999999997"/>
    <n v="73.56"/>
    <n v="28.47"/>
    <d v="2025-08-06T00:00:00"/>
    <x v="1"/>
    <x v="1"/>
    <n v="21"/>
    <n v="2.2000000000000002"/>
    <s v="Ok"/>
    <n v="2.2000000000000002"/>
    <s v="True"/>
    <s v="Size Issue"/>
    <n v="1"/>
    <n v="0"/>
    <x v="2"/>
    <n v="0"/>
  </r>
  <r>
    <s v="FB000613"/>
    <x v="2"/>
    <x v="3"/>
    <x v="1"/>
    <m/>
    <x v="2"/>
    <x v="0"/>
    <n v="54.11"/>
    <x v="0"/>
    <n v="0"/>
    <n v="54.11"/>
    <n v="0"/>
    <d v="2025-08-06T00:00:00"/>
    <x v="1"/>
    <x v="1"/>
    <n v="15"/>
    <n v="2.6"/>
    <s v="Ok"/>
    <n v="2.6"/>
    <s v="False"/>
    <m/>
    <n v="0"/>
    <n v="54.11"/>
    <x v="0"/>
    <n v="0"/>
  </r>
  <r>
    <s v="FB000614"/>
    <x v="2"/>
    <x v="3"/>
    <x v="1"/>
    <m/>
    <x v="2"/>
    <x v="9"/>
    <n v="43.5"/>
    <x v="0"/>
    <n v="0"/>
    <n v="43.5"/>
    <n v="0"/>
    <d v="2025-08-06T00:00:00"/>
    <x v="1"/>
    <x v="1"/>
    <n v="35"/>
    <n v="2.8"/>
    <s v="Ok"/>
    <n v="2.8"/>
    <s v="False"/>
    <m/>
    <n v="0"/>
    <n v="43.5"/>
    <x v="0"/>
    <n v="0"/>
  </r>
  <r>
    <s v="FB000615"/>
    <x v="2"/>
    <x v="2"/>
    <x v="1"/>
    <m/>
    <x v="2"/>
    <x v="1"/>
    <n v="66"/>
    <x v="0"/>
    <n v="0"/>
    <n v="66"/>
    <n v="0"/>
    <d v="2025-08-06T00:00:00"/>
    <x v="1"/>
    <x v="1"/>
    <n v="19"/>
    <n v="2.6"/>
    <s v="Ok"/>
    <n v="2.6"/>
    <s v="False"/>
    <m/>
    <n v="0"/>
    <n v="66"/>
    <x v="0"/>
    <n v="0"/>
  </r>
  <r>
    <s v="FB000616"/>
    <x v="4"/>
    <x v="2"/>
    <x v="3"/>
    <s v="M"/>
    <x v="6"/>
    <x v="3"/>
    <n v="38.85"/>
    <x v="0"/>
    <n v="0"/>
    <n v="38.85"/>
    <n v="0"/>
    <d v="2025-08-06T00:00:00"/>
    <x v="1"/>
    <x v="1"/>
    <n v="10"/>
    <n v="3.8"/>
    <s v="Ok"/>
    <n v="3.8"/>
    <s v="False"/>
    <m/>
    <n v="0"/>
    <n v="38.85"/>
    <x v="0"/>
    <n v="0"/>
  </r>
  <r>
    <s v="FB000617"/>
    <x v="2"/>
    <x v="0"/>
    <x v="3"/>
    <m/>
    <x v="2"/>
    <x v="7"/>
    <n v="61.29"/>
    <x v="0"/>
    <n v="0"/>
    <n v="61.29"/>
    <n v="0"/>
    <d v="2025-08-06T00:00:00"/>
    <x v="1"/>
    <x v="1"/>
    <n v="15"/>
    <n v="4"/>
    <s v="Ok"/>
    <n v="4"/>
    <s v="False"/>
    <m/>
    <n v="0"/>
    <n v="61.29"/>
    <x v="0"/>
    <n v="0"/>
  </r>
  <r>
    <s v="FB000618"/>
    <x v="4"/>
    <x v="4"/>
    <x v="0"/>
    <s v="XS"/>
    <x v="5"/>
    <x v="7"/>
    <n v="90.66"/>
    <x v="0"/>
    <n v="0"/>
    <n v="90.66"/>
    <n v="0"/>
    <d v="2025-03-20T00:00:00"/>
    <x v="5"/>
    <x v="3"/>
    <n v="49"/>
    <n v="2.4"/>
    <s v="Ok"/>
    <n v="2.4"/>
    <s v="True"/>
    <s v="Color Mismatch"/>
    <n v="1"/>
    <n v="0"/>
    <x v="1"/>
    <n v="0"/>
  </r>
  <r>
    <s v="FB000619"/>
    <x v="5"/>
    <x v="3"/>
    <x v="2"/>
    <s v="XL"/>
    <x v="0"/>
    <x v="6"/>
    <n v="119.96"/>
    <x v="0"/>
    <n v="0"/>
    <n v="119.96"/>
    <n v="0"/>
    <d v="2025-08-06T00:00:00"/>
    <x v="1"/>
    <x v="1"/>
    <n v="5"/>
    <n v="5"/>
    <s v="Pocas Unidades"/>
    <n v="5"/>
    <s v="False"/>
    <m/>
    <n v="0"/>
    <n v="119.96"/>
    <x v="0"/>
    <n v="0"/>
  </r>
  <r>
    <s v="FB000620"/>
    <x v="3"/>
    <x v="7"/>
    <x v="2"/>
    <s v="XXL"/>
    <x v="4"/>
    <x v="0"/>
    <n v="130.21"/>
    <x v="0"/>
    <n v="0"/>
    <n v="130.21"/>
    <n v="0"/>
    <d v="2025-08-06T00:00:00"/>
    <x v="1"/>
    <x v="1"/>
    <n v="50"/>
    <n v="4.7"/>
    <s v="Ok"/>
    <n v="4.7"/>
    <s v="False"/>
    <m/>
    <n v="0"/>
    <n v="130.21"/>
    <x v="0"/>
    <n v="0"/>
  </r>
  <r>
    <s v="FB000621"/>
    <x v="1"/>
    <x v="2"/>
    <x v="1"/>
    <s v="XS"/>
    <x v="5"/>
    <x v="0"/>
    <n v="49.68"/>
    <x v="0"/>
    <n v="0"/>
    <n v="49.68"/>
    <n v="0"/>
    <d v="2025-08-06T00:00:00"/>
    <x v="1"/>
    <x v="1"/>
    <n v="15"/>
    <n v="2.8"/>
    <s v="Ok"/>
    <n v="2.8"/>
    <s v="False"/>
    <m/>
    <n v="0"/>
    <n v="49.68"/>
    <x v="0"/>
    <n v="0"/>
  </r>
  <r>
    <s v="FB000622"/>
    <x v="2"/>
    <x v="0"/>
    <x v="0"/>
    <m/>
    <x v="2"/>
    <x v="9"/>
    <n v="46.58"/>
    <x v="0"/>
    <n v="0"/>
    <n v="46.58"/>
    <n v="0"/>
    <d v="2024-09-25T00:00:00"/>
    <x v="1"/>
    <x v="6"/>
    <n v="42"/>
    <n v="1.7"/>
    <s v="Ok"/>
    <n v="1.7"/>
    <s v="False"/>
    <m/>
    <n v="0"/>
    <n v="46.58"/>
    <x v="0"/>
    <n v="0"/>
  </r>
  <r>
    <s v="FB000623"/>
    <x v="2"/>
    <x v="3"/>
    <x v="3"/>
    <m/>
    <x v="2"/>
    <x v="10"/>
    <n v="69.88"/>
    <x v="0"/>
    <n v="0"/>
    <n v="69.88"/>
    <n v="0"/>
    <d v="2025-08-06T00:00:00"/>
    <x v="1"/>
    <x v="1"/>
    <n v="8"/>
    <n v="2.8"/>
    <s v="Pocas Unidades"/>
    <n v="2.8"/>
    <s v="False"/>
    <m/>
    <n v="0"/>
    <n v="69.88"/>
    <x v="0"/>
    <n v="0"/>
  </r>
  <r>
    <s v="FB000624"/>
    <x v="2"/>
    <x v="7"/>
    <x v="2"/>
    <m/>
    <x v="2"/>
    <x v="6"/>
    <n v="32.15"/>
    <x v="0"/>
    <n v="0"/>
    <n v="32.15"/>
    <n v="0"/>
    <d v="2025-08-06T00:00:00"/>
    <x v="1"/>
    <x v="1"/>
    <n v="17"/>
    <n v="1.9"/>
    <s v="Ok"/>
    <n v="1.9"/>
    <s v="True"/>
    <s v="Quality Issue"/>
    <n v="1"/>
    <n v="0"/>
    <x v="4"/>
    <n v="0"/>
  </r>
  <r>
    <s v="FB000625"/>
    <x v="4"/>
    <x v="7"/>
    <x v="3"/>
    <s v="S"/>
    <x v="3"/>
    <x v="2"/>
    <n v="36.340000000000003"/>
    <x v="0"/>
    <n v="0"/>
    <n v="36.340000000000003"/>
    <n v="0"/>
    <d v="2025-08-06T00:00:00"/>
    <x v="1"/>
    <x v="1"/>
    <n v="6"/>
    <n v="4.5"/>
    <s v="Pocas Unidades"/>
    <n v="4.5"/>
    <s v="True"/>
    <s v="Damaged"/>
    <n v="1"/>
    <n v="0"/>
    <x v="3"/>
    <n v="0"/>
  </r>
  <r>
    <s v="FB000626"/>
    <x v="4"/>
    <x v="3"/>
    <x v="2"/>
    <s v="M"/>
    <x v="6"/>
    <x v="7"/>
    <n v="93.01"/>
    <x v="0"/>
    <n v="0"/>
    <n v="93.01"/>
    <n v="0"/>
    <d v="2025-08-06T00:00:00"/>
    <x v="1"/>
    <x v="1"/>
    <n v="34"/>
    <n v="1.4"/>
    <s v="Ok"/>
    <n v="1.4"/>
    <s v="False"/>
    <m/>
    <n v="0"/>
    <n v="93.01"/>
    <x v="0"/>
    <n v="0"/>
  </r>
  <r>
    <s v="FB000627"/>
    <x v="1"/>
    <x v="6"/>
    <x v="1"/>
    <s v="S"/>
    <x v="3"/>
    <x v="10"/>
    <n v="75"/>
    <x v="0"/>
    <n v="0"/>
    <n v="75"/>
    <n v="0"/>
    <d v="2025-08-06T00:00:00"/>
    <x v="1"/>
    <x v="1"/>
    <n v="19"/>
    <n v="1.6"/>
    <s v="Ok"/>
    <n v="1.6"/>
    <s v="False"/>
    <m/>
    <n v="0"/>
    <n v="75"/>
    <x v="0"/>
    <n v="0"/>
  </r>
  <r>
    <s v="FB000628"/>
    <x v="0"/>
    <x v="0"/>
    <x v="2"/>
    <s v="M"/>
    <x v="6"/>
    <x v="5"/>
    <n v="81.63"/>
    <x v="194"/>
    <n v="0.124"/>
    <n v="71.510000000000005"/>
    <n v="10.11999999999999"/>
    <d v="2025-08-06T00:00:00"/>
    <x v="1"/>
    <x v="1"/>
    <n v="3"/>
    <m/>
    <s v="Pocas Unidades"/>
    <s v="No valorado"/>
    <s v="False"/>
    <m/>
    <n v="0"/>
    <n v="71.510000000000005"/>
    <x v="0"/>
    <n v="0"/>
  </r>
  <r>
    <s v="FB000629"/>
    <x v="4"/>
    <x v="1"/>
    <x v="0"/>
    <s v="XL"/>
    <x v="0"/>
    <x v="4"/>
    <n v="109.81"/>
    <x v="0"/>
    <n v="0"/>
    <n v="109.81"/>
    <n v="0"/>
    <d v="2025-07-24T00:00:00"/>
    <x v="5"/>
    <x v="0"/>
    <n v="17"/>
    <n v="1.9"/>
    <s v="Ok"/>
    <n v="1.9"/>
    <s v="False"/>
    <m/>
    <n v="0"/>
    <n v="109.81"/>
    <x v="0"/>
    <n v="0"/>
  </r>
  <r>
    <s v="FB000630"/>
    <x v="4"/>
    <x v="5"/>
    <x v="2"/>
    <m/>
    <x v="7"/>
    <x v="2"/>
    <n v="47.7"/>
    <x v="0"/>
    <n v="0"/>
    <n v="47.7"/>
    <n v="0"/>
    <d v="2025-08-06T00:00:00"/>
    <x v="1"/>
    <x v="1"/>
    <n v="14"/>
    <n v="2.2999999999999998"/>
    <s v="Ok"/>
    <n v="2.2999999999999998"/>
    <s v="False"/>
    <m/>
    <n v="0"/>
    <n v="47.7"/>
    <x v="0"/>
    <n v="0"/>
  </r>
  <r>
    <s v="FB000631"/>
    <x v="1"/>
    <x v="2"/>
    <x v="1"/>
    <s v="S"/>
    <x v="3"/>
    <x v="0"/>
    <n v="96.08"/>
    <x v="0"/>
    <n v="0"/>
    <n v="96.08"/>
    <n v="0"/>
    <d v="2025-08-06T00:00:00"/>
    <x v="1"/>
    <x v="1"/>
    <n v="7"/>
    <n v="2.5"/>
    <s v="Pocas Unidades"/>
    <n v="2.5"/>
    <s v="False"/>
    <m/>
    <n v="0"/>
    <n v="96.08"/>
    <x v="0"/>
    <n v="0"/>
  </r>
  <r>
    <s v="FB000632"/>
    <x v="1"/>
    <x v="4"/>
    <x v="1"/>
    <s v="XS"/>
    <x v="5"/>
    <x v="10"/>
    <n v="28"/>
    <x v="23"/>
    <n v="2.6000000000000002E-2"/>
    <n v="27.27"/>
    <n v="0.73000000000000043"/>
    <d v="2025-08-06T00:00:00"/>
    <x v="1"/>
    <x v="1"/>
    <n v="2"/>
    <m/>
    <s v="Pocas Unidades"/>
    <s v="No valorado"/>
    <s v="False"/>
    <m/>
    <n v="0"/>
    <n v="27.27"/>
    <x v="0"/>
    <n v="0"/>
  </r>
  <r>
    <s v="FB000633"/>
    <x v="4"/>
    <x v="0"/>
    <x v="1"/>
    <s v="S"/>
    <x v="3"/>
    <x v="10"/>
    <n v="52.43"/>
    <x v="40"/>
    <n v="6.4000000000000001E-2"/>
    <n v="49.07"/>
    <n v="3.3599999999999994"/>
    <d v="2025-08-06T00:00:00"/>
    <x v="1"/>
    <x v="1"/>
    <n v="42"/>
    <n v="2.6"/>
    <s v="Ok"/>
    <n v="2.6"/>
    <s v="False"/>
    <m/>
    <n v="0"/>
    <n v="49.07"/>
    <x v="0"/>
    <n v="0"/>
  </r>
  <r>
    <s v="FB000634"/>
    <x v="2"/>
    <x v="6"/>
    <x v="3"/>
    <m/>
    <x v="2"/>
    <x v="1"/>
    <n v="67.95"/>
    <x v="195"/>
    <n v="0.183"/>
    <n v="55.52"/>
    <n v="12.43"/>
    <d v="2025-08-06T00:00:00"/>
    <x v="1"/>
    <x v="1"/>
    <n v="37"/>
    <m/>
    <s v="Ok"/>
    <s v="No valorado"/>
    <s v="False"/>
    <m/>
    <n v="0"/>
    <n v="55.52"/>
    <x v="0"/>
    <n v="0"/>
  </r>
  <r>
    <s v="FB000635"/>
    <x v="5"/>
    <x v="5"/>
    <x v="2"/>
    <m/>
    <x v="7"/>
    <x v="0"/>
    <n v="131.91999999999999"/>
    <x v="0"/>
    <n v="0"/>
    <n v="131.91999999999999"/>
    <n v="0"/>
    <d v="2025-08-06T00:00:00"/>
    <x v="1"/>
    <x v="1"/>
    <n v="10"/>
    <n v="2.5"/>
    <s v="Ok"/>
    <n v="2.5"/>
    <s v="False"/>
    <m/>
    <n v="0"/>
    <n v="131.91999999999999"/>
    <x v="0"/>
    <n v="0"/>
  </r>
  <r>
    <s v="FB000636"/>
    <x v="0"/>
    <x v="5"/>
    <x v="0"/>
    <s v="XS"/>
    <x v="5"/>
    <x v="3"/>
    <n v="205.77"/>
    <x v="0"/>
    <n v="0"/>
    <n v="205.77"/>
    <n v="0"/>
    <d v="2025-01-31T00:00:00"/>
    <x v="4"/>
    <x v="5"/>
    <n v="38"/>
    <n v="1"/>
    <s v="Ok"/>
    <n v="1"/>
    <s v="False"/>
    <m/>
    <n v="0"/>
    <n v="205.77"/>
    <x v="0"/>
    <n v="0"/>
  </r>
  <r>
    <s v="FB000637"/>
    <x v="1"/>
    <x v="1"/>
    <x v="1"/>
    <s v="XL"/>
    <x v="0"/>
    <x v="3"/>
    <n v="97.88"/>
    <x v="196"/>
    <n v="0.113"/>
    <n v="86.82"/>
    <n v="11.060000000000002"/>
    <d v="2025-08-06T00:00:00"/>
    <x v="1"/>
    <x v="1"/>
    <n v="27"/>
    <n v="1.3"/>
    <s v="Ok"/>
    <n v="1.3"/>
    <s v="False"/>
    <m/>
    <n v="0"/>
    <n v="86.82"/>
    <x v="0"/>
    <n v="0"/>
  </r>
  <r>
    <s v="FB000638"/>
    <x v="3"/>
    <x v="0"/>
    <x v="3"/>
    <s v="L"/>
    <x v="1"/>
    <x v="4"/>
    <n v="109.55"/>
    <x v="0"/>
    <n v="0"/>
    <n v="109.55"/>
    <n v="0"/>
    <d v="2025-08-06T00:00:00"/>
    <x v="1"/>
    <x v="1"/>
    <n v="32"/>
    <n v="1.4"/>
    <s v="Ok"/>
    <n v="1.4"/>
    <s v="False"/>
    <m/>
    <n v="0"/>
    <n v="109.55"/>
    <x v="0"/>
    <n v="0"/>
  </r>
  <r>
    <s v="FB000639"/>
    <x v="4"/>
    <x v="0"/>
    <x v="2"/>
    <s v="L"/>
    <x v="1"/>
    <x v="4"/>
    <n v="52.94"/>
    <x v="197"/>
    <n v="0.106"/>
    <n v="47.33"/>
    <n v="5.6099999999999994"/>
    <d v="2025-08-06T00:00:00"/>
    <x v="1"/>
    <x v="1"/>
    <n v="50"/>
    <n v="2.7"/>
    <s v="Ok"/>
    <n v="2.7"/>
    <s v="False"/>
    <m/>
    <n v="0"/>
    <n v="47.33"/>
    <x v="0"/>
    <n v="0"/>
  </r>
  <r>
    <s v="FB000640"/>
    <x v="4"/>
    <x v="2"/>
    <x v="1"/>
    <s v="XS"/>
    <x v="5"/>
    <x v="1"/>
    <n v="70.83"/>
    <x v="26"/>
    <n v="0.18"/>
    <n v="58.08"/>
    <n v="12.75"/>
    <d v="2025-08-06T00:00:00"/>
    <x v="1"/>
    <x v="1"/>
    <n v="21"/>
    <n v="2.9"/>
    <s v="Ok"/>
    <n v="2.9"/>
    <s v="False"/>
    <m/>
    <n v="0"/>
    <n v="58.08"/>
    <x v="0"/>
    <n v="0"/>
  </r>
  <r>
    <s v="FB000641"/>
    <x v="5"/>
    <x v="3"/>
    <x v="2"/>
    <s v="L"/>
    <x v="1"/>
    <x v="8"/>
    <n v="53.17"/>
    <x v="0"/>
    <n v="0"/>
    <n v="53.17"/>
    <n v="0"/>
    <d v="2025-08-06T00:00:00"/>
    <x v="1"/>
    <x v="1"/>
    <n v="14"/>
    <n v="4.5"/>
    <s v="Ok"/>
    <n v="4.5"/>
    <s v="True"/>
    <s v="Changed Mind"/>
    <n v="1"/>
    <n v="0"/>
    <x v="5"/>
    <n v="0"/>
  </r>
  <r>
    <s v="FB000642"/>
    <x v="4"/>
    <x v="2"/>
    <x v="3"/>
    <s v="XS"/>
    <x v="5"/>
    <x v="7"/>
    <n v="119.56"/>
    <x v="198"/>
    <n v="0.46200000000000002"/>
    <n v="64.319999999999993"/>
    <n v="55.240000000000009"/>
    <d v="2025-08-06T00:00:00"/>
    <x v="1"/>
    <x v="1"/>
    <n v="14"/>
    <m/>
    <s v="Ok"/>
    <s v="No valorado"/>
    <s v="False"/>
    <m/>
    <n v="0"/>
    <n v="64.319999999999993"/>
    <x v="0"/>
    <n v="0"/>
  </r>
  <r>
    <s v="FB000643"/>
    <x v="5"/>
    <x v="3"/>
    <x v="1"/>
    <s v="S"/>
    <x v="3"/>
    <x v="5"/>
    <n v="144.43"/>
    <x v="0"/>
    <n v="0"/>
    <n v="144.43"/>
    <n v="0"/>
    <d v="2025-08-06T00:00:00"/>
    <x v="1"/>
    <x v="1"/>
    <n v="41"/>
    <n v="3.6"/>
    <s v="Ok"/>
    <n v="3.6"/>
    <s v="False"/>
    <m/>
    <n v="0"/>
    <n v="144.43"/>
    <x v="0"/>
    <n v="0"/>
  </r>
  <r>
    <s v="FB000644"/>
    <x v="0"/>
    <x v="3"/>
    <x v="0"/>
    <s v="S"/>
    <x v="3"/>
    <x v="9"/>
    <n v="172.93"/>
    <x v="0"/>
    <n v="0"/>
    <n v="172.93"/>
    <n v="0"/>
    <d v="2025-04-12T00:00:00"/>
    <x v="0"/>
    <x v="4"/>
    <n v="43"/>
    <n v="4.7"/>
    <s v="Ok"/>
    <n v="4.7"/>
    <s v="True"/>
    <s v="Quality Issue"/>
    <n v="1"/>
    <n v="0"/>
    <x v="4"/>
    <n v="0"/>
  </r>
  <r>
    <s v="FB000645"/>
    <x v="0"/>
    <x v="6"/>
    <x v="1"/>
    <s v="XL"/>
    <x v="0"/>
    <x v="7"/>
    <n v="191.95"/>
    <x v="199"/>
    <n v="0.40399999999999997"/>
    <n v="114.4"/>
    <n v="77.549999999999983"/>
    <d v="2025-08-06T00:00:00"/>
    <x v="1"/>
    <x v="1"/>
    <n v="21"/>
    <n v="2.9"/>
    <s v="Ok"/>
    <n v="2.9"/>
    <s v="False"/>
    <m/>
    <n v="0"/>
    <n v="114.4"/>
    <x v="0"/>
    <n v="0"/>
  </r>
  <r>
    <s v="FB000646"/>
    <x v="5"/>
    <x v="4"/>
    <x v="1"/>
    <s v="M"/>
    <x v="6"/>
    <x v="2"/>
    <n v="128.56"/>
    <x v="0"/>
    <n v="0"/>
    <n v="128.56"/>
    <n v="0"/>
    <d v="2025-08-06T00:00:00"/>
    <x v="1"/>
    <x v="1"/>
    <n v="45"/>
    <n v="2.4"/>
    <s v="Ok"/>
    <n v="2.4"/>
    <s v="False"/>
    <m/>
    <n v="0"/>
    <n v="128.56"/>
    <x v="0"/>
    <n v="0"/>
  </r>
  <r>
    <s v="FB000647"/>
    <x v="5"/>
    <x v="4"/>
    <x v="3"/>
    <s v="L"/>
    <x v="1"/>
    <x v="3"/>
    <n v="123.08"/>
    <x v="166"/>
    <n v="0.53"/>
    <n v="57.85"/>
    <n v="65.22999999999999"/>
    <d v="2025-08-06T00:00:00"/>
    <x v="1"/>
    <x v="1"/>
    <n v="38"/>
    <n v="2.5"/>
    <s v="Ok"/>
    <n v="2.5"/>
    <s v="False"/>
    <m/>
    <n v="0"/>
    <n v="57.85"/>
    <x v="0"/>
    <n v="0"/>
  </r>
  <r>
    <s v="FB000648"/>
    <x v="0"/>
    <x v="5"/>
    <x v="0"/>
    <s v="S"/>
    <x v="3"/>
    <x v="9"/>
    <n v="119.78"/>
    <x v="0"/>
    <n v="0"/>
    <n v="119.78"/>
    <n v="0"/>
    <d v="2025-04-04T00:00:00"/>
    <x v="4"/>
    <x v="4"/>
    <n v="22"/>
    <n v="1.5"/>
    <s v="Ok"/>
    <n v="1.5"/>
    <s v="True"/>
    <s v="Color Mismatch"/>
    <n v="1"/>
    <n v="0"/>
    <x v="1"/>
    <n v="0"/>
  </r>
  <r>
    <s v="FB000649"/>
    <x v="4"/>
    <x v="2"/>
    <x v="3"/>
    <s v="XS"/>
    <x v="5"/>
    <x v="3"/>
    <n v="110.6"/>
    <x v="0"/>
    <n v="0"/>
    <n v="110.6"/>
    <n v="0"/>
    <d v="2025-08-06T00:00:00"/>
    <x v="1"/>
    <x v="1"/>
    <n v="19"/>
    <m/>
    <s v="Ok"/>
    <s v="No valorado"/>
    <s v="True"/>
    <s v="Color Mismatch"/>
    <n v="1"/>
    <n v="0"/>
    <x v="1"/>
    <n v="0"/>
  </r>
  <r>
    <s v="FB000650"/>
    <x v="1"/>
    <x v="0"/>
    <x v="0"/>
    <s v="S"/>
    <x v="3"/>
    <x v="9"/>
    <n v="58.16"/>
    <x v="0"/>
    <n v="0"/>
    <n v="58.16"/>
    <n v="0"/>
    <d v="2025-07-02T00:00:00"/>
    <x v="1"/>
    <x v="0"/>
    <n v="29"/>
    <n v="4.0999999999999996"/>
    <s v="Ok"/>
    <n v="4.0999999999999996"/>
    <s v="False"/>
    <m/>
    <n v="0"/>
    <n v="58.16"/>
    <x v="0"/>
    <n v="0"/>
  </r>
  <r>
    <s v="FB000651"/>
    <x v="0"/>
    <x v="3"/>
    <x v="2"/>
    <s v="S"/>
    <x v="3"/>
    <x v="6"/>
    <n v="208.82"/>
    <x v="0"/>
    <n v="0"/>
    <n v="208.82"/>
    <n v="0"/>
    <d v="2025-08-06T00:00:00"/>
    <x v="1"/>
    <x v="1"/>
    <n v="45"/>
    <n v="1.8"/>
    <s v="Ok"/>
    <n v="1.8"/>
    <s v="False"/>
    <m/>
    <n v="0"/>
    <n v="208.82"/>
    <x v="0"/>
    <n v="0"/>
  </r>
  <r>
    <s v="FB000652"/>
    <x v="3"/>
    <x v="5"/>
    <x v="1"/>
    <s v="M"/>
    <x v="6"/>
    <x v="2"/>
    <n v="192.74"/>
    <x v="0"/>
    <n v="0"/>
    <n v="192.74"/>
    <n v="0"/>
    <d v="2025-08-06T00:00:00"/>
    <x v="1"/>
    <x v="1"/>
    <n v="43"/>
    <n v="4.3"/>
    <s v="Ok"/>
    <n v="4.3"/>
    <s v="False"/>
    <m/>
    <n v="0"/>
    <n v="192.74"/>
    <x v="0"/>
    <n v="0"/>
  </r>
  <r>
    <s v="FB000653"/>
    <x v="2"/>
    <x v="6"/>
    <x v="2"/>
    <m/>
    <x v="2"/>
    <x v="0"/>
    <n v="71.819999999999993"/>
    <x v="85"/>
    <n v="0.184"/>
    <n v="58.61"/>
    <n v="13.209999999999994"/>
    <d v="2025-08-06T00:00:00"/>
    <x v="1"/>
    <x v="1"/>
    <n v="50"/>
    <n v="1.9"/>
    <s v="Ok"/>
    <n v="1.9"/>
    <s v="False"/>
    <m/>
    <n v="0"/>
    <n v="58.61"/>
    <x v="0"/>
    <n v="0"/>
  </r>
  <r>
    <s v="FB000654"/>
    <x v="3"/>
    <x v="0"/>
    <x v="3"/>
    <s v="XS"/>
    <x v="5"/>
    <x v="0"/>
    <n v="145.4"/>
    <x v="0"/>
    <n v="0"/>
    <n v="145.4"/>
    <n v="0"/>
    <d v="2025-08-06T00:00:00"/>
    <x v="1"/>
    <x v="1"/>
    <n v="14"/>
    <n v="2"/>
    <s v="Ok"/>
    <n v="2"/>
    <s v="False"/>
    <m/>
    <n v="0"/>
    <n v="145.4"/>
    <x v="0"/>
    <n v="0"/>
  </r>
  <r>
    <s v="FB000655"/>
    <x v="4"/>
    <x v="3"/>
    <x v="3"/>
    <s v="XXL"/>
    <x v="4"/>
    <x v="10"/>
    <n v="51.94"/>
    <x v="0"/>
    <n v="0"/>
    <n v="51.94"/>
    <n v="0"/>
    <d v="2025-08-06T00:00:00"/>
    <x v="1"/>
    <x v="1"/>
    <n v="9"/>
    <n v="3.2"/>
    <s v="Pocas Unidades"/>
    <n v="3.2"/>
    <s v="False"/>
    <m/>
    <n v="0"/>
    <n v="51.94"/>
    <x v="0"/>
    <n v="0"/>
  </r>
  <r>
    <s v="FB000656"/>
    <x v="2"/>
    <x v="5"/>
    <x v="0"/>
    <m/>
    <x v="2"/>
    <x v="2"/>
    <n v="77.48"/>
    <x v="0"/>
    <n v="0"/>
    <n v="77.48"/>
    <n v="0"/>
    <d v="2024-10-07T00:00:00"/>
    <x v="2"/>
    <x v="2"/>
    <n v="49"/>
    <n v="3.3"/>
    <s v="Ok"/>
    <n v="3.3"/>
    <s v="True"/>
    <s v="Quality Issue"/>
    <n v="1"/>
    <n v="0"/>
    <x v="4"/>
    <n v="0"/>
  </r>
  <r>
    <s v="FB000657"/>
    <x v="5"/>
    <x v="3"/>
    <x v="3"/>
    <s v="L"/>
    <x v="1"/>
    <x v="2"/>
    <n v="59.66"/>
    <x v="200"/>
    <n v="0.45200000000000001"/>
    <n v="32.69"/>
    <n v="26.97"/>
    <d v="2025-08-06T00:00:00"/>
    <x v="1"/>
    <x v="1"/>
    <n v="14"/>
    <n v="2.6"/>
    <s v="Ok"/>
    <n v="2.6"/>
    <s v="False"/>
    <m/>
    <n v="0"/>
    <n v="32.69"/>
    <x v="0"/>
    <n v="0"/>
  </r>
  <r>
    <s v="FB000658"/>
    <x v="4"/>
    <x v="1"/>
    <x v="3"/>
    <s v="S"/>
    <x v="3"/>
    <x v="0"/>
    <n v="102.07"/>
    <x v="0"/>
    <n v="0"/>
    <n v="102.07"/>
    <n v="0"/>
    <d v="2025-08-06T00:00:00"/>
    <x v="1"/>
    <x v="1"/>
    <n v="26"/>
    <m/>
    <s v="Ok"/>
    <s v="No valorado"/>
    <s v="True"/>
    <s v="Color Mismatch"/>
    <n v="1"/>
    <n v="0"/>
    <x v="1"/>
    <n v="0"/>
  </r>
  <r>
    <s v="FB000659"/>
    <x v="2"/>
    <x v="2"/>
    <x v="0"/>
    <m/>
    <x v="2"/>
    <x v="4"/>
    <n v="48.57"/>
    <x v="0"/>
    <n v="0"/>
    <n v="48.57"/>
    <n v="0"/>
    <d v="2024-12-06T00:00:00"/>
    <x v="4"/>
    <x v="10"/>
    <n v="12"/>
    <n v="4.7"/>
    <s v="Ok"/>
    <n v="4.7"/>
    <s v="False"/>
    <m/>
    <n v="0"/>
    <n v="48.57"/>
    <x v="0"/>
    <n v="0"/>
  </r>
  <r>
    <s v="FB000660"/>
    <x v="3"/>
    <x v="6"/>
    <x v="3"/>
    <s v="M"/>
    <x v="6"/>
    <x v="8"/>
    <n v="121.55"/>
    <x v="0"/>
    <n v="0"/>
    <n v="121.55"/>
    <n v="0"/>
    <d v="2025-08-06T00:00:00"/>
    <x v="1"/>
    <x v="1"/>
    <n v="16"/>
    <m/>
    <s v="Ok"/>
    <s v="No valorado"/>
    <s v="True"/>
    <s v="Damaged"/>
    <n v="1"/>
    <n v="0"/>
    <x v="3"/>
    <n v="0"/>
  </r>
  <r>
    <s v="FB000661"/>
    <x v="2"/>
    <x v="5"/>
    <x v="1"/>
    <m/>
    <x v="2"/>
    <x v="8"/>
    <n v="59.22"/>
    <x v="201"/>
    <n v="0.44799999999999995"/>
    <n v="32.69"/>
    <n v="26.53"/>
    <d v="2025-08-06T00:00:00"/>
    <x v="1"/>
    <x v="1"/>
    <n v="21"/>
    <n v="2"/>
    <s v="Ok"/>
    <n v="2"/>
    <s v="False"/>
    <m/>
    <n v="0"/>
    <n v="32.69"/>
    <x v="0"/>
    <n v="0"/>
  </r>
  <r>
    <s v="FB000662"/>
    <x v="1"/>
    <x v="5"/>
    <x v="0"/>
    <s v="XS"/>
    <x v="5"/>
    <x v="7"/>
    <n v="58.5"/>
    <x v="202"/>
    <n v="2.1000000000000001E-2"/>
    <n v="57.27"/>
    <n v="1.2299999999999969"/>
    <d v="2025-05-23T00:00:00"/>
    <x v="4"/>
    <x v="8"/>
    <n v="24"/>
    <n v="3.9"/>
    <s v="Ok"/>
    <n v="3.9"/>
    <s v="False"/>
    <m/>
    <n v="0"/>
    <n v="57.27"/>
    <x v="0"/>
    <n v="0"/>
  </r>
  <r>
    <s v="FB000663"/>
    <x v="2"/>
    <x v="7"/>
    <x v="2"/>
    <m/>
    <x v="2"/>
    <x v="6"/>
    <n v="73.849999999999994"/>
    <x v="0"/>
    <n v="0"/>
    <n v="73.849999999999994"/>
    <n v="0"/>
    <d v="2025-08-06T00:00:00"/>
    <x v="1"/>
    <x v="1"/>
    <n v="46"/>
    <n v="2"/>
    <s v="Ok"/>
    <n v="2"/>
    <s v="False"/>
    <m/>
    <n v="0"/>
    <n v="73.849999999999994"/>
    <x v="0"/>
    <n v="0"/>
  </r>
  <r>
    <s v="FB000664"/>
    <x v="4"/>
    <x v="4"/>
    <x v="3"/>
    <s v="XXL"/>
    <x v="4"/>
    <x v="0"/>
    <n v="114.32"/>
    <x v="203"/>
    <n v="0.36499999999999999"/>
    <n v="72.59"/>
    <n v="41.72999999999999"/>
    <d v="2025-08-06T00:00:00"/>
    <x v="1"/>
    <x v="1"/>
    <n v="41"/>
    <n v="4.0999999999999996"/>
    <s v="Ok"/>
    <n v="4.0999999999999996"/>
    <s v="False"/>
    <m/>
    <n v="0"/>
    <n v="72.59"/>
    <x v="0"/>
    <n v="0"/>
  </r>
  <r>
    <s v="FB000665"/>
    <x v="4"/>
    <x v="7"/>
    <x v="3"/>
    <s v="XS"/>
    <x v="5"/>
    <x v="4"/>
    <n v="91.4"/>
    <x v="204"/>
    <n v="0.11"/>
    <n v="81.349999999999994"/>
    <n v="10.050000000000011"/>
    <d v="2025-08-06T00:00:00"/>
    <x v="1"/>
    <x v="1"/>
    <n v="18"/>
    <n v="1.6"/>
    <s v="Ok"/>
    <n v="1.6"/>
    <s v="False"/>
    <m/>
    <n v="0"/>
    <n v="81.349999999999994"/>
    <x v="0"/>
    <n v="0"/>
  </r>
  <r>
    <s v="FB000666"/>
    <x v="2"/>
    <x v="7"/>
    <x v="1"/>
    <m/>
    <x v="2"/>
    <x v="8"/>
    <n v="69.77"/>
    <x v="0"/>
    <n v="0"/>
    <n v="69.77"/>
    <n v="0"/>
    <d v="2025-08-06T00:00:00"/>
    <x v="1"/>
    <x v="1"/>
    <n v="30"/>
    <m/>
    <s v="Ok"/>
    <s v="No valorado"/>
    <s v="True"/>
    <s v="Color Mismatch"/>
    <n v="1"/>
    <n v="0"/>
    <x v="1"/>
    <n v="0"/>
  </r>
  <r>
    <s v="FB000667"/>
    <x v="1"/>
    <x v="4"/>
    <x v="3"/>
    <s v="L"/>
    <x v="1"/>
    <x v="2"/>
    <n v="72.95"/>
    <x v="0"/>
    <n v="0"/>
    <n v="72.95"/>
    <n v="0"/>
    <d v="2025-08-06T00:00:00"/>
    <x v="1"/>
    <x v="1"/>
    <n v="27"/>
    <n v="4.8"/>
    <s v="Ok"/>
    <n v="4.8"/>
    <s v="False"/>
    <m/>
    <n v="0"/>
    <n v="72.95"/>
    <x v="0"/>
    <n v="0"/>
  </r>
  <r>
    <s v="FB000668"/>
    <x v="4"/>
    <x v="5"/>
    <x v="3"/>
    <s v="XL"/>
    <x v="0"/>
    <x v="7"/>
    <n v="63.99"/>
    <x v="109"/>
    <n v="0.42200000000000004"/>
    <n v="36.99"/>
    <n v="27"/>
    <d v="2025-08-06T00:00:00"/>
    <x v="1"/>
    <x v="1"/>
    <n v="35"/>
    <n v="3.2"/>
    <s v="Ok"/>
    <n v="3.2"/>
    <s v="False"/>
    <m/>
    <n v="0"/>
    <n v="36.99"/>
    <x v="0"/>
    <n v="0"/>
  </r>
  <r>
    <s v="FB000669"/>
    <x v="5"/>
    <x v="2"/>
    <x v="3"/>
    <s v="XL"/>
    <x v="0"/>
    <x v="5"/>
    <n v="74.84"/>
    <x v="205"/>
    <n v="0.51900000000000002"/>
    <n v="36"/>
    <n v="38.840000000000003"/>
    <d v="2025-08-06T00:00:00"/>
    <x v="1"/>
    <x v="1"/>
    <n v="35"/>
    <n v="2.5"/>
    <s v="Ok"/>
    <n v="2.5"/>
    <s v="False"/>
    <m/>
    <n v="0"/>
    <n v="36"/>
    <x v="0"/>
    <n v="0"/>
  </r>
  <r>
    <s v="FB000670"/>
    <x v="0"/>
    <x v="4"/>
    <x v="0"/>
    <s v="XS"/>
    <x v="5"/>
    <x v="2"/>
    <n v="158.84"/>
    <x v="0"/>
    <n v="0"/>
    <n v="158.84"/>
    <n v="0"/>
    <d v="2025-04-16T00:00:00"/>
    <x v="1"/>
    <x v="4"/>
    <n v="30"/>
    <n v="4.5999999999999996"/>
    <s v="Ok"/>
    <n v="4.5999999999999996"/>
    <s v="False"/>
    <m/>
    <n v="0"/>
    <n v="158.84"/>
    <x v="0"/>
    <n v="0"/>
  </r>
  <r>
    <s v="FB000671"/>
    <x v="3"/>
    <x v="3"/>
    <x v="0"/>
    <s v="M"/>
    <x v="6"/>
    <x v="10"/>
    <n v="96.36"/>
    <x v="206"/>
    <n v="0.58599999999999997"/>
    <n v="39.89"/>
    <n v="56.47"/>
    <d v="2025-02-10T00:00:00"/>
    <x v="2"/>
    <x v="9"/>
    <n v="16"/>
    <n v="3.9"/>
    <s v="Ok"/>
    <n v="3.9"/>
    <s v="False"/>
    <m/>
    <n v="0"/>
    <n v="39.89"/>
    <x v="0"/>
    <n v="0"/>
  </r>
  <r>
    <s v="FB000672"/>
    <x v="4"/>
    <x v="4"/>
    <x v="0"/>
    <s v="XS"/>
    <x v="5"/>
    <x v="9"/>
    <n v="51.06"/>
    <x v="207"/>
    <n v="0.13900000000000001"/>
    <n v="43.96"/>
    <n v="7.1000000000000014"/>
    <d v="2024-08-16T00:00:00"/>
    <x v="4"/>
    <x v="1"/>
    <n v="16"/>
    <n v="1.3"/>
    <s v="Ok"/>
    <n v="1.3"/>
    <s v="False"/>
    <m/>
    <n v="0"/>
    <n v="43.96"/>
    <x v="0"/>
    <n v="0"/>
  </r>
  <r>
    <s v="FB000673"/>
    <x v="4"/>
    <x v="2"/>
    <x v="3"/>
    <s v="L"/>
    <x v="1"/>
    <x v="8"/>
    <n v="49.75"/>
    <x v="208"/>
    <n v="0.26400000000000001"/>
    <n v="36.619999999999997"/>
    <n v="13.130000000000003"/>
    <d v="2025-08-06T00:00:00"/>
    <x v="1"/>
    <x v="1"/>
    <n v="24"/>
    <n v="3.8"/>
    <s v="Ok"/>
    <n v="3.8"/>
    <s v="False"/>
    <m/>
    <n v="0"/>
    <n v="36.619999999999997"/>
    <x v="0"/>
    <n v="0"/>
  </r>
  <r>
    <s v="FB000674"/>
    <x v="5"/>
    <x v="3"/>
    <x v="0"/>
    <s v="XS"/>
    <x v="5"/>
    <x v="1"/>
    <n v="148.97999999999999"/>
    <x v="0"/>
    <n v="0"/>
    <n v="148.97999999999999"/>
    <n v="0"/>
    <d v="2024-10-26T00:00:00"/>
    <x v="0"/>
    <x v="2"/>
    <n v="11"/>
    <n v="2.2000000000000002"/>
    <s v="Ok"/>
    <n v="2.2000000000000002"/>
    <s v="True"/>
    <s v="Wrong Item"/>
    <n v="1"/>
    <n v="0"/>
    <x v="6"/>
    <n v="0"/>
  </r>
  <r>
    <s v="FB000675"/>
    <x v="2"/>
    <x v="6"/>
    <x v="1"/>
    <m/>
    <x v="2"/>
    <x v="4"/>
    <n v="72.239999999999995"/>
    <x v="0"/>
    <n v="0"/>
    <n v="72.239999999999995"/>
    <n v="0"/>
    <d v="2025-08-06T00:00:00"/>
    <x v="1"/>
    <x v="1"/>
    <n v="35"/>
    <n v="4.0999999999999996"/>
    <s v="Ok"/>
    <n v="4.0999999999999996"/>
    <s v="False"/>
    <m/>
    <n v="0"/>
    <n v="72.239999999999995"/>
    <x v="0"/>
    <n v="0"/>
  </r>
  <r>
    <s v="FB000676"/>
    <x v="1"/>
    <x v="3"/>
    <x v="1"/>
    <s v="XS"/>
    <x v="5"/>
    <x v="5"/>
    <n v="94.92"/>
    <x v="0"/>
    <n v="0"/>
    <n v="94.92"/>
    <n v="0"/>
    <d v="2025-08-06T00:00:00"/>
    <x v="1"/>
    <x v="1"/>
    <n v="5"/>
    <n v="3.3"/>
    <s v="Pocas Unidades"/>
    <n v="3.3"/>
    <s v="False"/>
    <m/>
    <n v="0"/>
    <n v="94.92"/>
    <x v="0"/>
    <n v="0"/>
  </r>
  <r>
    <s v="FB000677"/>
    <x v="0"/>
    <x v="2"/>
    <x v="2"/>
    <s v="XXL"/>
    <x v="4"/>
    <x v="10"/>
    <n v="91.08"/>
    <x v="0"/>
    <n v="0"/>
    <n v="91.08"/>
    <n v="0"/>
    <d v="2025-08-06T00:00:00"/>
    <x v="1"/>
    <x v="1"/>
    <n v="47"/>
    <n v="4.9000000000000004"/>
    <s v="Ok"/>
    <n v="4.9000000000000004"/>
    <s v="False"/>
    <m/>
    <n v="0"/>
    <n v="91.08"/>
    <x v="0"/>
    <n v="0"/>
  </r>
  <r>
    <s v="FB000678"/>
    <x v="2"/>
    <x v="2"/>
    <x v="2"/>
    <m/>
    <x v="2"/>
    <x v="10"/>
    <n v="49.72"/>
    <x v="209"/>
    <n v="0.58299999999999996"/>
    <n v="20.73"/>
    <n v="28.99"/>
    <d v="2025-08-06T00:00:00"/>
    <x v="1"/>
    <x v="1"/>
    <n v="4"/>
    <n v="1.6"/>
    <s v="Pocas Unidades"/>
    <n v="1.6"/>
    <s v="False"/>
    <m/>
    <n v="0"/>
    <n v="20.73"/>
    <x v="0"/>
    <n v="0"/>
  </r>
  <r>
    <s v="FB000679"/>
    <x v="2"/>
    <x v="6"/>
    <x v="1"/>
    <m/>
    <x v="2"/>
    <x v="9"/>
    <n v="23.09"/>
    <x v="72"/>
    <n v="7.0999999999999994E-2"/>
    <n v="21.45"/>
    <n v="1.6400000000000006"/>
    <d v="2025-08-06T00:00:00"/>
    <x v="1"/>
    <x v="1"/>
    <n v="11"/>
    <n v="1.2"/>
    <s v="Ok"/>
    <n v="1.2"/>
    <s v="False"/>
    <m/>
    <n v="0"/>
    <n v="21.45"/>
    <x v="0"/>
    <n v="0"/>
  </r>
  <r>
    <s v="FB000680"/>
    <x v="2"/>
    <x v="0"/>
    <x v="0"/>
    <m/>
    <x v="2"/>
    <x v="0"/>
    <n v="49.95"/>
    <x v="0"/>
    <n v="0"/>
    <n v="49.95"/>
    <n v="0"/>
    <d v="2024-09-17T00:00:00"/>
    <x v="3"/>
    <x v="6"/>
    <n v="29"/>
    <n v="4.3"/>
    <s v="Ok"/>
    <n v="4.3"/>
    <s v="False"/>
    <m/>
    <n v="0"/>
    <n v="49.95"/>
    <x v="0"/>
    <n v="0"/>
  </r>
  <r>
    <s v="FB000681"/>
    <x v="2"/>
    <x v="7"/>
    <x v="1"/>
    <m/>
    <x v="2"/>
    <x v="6"/>
    <n v="25.7"/>
    <x v="0"/>
    <n v="0"/>
    <n v="25.7"/>
    <n v="0"/>
    <d v="2025-08-06T00:00:00"/>
    <x v="1"/>
    <x v="1"/>
    <n v="38"/>
    <n v="3.2"/>
    <s v="Ok"/>
    <n v="3.2"/>
    <s v="True"/>
    <s v="Quality Issue"/>
    <n v="1"/>
    <n v="0"/>
    <x v="4"/>
    <n v="0"/>
  </r>
  <r>
    <s v="FB000682"/>
    <x v="3"/>
    <x v="3"/>
    <x v="3"/>
    <s v="XS"/>
    <x v="5"/>
    <x v="6"/>
    <n v="175.22"/>
    <x v="0"/>
    <n v="0"/>
    <n v="175.22"/>
    <n v="0"/>
    <d v="2025-08-06T00:00:00"/>
    <x v="1"/>
    <x v="1"/>
    <n v="8"/>
    <n v="4.9000000000000004"/>
    <s v="Pocas Unidades"/>
    <n v="4.9000000000000004"/>
    <s v="False"/>
    <m/>
    <n v="0"/>
    <n v="175.22"/>
    <x v="0"/>
    <n v="0"/>
  </r>
  <r>
    <s v="FB000683"/>
    <x v="4"/>
    <x v="5"/>
    <x v="3"/>
    <s v="XS"/>
    <x v="5"/>
    <x v="4"/>
    <n v="37.57"/>
    <x v="0"/>
    <n v="0"/>
    <n v="37.57"/>
    <n v="0"/>
    <d v="2025-08-06T00:00:00"/>
    <x v="1"/>
    <x v="1"/>
    <n v="18"/>
    <n v="1.9"/>
    <s v="Ok"/>
    <n v="1.9"/>
    <s v="False"/>
    <m/>
    <n v="0"/>
    <n v="37.57"/>
    <x v="0"/>
    <n v="0"/>
  </r>
  <r>
    <s v="FB000684"/>
    <x v="0"/>
    <x v="0"/>
    <x v="0"/>
    <s v="M"/>
    <x v="6"/>
    <x v="6"/>
    <n v="245.87"/>
    <x v="0"/>
    <n v="0"/>
    <n v="245.87"/>
    <n v="0"/>
    <d v="2025-06-24T00:00:00"/>
    <x v="3"/>
    <x v="7"/>
    <n v="27"/>
    <n v="2.6"/>
    <s v="Ok"/>
    <n v="2.6"/>
    <s v="False"/>
    <m/>
    <n v="0"/>
    <n v="245.87"/>
    <x v="0"/>
    <n v="0"/>
  </r>
  <r>
    <s v="FB000685"/>
    <x v="4"/>
    <x v="2"/>
    <x v="1"/>
    <s v="XS"/>
    <x v="5"/>
    <x v="0"/>
    <n v="116.92"/>
    <x v="0"/>
    <n v="0"/>
    <n v="116.92"/>
    <n v="0"/>
    <d v="2025-08-06T00:00:00"/>
    <x v="1"/>
    <x v="1"/>
    <n v="13"/>
    <n v="3.2"/>
    <s v="Ok"/>
    <n v="3.2"/>
    <s v="False"/>
    <m/>
    <n v="0"/>
    <n v="116.92"/>
    <x v="0"/>
    <n v="0"/>
  </r>
  <r>
    <s v="FB000686"/>
    <x v="5"/>
    <x v="5"/>
    <x v="1"/>
    <s v="L"/>
    <x v="1"/>
    <x v="1"/>
    <n v="103.11"/>
    <x v="0"/>
    <n v="0"/>
    <n v="103.11"/>
    <n v="0"/>
    <d v="2025-08-06T00:00:00"/>
    <x v="1"/>
    <x v="1"/>
    <n v="17"/>
    <m/>
    <s v="Ok"/>
    <s v="No valorado"/>
    <s v="False"/>
    <m/>
    <n v="0"/>
    <n v="103.11"/>
    <x v="0"/>
    <n v="0"/>
  </r>
  <r>
    <s v="FB000687"/>
    <x v="0"/>
    <x v="1"/>
    <x v="2"/>
    <s v="M"/>
    <x v="6"/>
    <x v="9"/>
    <n v="238.89"/>
    <x v="210"/>
    <n v="5.0000000000000001E-3"/>
    <n v="237.7"/>
    <n v="1.1899999999999977"/>
    <d v="2025-08-06T00:00:00"/>
    <x v="1"/>
    <x v="1"/>
    <n v="28"/>
    <n v="2.7"/>
    <s v="Ok"/>
    <n v="2.7"/>
    <s v="False"/>
    <m/>
    <n v="0"/>
    <n v="237.7"/>
    <x v="0"/>
    <n v="0"/>
  </r>
  <r>
    <s v="FB000688"/>
    <x v="3"/>
    <x v="1"/>
    <x v="3"/>
    <s v="XS"/>
    <x v="5"/>
    <x v="1"/>
    <n v="86.81"/>
    <x v="211"/>
    <n v="0.126"/>
    <n v="75.87"/>
    <n v="10.939999999999998"/>
    <d v="2025-08-06T00:00:00"/>
    <x v="1"/>
    <x v="1"/>
    <n v="6"/>
    <n v="1.7"/>
    <s v="Pocas Unidades"/>
    <n v="1.7"/>
    <s v="False"/>
    <m/>
    <n v="0"/>
    <n v="75.87"/>
    <x v="0"/>
    <n v="0"/>
  </r>
  <r>
    <s v="FB000689"/>
    <x v="4"/>
    <x v="3"/>
    <x v="3"/>
    <s v="XS"/>
    <x v="5"/>
    <x v="5"/>
    <n v="58.8"/>
    <x v="158"/>
    <n v="0.11800000000000001"/>
    <n v="51.86"/>
    <n v="6.9399999999999977"/>
    <d v="2025-08-06T00:00:00"/>
    <x v="1"/>
    <x v="1"/>
    <n v="8"/>
    <m/>
    <s v="Pocas Unidades"/>
    <s v="No valorado"/>
    <s v="False"/>
    <m/>
    <n v="0"/>
    <n v="51.86"/>
    <x v="0"/>
    <n v="0"/>
  </r>
  <r>
    <s v="FB000690"/>
    <x v="4"/>
    <x v="5"/>
    <x v="0"/>
    <s v="XL"/>
    <x v="0"/>
    <x v="7"/>
    <n v="41.65"/>
    <x v="212"/>
    <n v="0.52"/>
    <n v="19.989999999999998"/>
    <n v="21.66"/>
    <d v="2025-05-16T00:00:00"/>
    <x v="4"/>
    <x v="8"/>
    <n v="20"/>
    <n v="1.2"/>
    <s v="Ok"/>
    <n v="1.2"/>
    <s v="False"/>
    <m/>
    <n v="0"/>
    <n v="19.989999999999998"/>
    <x v="0"/>
    <n v="0"/>
  </r>
  <r>
    <s v="FB000691"/>
    <x v="1"/>
    <x v="4"/>
    <x v="0"/>
    <s v="XL"/>
    <x v="0"/>
    <x v="2"/>
    <n v="61.67"/>
    <x v="213"/>
    <n v="0.46399999999999997"/>
    <n v="33.06"/>
    <n v="28.61"/>
    <d v="2025-07-15T00:00:00"/>
    <x v="3"/>
    <x v="0"/>
    <n v="50"/>
    <n v="2.7"/>
    <s v="Ok"/>
    <n v="2.7"/>
    <s v="False"/>
    <m/>
    <n v="0"/>
    <n v="33.06"/>
    <x v="0"/>
    <n v="0"/>
  </r>
  <r>
    <s v="FB000692"/>
    <x v="4"/>
    <x v="4"/>
    <x v="2"/>
    <s v="XS"/>
    <x v="5"/>
    <x v="2"/>
    <n v="40.39"/>
    <x v="0"/>
    <n v="0"/>
    <n v="40.39"/>
    <n v="0"/>
    <d v="2025-08-06T00:00:00"/>
    <x v="1"/>
    <x v="1"/>
    <n v="16"/>
    <m/>
    <s v="Ok"/>
    <s v="No valorado"/>
    <s v="False"/>
    <m/>
    <n v="0"/>
    <n v="40.39"/>
    <x v="0"/>
    <n v="0"/>
  </r>
  <r>
    <s v="FB000693"/>
    <x v="1"/>
    <x v="5"/>
    <x v="2"/>
    <s v="XXL"/>
    <x v="4"/>
    <x v="9"/>
    <n v="95.13"/>
    <x v="214"/>
    <n v="0.45399999999999996"/>
    <n v="51.94"/>
    <n v="43.19"/>
    <d v="2025-08-06T00:00:00"/>
    <x v="1"/>
    <x v="1"/>
    <n v="46"/>
    <n v="2.5"/>
    <s v="Ok"/>
    <n v="2.5"/>
    <s v="False"/>
    <m/>
    <n v="0"/>
    <n v="51.94"/>
    <x v="0"/>
    <n v="0"/>
  </r>
  <r>
    <s v="FB000694"/>
    <x v="4"/>
    <x v="0"/>
    <x v="2"/>
    <s v="S"/>
    <x v="3"/>
    <x v="6"/>
    <n v="115.14"/>
    <x v="0"/>
    <n v="0"/>
    <n v="115.14"/>
    <n v="0"/>
    <d v="2025-08-06T00:00:00"/>
    <x v="1"/>
    <x v="1"/>
    <n v="43"/>
    <n v="2.5"/>
    <s v="Ok"/>
    <n v="2.5"/>
    <s v="False"/>
    <m/>
    <n v="0"/>
    <n v="115.14"/>
    <x v="0"/>
    <n v="0"/>
  </r>
  <r>
    <s v="FB000695"/>
    <x v="1"/>
    <x v="4"/>
    <x v="3"/>
    <m/>
    <x v="7"/>
    <x v="7"/>
    <n v="59.58"/>
    <x v="0"/>
    <n v="0"/>
    <n v="59.58"/>
    <n v="0"/>
    <d v="2025-08-06T00:00:00"/>
    <x v="1"/>
    <x v="1"/>
    <n v="27"/>
    <n v="3.3"/>
    <s v="Ok"/>
    <n v="3.3"/>
    <s v="False"/>
    <m/>
    <n v="0"/>
    <n v="59.58"/>
    <x v="0"/>
    <n v="0"/>
  </r>
  <r>
    <s v="FB000696"/>
    <x v="3"/>
    <x v="1"/>
    <x v="0"/>
    <s v="M"/>
    <x v="6"/>
    <x v="9"/>
    <n v="169.89"/>
    <x v="0"/>
    <n v="0"/>
    <n v="169.89"/>
    <n v="0"/>
    <d v="2025-07-14T00:00:00"/>
    <x v="2"/>
    <x v="0"/>
    <n v="12"/>
    <n v="1.2"/>
    <s v="Ok"/>
    <n v="1.2"/>
    <s v="False"/>
    <m/>
    <n v="0"/>
    <n v="169.89"/>
    <x v="0"/>
    <n v="0"/>
  </r>
  <r>
    <s v="FB000697"/>
    <x v="3"/>
    <x v="3"/>
    <x v="1"/>
    <s v="S"/>
    <x v="3"/>
    <x v="2"/>
    <n v="117.38"/>
    <x v="34"/>
    <n v="0.22500000000000001"/>
    <n v="90.97"/>
    <n v="26.409999999999997"/>
    <d v="2025-08-06T00:00:00"/>
    <x v="1"/>
    <x v="1"/>
    <n v="42"/>
    <n v="2.8"/>
    <s v="Ok"/>
    <n v="2.8"/>
    <s v="True"/>
    <s v="Color Mismatch"/>
    <n v="1"/>
    <n v="0"/>
    <x v="1"/>
    <n v="0"/>
  </r>
  <r>
    <s v="FB000698"/>
    <x v="1"/>
    <x v="3"/>
    <x v="1"/>
    <s v="S"/>
    <x v="3"/>
    <x v="1"/>
    <n v="118.95"/>
    <x v="0"/>
    <n v="0"/>
    <n v="118.95"/>
    <n v="0"/>
    <d v="2025-08-06T00:00:00"/>
    <x v="1"/>
    <x v="1"/>
    <n v="18"/>
    <n v="1.9"/>
    <s v="Ok"/>
    <n v="1.9"/>
    <s v="True"/>
    <s v="Quality Issue"/>
    <n v="1"/>
    <n v="0"/>
    <x v="4"/>
    <n v="0"/>
  </r>
  <r>
    <s v="FB000699"/>
    <x v="2"/>
    <x v="1"/>
    <x v="2"/>
    <m/>
    <x v="2"/>
    <x v="0"/>
    <n v="39.299999999999997"/>
    <x v="0"/>
    <n v="0"/>
    <n v="39.299999999999997"/>
    <n v="0"/>
    <d v="2025-08-06T00:00:00"/>
    <x v="1"/>
    <x v="1"/>
    <n v="39"/>
    <m/>
    <s v="Ok"/>
    <s v="No valorado"/>
    <s v="False"/>
    <m/>
    <n v="0"/>
    <n v="39.299999999999997"/>
    <x v="0"/>
    <n v="0"/>
  </r>
  <r>
    <s v="FB000700"/>
    <x v="1"/>
    <x v="4"/>
    <x v="1"/>
    <s v="L"/>
    <x v="1"/>
    <x v="7"/>
    <n v="74.3"/>
    <x v="0"/>
    <n v="0"/>
    <n v="74.3"/>
    <n v="0"/>
    <d v="2025-08-06T00:00:00"/>
    <x v="1"/>
    <x v="1"/>
    <n v="31"/>
    <n v="3.8"/>
    <s v="Ok"/>
    <n v="3.8"/>
    <s v="True"/>
    <s v="Wrong Item"/>
    <n v="1"/>
    <n v="0"/>
    <x v="6"/>
    <n v="0"/>
  </r>
  <r>
    <s v="FB000701"/>
    <x v="4"/>
    <x v="4"/>
    <x v="0"/>
    <s v="XS"/>
    <x v="5"/>
    <x v="10"/>
    <n v="62.97"/>
    <x v="0"/>
    <n v="0"/>
    <n v="62.97"/>
    <n v="0"/>
    <d v="2025-05-26T00:00:00"/>
    <x v="2"/>
    <x v="8"/>
    <n v="5"/>
    <n v="3.5"/>
    <s v="Pocas Unidades"/>
    <n v="3.5"/>
    <s v="False"/>
    <m/>
    <n v="0"/>
    <n v="62.97"/>
    <x v="0"/>
    <n v="0"/>
  </r>
  <r>
    <s v="FB000702"/>
    <x v="2"/>
    <x v="4"/>
    <x v="3"/>
    <m/>
    <x v="2"/>
    <x v="4"/>
    <n v="73.599999999999994"/>
    <x v="0"/>
    <n v="0"/>
    <n v="73.599999999999994"/>
    <n v="0"/>
    <d v="2025-08-06T00:00:00"/>
    <x v="1"/>
    <x v="1"/>
    <n v="1"/>
    <n v="1.8"/>
    <s v="Pocas Unidades"/>
    <n v="1.8"/>
    <s v="False"/>
    <m/>
    <n v="0"/>
    <n v="73.599999999999994"/>
    <x v="0"/>
    <n v="0"/>
  </r>
  <r>
    <s v="FB000703"/>
    <x v="2"/>
    <x v="3"/>
    <x v="0"/>
    <m/>
    <x v="2"/>
    <x v="2"/>
    <n v="77.849999999999994"/>
    <x v="215"/>
    <n v="0.34899999999999998"/>
    <n v="50.68"/>
    <n v="27.169999999999995"/>
    <d v="2025-08-05T00:00:00"/>
    <x v="3"/>
    <x v="1"/>
    <n v="11"/>
    <m/>
    <s v="Ok"/>
    <s v="No valorado"/>
    <s v="False"/>
    <m/>
    <n v="0"/>
    <n v="50.68"/>
    <x v="0"/>
    <n v="0"/>
  </r>
  <r>
    <s v="FB000704"/>
    <x v="1"/>
    <x v="7"/>
    <x v="3"/>
    <m/>
    <x v="7"/>
    <x v="0"/>
    <n v="94.31"/>
    <x v="0"/>
    <n v="0"/>
    <n v="94.31"/>
    <n v="0"/>
    <d v="2025-08-06T00:00:00"/>
    <x v="1"/>
    <x v="1"/>
    <n v="20"/>
    <n v="3"/>
    <s v="Ok"/>
    <n v="3"/>
    <s v="False"/>
    <m/>
    <n v="0"/>
    <n v="94.31"/>
    <x v="0"/>
    <n v="0"/>
  </r>
  <r>
    <s v="FB000705"/>
    <x v="4"/>
    <x v="5"/>
    <x v="0"/>
    <m/>
    <x v="7"/>
    <x v="8"/>
    <n v="60.36"/>
    <x v="0"/>
    <n v="0"/>
    <n v="60.36"/>
    <n v="0"/>
    <d v="2024-09-01T00:00:00"/>
    <x v="6"/>
    <x v="6"/>
    <n v="35"/>
    <n v="3.3"/>
    <s v="Ok"/>
    <n v="3.3"/>
    <s v="False"/>
    <m/>
    <n v="0"/>
    <n v="60.36"/>
    <x v="0"/>
    <n v="0"/>
  </r>
  <r>
    <s v="FB000706"/>
    <x v="4"/>
    <x v="3"/>
    <x v="3"/>
    <s v="XXL"/>
    <x v="4"/>
    <x v="10"/>
    <n v="94.85"/>
    <x v="0"/>
    <n v="0"/>
    <n v="94.85"/>
    <n v="0"/>
    <d v="2025-08-06T00:00:00"/>
    <x v="1"/>
    <x v="1"/>
    <n v="28"/>
    <n v="1.5"/>
    <s v="Ok"/>
    <n v="1.5"/>
    <s v="False"/>
    <m/>
    <n v="0"/>
    <n v="94.85"/>
    <x v="0"/>
    <n v="0"/>
  </r>
  <r>
    <s v="FB000707"/>
    <x v="2"/>
    <x v="1"/>
    <x v="1"/>
    <m/>
    <x v="2"/>
    <x v="5"/>
    <n v="30.52"/>
    <x v="216"/>
    <n v="7.9000000000000001E-2"/>
    <n v="28.11"/>
    <n v="2.41"/>
    <d v="2025-08-06T00:00:00"/>
    <x v="1"/>
    <x v="1"/>
    <n v="43"/>
    <n v="4.7"/>
    <s v="Ok"/>
    <n v="4.7"/>
    <s v="False"/>
    <m/>
    <n v="0"/>
    <n v="28.11"/>
    <x v="0"/>
    <n v="0"/>
  </r>
  <r>
    <s v="FB000708"/>
    <x v="5"/>
    <x v="3"/>
    <x v="3"/>
    <s v="XS"/>
    <x v="5"/>
    <x v="8"/>
    <n v="97.06"/>
    <x v="0"/>
    <n v="0"/>
    <n v="97.06"/>
    <n v="0"/>
    <d v="2025-08-06T00:00:00"/>
    <x v="1"/>
    <x v="1"/>
    <n v="24"/>
    <n v="3.9"/>
    <s v="Ok"/>
    <n v="3.9"/>
    <s v="False"/>
    <m/>
    <n v="0"/>
    <n v="97.06"/>
    <x v="0"/>
    <n v="0"/>
  </r>
  <r>
    <s v="FB000709"/>
    <x v="4"/>
    <x v="7"/>
    <x v="3"/>
    <s v="M"/>
    <x v="6"/>
    <x v="9"/>
    <n v="57.85"/>
    <x v="1"/>
    <n v="0.35399999999999998"/>
    <n v="37.369999999999997"/>
    <n v="20.480000000000004"/>
    <d v="2025-08-06T00:00:00"/>
    <x v="1"/>
    <x v="1"/>
    <n v="17"/>
    <m/>
    <s v="Ok"/>
    <s v="No valorado"/>
    <s v="False"/>
    <m/>
    <n v="0"/>
    <n v="37.369999999999997"/>
    <x v="0"/>
    <n v="0"/>
  </r>
  <r>
    <s v="FB000710"/>
    <x v="1"/>
    <x v="0"/>
    <x v="2"/>
    <s v="M"/>
    <x v="6"/>
    <x v="3"/>
    <n v="51.35"/>
    <x v="217"/>
    <n v="0.19699999999999998"/>
    <n v="41.23"/>
    <n v="10.120000000000005"/>
    <d v="2025-08-06T00:00:00"/>
    <x v="1"/>
    <x v="1"/>
    <n v="39"/>
    <n v="1.3"/>
    <s v="Ok"/>
    <n v="1.3"/>
    <s v="False"/>
    <m/>
    <n v="0"/>
    <n v="41.23"/>
    <x v="0"/>
    <n v="0"/>
  </r>
  <r>
    <s v="FB000711"/>
    <x v="2"/>
    <x v="5"/>
    <x v="0"/>
    <m/>
    <x v="2"/>
    <x v="2"/>
    <n v="61.34"/>
    <x v="214"/>
    <n v="0.45399999999999996"/>
    <n v="33.49"/>
    <n v="27.85"/>
    <d v="2025-02-03T00:00:00"/>
    <x v="2"/>
    <x v="9"/>
    <n v="46"/>
    <m/>
    <s v="Ok"/>
    <s v="No valorado"/>
    <s v="False"/>
    <m/>
    <n v="0"/>
    <n v="33.49"/>
    <x v="0"/>
    <n v="0"/>
  </r>
  <r>
    <s v="FB000712"/>
    <x v="0"/>
    <x v="2"/>
    <x v="3"/>
    <s v="L"/>
    <x v="1"/>
    <x v="9"/>
    <n v="189.28"/>
    <x v="0"/>
    <n v="0"/>
    <n v="189.28"/>
    <n v="0"/>
    <d v="2025-08-06T00:00:00"/>
    <x v="1"/>
    <x v="1"/>
    <n v="41"/>
    <n v="2.7"/>
    <s v="Ok"/>
    <n v="2.7"/>
    <s v="True"/>
    <s v="Wrong Item"/>
    <n v="1"/>
    <n v="0"/>
    <x v="6"/>
    <n v="0"/>
  </r>
  <r>
    <s v="FB000713"/>
    <x v="1"/>
    <x v="2"/>
    <x v="3"/>
    <s v="XXL"/>
    <x v="4"/>
    <x v="9"/>
    <n v="86.67"/>
    <x v="218"/>
    <n v="0.35799999999999998"/>
    <n v="55.64"/>
    <n v="31.03"/>
    <d v="2025-08-06T00:00:00"/>
    <x v="1"/>
    <x v="1"/>
    <n v="2"/>
    <n v="4.9000000000000004"/>
    <s v="Pocas Unidades"/>
    <n v="4.9000000000000004"/>
    <s v="False"/>
    <m/>
    <n v="0"/>
    <n v="55.64"/>
    <x v="0"/>
    <n v="0"/>
  </r>
  <r>
    <s v="FB000714"/>
    <x v="4"/>
    <x v="5"/>
    <x v="0"/>
    <s v="S"/>
    <x v="3"/>
    <x v="8"/>
    <n v="102.84"/>
    <x v="0"/>
    <n v="0"/>
    <n v="102.84"/>
    <n v="0"/>
    <d v="2024-09-10T00:00:00"/>
    <x v="3"/>
    <x v="6"/>
    <n v="27"/>
    <n v="1.8"/>
    <s v="Ok"/>
    <n v="1.8"/>
    <s v="False"/>
    <m/>
    <n v="0"/>
    <n v="102.84"/>
    <x v="0"/>
    <n v="0"/>
  </r>
  <r>
    <s v="FB000715"/>
    <x v="0"/>
    <x v="0"/>
    <x v="2"/>
    <s v="XXL"/>
    <x v="4"/>
    <x v="6"/>
    <n v="225.21"/>
    <x v="0"/>
    <n v="0"/>
    <n v="225.21"/>
    <n v="0"/>
    <d v="2025-08-06T00:00:00"/>
    <x v="1"/>
    <x v="1"/>
    <n v="27"/>
    <n v="3.1"/>
    <s v="Ok"/>
    <n v="3.1"/>
    <s v="True"/>
    <s v="Changed Mind"/>
    <n v="1"/>
    <n v="0"/>
    <x v="5"/>
    <n v="0"/>
  </r>
  <r>
    <s v="FB000716"/>
    <x v="5"/>
    <x v="1"/>
    <x v="1"/>
    <s v="XL"/>
    <x v="0"/>
    <x v="4"/>
    <n v="48.91"/>
    <x v="136"/>
    <n v="0.27800000000000002"/>
    <n v="35.31"/>
    <n v="13.599999999999994"/>
    <d v="2025-08-06T00:00:00"/>
    <x v="1"/>
    <x v="1"/>
    <n v="0"/>
    <n v="4.0999999999999996"/>
    <s v="Agotado"/>
    <n v="4.0999999999999996"/>
    <s v="False"/>
    <m/>
    <n v="0"/>
    <n v="35.31"/>
    <x v="0"/>
    <n v="0"/>
  </r>
  <r>
    <s v="FB000717"/>
    <x v="0"/>
    <x v="7"/>
    <x v="2"/>
    <s v="L"/>
    <x v="1"/>
    <x v="1"/>
    <n v="145.93"/>
    <x v="0"/>
    <n v="0"/>
    <n v="145.93"/>
    <n v="0"/>
    <d v="2025-08-06T00:00:00"/>
    <x v="1"/>
    <x v="1"/>
    <n v="19"/>
    <n v="1.5"/>
    <s v="Ok"/>
    <n v="1.5"/>
    <s v="False"/>
    <m/>
    <n v="0"/>
    <n v="145.93"/>
    <x v="0"/>
    <n v="0"/>
  </r>
  <r>
    <s v="FB000718"/>
    <x v="0"/>
    <x v="2"/>
    <x v="1"/>
    <m/>
    <x v="7"/>
    <x v="6"/>
    <n v="225.92"/>
    <x v="219"/>
    <n v="0.43700000000000006"/>
    <n v="127.19"/>
    <n v="98.72999999999999"/>
    <d v="2025-08-06T00:00:00"/>
    <x v="1"/>
    <x v="1"/>
    <n v="30"/>
    <n v="3.2"/>
    <s v="Ok"/>
    <n v="3.2"/>
    <s v="False"/>
    <m/>
    <n v="0"/>
    <n v="127.19"/>
    <x v="0"/>
    <n v="0"/>
  </r>
  <r>
    <s v="FB000719"/>
    <x v="0"/>
    <x v="1"/>
    <x v="3"/>
    <s v="XL"/>
    <x v="0"/>
    <x v="6"/>
    <n v="202.18"/>
    <x v="220"/>
    <n v="0.39700000000000002"/>
    <n v="121.91"/>
    <n v="80.27000000000001"/>
    <d v="2025-08-06T00:00:00"/>
    <x v="1"/>
    <x v="1"/>
    <n v="20"/>
    <n v="4.0999999999999996"/>
    <s v="Ok"/>
    <n v="4.0999999999999996"/>
    <s v="False"/>
    <m/>
    <n v="0"/>
    <n v="121.91"/>
    <x v="0"/>
    <n v="0"/>
  </r>
  <r>
    <s v="FB000720"/>
    <x v="1"/>
    <x v="1"/>
    <x v="2"/>
    <s v="XL"/>
    <x v="0"/>
    <x v="5"/>
    <n v="51.85"/>
    <x v="0"/>
    <n v="0"/>
    <n v="51.85"/>
    <n v="0"/>
    <d v="2025-08-06T00:00:00"/>
    <x v="1"/>
    <x v="1"/>
    <n v="28"/>
    <m/>
    <s v="Ok"/>
    <s v="No valorado"/>
    <s v="False"/>
    <m/>
    <n v="0"/>
    <n v="51.85"/>
    <x v="0"/>
    <n v="0"/>
  </r>
  <r>
    <s v="FB000721"/>
    <x v="1"/>
    <x v="1"/>
    <x v="3"/>
    <s v="L"/>
    <x v="1"/>
    <x v="4"/>
    <n v="75.34"/>
    <x v="0"/>
    <n v="0"/>
    <n v="75.34"/>
    <n v="0"/>
    <d v="2025-08-06T00:00:00"/>
    <x v="1"/>
    <x v="1"/>
    <n v="21"/>
    <m/>
    <s v="Ok"/>
    <s v="No valorado"/>
    <s v="False"/>
    <m/>
    <n v="0"/>
    <n v="75.34"/>
    <x v="0"/>
    <n v="0"/>
  </r>
  <r>
    <s v="FB000722"/>
    <x v="3"/>
    <x v="6"/>
    <x v="0"/>
    <s v="S"/>
    <x v="3"/>
    <x v="1"/>
    <n v="92.09"/>
    <x v="221"/>
    <n v="0.54899999999999993"/>
    <n v="41.53"/>
    <n v="50.56"/>
    <d v="2025-01-19T00:00:00"/>
    <x v="6"/>
    <x v="5"/>
    <n v="44"/>
    <n v="2.2000000000000002"/>
    <s v="Ok"/>
    <n v="2.2000000000000002"/>
    <s v="False"/>
    <m/>
    <n v="0"/>
    <n v="41.53"/>
    <x v="0"/>
    <n v="0"/>
  </r>
  <r>
    <s v="FB000723"/>
    <x v="2"/>
    <x v="0"/>
    <x v="2"/>
    <m/>
    <x v="2"/>
    <x v="5"/>
    <n v="56.39"/>
    <x v="0"/>
    <n v="0"/>
    <n v="56.39"/>
    <n v="0"/>
    <d v="2025-08-06T00:00:00"/>
    <x v="1"/>
    <x v="1"/>
    <n v="49"/>
    <n v="4.2"/>
    <s v="Ok"/>
    <n v="4.2"/>
    <s v="False"/>
    <m/>
    <n v="0"/>
    <n v="56.39"/>
    <x v="0"/>
    <n v="0"/>
  </r>
  <r>
    <s v="FB000724"/>
    <x v="1"/>
    <x v="3"/>
    <x v="2"/>
    <s v="L"/>
    <x v="1"/>
    <x v="1"/>
    <n v="108.75"/>
    <x v="0"/>
    <n v="0"/>
    <n v="108.75"/>
    <n v="0"/>
    <d v="2025-08-06T00:00:00"/>
    <x v="1"/>
    <x v="1"/>
    <n v="38"/>
    <n v="3.8"/>
    <s v="Ok"/>
    <n v="3.8"/>
    <s v="False"/>
    <m/>
    <n v="0"/>
    <n v="108.75"/>
    <x v="0"/>
    <n v="0"/>
  </r>
  <r>
    <s v="FB000725"/>
    <x v="5"/>
    <x v="1"/>
    <x v="0"/>
    <s v="S"/>
    <x v="3"/>
    <x v="0"/>
    <n v="156.85"/>
    <x v="0"/>
    <n v="0"/>
    <n v="156.85"/>
    <n v="0"/>
    <d v="2025-04-01T00:00:00"/>
    <x v="3"/>
    <x v="4"/>
    <n v="48"/>
    <n v="3.4"/>
    <s v="Ok"/>
    <n v="3.4"/>
    <s v="False"/>
    <m/>
    <n v="0"/>
    <n v="156.85"/>
    <x v="0"/>
    <n v="0"/>
  </r>
  <r>
    <s v="FB000726"/>
    <x v="0"/>
    <x v="1"/>
    <x v="0"/>
    <s v="XS"/>
    <x v="5"/>
    <x v="10"/>
    <n v="168.13"/>
    <x v="0"/>
    <n v="0"/>
    <n v="168.13"/>
    <n v="0"/>
    <d v="2025-04-18T00:00:00"/>
    <x v="4"/>
    <x v="4"/>
    <n v="42"/>
    <n v="2.5"/>
    <s v="Ok"/>
    <n v="2.5"/>
    <s v="False"/>
    <m/>
    <n v="0"/>
    <n v="168.13"/>
    <x v="0"/>
    <n v="0"/>
  </r>
  <r>
    <s v="FB000727"/>
    <x v="3"/>
    <x v="7"/>
    <x v="3"/>
    <s v="S"/>
    <x v="3"/>
    <x v="6"/>
    <n v="145.79"/>
    <x v="222"/>
    <n v="0.56999999999999995"/>
    <n v="62.69"/>
    <n v="83.1"/>
    <d v="2025-08-06T00:00:00"/>
    <x v="1"/>
    <x v="1"/>
    <n v="46"/>
    <m/>
    <s v="Ok"/>
    <s v="No valorado"/>
    <s v="False"/>
    <m/>
    <n v="0"/>
    <n v="62.69"/>
    <x v="0"/>
    <n v="0"/>
  </r>
  <r>
    <s v="FB000728"/>
    <x v="4"/>
    <x v="6"/>
    <x v="1"/>
    <s v="S"/>
    <x v="3"/>
    <x v="3"/>
    <n v="54.14"/>
    <x v="0"/>
    <n v="0"/>
    <n v="54.14"/>
    <n v="0"/>
    <d v="2025-08-06T00:00:00"/>
    <x v="1"/>
    <x v="1"/>
    <n v="32"/>
    <m/>
    <s v="Ok"/>
    <s v="No valorado"/>
    <s v="False"/>
    <m/>
    <n v="0"/>
    <n v="54.14"/>
    <x v="0"/>
    <n v="0"/>
  </r>
  <r>
    <s v="FB000729"/>
    <x v="2"/>
    <x v="0"/>
    <x v="2"/>
    <m/>
    <x v="2"/>
    <x v="8"/>
    <n v="45.64"/>
    <x v="0"/>
    <n v="0"/>
    <n v="45.64"/>
    <n v="0"/>
    <d v="2025-08-06T00:00:00"/>
    <x v="1"/>
    <x v="1"/>
    <n v="36"/>
    <n v="3.6"/>
    <s v="Ok"/>
    <n v="3.6"/>
    <s v="True"/>
    <s v="Size Issue"/>
    <n v="1"/>
    <n v="0"/>
    <x v="2"/>
    <n v="0"/>
  </r>
  <r>
    <s v="FB000730"/>
    <x v="4"/>
    <x v="3"/>
    <x v="2"/>
    <s v="S"/>
    <x v="3"/>
    <x v="0"/>
    <n v="46.76"/>
    <x v="0"/>
    <n v="0"/>
    <n v="46.76"/>
    <n v="0"/>
    <d v="2025-08-06T00:00:00"/>
    <x v="1"/>
    <x v="1"/>
    <n v="38"/>
    <n v="2.7"/>
    <s v="Ok"/>
    <n v="2.7"/>
    <s v="False"/>
    <m/>
    <n v="0"/>
    <n v="46.76"/>
    <x v="0"/>
    <n v="0"/>
  </r>
  <r>
    <s v="FB000731"/>
    <x v="5"/>
    <x v="2"/>
    <x v="1"/>
    <m/>
    <x v="7"/>
    <x v="4"/>
    <n v="75.23"/>
    <x v="0"/>
    <n v="0"/>
    <n v="75.23"/>
    <n v="0"/>
    <d v="2025-08-06T00:00:00"/>
    <x v="1"/>
    <x v="1"/>
    <n v="42"/>
    <n v="1.7"/>
    <s v="Ok"/>
    <n v="1.7"/>
    <s v="True"/>
    <s v="Quality Issue"/>
    <n v="1"/>
    <n v="0"/>
    <x v="4"/>
    <n v="0"/>
  </r>
  <r>
    <s v="FB000732"/>
    <x v="5"/>
    <x v="3"/>
    <x v="3"/>
    <s v="XL"/>
    <x v="0"/>
    <x v="3"/>
    <n v="70.38"/>
    <x v="0"/>
    <n v="0"/>
    <n v="70.38"/>
    <n v="0"/>
    <d v="2025-08-06T00:00:00"/>
    <x v="1"/>
    <x v="1"/>
    <n v="37"/>
    <n v="2"/>
    <s v="Ok"/>
    <n v="2"/>
    <s v="False"/>
    <m/>
    <n v="0"/>
    <n v="70.38"/>
    <x v="0"/>
    <n v="0"/>
  </r>
  <r>
    <s v="FB000733"/>
    <x v="4"/>
    <x v="4"/>
    <x v="3"/>
    <s v="M"/>
    <x v="6"/>
    <x v="1"/>
    <n v="76.040000000000006"/>
    <x v="0"/>
    <n v="0"/>
    <n v="76.040000000000006"/>
    <n v="0"/>
    <d v="2025-08-06T00:00:00"/>
    <x v="1"/>
    <x v="1"/>
    <n v="13"/>
    <n v="4.4000000000000004"/>
    <s v="Ok"/>
    <n v="4.4000000000000004"/>
    <s v="False"/>
    <m/>
    <n v="0"/>
    <n v="76.040000000000006"/>
    <x v="0"/>
    <n v="0"/>
  </r>
  <r>
    <s v="FB000734"/>
    <x v="3"/>
    <x v="1"/>
    <x v="3"/>
    <s v="XS"/>
    <x v="5"/>
    <x v="2"/>
    <n v="110.82"/>
    <x v="223"/>
    <n v="0.157"/>
    <n v="93.42"/>
    <n v="17.399999999999991"/>
    <d v="2025-08-06T00:00:00"/>
    <x v="1"/>
    <x v="1"/>
    <n v="43"/>
    <m/>
    <s v="Ok"/>
    <s v="No valorado"/>
    <s v="True"/>
    <s v="Size Issue"/>
    <n v="1"/>
    <n v="0"/>
    <x v="2"/>
    <n v="0"/>
  </r>
  <r>
    <s v="FB000735"/>
    <x v="2"/>
    <x v="7"/>
    <x v="2"/>
    <m/>
    <x v="2"/>
    <x v="8"/>
    <n v="47.47"/>
    <x v="0"/>
    <n v="0"/>
    <n v="47.47"/>
    <n v="0"/>
    <d v="2025-08-06T00:00:00"/>
    <x v="1"/>
    <x v="1"/>
    <n v="42"/>
    <n v="4.7"/>
    <s v="Ok"/>
    <n v="4.7"/>
    <s v="False"/>
    <m/>
    <n v="0"/>
    <n v="47.47"/>
    <x v="0"/>
    <n v="0"/>
  </r>
  <r>
    <s v="FB000736"/>
    <x v="2"/>
    <x v="6"/>
    <x v="0"/>
    <m/>
    <x v="2"/>
    <x v="0"/>
    <n v="79.94"/>
    <x v="0"/>
    <n v="0"/>
    <n v="79.94"/>
    <n v="0"/>
    <d v="2025-07-31T00:00:00"/>
    <x v="5"/>
    <x v="0"/>
    <n v="26"/>
    <n v="3.8"/>
    <s v="Ok"/>
    <n v="3.8"/>
    <s v="False"/>
    <m/>
    <n v="0"/>
    <n v="79.94"/>
    <x v="0"/>
    <n v="0"/>
  </r>
  <r>
    <s v="FB000737"/>
    <x v="4"/>
    <x v="2"/>
    <x v="2"/>
    <s v="XXL"/>
    <x v="4"/>
    <x v="8"/>
    <n v="74.67"/>
    <x v="0"/>
    <n v="0"/>
    <n v="74.67"/>
    <n v="0"/>
    <d v="2025-08-06T00:00:00"/>
    <x v="1"/>
    <x v="1"/>
    <n v="15"/>
    <n v="4.5999999999999996"/>
    <s v="Ok"/>
    <n v="4.5999999999999996"/>
    <s v="False"/>
    <m/>
    <n v="0"/>
    <n v="74.67"/>
    <x v="0"/>
    <n v="0"/>
  </r>
  <r>
    <s v="FB000738"/>
    <x v="5"/>
    <x v="7"/>
    <x v="2"/>
    <s v="XXL"/>
    <x v="4"/>
    <x v="10"/>
    <n v="63.79"/>
    <x v="224"/>
    <n v="0.35499999999999998"/>
    <n v="41.14"/>
    <n v="22.65"/>
    <d v="2025-08-06T00:00:00"/>
    <x v="1"/>
    <x v="1"/>
    <n v="15"/>
    <n v="3.1"/>
    <s v="Ok"/>
    <n v="3.1"/>
    <s v="True"/>
    <s v="Quality Issue"/>
    <n v="1"/>
    <n v="0"/>
    <x v="4"/>
    <n v="0"/>
  </r>
  <r>
    <s v="FB000739"/>
    <x v="4"/>
    <x v="5"/>
    <x v="2"/>
    <s v="XXL"/>
    <x v="4"/>
    <x v="10"/>
    <n v="49.6"/>
    <x v="0"/>
    <n v="0"/>
    <n v="49.6"/>
    <n v="0"/>
    <d v="2025-08-06T00:00:00"/>
    <x v="1"/>
    <x v="1"/>
    <n v="32"/>
    <n v="4.7"/>
    <s v="Ok"/>
    <n v="4.7"/>
    <s v="False"/>
    <m/>
    <n v="0"/>
    <n v="49.6"/>
    <x v="0"/>
    <n v="0"/>
  </r>
  <r>
    <s v="FB000740"/>
    <x v="1"/>
    <x v="0"/>
    <x v="0"/>
    <s v="XL"/>
    <x v="0"/>
    <x v="0"/>
    <n v="57.91"/>
    <x v="0"/>
    <n v="0"/>
    <n v="57.91"/>
    <n v="0"/>
    <d v="2025-03-13T00:00:00"/>
    <x v="5"/>
    <x v="3"/>
    <n v="33"/>
    <n v="3.9"/>
    <s v="Ok"/>
    <n v="3.9"/>
    <s v="False"/>
    <m/>
    <n v="0"/>
    <n v="57.91"/>
    <x v="0"/>
    <n v="0"/>
  </r>
  <r>
    <s v="FB000741"/>
    <x v="5"/>
    <x v="1"/>
    <x v="3"/>
    <s v="XL"/>
    <x v="0"/>
    <x v="1"/>
    <n v="135.99"/>
    <x v="0"/>
    <n v="0"/>
    <n v="135.99"/>
    <n v="0"/>
    <d v="2025-08-06T00:00:00"/>
    <x v="1"/>
    <x v="1"/>
    <n v="34"/>
    <n v="3"/>
    <s v="Ok"/>
    <n v="3"/>
    <s v="False"/>
    <m/>
    <n v="0"/>
    <n v="135.99"/>
    <x v="0"/>
    <n v="0"/>
  </r>
  <r>
    <s v="FB000742"/>
    <x v="5"/>
    <x v="3"/>
    <x v="1"/>
    <s v="S"/>
    <x v="3"/>
    <x v="9"/>
    <n v="53.49"/>
    <x v="7"/>
    <n v="0.218"/>
    <n v="41.83"/>
    <n v="11.660000000000004"/>
    <d v="2025-08-06T00:00:00"/>
    <x v="1"/>
    <x v="1"/>
    <n v="41"/>
    <n v="2.1"/>
    <s v="Ok"/>
    <n v="2.1"/>
    <s v="False"/>
    <m/>
    <n v="0"/>
    <n v="41.83"/>
    <x v="0"/>
    <n v="0"/>
  </r>
  <r>
    <s v="FB000743"/>
    <x v="1"/>
    <x v="7"/>
    <x v="3"/>
    <s v="S"/>
    <x v="3"/>
    <x v="1"/>
    <n v="113.29"/>
    <x v="9"/>
    <n v="0.34"/>
    <n v="74.77"/>
    <n v="38.52000000000001"/>
    <d v="2025-08-06T00:00:00"/>
    <x v="1"/>
    <x v="1"/>
    <n v="10"/>
    <m/>
    <s v="Ok"/>
    <s v="No valorado"/>
    <s v="False"/>
    <m/>
    <n v="0"/>
    <n v="74.77"/>
    <x v="0"/>
    <n v="0"/>
  </r>
  <r>
    <s v="FB000744"/>
    <x v="1"/>
    <x v="4"/>
    <x v="1"/>
    <s v="L"/>
    <x v="1"/>
    <x v="3"/>
    <n v="110.87"/>
    <x v="225"/>
    <n v="0.06"/>
    <n v="104.22"/>
    <n v="6.6500000000000057"/>
    <d v="2025-08-06T00:00:00"/>
    <x v="1"/>
    <x v="1"/>
    <n v="15"/>
    <m/>
    <s v="Ok"/>
    <s v="No valorado"/>
    <s v="False"/>
    <m/>
    <n v="0"/>
    <n v="104.22"/>
    <x v="0"/>
    <n v="0"/>
  </r>
  <r>
    <s v="FB000745"/>
    <x v="1"/>
    <x v="5"/>
    <x v="2"/>
    <m/>
    <x v="7"/>
    <x v="8"/>
    <n v="94.3"/>
    <x v="0"/>
    <n v="0"/>
    <n v="94.3"/>
    <n v="0"/>
    <d v="2025-08-06T00:00:00"/>
    <x v="1"/>
    <x v="1"/>
    <n v="16"/>
    <m/>
    <s v="Ok"/>
    <s v="No valorado"/>
    <s v="False"/>
    <m/>
    <n v="0"/>
    <n v="94.3"/>
    <x v="0"/>
    <n v="0"/>
  </r>
  <r>
    <s v="FB000746"/>
    <x v="2"/>
    <x v="7"/>
    <x v="0"/>
    <m/>
    <x v="2"/>
    <x v="0"/>
    <n v="37.94"/>
    <x v="0"/>
    <n v="0"/>
    <n v="37.94"/>
    <n v="0"/>
    <d v="2024-10-08T00:00:00"/>
    <x v="3"/>
    <x v="2"/>
    <n v="9"/>
    <n v="4.5999999999999996"/>
    <s v="Pocas Unidades"/>
    <n v="4.5999999999999996"/>
    <s v="False"/>
    <m/>
    <n v="0"/>
    <n v="37.94"/>
    <x v="0"/>
    <n v="0"/>
  </r>
  <r>
    <s v="FB000747"/>
    <x v="0"/>
    <x v="5"/>
    <x v="1"/>
    <s v="XXL"/>
    <x v="4"/>
    <x v="4"/>
    <n v="200.24"/>
    <x v="103"/>
    <n v="0.23"/>
    <n v="154.18"/>
    <n v="46.06"/>
    <d v="2025-08-06T00:00:00"/>
    <x v="1"/>
    <x v="1"/>
    <n v="38"/>
    <m/>
    <s v="Ok"/>
    <s v="No valorado"/>
    <s v="False"/>
    <m/>
    <n v="0"/>
    <n v="154.18"/>
    <x v="0"/>
    <n v="0"/>
  </r>
  <r>
    <s v="FB000748"/>
    <x v="2"/>
    <x v="7"/>
    <x v="1"/>
    <m/>
    <x v="2"/>
    <x v="9"/>
    <n v="43.45"/>
    <x v="0"/>
    <n v="0"/>
    <n v="43.45"/>
    <n v="0"/>
    <d v="2025-08-06T00:00:00"/>
    <x v="1"/>
    <x v="1"/>
    <n v="50"/>
    <n v="4"/>
    <s v="Ok"/>
    <n v="4"/>
    <s v="False"/>
    <m/>
    <n v="0"/>
    <n v="43.45"/>
    <x v="0"/>
    <n v="0"/>
  </r>
  <r>
    <s v="FB000749"/>
    <x v="4"/>
    <x v="7"/>
    <x v="3"/>
    <s v="L"/>
    <x v="1"/>
    <x v="0"/>
    <n v="76.92"/>
    <x v="226"/>
    <n v="9.6000000000000002E-2"/>
    <n v="69.540000000000006"/>
    <n v="7.3799999999999955"/>
    <d v="2025-08-06T00:00:00"/>
    <x v="1"/>
    <x v="1"/>
    <n v="20"/>
    <n v="2"/>
    <s v="Ok"/>
    <n v="2"/>
    <s v="False"/>
    <m/>
    <n v="0"/>
    <n v="69.540000000000006"/>
    <x v="0"/>
    <n v="0"/>
  </r>
  <r>
    <s v="FB000750"/>
    <x v="2"/>
    <x v="7"/>
    <x v="2"/>
    <m/>
    <x v="2"/>
    <x v="3"/>
    <n v="21.09"/>
    <x v="0"/>
    <n v="0"/>
    <n v="21.09"/>
    <n v="0"/>
    <d v="2025-08-06T00:00:00"/>
    <x v="1"/>
    <x v="1"/>
    <n v="33"/>
    <n v="4.0999999999999996"/>
    <s v="Ok"/>
    <n v="4.0999999999999996"/>
    <s v="True"/>
    <s v="Size Issue"/>
    <n v="1"/>
    <n v="0"/>
    <x v="2"/>
    <n v="0"/>
  </r>
  <r>
    <s v="FB000751"/>
    <x v="5"/>
    <x v="2"/>
    <x v="1"/>
    <s v="XL"/>
    <x v="0"/>
    <x v="6"/>
    <n v="55.47"/>
    <x v="0"/>
    <n v="0"/>
    <n v="55.47"/>
    <n v="0"/>
    <d v="2025-08-06T00:00:00"/>
    <x v="1"/>
    <x v="1"/>
    <n v="18"/>
    <m/>
    <s v="Ok"/>
    <s v="No valorado"/>
    <s v="False"/>
    <m/>
    <n v="0"/>
    <n v="55.47"/>
    <x v="0"/>
    <n v="0"/>
  </r>
  <r>
    <s v="FB000752"/>
    <x v="0"/>
    <x v="4"/>
    <x v="0"/>
    <s v="XXL"/>
    <x v="4"/>
    <x v="3"/>
    <n v="122.53"/>
    <x v="0"/>
    <n v="0"/>
    <n v="122.53"/>
    <n v="0"/>
    <d v="2024-09-21T00:00:00"/>
    <x v="0"/>
    <x v="6"/>
    <n v="25"/>
    <m/>
    <s v="Ok"/>
    <s v="No valorado"/>
    <s v="False"/>
    <m/>
    <n v="0"/>
    <n v="122.53"/>
    <x v="0"/>
    <n v="0"/>
  </r>
  <r>
    <s v="FB000753"/>
    <x v="2"/>
    <x v="1"/>
    <x v="3"/>
    <m/>
    <x v="2"/>
    <x v="7"/>
    <n v="61.13"/>
    <x v="0"/>
    <n v="0"/>
    <n v="61.13"/>
    <n v="0"/>
    <d v="2025-08-06T00:00:00"/>
    <x v="1"/>
    <x v="1"/>
    <n v="34"/>
    <n v="2.6"/>
    <s v="Ok"/>
    <n v="2.6"/>
    <s v="False"/>
    <m/>
    <n v="0"/>
    <n v="61.13"/>
    <x v="0"/>
    <n v="0"/>
  </r>
  <r>
    <s v="FB000754"/>
    <x v="0"/>
    <x v="1"/>
    <x v="0"/>
    <s v="XS"/>
    <x v="5"/>
    <x v="10"/>
    <n v="127.59"/>
    <x v="0"/>
    <n v="0"/>
    <n v="127.59"/>
    <n v="0"/>
    <d v="2025-05-08T00:00:00"/>
    <x v="5"/>
    <x v="8"/>
    <n v="1"/>
    <n v="4.9000000000000004"/>
    <s v="Pocas Unidades"/>
    <n v="4.9000000000000004"/>
    <s v="False"/>
    <m/>
    <n v="0"/>
    <n v="127.59"/>
    <x v="0"/>
    <n v="0"/>
  </r>
  <r>
    <s v="FB000755"/>
    <x v="2"/>
    <x v="5"/>
    <x v="3"/>
    <m/>
    <x v="2"/>
    <x v="8"/>
    <n v="73.040000000000006"/>
    <x v="0"/>
    <n v="0"/>
    <n v="73.040000000000006"/>
    <n v="0"/>
    <d v="2025-08-06T00:00:00"/>
    <x v="1"/>
    <x v="1"/>
    <n v="44"/>
    <n v="4.2"/>
    <s v="Ok"/>
    <n v="4.2"/>
    <s v="False"/>
    <m/>
    <n v="0"/>
    <n v="73.040000000000006"/>
    <x v="0"/>
    <n v="0"/>
  </r>
  <r>
    <s v="FB000756"/>
    <x v="0"/>
    <x v="1"/>
    <x v="1"/>
    <s v="XL"/>
    <x v="0"/>
    <x v="7"/>
    <n v="129.46"/>
    <x v="0"/>
    <n v="0"/>
    <n v="129.46"/>
    <n v="0"/>
    <d v="2025-08-06T00:00:00"/>
    <x v="1"/>
    <x v="1"/>
    <n v="32"/>
    <n v="4"/>
    <s v="Ok"/>
    <n v="4"/>
    <s v="False"/>
    <m/>
    <n v="0"/>
    <n v="129.46"/>
    <x v="0"/>
    <n v="0"/>
  </r>
  <r>
    <s v="FB000757"/>
    <x v="2"/>
    <x v="2"/>
    <x v="1"/>
    <m/>
    <x v="2"/>
    <x v="3"/>
    <n v="51.3"/>
    <x v="0"/>
    <n v="0"/>
    <n v="51.3"/>
    <n v="0"/>
    <d v="2025-08-06T00:00:00"/>
    <x v="1"/>
    <x v="1"/>
    <n v="33"/>
    <m/>
    <s v="Ok"/>
    <s v="No valorado"/>
    <s v="False"/>
    <m/>
    <n v="0"/>
    <n v="51.3"/>
    <x v="0"/>
    <n v="0"/>
  </r>
  <r>
    <s v="FB000758"/>
    <x v="5"/>
    <x v="4"/>
    <x v="0"/>
    <s v="L"/>
    <x v="1"/>
    <x v="4"/>
    <n v="173"/>
    <x v="0"/>
    <n v="0"/>
    <n v="173"/>
    <n v="0"/>
    <d v="2025-04-12T00:00:00"/>
    <x v="0"/>
    <x v="4"/>
    <n v="13"/>
    <n v="3.9"/>
    <s v="Ok"/>
    <n v="3.9"/>
    <s v="False"/>
    <m/>
    <n v="0"/>
    <n v="173"/>
    <x v="0"/>
    <n v="0"/>
  </r>
  <r>
    <s v="FB000759"/>
    <x v="2"/>
    <x v="1"/>
    <x v="3"/>
    <m/>
    <x v="2"/>
    <x v="6"/>
    <n v="70.72"/>
    <x v="0"/>
    <n v="0"/>
    <n v="70.72"/>
    <n v="0"/>
    <d v="2025-08-06T00:00:00"/>
    <x v="1"/>
    <x v="1"/>
    <n v="18"/>
    <n v="2.8"/>
    <s v="Ok"/>
    <n v="2.8"/>
    <s v="False"/>
    <m/>
    <n v="0"/>
    <n v="70.72"/>
    <x v="0"/>
    <n v="0"/>
  </r>
  <r>
    <s v="FB000760"/>
    <x v="5"/>
    <x v="7"/>
    <x v="3"/>
    <s v="S"/>
    <x v="3"/>
    <x v="2"/>
    <n v="126.37"/>
    <x v="0"/>
    <n v="0"/>
    <n v="126.37"/>
    <n v="0"/>
    <d v="2025-08-06T00:00:00"/>
    <x v="1"/>
    <x v="1"/>
    <n v="42"/>
    <n v="2"/>
    <s v="Ok"/>
    <n v="2"/>
    <s v="False"/>
    <m/>
    <n v="0"/>
    <n v="126.37"/>
    <x v="0"/>
    <n v="0"/>
  </r>
  <r>
    <s v="FB000761"/>
    <x v="4"/>
    <x v="0"/>
    <x v="1"/>
    <s v="XXL"/>
    <x v="4"/>
    <x v="5"/>
    <n v="84.19"/>
    <x v="226"/>
    <n v="9.6000000000000002E-2"/>
    <n v="76.11"/>
    <n v="8.0799999999999983"/>
    <d v="2025-08-06T00:00:00"/>
    <x v="1"/>
    <x v="1"/>
    <n v="45"/>
    <n v="2.1"/>
    <s v="Ok"/>
    <n v="2.1"/>
    <s v="False"/>
    <m/>
    <n v="0"/>
    <n v="76.11"/>
    <x v="0"/>
    <n v="0"/>
  </r>
  <r>
    <s v="FB000762"/>
    <x v="2"/>
    <x v="7"/>
    <x v="3"/>
    <m/>
    <x v="2"/>
    <x v="1"/>
    <n v="59.39"/>
    <x v="146"/>
    <n v="0.44600000000000001"/>
    <n v="32.9"/>
    <n v="26.490000000000002"/>
    <d v="2025-08-06T00:00:00"/>
    <x v="1"/>
    <x v="1"/>
    <n v="41"/>
    <n v="2.2999999999999998"/>
    <s v="Ok"/>
    <n v="2.2999999999999998"/>
    <s v="True"/>
    <s v="Color Mismatch"/>
    <n v="1"/>
    <n v="0"/>
    <x v="1"/>
    <n v="0"/>
  </r>
  <r>
    <s v="FB000763"/>
    <x v="0"/>
    <x v="3"/>
    <x v="2"/>
    <s v="M"/>
    <x v="6"/>
    <x v="6"/>
    <n v="195.38"/>
    <x v="157"/>
    <n v="3.0000000000000001E-3"/>
    <n v="194.79"/>
    <n v="0.59000000000000341"/>
    <d v="2025-08-06T00:00:00"/>
    <x v="1"/>
    <x v="1"/>
    <n v="30"/>
    <n v="2.9"/>
    <s v="Ok"/>
    <n v="2.9"/>
    <s v="False"/>
    <m/>
    <n v="0"/>
    <n v="194.79"/>
    <x v="0"/>
    <n v="0"/>
  </r>
  <r>
    <s v="FB000764"/>
    <x v="5"/>
    <x v="6"/>
    <x v="0"/>
    <s v="S"/>
    <x v="3"/>
    <x v="3"/>
    <n v="107.64"/>
    <x v="113"/>
    <n v="7.4999999999999997E-2"/>
    <n v="99.57"/>
    <n v="8.0700000000000074"/>
    <d v="2024-09-10T00:00:00"/>
    <x v="3"/>
    <x v="6"/>
    <n v="21"/>
    <n v="4.5999999999999996"/>
    <s v="Ok"/>
    <n v="4.5999999999999996"/>
    <s v="False"/>
    <m/>
    <n v="0"/>
    <n v="99.57"/>
    <x v="0"/>
    <n v="0"/>
  </r>
  <r>
    <s v="FB000765"/>
    <x v="3"/>
    <x v="4"/>
    <x v="0"/>
    <s v="L"/>
    <x v="1"/>
    <x v="5"/>
    <n v="63.12"/>
    <x v="0"/>
    <n v="0"/>
    <n v="63.12"/>
    <n v="0"/>
    <d v="2024-11-08T00:00:00"/>
    <x v="4"/>
    <x v="11"/>
    <n v="35"/>
    <n v="2.9"/>
    <s v="Ok"/>
    <n v="2.9"/>
    <s v="False"/>
    <m/>
    <n v="0"/>
    <n v="63.12"/>
    <x v="0"/>
    <n v="0"/>
  </r>
  <r>
    <s v="FB000766"/>
    <x v="4"/>
    <x v="6"/>
    <x v="2"/>
    <s v="L"/>
    <x v="1"/>
    <x v="5"/>
    <n v="58.91"/>
    <x v="0"/>
    <n v="0"/>
    <n v="58.91"/>
    <n v="0"/>
    <d v="2025-08-06T00:00:00"/>
    <x v="1"/>
    <x v="1"/>
    <n v="17"/>
    <n v="2"/>
    <s v="Ok"/>
    <n v="2"/>
    <s v="False"/>
    <m/>
    <n v="0"/>
    <n v="58.91"/>
    <x v="0"/>
    <n v="0"/>
  </r>
  <r>
    <s v="FB000767"/>
    <x v="4"/>
    <x v="4"/>
    <x v="3"/>
    <s v="L"/>
    <x v="1"/>
    <x v="6"/>
    <n v="93.27"/>
    <x v="0"/>
    <n v="0"/>
    <n v="93.27"/>
    <n v="0"/>
    <d v="2025-08-06T00:00:00"/>
    <x v="1"/>
    <x v="1"/>
    <n v="18"/>
    <n v="3.7"/>
    <s v="Ok"/>
    <n v="3.7"/>
    <s v="False"/>
    <m/>
    <n v="0"/>
    <n v="93.27"/>
    <x v="0"/>
    <n v="0"/>
  </r>
  <r>
    <s v="FB000768"/>
    <x v="5"/>
    <x v="7"/>
    <x v="0"/>
    <s v="XL"/>
    <x v="0"/>
    <x v="6"/>
    <n v="147.88"/>
    <x v="117"/>
    <n v="0.36799999999999999"/>
    <n v="93.46"/>
    <n v="54.42"/>
    <d v="2024-09-08T00:00:00"/>
    <x v="6"/>
    <x v="6"/>
    <n v="37"/>
    <n v="3.3"/>
    <s v="Ok"/>
    <n v="3.3"/>
    <s v="False"/>
    <m/>
    <n v="0"/>
    <n v="93.46"/>
    <x v="0"/>
    <n v="0"/>
  </r>
  <r>
    <s v="FB000769"/>
    <x v="1"/>
    <x v="1"/>
    <x v="2"/>
    <s v="L"/>
    <x v="1"/>
    <x v="4"/>
    <n v="30.53"/>
    <x v="0"/>
    <n v="0"/>
    <n v="30.53"/>
    <n v="0"/>
    <d v="2025-08-06T00:00:00"/>
    <x v="1"/>
    <x v="1"/>
    <n v="25"/>
    <n v="2.5"/>
    <s v="Ok"/>
    <n v="2.5"/>
    <s v="False"/>
    <m/>
    <n v="0"/>
    <n v="30.53"/>
    <x v="0"/>
    <n v="0"/>
  </r>
  <r>
    <s v="FB000770"/>
    <x v="1"/>
    <x v="0"/>
    <x v="2"/>
    <s v="S"/>
    <x v="3"/>
    <x v="3"/>
    <n v="104.96"/>
    <x v="227"/>
    <n v="1.6E-2"/>
    <n v="103.28"/>
    <n v="1.6799999999999926"/>
    <d v="2025-08-06T00:00:00"/>
    <x v="1"/>
    <x v="1"/>
    <n v="33"/>
    <n v="2"/>
    <s v="Ok"/>
    <n v="2"/>
    <s v="False"/>
    <m/>
    <n v="0"/>
    <n v="103.28"/>
    <x v="0"/>
    <n v="0"/>
  </r>
  <r>
    <s v="FB000771"/>
    <x v="5"/>
    <x v="4"/>
    <x v="1"/>
    <s v="XS"/>
    <x v="5"/>
    <x v="5"/>
    <n v="75.52"/>
    <x v="0"/>
    <n v="0"/>
    <n v="75.52"/>
    <n v="0"/>
    <d v="2025-08-06T00:00:00"/>
    <x v="1"/>
    <x v="1"/>
    <n v="2"/>
    <n v="2.8"/>
    <s v="Pocas Unidades"/>
    <n v="2.8"/>
    <s v="False"/>
    <m/>
    <n v="0"/>
    <n v="75.52"/>
    <x v="0"/>
    <n v="0"/>
  </r>
  <r>
    <s v="FB000772"/>
    <x v="4"/>
    <x v="6"/>
    <x v="1"/>
    <s v="M"/>
    <x v="6"/>
    <x v="0"/>
    <n v="54.7"/>
    <x v="0"/>
    <n v="0"/>
    <n v="54.7"/>
    <n v="0"/>
    <d v="2025-08-06T00:00:00"/>
    <x v="1"/>
    <x v="1"/>
    <n v="18"/>
    <n v="4.2"/>
    <s v="Ok"/>
    <n v="4.2"/>
    <s v="False"/>
    <m/>
    <n v="0"/>
    <n v="54.7"/>
    <x v="0"/>
    <n v="0"/>
  </r>
  <r>
    <s v="FB000773"/>
    <x v="3"/>
    <x v="5"/>
    <x v="3"/>
    <s v="XS"/>
    <x v="5"/>
    <x v="2"/>
    <n v="126.25"/>
    <x v="228"/>
    <n v="0.25900000000000001"/>
    <n v="93.55"/>
    <n v="32.700000000000003"/>
    <d v="2025-08-06T00:00:00"/>
    <x v="1"/>
    <x v="1"/>
    <n v="40"/>
    <n v="1.5"/>
    <s v="Ok"/>
    <n v="1.5"/>
    <s v="True"/>
    <s v="Size Issue"/>
    <n v="1"/>
    <n v="0"/>
    <x v="2"/>
    <n v="0"/>
  </r>
  <r>
    <s v="FB000774"/>
    <x v="3"/>
    <x v="2"/>
    <x v="3"/>
    <s v="XS"/>
    <x v="5"/>
    <x v="5"/>
    <n v="63.86"/>
    <x v="229"/>
    <n v="0.52800000000000002"/>
    <n v="30.14"/>
    <n v="33.72"/>
    <d v="2025-08-06T00:00:00"/>
    <x v="1"/>
    <x v="1"/>
    <n v="23"/>
    <m/>
    <s v="Ok"/>
    <s v="No valorado"/>
    <s v="False"/>
    <m/>
    <n v="0"/>
    <n v="30.14"/>
    <x v="0"/>
    <n v="0"/>
  </r>
  <r>
    <s v="FB000775"/>
    <x v="2"/>
    <x v="1"/>
    <x v="1"/>
    <m/>
    <x v="2"/>
    <x v="0"/>
    <n v="75.930000000000007"/>
    <x v="0"/>
    <n v="0"/>
    <n v="75.930000000000007"/>
    <n v="0"/>
    <d v="2025-08-06T00:00:00"/>
    <x v="1"/>
    <x v="1"/>
    <n v="32"/>
    <n v="3.1"/>
    <s v="Ok"/>
    <n v="3.1"/>
    <s v="False"/>
    <m/>
    <n v="0"/>
    <n v="75.930000000000007"/>
    <x v="0"/>
    <n v="0"/>
  </r>
  <r>
    <s v="FB000776"/>
    <x v="1"/>
    <x v="0"/>
    <x v="2"/>
    <s v="M"/>
    <x v="6"/>
    <x v="10"/>
    <n v="82.51"/>
    <x v="230"/>
    <n v="0.27300000000000002"/>
    <n v="59.98"/>
    <n v="22.530000000000008"/>
    <d v="2025-08-06T00:00:00"/>
    <x v="1"/>
    <x v="1"/>
    <n v="9"/>
    <n v="3.8"/>
    <s v="Pocas Unidades"/>
    <n v="3.8"/>
    <s v="False"/>
    <m/>
    <n v="0"/>
    <n v="59.98"/>
    <x v="0"/>
    <n v="0"/>
  </r>
  <r>
    <s v="FB000777"/>
    <x v="4"/>
    <x v="2"/>
    <x v="2"/>
    <s v="XXL"/>
    <x v="4"/>
    <x v="6"/>
    <n v="46.02"/>
    <x v="0"/>
    <n v="0"/>
    <n v="46.02"/>
    <n v="0"/>
    <d v="2025-08-06T00:00:00"/>
    <x v="1"/>
    <x v="1"/>
    <n v="21"/>
    <n v="1.1000000000000001"/>
    <s v="Ok"/>
    <n v="1.1000000000000001"/>
    <s v="False"/>
    <m/>
    <n v="0"/>
    <n v="46.02"/>
    <x v="0"/>
    <n v="0"/>
  </r>
  <r>
    <s v="FB000778"/>
    <x v="5"/>
    <x v="3"/>
    <x v="1"/>
    <s v="XXL"/>
    <x v="4"/>
    <x v="10"/>
    <n v="125.67"/>
    <x v="231"/>
    <n v="0.45500000000000002"/>
    <n v="68.489999999999995"/>
    <n v="57.180000000000007"/>
    <d v="2025-08-06T00:00:00"/>
    <x v="1"/>
    <x v="1"/>
    <n v="27"/>
    <n v="1.6"/>
    <s v="Ok"/>
    <n v="1.6"/>
    <s v="False"/>
    <m/>
    <n v="0"/>
    <n v="68.489999999999995"/>
    <x v="0"/>
    <n v="0"/>
  </r>
  <r>
    <s v="FB000779"/>
    <x v="3"/>
    <x v="3"/>
    <x v="1"/>
    <s v="S"/>
    <x v="3"/>
    <x v="0"/>
    <n v="65.61"/>
    <x v="232"/>
    <n v="0.50700000000000001"/>
    <n v="32.35"/>
    <n v="33.26"/>
    <d v="2025-08-06T00:00:00"/>
    <x v="1"/>
    <x v="1"/>
    <n v="23"/>
    <n v="1.1000000000000001"/>
    <s v="Ok"/>
    <n v="1.1000000000000001"/>
    <s v="False"/>
    <m/>
    <n v="0"/>
    <n v="32.35"/>
    <x v="0"/>
    <n v="0"/>
  </r>
  <r>
    <s v="FB000780"/>
    <x v="5"/>
    <x v="2"/>
    <x v="3"/>
    <s v="XS"/>
    <x v="5"/>
    <x v="7"/>
    <n v="91.61"/>
    <x v="0"/>
    <n v="0"/>
    <n v="91.61"/>
    <n v="0"/>
    <d v="2025-08-06T00:00:00"/>
    <x v="1"/>
    <x v="1"/>
    <n v="31"/>
    <n v="1.4"/>
    <s v="Ok"/>
    <n v="1.4"/>
    <s v="False"/>
    <m/>
    <n v="0"/>
    <n v="91.61"/>
    <x v="0"/>
    <n v="0"/>
  </r>
  <r>
    <s v="FB000781"/>
    <x v="0"/>
    <x v="4"/>
    <x v="3"/>
    <s v="XS"/>
    <x v="5"/>
    <x v="1"/>
    <n v="162.78"/>
    <x v="0"/>
    <n v="0"/>
    <n v="162.78"/>
    <n v="0"/>
    <d v="2025-08-06T00:00:00"/>
    <x v="1"/>
    <x v="1"/>
    <n v="0"/>
    <m/>
    <s v="Agotado"/>
    <s v="No valorado"/>
    <s v="False"/>
    <m/>
    <n v="0"/>
    <n v="162.78"/>
    <x v="0"/>
    <n v="0"/>
  </r>
  <r>
    <s v="FB000782"/>
    <x v="0"/>
    <x v="3"/>
    <x v="1"/>
    <s v="M"/>
    <x v="6"/>
    <x v="4"/>
    <n v="134.35"/>
    <x v="233"/>
    <n v="0.35299999999999998"/>
    <n v="86.92"/>
    <n v="47.429999999999993"/>
    <d v="2025-08-06T00:00:00"/>
    <x v="1"/>
    <x v="1"/>
    <n v="36"/>
    <m/>
    <s v="Ok"/>
    <s v="No valorado"/>
    <s v="False"/>
    <m/>
    <n v="0"/>
    <n v="86.92"/>
    <x v="0"/>
    <n v="0"/>
  </r>
  <r>
    <s v="FB000783"/>
    <x v="4"/>
    <x v="3"/>
    <x v="0"/>
    <m/>
    <x v="7"/>
    <x v="4"/>
    <n v="77.739999999999995"/>
    <x v="168"/>
    <n v="0.38799999999999996"/>
    <n v="47.58"/>
    <n v="30.159999999999997"/>
    <d v="2025-07-11T00:00:00"/>
    <x v="4"/>
    <x v="0"/>
    <n v="23"/>
    <n v="4.3"/>
    <s v="Ok"/>
    <n v="4.3"/>
    <s v="False"/>
    <m/>
    <n v="0"/>
    <n v="47.58"/>
    <x v="0"/>
    <n v="0"/>
  </r>
  <r>
    <s v="FB000784"/>
    <x v="2"/>
    <x v="6"/>
    <x v="3"/>
    <m/>
    <x v="2"/>
    <x v="10"/>
    <n v="49.33"/>
    <x v="234"/>
    <n v="0.59899999999999998"/>
    <n v="19.78"/>
    <n v="29.549999999999997"/>
    <d v="2025-08-06T00:00:00"/>
    <x v="1"/>
    <x v="1"/>
    <n v="47"/>
    <m/>
    <s v="Ok"/>
    <s v="No valorado"/>
    <s v="False"/>
    <m/>
    <n v="0"/>
    <n v="19.78"/>
    <x v="0"/>
    <n v="0"/>
  </r>
  <r>
    <s v="FB000785"/>
    <x v="0"/>
    <x v="7"/>
    <x v="3"/>
    <s v="S"/>
    <x v="3"/>
    <x v="4"/>
    <n v="231.52"/>
    <x v="235"/>
    <n v="0.17300000000000001"/>
    <n v="191.47"/>
    <n v="40.050000000000011"/>
    <d v="2025-08-06T00:00:00"/>
    <x v="1"/>
    <x v="1"/>
    <n v="49"/>
    <n v="2.1"/>
    <s v="Ok"/>
    <n v="2.1"/>
    <s v="False"/>
    <m/>
    <n v="0"/>
    <n v="191.47"/>
    <x v="0"/>
    <n v="0"/>
  </r>
  <r>
    <s v="FB000786"/>
    <x v="0"/>
    <x v="6"/>
    <x v="1"/>
    <s v="XL"/>
    <x v="0"/>
    <x v="3"/>
    <n v="140.1"/>
    <x v="0"/>
    <n v="0"/>
    <n v="140.1"/>
    <n v="0"/>
    <d v="2025-08-06T00:00:00"/>
    <x v="1"/>
    <x v="1"/>
    <n v="14"/>
    <n v="3.9"/>
    <s v="Ok"/>
    <n v="3.9"/>
    <s v="False"/>
    <m/>
    <n v="0"/>
    <n v="140.1"/>
    <x v="0"/>
    <n v="0"/>
  </r>
  <r>
    <s v="FB000787"/>
    <x v="5"/>
    <x v="5"/>
    <x v="3"/>
    <s v="S"/>
    <x v="3"/>
    <x v="1"/>
    <n v="117.38"/>
    <x v="136"/>
    <n v="0.27800000000000002"/>
    <n v="84.75"/>
    <n v="32.629999999999995"/>
    <d v="2025-08-06T00:00:00"/>
    <x v="1"/>
    <x v="1"/>
    <n v="34"/>
    <n v="2.8"/>
    <s v="Ok"/>
    <n v="2.8"/>
    <s v="True"/>
    <s v="Quality Issue"/>
    <n v="1"/>
    <n v="0"/>
    <x v="4"/>
    <n v="0"/>
  </r>
  <r>
    <s v="FB000788"/>
    <x v="1"/>
    <x v="5"/>
    <x v="0"/>
    <s v="S"/>
    <x v="3"/>
    <x v="9"/>
    <n v="83.98"/>
    <x v="0"/>
    <n v="0"/>
    <n v="83.98"/>
    <n v="0"/>
    <d v="2024-08-29T00:00:00"/>
    <x v="5"/>
    <x v="1"/>
    <n v="23"/>
    <n v="1.9"/>
    <s v="Ok"/>
    <n v="1.9"/>
    <s v="False"/>
    <m/>
    <n v="0"/>
    <n v="83.98"/>
    <x v="0"/>
    <n v="0"/>
  </r>
  <r>
    <s v="FB000789"/>
    <x v="5"/>
    <x v="4"/>
    <x v="0"/>
    <s v="XL"/>
    <x v="0"/>
    <x v="8"/>
    <n v="111.67"/>
    <x v="236"/>
    <n v="0.53500000000000003"/>
    <n v="51.93"/>
    <n v="59.74"/>
    <d v="2025-02-05T00:00:00"/>
    <x v="1"/>
    <x v="9"/>
    <n v="19"/>
    <m/>
    <s v="Ok"/>
    <s v="No valorado"/>
    <s v="False"/>
    <m/>
    <n v="0"/>
    <n v="51.93"/>
    <x v="0"/>
    <n v="0"/>
  </r>
  <r>
    <s v="FB000790"/>
    <x v="4"/>
    <x v="4"/>
    <x v="3"/>
    <s v="S"/>
    <x v="3"/>
    <x v="3"/>
    <n v="25.16"/>
    <x v="0"/>
    <n v="0"/>
    <n v="25.16"/>
    <n v="0"/>
    <d v="2025-08-06T00:00:00"/>
    <x v="1"/>
    <x v="1"/>
    <n v="37"/>
    <n v="2.8"/>
    <s v="Ok"/>
    <n v="2.8"/>
    <s v="False"/>
    <m/>
    <n v="0"/>
    <n v="25.16"/>
    <x v="0"/>
    <n v="0"/>
  </r>
  <r>
    <s v="FB000791"/>
    <x v="0"/>
    <x v="2"/>
    <x v="2"/>
    <s v="XL"/>
    <x v="0"/>
    <x v="5"/>
    <n v="175.82"/>
    <x v="103"/>
    <n v="0.23"/>
    <n v="135.38"/>
    <n v="40.44"/>
    <d v="2025-08-06T00:00:00"/>
    <x v="1"/>
    <x v="1"/>
    <n v="1"/>
    <n v="3.7"/>
    <s v="Pocas Unidades"/>
    <n v="3.7"/>
    <s v="False"/>
    <m/>
    <n v="0"/>
    <n v="135.38"/>
    <x v="0"/>
    <n v="0"/>
  </r>
  <r>
    <s v="FB000792"/>
    <x v="1"/>
    <x v="3"/>
    <x v="3"/>
    <s v="XS"/>
    <x v="5"/>
    <x v="6"/>
    <n v="53.25"/>
    <x v="237"/>
    <n v="0.375"/>
    <n v="33.28"/>
    <n v="19.97"/>
    <d v="2025-08-06T00:00:00"/>
    <x v="1"/>
    <x v="1"/>
    <n v="33"/>
    <n v="4.3"/>
    <s v="Ok"/>
    <n v="4.3"/>
    <s v="False"/>
    <m/>
    <n v="0"/>
    <n v="33.28"/>
    <x v="0"/>
    <n v="0"/>
  </r>
  <r>
    <s v="FB000793"/>
    <x v="0"/>
    <x v="2"/>
    <x v="2"/>
    <s v="M"/>
    <x v="6"/>
    <x v="9"/>
    <n v="215.19"/>
    <x v="238"/>
    <n v="0.43"/>
    <n v="122.66"/>
    <n v="92.53"/>
    <d v="2025-08-06T00:00:00"/>
    <x v="1"/>
    <x v="1"/>
    <n v="48"/>
    <n v="2.5"/>
    <s v="Ok"/>
    <n v="2.5"/>
    <s v="False"/>
    <m/>
    <n v="0"/>
    <n v="122.66"/>
    <x v="0"/>
    <n v="0"/>
  </r>
  <r>
    <s v="FB000794"/>
    <x v="4"/>
    <x v="0"/>
    <x v="3"/>
    <s v="S"/>
    <x v="3"/>
    <x v="1"/>
    <n v="78.41"/>
    <x v="239"/>
    <n v="0.20699999999999999"/>
    <n v="62.18"/>
    <n v="16.229999999999997"/>
    <d v="2025-08-06T00:00:00"/>
    <x v="1"/>
    <x v="1"/>
    <n v="9"/>
    <n v="4.4000000000000004"/>
    <s v="Pocas Unidades"/>
    <n v="4.4000000000000004"/>
    <s v="False"/>
    <m/>
    <n v="0"/>
    <n v="62.18"/>
    <x v="0"/>
    <n v="0"/>
  </r>
  <r>
    <s v="FB000795"/>
    <x v="3"/>
    <x v="0"/>
    <x v="3"/>
    <s v="XXL"/>
    <x v="4"/>
    <x v="1"/>
    <n v="173.15"/>
    <x v="0"/>
    <n v="0"/>
    <n v="173.15"/>
    <n v="0"/>
    <d v="2025-08-06T00:00:00"/>
    <x v="1"/>
    <x v="1"/>
    <n v="45"/>
    <n v="2.2000000000000002"/>
    <s v="Ok"/>
    <n v="2.2000000000000002"/>
    <s v="False"/>
    <m/>
    <n v="0"/>
    <n v="173.15"/>
    <x v="0"/>
    <n v="0"/>
  </r>
  <r>
    <s v="FB000796"/>
    <x v="2"/>
    <x v="0"/>
    <x v="2"/>
    <m/>
    <x v="2"/>
    <x v="5"/>
    <n v="16.84"/>
    <x v="240"/>
    <n v="0.36599999999999999"/>
    <n v="10.68"/>
    <n v="6.16"/>
    <d v="2025-08-06T00:00:00"/>
    <x v="1"/>
    <x v="1"/>
    <n v="34"/>
    <n v="1.7"/>
    <s v="Ok"/>
    <n v="1.7"/>
    <s v="False"/>
    <m/>
    <n v="0"/>
    <n v="10.68"/>
    <x v="0"/>
    <n v="0"/>
  </r>
  <r>
    <s v="FB000797"/>
    <x v="0"/>
    <x v="7"/>
    <x v="3"/>
    <s v="S"/>
    <x v="3"/>
    <x v="9"/>
    <n v="128.6"/>
    <x v="0"/>
    <n v="0"/>
    <n v="128.6"/>
    <n v="0"/>
    <d v="2025-08-06T00:00:00"/>
    <x v="1"/>
    <x v="1"/>
    <n v="11"/>
    <n v="2.2999999999999998"/>
    <s v="Ok"/>
    <n v="2.2999999999999998"/>
    <s v="False"/>
    <m/>
    <n v="0"/>
    <n v="128.6"/>
    <x v="0"/>
    <n v="0"/>
  </r>
  <r>
    <s v="FB000798"/>
    <x v="0"/>
    <x v="5"/>
    <x v="0"/>
    <s v="XXL"/>
    <x v="4"/>
    <x v="6"/>
    <n v="131.74"/>
    <x v="0"/>
    <n v="0"/>
    <n v="131.74"/>
    <n v="0"/>
    <d v="2024-09-13T00:00:00"/>
    <x v="4"/>
    <x v="6"/>
    <n v="46"/>
    <n v="4.5999999999999996"/>
    <s v="Ok"/>
    <n v="4.5999999999999996"/>
    <s v="False"/>
    <m/>
    <n v="0"/>
    <n v="131.74"/>
    <x v="0"/>
    <n v="0"/>
  </r>
  <r>
    <s v="FB000799"/>
    <x v="4"/>
    <x v="7"/>
    <x v="3"/>
    <s v="XXL"/>
    <x v="4"/>
    <x v="3"/>
    <n v="28.15"/>
    <x v="241"/>
    <n v="0.127"/>
    <n v="24.57"/>
    <n v="3.5799999999999983"/>
    <d v="2025-08-06T00:00:00"/>
    <x v="1"/>
    <x v="1"/>
    <n v="13"/>
    <n v="3.9"/>
    <s v="Ok"/>
    <n v="3.9"/>
    <s v="False"/>
    <m/>
    <n v="0"/>
    <n v="24.57"/>
    <x v="0"/>
    <n v="0"/>
  </r>
  <r>
    <s v="FB000800"/>
    <x v="0"/>
    <x v="7"/>
    <x v="1"/>
    <s v="XL"/>
    <x v="0"/>
    <x v="0"/>
    <n v="165.1"/>
    <x v="242"/>
    <n v="0.58399999999999996"/>
    <n v="68.680000000000007"/>
    <n v="96.419999999999987"/>
    <d v="2025-08-06T00:00:00"/>
    <x v="1"/>
    <x v="1"/>
    <n v="29"/>
    <n v="1.2"/>
    <s v="Ok"/>
    <n v="1.2"/>
    <s v="False"/>
    <m/>
    <n v="0"/>
    <n v="68.680000000000007"/>
    <x v="0"/>
    <n v="0"/>
  </r>
  <r>
    <s v="FB000801"/>
    <x v="1"/>
    <x v="3"/>
    <x v="0"/>
    <s v="XL"/>
    <x v="0"/>
    <x v="4"/>
    <n v="49.62"/>
    <x v="243"/>
    <n v="8.0000000000000002E-3"/>
    <n v="49.22"/>
    <n v="0.39999999999999858"/>
    <d v="2024-11-17T00:00:00"/>
    <x v="6"/>
    <x v="11"/>
    <n v="22"/>
    <n v="2.2999999999999998"/>
    <s v="Ok"/>
    <n v="2.2999999999999998"/>
    <s v="False"/>
    <m/>
    <n v="0"/>
    <n v="49.22"/>
    <x v="0"/>
    <n v="0"/>
  </r>
  <r>
    <s v="FB000802"/>
    <x v="1"/>
    <x v="2"/>
    <x v="2"/>
    <s v="XL"/>
    <x v="0"/>
    <x v="2"/>
    <n v="98.52"/>
    <x v="183"/>
    <n v="0.18899999999999997"/>
    <n v="79.900000000000006"/>
    <n v="18.61999999999999"/>
    <d v="2025-08-06T00:00:00"/>
    <x v="1"/>
    <x v="1"/>
    <n v="37"/>
    <n v="4.0999999999999996"/>
    <s v="Ok"/>
    <n v="4.0999999999999996"/>
    <s v="True"/>
    <s v="Wrong Item"/>
    <n v="1"/>
    <n v="0"/>
    <x v="6"/>
    <n v="0"/>
  </r>
  <r>
    <s v="FB000803"/>
    <x v="3"/>
    <x v="3"/>
    <x v="2"/>
    <s v="S"/>
    <x v="3"/>
    <x v="6"/>
    <n v="94.19"/>
    <x v="244"/>
    <n v="0.308"/>
    <n v="65.180000000000007"/>
    <n v="29.009999999999991"/>
    <d v="2025-08-06T00:00:00"/>
    <x v="1"/>
    <x v="1"/>
    <n v="31"/>
    <n v="1.4"/>
    <s v="Ok"/>
    <n v="1.4"/>
    <s v="False"/>
    <m/>
    <n v="0"/>
    <n v="65.180000000000007"/>
    <x v="0"/>
    <n v="0"/>
  </r>
  <r>
    <s v="FB000804"/>
    <x v="2"/>
    <x v="7"/>
    <x v="1"/>
    <m/>
    <x v="2"/>
    <x v="4"/>
    <n v="23.5"/>
    <x v="0"/>
    <n v="0"/>
    <n v="23.5"/>
    <n v="0"/>
    <d v="2025-08-06T00:00:00"/>
    <x v="1"/>
    <x v="1"/>
    <n v="14"/>
    <n v="3.9"/>
    <s v="Ok"/>
    <n v="3.9"/>
    <s v="True"/>
    <s v="Quality Issue"/>
    <n v="1"/>
    <n v="0"/>
    <x v="4"/>
    <n v="0"/>
  </r>
  <r>
    <s v="FB000805"/>
    <x v="4"/>
    <x v="0"/>
    <x v="2"/>
    <s v="S"/>
    <x v="3"/>
    <x v="7"/>
    <n v="109.36"/>
    <x v="0"/>
    <n v="0"/>
    <n v="109.36"/>
    <n v="0"/>
    <d v="2025-08-06T00:00:00"/>
    <x v="1"/>
    <x v="1"/>
    <n v="0"/>
    <n v="1.1000000000000001"/>
    <s v="Agotado"/>
    <n v="1.1000000000000001"/>
    <s v="False"/>
    <m/>
    <n v="0"/>
    <n v="109.36"/>
    <x v="0"/>
    <n v="0"/>
  </r>
  <r>
    <s v="FB000806"/>
    <x v="2"/>
    <x v="4"/>
    <x v="2"/>
    <m/>
    <x v="2"/>
    <x v="5"/>
    <n v="69.73"/>
    <x v="0"/>
    <n v="0"/>
    <n v="69.73"/>
    <n v="0"/>
    <d v="2025-08-06T00:00:00"/>
    <x v="1"/>
    <x v="1"/>
    <n v="7"/>
    <n v="1.1000000000000001"/>
    <s v="Pocas Unidades"/>
    <n v="1.1000000000000001"/>
    <s v="True"/>
    <s v="Color Mismatch"/>
    <n v="1"/>
    <n v="0"/>
    <x v="1"/>
    <n v="0"/>
  </r>
  <r>
    <s v="FB000807"/>
    <x v="3"/>
    <x v="4"/>
    <x v="3"/>
    <s v="XS"/>
    <x v="5"/>
    <x v="6"/>
    <n v="199.03"/>
    <x v="59"/>
    <n v="0.57299999999999995"/>
    <n v="84.99"/>
    <n v="114.04"/>
    <d v="2025-08-06T00:00:00"/>
    <x v="1"/>
    <x v="1"/>
    <n v="37"/>
    <n v="3.4"/>
    <s v="Ok"/>
    <n v="3.4"/>
    <s v="False"/>
    <m/>
    <n v="0"/>
    <n v="84.99"/>
    <x v="0"/>
    <n v="0"/>
  </r>
  <r>
    <s v="FB000808"/>
    <x v="4"/>
    <x v="6"/>
    <x v="0"/>
    <s v="M"/>
    <x v="6"/>
    <x v="3"/>
    <n v="82.32"/>
    <x v="142"/>
    <n v="0.56700000000000006"/>
    <n v="35.64"/>
    <n v="46.679999999999993"/>
    <d v="2024-12-23T00:00:00"/>
    <x v="2"/>
    <x v="10"/>
    <n v="41"/>
    <m/>
    <s v="Ok"/>
    <s v="No valorado"/>
    <s v="False"/>
    <m/>
    <n v="0"/>
    <n v="35.64"/>
    <x v="0"/>
    <n v="0"/>
  </r>
  <r>
    <s v="FB000809"/>
    <x v="4"/>
    <x v="1"/>
    <x v="0"/>
    <s v="M"/>
    <x v="6"/>
    <x v="8"/>
    <n v="52.42"/>
    <x v="160"/>
    <n v="9.9000000000000005E-2"/>
    <n v="47.23"/>
    <n v="5.1900000000000048"/>
    <d v="2024-10-16T00:00:00"/>
    <x v="1"/>
    <x v="2"/>
    <n v="42"/>
    <n v="3.5"/>
    <s v="Ok"/>
    <n v="3.5"/>
    <s v="False"/>
    <m/>
    <n v="0"/>
    <n v="47.23"/>
    <x v="0"/>
    <n v="0"/>
  </r>
  <r>
    <s v="FB000810"/>
    <x v="0"/>
    <x v="5"/>
    <x v="2"/>
    <s v="S"/>
    <x v="3"/>
    <x v="3"/>
    <n v="180.49"/>
    <x v="0"/>
    <n v="0"/>
    <n v="180.49"/>
    <n v="0"/>
    <d v="2025-08-06T00:00:00"/>
    <x v="1"/>
    <x v="1"/>
    <n v="18"/>
    <n v="2.5"/>
    <s v="Ok"/>
    <n v="2.5"/>
    <s v="True"/>
    <s v="Wrong Item"/>
    <n v="1"/>
    <n v="0"/>
    <x v="6"/>
    <n v="0"/>
  </r>
  <r>
    <s v="FB000811"/>
    <x v="5"/>
    <x v="5"/>
    <x v="2"/>
    <s v="XL"/>
    <x v="0"/>
    <x v="3"/>
    <n v="63.02"/>
    <x v="0"/>
    <n v="0"/>
    <n v="63.02"/>
    <n v="0"/>
    <d v="2025-08-06T00:00:00"/>
    <x v="1"/>
    <x v="1"/>
    <n v="37"/>
    <n v="2.5"/>
    <s v="Ok"/>
    <n v="2.5"/>
    <s v="False"/>
    <m/>
    <n v="0"/>
    <n v="63.02"/>
    <x v="0"/>
    <n v="0"/>
  </r>
  <r>
    <s v="FB000812"/>
    <x v="1"/>
    <x v="3"/>
    <x v="0"/>
    <s v="XL"/>
    <x v="0"/>
    <x v="0"/>
    <n v="97.05"/>
    <x v="0"/>
    <n v="0"/>
    <n v="97.05"/>
    <n v="0"/>
    <d v="2024-12-25T00:00:00"/>
    <x v="1"/>
    <x v="10"/>
    <n v="9"/>
    <m/>
    <s v="Pocas Unidades"/>
    <s v="No valorado"/>
    <s v="False"/>
    <m/>
    <n v="0"/>
    <n v="97.05"/>
    <x v="0"/>
    <n v="0"/>
  </r>
  <r>
    <s v="FB000813"/>
    <x v="4"/>
    <x v="0"/>
    <x v="1"/>
    <s v="XXL"/>
    <x v="4"/>
    <x v="1"/>
    <n v="79.62"/>
    <x v="0"/>
    <n v="0"/>
    <n v="79.62"/>
    <n v="0"/>
    <d v="2025-08-06T00:00:00"/>
    <x v="1"/>
    <x v="1"/>
    <n v="37"/>
    <n v="4.0999999999999996"/>
    <s v="Ok"/>
    <n v="4.0999999999999996"/>
    <s v="False"/>
    <m/>
    <n v="0"/>
    <n v="79.62"/>
    <x v="0"/>
    <n v="0"/>
  </r>
  <r>
    <s v="FB000814"/>
    <x v="5"/>
    <x v="0"/>
    <x v="1"/>
    <s v="M"/>
    <x v="6"/>
    <x v="0"/>
    <n v="82.5"/>
    <x v="0"/>
    <n v="0"/>
    <n v="82.5"/>
    <n v="0"/>
    <d v="2025-08-06T00:00:00"/>
    <x v="1"/>
    <x v="1"/>
    <n v="0"/>
    <m/>
    <s v="Agotado"/>
    <s v="No valorado"/>
    <s v="False"/>
    <m/>
    <n v="0"/>
    <n v="82.5"/>
    <x v="0"/>
    <n v="0"/>
  </r>
  <r>
    <s v="FB000815"/>
    <x v="4"/>
    <x v="5"/>
    <x v="0"/>
    <s v="L"/>
    <x v="1"/>
    <x v="9"/>
    <n v="117.18"/>
    <x v="245"/>
    <n v="0.13699999999999998"/>
    <n v="101.13"/>
    <n v="16.050000000000011"/>
    <d v="2025-08-02T00:00:00"/>
    <x v="0"/>
    <x v="1"/>
    <n v="5"/>
    <n v="4.8"/>
    <s v="Pocas Unidades"/>
    <n v="4.8"/>
    <s v="False"/>
    <m/>
    <n v="0"/>
    <n v="101.13"/>
    <x v="0"/>
    <n v="0"/>
  </r>
  <r>
    <s v="FB000816"/>
    <x v="0"/>
    <x v="5"/>
    <x v="0"/>
    <s v="XS"/>
    <x v="5"/>
    <x v="10"/>
    <n v="174.05"/>
    <x v="0"/>
    <n v="0"/>
    <n v="174.05"/>
    <n v="0"/>
    <d v="2025-04-13T00:00:00"/>
    <x v="6"/>
    <x v="4"/>
    <n v="9"/>
    <m/>
    <s v="Pocas Unidades"/>
    <s v="No valorado"/>
    <s v="False"/>
    <m/>
    <n v="0"/>
    <n v="174.05"/>
    <x v="0"/>
    <n v="0"/>
  </r>
  <r>
    <s v="FB000817"/>
    <x v="4"/>
    <x v="7"/>
    <x v="0"/>
    <s v="XS"/>
    <x v="5"/>
    <x v="10"/>
    <n v="58.29"/>
    <x v="0"/>
    <n v="0"/>
    <n v="58.29"/>
    <n v="0"/>
    <d v="2025-01-07T00:00:00"/>
    <x v="3"/>
    <x v="5"/>
    <n v="22"/>
    <n v="2.2999999999999998"/>
    <s v="Ok"/>
    <n v="2.2999999999999998"/>
    <s v="False"/>
    <m/>
    <n v="0"/>
    <n v="58.29"/>
    <x v="0"/>
    <n v="0"/>
  </r>
  <r>
    <s v="FB000818"/>
    <x v="4"/>
    <x v="4"/>
    <x v="3"/>
    <s v="M"/>
    <x v="6"/>
    <x v="3"/>
    <n v="61.42"/>
    <x v="77"/>
    <n v="0.57499999999999996"/>
    <n v="26.1"/>
    <n v="35.32"/>
    <d v="2025-08-06T00:00:00"/>
    <x v="1"/>
    <x v="1"/>
    <n v="3"/>
    <n v="4.8"/>
    <s v="Pocas Unidades"/>
    <n v="4.8"/>
    <s v="False"/>
    <m/>
    <n v="0"/>
    <n v="26.1"/>
    <x v="0"/>
    <n v="0"/>
  </r>
  <r>
    <s v="FB000819"/>
    <x v="2"/>
    <x v="0"/>
    <x v="1"/>
    <m/>
    <x v="2"/>
    <x v="1"/>
    <n v="20.239999999999998"/>
    <x v="0"/>
    <n v="0"/>
    <n v="20.239999999999998"/>
    <n v="0"/>
    <d v="2025-08-06T00:00:00"/>
    <x v="1"/>
    <x v="1"/>
    <n v="20"/>
    <n v="4.0999999999999996"/>
    <s v="Ok"/>
    <n v="4.0999999999999996"/>
    <s v="False"/>
    <m/>
    <n v="0"/>
    <n v="20.239999999999998"/>
    <x v="0"/>
    <n v="0"/>
  </r>
  <r>
    <s v="FB000820"/>
    <x v="4"/>
    <x v="0"/>
    <x v="2"/>
    <s v="L"/>
    <x v="1"/>
    <x v="0"/>
    <n v="88.58"/>
    <x v="0"/>
    <n v="0"/>
    <n v="88.58"/>
    <n v="0"/>
    <d v="2025-08-06T00:00:00"/>
    <x v="1"/>
    <x v="1"/>
    <n v="50"/>
    <m/>
    <s v="Ok"/>
    <s v="No valorado"/>
    <s v="False"/>
    <m/>
    <n v="0"/>
    <n v="88.58"/>
    <x v="0"/>
    <n v="0"/>
  </r>
  <r>
    <s v="FB000821"/>
    <x v="4"/>
    <x v="5"/>
    <x v="1"/>
    <s v="XXL"/>
    <x v="4"/>
    <x v="9"/>
    <n v="67.92"/>
    <x v="0"/>
    <n v="0"/>
    <n v="67.92"/>
    <n v="0"/>
    <d v="2025-08-06T00:00:00"/>
    <x v="1"/>
    <x v="1"/>
    <n v="23"/>
    <n v="1.8"/>
    <s v="Ok"/>
    <n v="1.8"/>
    <s v="True"/>
    <s v="Size Issue"/>
    <n v="1"/>
    <n v="0"/>
    <x v="2"/>
    <n v="0"/>
  </r>
  <r>
    <s v="FB000822"/>
    <x v="2"/>
    <x v="5"/>
    <x v="2"/>
    <m/>
    <x v="2"/>
    <x v="3"/>
    <n v="25.39"/>
    <x v="0"/>
    <n v="0"/>
    <n v="25.39"/>
    <n v="0"/>
    <d v="2025-08-06T00:00:00"/>
    <x v="1"/>
    <x v="1"/>
    <n v="42"/>
    <n v="1.8"/>
    <s v="Ok"/>
    <n v="1.8"/>
    <s v="False"/>
    <m/>
    <n v="0"/>
    <n v="25.39"/>
    <x v="0"/>
    <n v="0"/>
  </r>
  <r>
    <s v="FB000823"/>
    <x v="5"/>
    <x v="7"/>
    <x v="1"/>
    <s v="S"/>
    <x v="3"/>
    <x v="2"/>
    <n v="115.89"/>
    <x v="104"/>
    <n v="0.39399999999999996"/>
    <n v="70.23"/>
    <n v="45.66"/>
    <d v="2025-08-06T00:00:00"/>
    <x v="1"/>
    <x v="1"/>
    <n v="14"/>
    <n v="3.8"/>
    <s v="Ok"/>
    <n v="3.8"/>
    <s v="True"/>
    <s v="Damaged"/>
    <n v="1"/>
    <n v="0"/>
    <x v="3"/>
    <n v="0"/>
  </r>
  <r>
    <s v="FB000824"/>
    <x v="4"/>
    <x v="7"/>
    <x v="3"/>
    <s v="XL"/>
    <x v="0"/>
    <x v="5"/>
    <n v="103.94"/>
    <x v="246"/>
    <n v="0.161"/>
    <n v="87.21"/>
    <n v="16.730000000000004"/>
    <d v="2025-08-06T00:00:00"/>
    <x v="1"/>
    <x v="1"/>
    <n v="6"/>
    <n v="4.9000000000000004"/>
    <s v="Pocas Unidades"/>
    <n v="4.9000000000000004"/>
    <s v="True"/>
    <s v="Changed Mind"/>
    <n v="1"/>
    <n v="0"/>
    <x v="5"/>
    <n v="0"/>
  </r>
  <r>
    <s v="FB000825"/>
    <x v="3"/>
    <x v="6"/>
    <x v="1"/>
    <s v="L"/>
    <x v="1"/>
    <x v="0"/>
    <n v="94.72"/>
    <x v="247"/>
    <n v="0.20499999999999999"/>
    <n v="75.3"/>
    <n v="19.420000000000002"/>
    <d v="2025-08-06T00:00:00"/>
    <x v="1"/>
    <x v="1"/>
    <n v="24"/>
    <n v="3.6"/>
    <s v="Ok"/>
    <n v="3.6"/>
    <s v="False"/>
    <m/>
    <n v="0"/>
    <n v="75.3"/>
    <x v="0"/>
    <n v="0"/>
  </r>
  <r>
    <s v="FB000826"/>
    <x v="2"/>
    <x v="5"/>
    <x v="2"/>
    <m/>
    <x v="2"/>
    <x v="1"/>
    <n v="23.28"/>
    <x v="0"/>
    <n v="0"/>
    <n v="23.28"/>
    <n v="0"/>
    <d v="2025-08-06T00:00:00"/>
    <x v="1"/>
    <x v="1"/>
    <n v="44"/>
    <n v="3.1"/>
    <s v="Ok"/>
    <n v="3.1"/>
    <s v="True"/>
    <s v="Quality Issue"/>
    <n v="1"/>
    <n v="0"/>
    <x v="4"/>
    <n v="0"/>
  </r>
  <r>
    <s v="FB000827"/>
    <x v="1"/>
    <x v="6"/>
    <x v="3"/>
    <s v="S"/>
    <x v="3"/>
    <x v="1"/>
    <n v="90.73"/>
    <x v="0"/>
    <n v="0"/>
    <n v="90.73"/>
    <n v="0"/>
    <d v="2025-08-06T00:00:00"/>
    <x v="1"/>
    <x v="1"/>
    <n v="14"/>
    <n v="1.1000000000000001"/>
    <s v="Ok"/>
    <n v="1.1000000000000001"/>
    <s v="False"/>
    <m/>
    <n v="0"/>
    <n v="90.73"/>
    <x v="0"/>
    <n v="0"/>
  </r>
  <r>
    <s v="FB000828"/>
    <x v="4"/>
    <x v="4"/>
    <x v="2"/>
    <s v="XXL"/>
    <x v="4"/>
    <x v="6"/>
    <n v="25.74"/>
    <x v="0"/>
    <n v="0"/>
    <n v="25.74"/>
    <n v="0"/>
    <d v="2025-08-06T00:00:00"/>
    <x v="1"/>
    <x v="1"/>
    <n v="33"/>
    <n v="1.1000000000000001"/>
    <s v="Ok"/>
    <n v="1.1000000000000001"/>
    <s v="True"/>
    <s v="Color Mismatch"/>
    <n v="1"/>
    <n v="0"/>
    <x v="1"/>
    <n v="0"/>
  </r>
  <r>
    <s v="FB000829"/>
    <x v="3"/>
    <x v="5"/>
    <x v="0"/>
    <s v="XL"/>
    <x v="0"/>
    <x v="4"/>
    <n v="162.97"/>
    <x v="0"/>
    <n v="0"/>
    <n v="162.97"/>
    <n v="0"/>
    <d v="2024-11-22T00:00:00"/>
    <x v="4"/>
    <x v="11"/>
    <n v="47"/>
    <n v="2.2000000000000002"/>
    <s v="Ok"/>
    <n v="2.2000000000000002"/>
    <s v="True"/>
    <s v="Wrong Item"/>
    <n v="1"/>
    <n v="0"/>
    <x v="6"/>
    <n v="0"/>
  </r>
  <r>
    <s v="FB000830"/>
    <x v="2"/>
    <x v="4"/>
    <x v="1"/>
    <m/>
    <x v="2"/>
    <x v="2"/>
    <n v="50.33"/>
    <x v="248"/>
    <n v="8.6999999999999994E-2"/>
    <n v="45.95"/>
    <n v="4.3799999999999955"/>
    <d v="2025-08-06T00:00:00"/>
    <x v="1"/>
    <x v="1"/>
    <n v="14"/>
    <n v="1.3"/>
    <s v="Ok"/>
    <n v="1.3"/>
    <s v="False"/>
    <m/>
    <n v="0"/>
    <n v="45.95"/>
    <x v="0"/>
    <n v="0"/>
  </r>
  <r>
    <s v="FB000831"/>
    <x v="3"/>
    <x v="1"/>
    <x v="0"/>
    <m/>
    <x v="7"/>
    <x v="1"/>
    <n v="60.38"/>
    <x v="0"/>
    <n v="0"/>
    <n v="60.38"/>
    <n v="0"/>
    <d v="2025-04-29T00:00:00"/>
    <x v="3"/>
    <x v="4"/>
    <n v="0"/>
    <m/>
    <s v="Agotado"/>
    <s v="No valorado"/>
    <s v="False"/>
    <m/>
    <n v="0"/>
    <n v="60.38"/>
    <x v="0"/>
    <n v="0"/>
  </r>
  <r>
    <s v="FB000832"/>
    <x v="1"/>
    <x v="1"/>
    <x v="3"/>
    <s v="XXL"/>
    <x v="4"/>
    <x v="2"/>
    <n v="103.65"/>
    <x v="0"/>
    <n v="0"/>
    <n v="103.65"/>
    <n v="0"/>
    <d v="2025-08-06T00:00:00"/>
    <x v="1"/>
    <x v="1"/>
    <n v="29"/>
    <n v="3.7"/>
    <s v="Ok"/>
    <n v="3.7"/>
    <s v="False"/>
    <m/>
    <n v="0"/>
    <n v="103.65"/>
    <x v="0"/>
    <n v="0"/>
  </r>
  <r>
    <s v="FB000833"/>
    <x v="4"/>
    <x v="6"/>
    <x v="0"/>
    <s v="L"/>
    <x v="1"/>
    <x v="7"/>
    <n v="75.14"/>
    <x v="0"/>
    <n v="0"/>
    <n v="75.14"/>
    <n v="0"/>
    <d v="2025-01-27T00:00:00"/>
    <x v="2"/>
    <x v="5"/>
    <n v="41"/>
    <m/>
    <s v="Ok"/>
    <s v="No valorado"/>
    <s v="True"/>
    <s v="Changed Mind"/>
    <n v="1"/>
    <n v="0"/>
    <x v="5"/>
    <n v="0"/>
  </r>
  <r>
    <s v="FB000834"/>
    <x v="3"/>
    <x v="4"/>
    <x v="1"/>
    <s v="S"/>
    <x v="3"/>
    <x v="1"/>
    <n v="88"/>
    <x v="0"/>
    <n v="0"/>
    <n v="88"/>
    <n v="0"/>
    <d v="2025-08-06T00:00:00"/>
    <x v="1"/>
    <x v="1"/>
    <n v="2"/>
    <n v="1.9"/>
    <s v="Pocas Unidades"/>
    <n v="1.9"/>
    <s v="False"/>
    <m/>
    <n v="0"/>
    <n v="88"/>
    <x v="0"/>
    <n v="0"/>
  </r>
  <r>
    <s v="FB000835"/>
    <x v="5"/>
    <x v="5"/>
    <x v="1"/>
    <s v="XS"/>
    <x v="5"/>
    <x v="0"/>
    <n v="69.540000000000006"/>
    <x v="0"/>
    <n v="0"/>
    <n v="69.540000000000006"/>
    <n v="0"/>
    <d v="2025-08-06T00:00:00"/>
    <x v="1"/>
    <x v="1"/>
    <n v="21"/>
    <m/>
    <s v="Ok"/>
    <s v="No valorado"/>
    <s v="False"/>
    <m/>
    <n v="0"/>
    <n v="69.540000000000006"/>
    <x v="0"/>
    <n v="0"/>
  </r>
  <r>
    <s v="FB000836"/>
    <x v="0"/>
    <x v="3"/>
    <x v="1"/>
    <s v="XS"/>
    <x v="5"/>
    <x v="1"/>
    <n v="209.52"/>
    <x v="0"/>
    <n v="0"/>
    <n v="209.52"/>
    <n v="0"/>
    <d v="2025-08-06T00:00:00"/>
    <x v="1"/>
    <x v="1"/>
    <n v="48"/>
    <n v="2.6"/>
    <s v="Ok"/>
    <n v="2.6"/>
    <s v="False"/>
    <m/>
    <n v="0"/>
    <n v="209.52"/>
    <x v="0"/>
    <n v="0"/>
  </r>
  <r>
    <s v="FB000837"/>
    <x v="3"/>
    <x v="4"/>
    <x v="2"/>
    <s v="XXL"/>
    <x v="4"/>
    <x v="7"/>
    <n v="97.42"/>
    <x v="0"/>
    <n v="0"/>
    <n v="97.42"/>
    <n v="0"/>
    <d v="2025-08-06T00:00:00"/>
    <x v="1"/>
    <x v="1"/>
    <n v="35"/>
    <n v="2"/>
    <s v="Ok"/>
    <n v="2"/>
    <s v="False"/>
    <m/>
    <n v="0"/>
    <n v="97.42"/>
    <x v="0"/>
    <n v="0"/>
  </r>
  <r>
    <s v="FB000838"/>
    <x v="5"/>
    <x v="1"/>
    <x v="1"/>
    <s v="XS"/>
    <x v="5"/>
    <x v="3"/>
    <n v="154.6"/>
    <x v="0"/>
    <n v="0"/>
    <n v="154.6"/>
    <n v="0"/>
    <d v="2025-08-06T00:00:00"/>
    <x v="1"/>
    <x v="1"/>
    <n v="38"/>
    <n v="4.5"/>
    <s v="Ok"/>
    <n v="4.5"/>
    <s v="True"/>
    <s v="Changed Mind"/>
    <n v="1"/>
    <n v="0"/>
    <x v="5"/>
    <n v="0"/>
  </r>
  <r>
    <s v="FB000839"/>
    <x v="4"/>
    <x v="0"/>
    <x v="3"/>
    <s v="XL"/>
    <x v="0"/>
    <x v="3"/>
    <n v="81.59"/>
    <x v="249"/>
    <n v="0.38"/>
    <n v="50.59"/>
    <n v="31"/>
    <d v="2025-08-06T00:00:00"/>
    <x v="1"/>
    <x v="1"/>
    <n v="31"/>
    <n v="1.2"/>
    <s v="Ok"/>
    <n v="1.2"/>
    <s v="False"/>
    <m/>
    <n v="0"/>
    <n v="50.59"/>
    <x v="0"/>
    <n v="0"/>
  </r>
  <r>
    <s v="FB000840"/>
    <x v="2"/>
    <x v="3"/>
    <x v="1"/>
    <m/>
    <x v="2"/>
    <x v="10"/>
    <n v="48.04"/>
    <x v="0"/>
    <n v="0"/>
    <n v="48.04"/>
    <n v="0"/>
    <d v="2025-08-06T00:00:00"/>
    <x v="1"/>
    <x v="1"/>
    <n v="46"/>
    <n v="4.8"/>
    <s v="Ok"/>
    <n v="4.8"/>
    <s v="False"/>
    <m/>
    <n v="0"/>
    <n v="48.04"/>
    <x v="0"/>
    <n v="0"/>
  </r>
  <r>
    <s v="FB000841"/>
    <x v="1"/>
    <x v="2"/>
    <x v="2"/>
    <s v="S"/>
    <x v="3"/>
    <x v="6"/>
    <n v="70.77"/>
    <x v="0"/>
    <n v="0"/>
    <n v="70.77"/>
    <n v="0"/>
    <d v="2025-08-06T00:00:00"/>
    <x v="1"/>
    <x v="1"/>
    <n v="5"/>
    <n v="3.7"/>
    <s v="Pocas Unidades"/>
    <n v="3.7"/>
    <s v="False"/>
    <m/>
    <n v="0"/>
    <n v="70.77"/>
    <x v="0"/>
    <n v="0"/>
  </r>
  <r>
    <s v="FB000842"/>
    <x v="0"/>
    <x v="7"/>
    <x v="2"/>
    <s v="S"/>
    <x v="3"/>
    <x v="4"/>
    <n v="103.49"/>
    <x v="0"/>
    <n v="0"/>
    <n v="103.49"/>
    <n v="0"/>
    <d v="2025-08-06T00:00:00"/>
    <x v="1"/>
    <x v="1"/>
    <n v="12"/>
    <n v="1.8"/>
    <s v="Ok"/>
    <n v="1.8"/>
    <s v="False"/>
    <m/>
    <n v="0"/>
    <n v="103.49"/>
    <x v="0"/>
    <n v="0"/>
  </r>
  <r>
    <s v="FB000843"/>
    <x v="0"/>
    <x v="1"/>
    <x v="0"/>
    <s v="L"/>
    <x v="1"/>
    <x v="9"/>
    <n v="138.88999999999999"/>
    <x v="0"/>
    <n v="0"/>
    <n v="138.88999999999999"/>
    <n v="0"/>
    <d v="2025-01-30T00:00:00"/>
    <x v="5"/>
    <x v="5"/>
    <n v="10"/>
    <m/>
    <s v="Ok"/>
    <s v="No valorado"/>
    <s v="False"/>
    <m/>
    <n v="0"/>
    <n v="138.88999999999999"/>
    <x v="0"/>
    <n v="0"/>
  </r>
  <r>
    <s v="FB000844"/>
    <x v="2"/>
    <x v="4"/>
    <x v="1"/>
    <m/>
    <x v="2"/>
    <x v="6"/>
    <n v="73.510000000000005"/>
    <x v="250"/>
    <n v="0.32200000000000001"/>
    <n v="49.84"/>
    <n v="23.67"/>
    <d v="2025-08-06T00:00:00"/>
    <x v="1"/>
    <x v="1"/>
    <n v="17"/>
    <m/>
    <s v="Ok"/>
    <s v="No valorado"/>
    <s v="True"/>
    <s v="Wrong Item"/>
    <n v="1"/>
    <n v="0"/>
    <x v="6"/>
    <n v="0"/>
  </r>
  <r>
    <s v="FB000845"/>
    <x v="4"/>
    <x v="0"/>
    <x v="0"/>
    <s v="M"/>
    <x v="6"/>
    <x v="9"/>
    <n v="82.37"/>
    <x v="0"/>
    <n v="0"/>
    <n v="82.37"/>
    <n v="0"/>
    <d v="2025-06-04T00:00:00"/>
    <x v="1"/>
    <x v="7"/>
    <n v="49"/>
    <n v="3.3"/>
    <s v="Ok"/>
    <n v="3.3"/>
    <s v="False"/>
    <m/>
    <n v="0"/>
    <n v="82.37"/>
    <x v="0"/>
    <n v="0"/>
  </r>
  <r>
    <s v="FB000846"/>
    <x v="5"/>
    <x v="5"/>
    <x v="3"/>
    <s v="XS"/>
    <x v="5"/>
    <x v="8"/>
    <n v="81.709999999999994"/>
    <x v="26"/>
    <n v="0.18"/>
    <n v="67"/>
    <n v="14.709999999999994"/>
    <d v="2025-08-06T00:00:00"/>
    <x v="1"/>
    <x v="1"/>
    <n v="28"/>
    <n v="4.7"/>
    <s v="Ok"/>
    <n v="4.7"/>
    <s v="False"/>
    <m/>
    <n v="0"/>
    <n v="67"/>
    <x v="0"/>
    <n v="0"/>
  </r>
  <r>
    <s v="FB000847"/>
    <x v="5"/>
    <x v="2"/>
    <x v="1"/>
    <s v="XXL"/>
    <x v="4"/>
    <x v="8"/>
    <n v="107.02"/>
    <x v="197"/>
    <n v="0.106"/>
    <n v="95.68"/>
    <n v="11.339999999999989"/>
    <d v="2025-08-06T00:00:00"/>
    <x v="1"/>
    <x v="1"/>
    <n v="6"/>
    <m/>
    <s v="Pocas Unidades"/>
    <s v="No valorado"/>
    <s v="False"/>
    <m/>
    <n v="0"/>
    <n v="95.68"/>
    <x v="0"/>
    <n v="0"/>
  </r>
  <r>
    <s v="FB000848"/>
    <x v="4"/>
    <x v="4"/>
    <x v="3"/>
    <s v="XL"/>
    <x v="0"/>
    <x v="1"/>
    <n v="103.23"/>
    <x v="251"/>
    <n v="0.187"/>
    <n v="83.93"/>
    <n v="19.299999999999997"/>
    <d v="2025-08-06T00:00:00"/>
    <x v="1"/>
    <x v="1"/>
    <n v="6"/>
    <n v="4"/>
    <s v="Pocas Unidades"/>
    <n v="4"/>
    <s v="False"/>
    <m/>
    <n v="0"/>
    <n v="83.93"/>
    <x v="0"/>
    <n v="0"/>
  </r>
  <r>
    <s v="FB000849"/>
    <x v="1"/>
    <x v="6"/>
    <x v="2"/>
    <s v="L"/>
    <x v="1"/>
    <x v="5"/>
    <n v="100.48"/>
    <x v="252"/>
    <n v="0.17600000000000002"/>
    <n v="82.8"/>
    <n v="17.680000000000007"/>
    <d v="2025-08-06T00:00:00"/>
    <x v="1"/>
    <x v="1"/>
    <n v="19"/>
    <m/>
    <s v="Ok"/>
    <s v="No valorado"/>
    <s v="False"/>
    <m/>
    <n v="0"/>
    <n v="82.8"/>
    <x v="0"/>
    <n v="0"/>
  </r>
  <r>
    <s v="FB000850"/>
    <x v="3"/>
    <x v="5"/>
    <x v="1"/>
    <s v="XL"/>
    <x v="0"/>
    <x v="3"/>
    <n v="160.87"/>
    <x v="253"/>
    <n v="0.53700000000000003"/>
    <n v="74.48"/>
    <n v="86.39"/>
    <d v="2025-08-06T00:00:00"/>
    <x v="1"/>
    <x v="1"/>
    <n v="18"/>
    <m/>
    <s v="Ok"/>
    <s v="No valorado"/>
    <s v="False"/>
    <m/>
    <n v="0"/>
    <n v="74.48"/>
    <x v="0"/>
    <n v="0"/>
  </r>
  <r>
    <s v="FB000851"/>
    <x v="2"/>
    <x v="3"/>
    <x v="2"/>
    <m/>
    <x v="2"/>
    <x v="3"/>
    <n v="78.39"/>
    <x v="0"/>
    <n v="0"/>
    <n v="78.39"/>
    <n v="0"/>
    <d v="2025-08-06T00:00:00"/>
    <x v="1"/>
    <x v="1"/>
    <n v="7"/>
    <n v="4.2"/>
    <s v="Pocas Unidades"/>
    <n v="4.2"/>
    <s v="False"/>
    <m/>
    <n v="0"/>
    <n v="78.39"/>
    <x v="0"/>
    <n v="0"/>
  </r>
  <r>
    <s v="FB000852"/>
    <x v="0"/>
    <x v="0"/>
    <x v="0"/>
    <s v="S"/>
    <x v="3"/>
    <x v="7"/>
    <n v="168.38"/>
    <x v="254"/>
    <n v="0.23100000000000001"/>
    <n v="129.47999999999999"/>
    <n v="38.900000000000006"/>
    <d v="2025-06-04T00:00:00"/>
    <x v="1"/>
    <x v="7"/>
    <n v="3"/>
    <n v="2"/>
    <s v="Pocas Unidades"/>
    <n v="2"/>
    <s v="False"/>
    <m/>
    <n v="0"/>
    <n v="129.47999999999999"/>
    <x v="0"/>
    <n v="0"/>
  </r>
  <r>
    <s v="FB000853"/>
    <x v="3"/>
    <x v="2"/>
    <x v="1"/>
    <s v="S"/>
    <x v="3"/>
    <x v="8"/>
    <n v="128.35"/>
    <x v="0"/>
    <n v="0"/>
    <n v="128.35"/>
    <n v="0"/>
    <d v="2025-08-06T00:00:00"/>
    <x v="1"/>
    <x v="1"/>
    <n v="20"/>
    <n v="2.5"/>
    <s v="Ok"/>
    <n v="2.5"/>
    <s v="False"/>
    <m/>
    <n v="0"/>
    <n v="128.35"/>
    <x v="0"/>
    <n v="0"/>
  </r>
  <r>
    <s v="FB000854"/>
    <x v="5"/>
    <x v="1"/>
    <x v="0"/>
    <s v="XL"/>
    <x v="0"/>
    <x v="4"/>
    <n v="138.16999999999999"/>
    <x v="44"/>
    <n v="0.03"/>
    <n v="134.02000000000001"/>
    <n v="4.1499999999999773"/>
    <d v="2025-04-04T00:00:00"/>
    <x v="4"/>
    <x v="4"/>
    <n v="34"/>
    <n v="4.0999999999999996"/>
    <s v="Ok"/>
    <n v="4.0999999999999996"/>
    <s v="False"/>
    <m/>
    <n v="0"/>
    <n v="134.02000000000001"/>
    <x v="0"/>
    <n v="0"/>
  </r>
  <r>
    <s v="FB000855"/>
    <x v="5"/>
    <x v="1"/>
    <x v="2"/>
    <s v="M"/>
    <x v="6"/>
    <x v="8"/>
    <n v="52.45"/>
    <x v="0"/>
    <n v="0"/>
    <n v="52.45"/>
    <n v="0"/>
    <d v="2025-08-06T00:00:00"/>
    <x v="1"/>
    <x v="1"/>
    <n v="16"/>
    <n v="1.7"/>
    <s v="Ok"/>
    <n v="1.7"/>
    <s v="False"/>
    <m/>
    <n v="0"/>
    <n v="52.45"/>
    <x v="0"/>
    <n v="0"/>
  </r>
  <r>
    <s v="FB000856"/>
    <x v="3"/>
    <x v="4"/>
    <x v="1"/>
    <s v="XS"/>
    <x v="5"/>
    <x v="3"/>
    <n v="171.53"/>
    <x v="0"/>
    <n v="0"/>
    <n v="171.53"/>
    <n v="0"/>
    <d v="2025-08-06T00:00:00"/>
    <x v="1"/>
    <x v="1"/>
    <n v="12"/>
    <n v="4.8"/>
    <s v="Ok"/>
    <n v="4.8"/>
    <s v="False"/>
    <m/>
    <n v="0"/>
    <n v="171.53"/>
    <x v="0"/>
    <n v="0"/>
  </r>
  <r>
    <s v="FB000857"/>
    <x v="1"/>
    <x v="3"/>
    <x v="2"/>
    <s v="XXL"/>
    <x v="4"/>
    <x v="10"/>
    <n v="81.23"/>
    <x v="255"/>
    <n v="1.2E-2"/>
    <n v="80.260000000000005"/>
    <n v="0.96999999999999886"/>
    <d v="2025-08-06T00:00:00"/>
    <x v="1"/>
    <x v="1"/>
    <n v="10"/>
    <n v="4.9000000000000004"/>
    <s v="Ok"/>
    <n v="4.9000000000000004"/>
    <s v="False"/>
    <m/>
    <n v="0"/>
    <n v="80.260000000000005"/>
    <x v="0"/>
    <n v="0"/>
  </r>
  <r>
    <s v="FB000858"/>
    <x v="2"/>
    <x v="2"/>
    <x v="0"/>
    <m/>
    <x v="2"/>
    <x v="5"/>
    <n v="31.37"/>
    <x v="256"/>
    <n v="0.441"/>
    <n v="17.54"/>
    <n v="13.830000000000002"/>
    <d v="2024-09-13T00:00:00"/>
    <x v="4"/>
    <x v="6"/>
    <n v="11"/>
    <n v="3.4"/>
    <s v="Ok"/>
    <n v="3.4"/>
    <s v="False"/>
    <m/>
    <n v="0"/>
    <n v="17.54"/>
    <x v="0"/>
    <n v="0"/>
  </r>
  <r>
    <s v="FB000859"/>
    <x v="4"/>
    <x v="6"/>
    <x v="0"/>
    <s v="S"/>
    <x v="3"/>
    <x v="0"/>
    <n v="93.89"/>
    <x v="0"/>
    <n v="0"/>
    <n v="93.89"/>
    <n v="0"/>
    <d v="2025-02-03T00:00:00"/>
    <x v="2"/>
    <x v="9"/>
    <n v="3"/>
    <n v="1.8"/>
    <s v="Pocas Unidades"/>
    <n v="1.8"/>
    <s v="False"/>
    <m/>
    <n v="0"/>
    <n v="93.89"/>
    <x v="0"/>
    <n v="0"/>
  </r>
  <r>
    <s v="FB000860"/>
    <x v="4"/>
    <x v="1"/>
    <x v="0"/>
    <s v="XL"/>
    <x v="0"/>
    <x v="4"/>
    <n v="54.84"/>
    <x v="0"/>
    <n v="0"/>
    <n v="54.84"/>
    <n v="0"/>
    <d v="2024-09-22T00:00:00"/>
    <x v="6"/>
    <x v="6"/>
    <n v="12"/>
    <n v="3.2"/>
    <s v="Ok"/>
    <n v="3.2"/>
    <s v="False"/>
    <m/>
    <n v="0"/>
    <n v="54.84"/>
    <x v="0"/>
    <n v="0"/>
  </r>
  <r>
    <s v="FB000861"/>
    <x v="5"/>
    <x v="0"/>
    <x v="1"/>
    <s v="L"/>
    <x v="1"/>
    <x v="0"/>
    <n v="140.34"/>
    <x v="0"/>
    <n v="0"/>
    <n v="140.34"/>
    <n v="0"/>
    <d v="2025-08-06T00:00:00"/>
    <x v="1"/>
    <x v="1"/>
    <n v="23"/>
    <n v="2.8"/>
    <s v="Ok"/>
    <n v="2.8"/>
    <s v="True"/>
    <s v="Changed Mind"/>
    <n v="1"/>
    <n v="0"/>
    <x v="5"/>
    <n v="0"/>
  </r>
  <r>
    <s v="FB000862"/>
    <x v="1"/>
    <x v="2"/>
    <x v="2"/>
    <s v="M"/>
    <x v="6"/>
    <x v="0"/>
    <n v="51.88"/>
    <x v="257"/>
    <n v="0.16800000000000001"/>
    <n v="43.16"/>
    <n v="8.720000000000006"/>
    <d v="2025-08-06T00:00:00"/>
    <x v="1"/>
    <x v="1"/>
    <n v="30"/>
    <n v="1.5"/>
    <s v="Ok"/>
    <n v="1.5"/>
    <s v="False"/>
    <m/>
    <n v="0"/>
    <n v="43.16"/>
    <x v="0"/>
    <n v="0"/>
  </r>
  <r>
    <s v="FB000863"/>
    <x v="5"/>
    <x v="3"/>
    <x v="0"/>
    <s v="S"/>
    <x v="3"/>
    <x v="9"/>
    <n v="136.19999999999999"/>
    <x v="258"/>
    <n v="0.44299999999999995"/>
    <n v="75.86"/>
    <n v="60.339999999999989"/>
    <d v="2024-11-21T00:00:00"/>
    <x v="5"/>
    <x v="11"/>
    <n v="49"/>
    <m/>
    <s v="Ok"/>
    <s v="No valorado"/>
    <s v="False"/>
    <m/>
    <n v="0"/>
    <n v="75.86"/>
    <x v="0"/>
    <n v="0"/>
  </r>
  <r>
    <s v="FB000864"/>
    <x v="2"/>
    <x v="4"/>
    <x v="3"/>
    <m/>
    <x v="2"/>
    <x v="10"/>
    <n v="71.19"/>
    <x v="0"/>
    <n v="0"/>
    <n v="71.19"/>
    <n v="0"/>
    <d v="2025-08-06T00:00:00"/>
    <x v="1"/>
    <x v="1"/>
    <n v="14"/>
    <n v="2.8"/>
    <s v="Ok"/>
    <n v="2.8"/>
    <s v="False"/>
    <m/>
    <n v="0"/>
    <n v="71.19"/>
    <x v="0"/>
    <n v="0"/>
  </r>
  <r>
    <s v="FB000865"/>
    <x v="0"/>
    <x v="7"/>
    <x v="0"/>
    <s v="S"/>
    <x v="3"/>
    <x v="8"/>
    <n v="241.37"/>
    <x v="259"/>
    <n v="0.44900000000000001"/>
    <n v="132.99"/>
    <n v="108.38"/>
    <d v="2025-05-15T00:00:00"/>
    <x v="5"/>
    <x v="8"/>
    <n v="23"/>
    <n v="2.1"/>
    <s v="Ok"/>
    <n v="2.1"/>
    <s v="False"/>
    <m/>
    <n v="0"/>
    <n v="132.99"/>
    <x v="0"/>
    <n v="0"/>
  </r>
  <r>
    <s v="FB000866"/>
    <x v="0"/>
    <x v="6"/>
    <x v="2"/>
    <s v="XXL"/>
    <x v="4"/>
    <x v="5"/>
    <n v="198.26"/>
    <x v="172"/>
    <n v="0.51300000000000001"/>
    <n v="96.55"/>
    <n v="101.71"/>
    <d v="2025-08-06T00:00:00"/>
    <x v="1"/>
    <x v="1"/>
    <n v="38"/>
    <m/>
    <s v="Ok"/>
    <s v="No valorado"/>
    <s v="False"/>
    <m/>
    <n v="0"/>
    <n v="96.55"/>
    <x v="0"/>
    <n v="0"/>
  </r>
  <r>
    <s v="FB000867"/>
    <x v="4"/>
    <x v="5"/>
    <x v="1"/>
    <s v="XXL"/>
    <x v="4"/>
    <x v="7"/>
    <n v="64.069999999999993"/>
    <x v="0"/>
    <n v="0"/>
    <n v="64.069999999999993"/>
    <n v="0"/>
    <d v="2025-08-06T00:00:00"/>
    <x v="1"/>
    <x v="1"/>
    <n v="34"/>
    <m/>
    <s v="Ok"/>
    <s v="No valorado"/>
    <s v="False"/>
    <m/>
    <n v="0"/>
    <n v="64.069999999999993"/>
    <x v="0"/>
    <n v="0"/>
  </r>
  <r>
    <s v="FB000868"/>
    <x v="4"/>
    <x v="0"/>
    <x v="2"/>
    <s v="XL"/>
    <x v="0"/>
    <x v="4"/>
    <n v="110.15"/>
    <x v="260"/>
    <n v="0.10400000000000001"/>
    <n v="98.69"/>
    <n v="11.460000000000008"/>
    <d v="2025-08-06T00:00:00"/>
    <x v="1"/>
    <x v="1"/>
    <n v="36"/>
    <n v="1.6"/>
    <s v="Ok"/>
    <n v="1.6"/>
    <s v="False"/>
    <m/>
    <n v="0"/>
    <n v="98.69"/>
    <x v="0"/>
    <n v="0"/>
  </r>
  <r>
    <s v="FB000869"/>
    <x v="0"/>
    <x v="7"/>
    <x v="0"/>
    <s v="XS"/>
    <x v="5"/>
    <x v="5"/>
    <n v="120.68"/>
    <x v="0"/>
    <n v="0"/>
    <n v="120.68"/>
    <n v="0"/>
    <d v="2024-12-21T00:00:00"/>
    <x v="0"/>
    <x v="10"/>
    <n v="6"/>
    <n v="1.9"/>
    <s v="Pocas Unidades"/>
    <n v="1.9"/>
    <s v="False"/>
    <m/>
    <n v="0"/>
    <n v="120.68"/>
    <x v="0"/>
    <n v="0"/>
  </r>
  <r>
    <s v="FB000870"/>
    <x v="2"/>
    <x v="0"/>
    <x v="2"/>
    <m/>
    <x v="2"/>
    <x v="2"/>
    <n v="69.180000000000007"/>
    <x v="261"/>
    <n v="0.31"/>
    <n v="47.73"/>
    <n v="21.45000000000001"/>
    <d v="2025-08-06T00:00:00"/>
    <x v="1"/>
    <x v="1"/>
    <n v="9"/>
    <n v="2.7"/>
    <s v="Pocas Unidades"/>
    <n v="2.7"/>
    <s v="True"/>
    <s v="Size Issue"/>
    <n v="1"/>
    <n v="0"/>
    <x v="2"/>
    <n v="0"/>
  </r>
  <r>
    <s v="FB000871"/>
    <x v="5"/>
    <x v="5"/>
    <x v="2"/>
    <s v="L"/>
    <x v="1"/>
    <x v="0"/>
    <n v="134.77000000000001"/>
    <x v="0"/>
    <n v="0"/>
    <n v="134.77000000000001"/>
    <n v="0"/>
    <d v="2025-08-06T00:00:00"/>
    <x v="1"/>
    <x v="1"/>
    <n v="36"/>
    <n v="4.8"/>
    <s v="Ok"/>
    <n v="4.8"/>
    <s v="False"/>
    <m/>
    <n v="0"/>
    <n v="134.77000000000001"/>
    <x v="0"/>
    <n v="0"/>
  </r>
  <r>
    <s v="FB000872"/>
    <x v="1"/>
    <x v="1"/>
    <x v="0"/>
    <s v="S"/>
    <x v="3"/>
    <x v="2"/>
    <n v="29.93"/>
    <x v="0"/>
    <n v="0"/>
    <n v="29.93"/>
    <n v="0"/>
    <d v="2024-10-10T00:00:00"/>
    <x v="5"/>
    <x v="2"/>
    <n v="13"/>
    <m/>
    <s v="Ok"/>
    <s v="No valorado"/>
    <s v="False"/>
    <m/>
    <n v="0"/>
    <n v="29.93"/>
    <x v="0"/>
    <n v="0"/>
  </r>
  <r>
    <s v="FB000873"/>
    <x v="2"/>
    <x v="6"/>
    <x v="1"/>
    <m/>
    <x v="2"/>
    <x v="3"/>
    <n v="56.09"/>
    <x v="0"/>
    <n v="0"/>
    <n v="56.09"/>
    <n v="0"/>
    <d v="2025-08-06T00:00:00"/>
    <x v="1"/>
    <x v="1"/>
    <n v="21"/>
    <n v="4.9000000000000004"/>
    <s v="Ok"/>
    <n v="4.9000000000000004"/>
    <s v="False"/>
    <m/>
    <n v="0"/>
    <n v="56.09"/>
    <x v="0"/>
    <n v="0"/>
  </r>
  <r>
    <s v="FB000874"/>
    <x v="3"/>
    <x v="6"/>
    <x v="2"/>
    <s v="XS"/>
    <x v="5"/>
    <x v="6"/>
    <n v="124.81"/>
    <x v="262"/>
    <n v="0.33100000000000002"/>
    <n v="83.5"/>
    <n v="41.31"/>
    <d v="2025-08-06T00:00:00"/>
    <x v="1"/>
    <x v="1"/>
    <n v="45"/>
    <n v="2.4"/>
    <s v="Ok"/>
    <n v="2.4"/>
    <s v="False"/>
    <m/>
    <n v="0"/>
    <n v="83.5"/>
    <x v="0"/>
    <n v="0"/>
  </r>
  <r>
    <s v="FB000875"/>
    <x v="5"/>
    <x v="0"/>
    <x v="0"/>
    <s v="M"/>
    <x v="6"/>
    <x v="3"/>
    <n v="94.03"/>
    <x v="78"/>
    <n v="0.56100000000000005"/>
    <n v="41.28"/>
    <n v="52.75"/>
    <d v="2024-12-16T00:00:00"/>
    <x v="2"/>
    <x v="10"/>
    <n v="16"/>
    <n v="1.2"/>
    <s v="Ok"/>
    <n v="1.2"/>
    <s v="False"/>
    <m/>
    <n v="0"/>
    <n v="41.28"/>
    <x v="0"/>
    <n v="0"/>
  </r>
  <r>
    <s v="FB000876"/>
    <x v="3"/>
    <x v="0"/>
    <x v="2"/>
    <s v="XS"/>
    <x v="5"/>
    <x v="0"/>
    <n v="109.51"/>
    <x v="263"/>
    <n v="8.199999999999999E-2"/>
    <n v="100.53"/>
    <n v="8.980000000000004"/>
    <d v="2025-08-06T00:00:00"/>
    <x v="1"/>
    <x v="1"/>
    <n v="12"/>
    <m/>
    <s v="Ok"/>
    <s v="No valorado"/>
    <s v="False"/>
    <m/>
    <n v="0"/>
    <n v="100.53"/>
    <x v="0"/>
    <n v="0"/>
  </r>
  <r>
    <s v="FB000877"/>
    <x v="2"/>
    <x v="3"/>
    <x v="1"/>
    <m/>
    <x v="2"/>
    <x v="8"/>
    <n v="31.13"/>
    <x v="0"/>
    <n v="0"/>
    <n v="31.13"/>
    <n v="0"/>
    <d v="2025-08-06T00:00:00"/>
    <x v="1"/>
    <x v="1"/>
    <n v="29"/>
    <n v="4.7"/>
    <s v="Ok"/>
    <n v="4.7"/>
    <s v="False"/>
    <m/>
    <n v="0"/>
    <n v="31.13"/>
    <x v="0"/>
    <n v="0"/>
  </r>
  <r>
    <s v="FB000878"/>
    <x v="2"/>
    <x v="2"/>
    <x v="2"/>
    <m/>
    <x v="2"/>
    <x v="5"/>
    <n v="66.3"/>
    <x v="66"/>
    <n v="1.7000000000000001E-2"/>
    <n v="65.17"/>
    <n v="1.1299999999999955"/>
    <d v="2025-08-06T00:00:00"/>
    <x v="1"/>
    <x v="1"/>
    <n v="28"/>
    <n v="1.6"/>
    <s v="Ok"/>
    <n v="1.6"/>
    <s v="False"/>
    <m/>
    <n v="0"/>
    <n v="65.17"/>
    <x v="0"/>
    <n v="0"/>
  </r>
  <r>
    <s v="FB000879"/>
    <x v="4"/>
    <x v="4"/>
    <x v="1"/>
    <s v="M"/>
    <x v="6"/>
    <x v="0"/>
    <n v="66.63"/>
    <x v="181"/>
    <n v="0.28399999999999997"/>
    <n v="47.71"/>
    <n v="18.919999999999995"/>
    <d v="2025-08-06T00:00:00"/>
    <x v="1"/>
    <x v="1"/>
    <n v="32"/>
    <n v="2"/>
    <s v="Ok"/>
    <n v="2"/>
    <s v="False"/>
    <m/>
    <n v="0"/>
    <n v="47.71"/>
    <x v="0"/>
    <n v="0"/>
  </r>
  <r>
    <s v="FB000880"/>
    <x v="4"/>
    <x v="3"/>
    <x v="0"/>
    <s v="L"/>
    <x v="1"/>
    <x v="6"/>
    <n v="117.63"/>
    <x v="0"/>
    <n v="0"/>
    <n v="117.63"/>
    <n v="0"/>
    <d v="2024-09-28T00:00:00"/>
    <x v="0"/>
    <x v="6"/>
    <n v="18"/>
    <n v="1.2"/>
    <s v="Ok"/>
    <n v="1.2"/>
    <s v="False"/>
    <m/>
    <n v="0"/>
    <n v="117.63"/>
    <x v="0"/>
    <n v="0"/>
  </r>
  <r>
    <s v="FB000881"/>
    <x v="3"/>
    <x v="2"/>
    <x v="1"/>
    <s v="M"/>
    <x v="6"/>
    <x v="9"/>
    <n v="174.53"/>
    <x v="0"/>
    <n v="0"/>
    <n v="174.53"/>
    <n v="0"/>
    <d v="2025-08-06T00:00:00"/>
    <x v="1"/>
    <x v="1"/>
    <n v="45"/>
    <m/>
    <s v="Ok"/>
    <s v="No valorado"/>
    <s v="False"/>
    <m/>
    <n v="0"/>
    <n v="174.53"/>
    <x v="0"/>
    <n v="0"/>
  </r>
  <r>
    <s v="FB000882"/>
    <x v="5"/>
    <x v="0"/>
    <x v="1"/>
    <s v="S"/>
    <x v="3"/>
    <x v="6"/>
    <n v="152.65"/>
    <x v="0"/>
    <n v="0"/>
    <n v="152.65"/>
    <n v="0"/>
    <d v="2025-08-06T00:00:00"/>
    <x v="1"/>
    <x v="1"/>
    <n v="27"/>
    <n v="3.7"/>
    <s v="Ok"/>
    <n v="3.7"/>
    <s v="False"/>
    <m/>
    <n v="0"/>
    <n v="152.65"/>
    <x v="0"/>
    <n v="0"/>
  </r>
  <r>
    <s v="FB000883"/>
    <x v="0"/>
    <x v="5"/>
    <x v="3"/>
    <s v="XL"/>
    <x v="0"/>
    <x v="5"/>
    <n v="83.24"/>
    <x v="0"/>
    <n v="0"/>
    <n v="83.24"/>
    <n v="0"/>
    <d v="2025-08-06T00:00:00"/>
    <x v="1"/>
    <x v="1"/>
    <n v="16"/>
    <m/>
    <s v="Ok"/>
    <s v="No valorado"/>
    <s v="False"/>
    <m/>
    <n v="0"/>
    <n v="83.24"/>
    <x v="0"/>
    <n v="0"/>
  </r>
  <r>
    <s v="FB000884"/>
    <x v="2"/>
    <x v="0"/>
    <x v="1"/>
    <m/>
    <x v="2"/>
    <x v="10"/>
    <n v="40.18"/>
    <x v="0"/>
    <n v="0"/>
    <n v="40.18"/>
    <n v="0"/>
    <d v="2025-08-06T00:00:00"/>
    <x v="1"/>
    <x v="1"/>
    <n v="27"/>
    <n v="4.7"/>
    <s v="Ok"/>
    <n v="4.7"/>
    <s v="False"/>
    <m/>
    <n v="0"/>
    <n v="40.18"/>
    <x v="0"/>
    <n v="0"/>
  </r>
  <r>
    <s v="FB000885"/>
    <x v="4"/>
    <x v="3"/>
    <x v="0"/>
    <s v="XL"/>
    <x v="0"/>
    <x v="0"/>
    <n v="73.77"/>
    <x v="264"/>
    <n v="0.22800000000000001"/>
    <n v="56.95"/>
    <n v="16.819999999999993"/>
    <d v="2024-08-18T00:00:00"/>
    <x v="6"/>
    <x v="1"/>
    <n v="0"/>
    <m/>
    <s v="Agotado"/>
    <s v="No valorado"/>
    <s v="False"/>
    <m/>
    <n v="0"/>
    <n v="56.95"/>
    <x v="0"/>
    <n v="0"/>
  </r>
  <r>
    <s v="FB000886"/>
    <x v="2"/>
    <x v="7"/>
    <x v="1"/>
    <m/>
    <x v="2"/>
    <x v="0"/>
    <n v="71.3"/>
    <x v="0"/>
    <n v="0"/>
    <n v="71.3"/>
    <n v="0"/>
    <d v="2025-08-06T00:00:00"/>
    <x v="1"/>
    <x v="1"/>
    <n v="29"/>
    <m/>
    <s v="Ok"/>
    <s v="No valorado"/>
    <s v="False"/>
    <m/>
    <n v="0"/>
    <n v="71.3"/>
    <x v="0"/>
    <n v="0"/>
  </r>
  <r>
    <s v="FB000887"/>
    <x v="2"/>
    <x v="7"/>
    <x v="3"/>
    <m/>
    <x v="2"/>
    <x v="7"/>
    <n v="50.3"/>
    <x v="229"/>
    <n v="0.52800000000000002"/>
    <n v="23.74"/>
    <n v="26.56"/>
    <d v="2025-08-06T00:00:00"/>
    <x v="1"/>
    <x v="1"/>
    <n v="11"/>
    <m/>
    <s v="Ok"/>
    <s v="No valorado"/>
    <s v="False"/>
    <m/>
    <n v="0"/>
    <n v="23.74"/>
    <x v="0"/>
    <n v="0"/>
  </r>
  <r>
    <s v="FB000888"/>
    <x v="2"/>
    <x v="4"/>
    <x v="0"/>
    <m/>
    <x v="2"/>
    <x v="6"/>
    <n v="46.97"/>
    <x v="0"/>
    <n v="0"/>
    <n v="46.97"/>
    <n v="0"/>
    <d v="2025-02-24T00:00:00"/>
    <x v="2"/>
    <x v="9"/>
    <n v="33"/>
    <n v="2.6"/>
    <s v="Ok"/>
    <n v="2.6"/>
    <s v="False"/>
    <m/>
    <n v="0"/>
    <n v="46.97"/>
    <x v="0"/>
    <n v="0"/>
  </r>
  <r>
    <s v="FB000889"/>
    <x v="3"/>
    <x v="0"/>
    <x v="2"/>
    <m/>
    <x v="7"/>
    <x v="10"/>
    <n v="162.9"/>
    <x v="0"/>
    <n v="0"/>
    <n v="162.9"/>
    <n v="0"/>
    <d v="2025-08-06T00:00:00"/>
    <x v="1"/>
    <x v="1"/>
    <n v="30"/>
    <n v="1.9"/>
    <s v="Ok"/>
    <n v="1.9"/>
    <s v="False"/>
    <m/>
    <n v="0"/>
    <n v="162.9"/>
    <x v="0"/>
    <n v="0"/>
  </r>
  <r>
    <s v="FB000890"/>
    <x v="4"/>
    <x v="7"/>
    <x v="1"/>
    <s v="XL"/>
    <x v="0"/>
    <x v="3"/>
    <n v="57.14"/>
    <x v="0"/>
    <n v="0"/>
    <n v="57.14"/>
    <n v="0"/>
    <d v="2025-08-06T00:00:00"/>
    <x v="1"/>
    <x v="1"/>
    <n v="39"/>
    <n v="1.4"/>
    <s v="Ok"/>
    <n v="1.4"/>
    <s v="False"/>
    <m/>
    <n v="0"/>
    <n v="57.14"/>
    <x v="0"/>
    <n v="0"/>
  </r>
  <r>
    <s v="FB000891"/>
    <x v="3"/>
    <x v="5"/>
    <x v="0"/>
    <s v="L"/>
    <x v="1"/>
    <x v="9"/>
    <n v="93.6"/>
    <x v="0"/>
    <n v="0"/>
    <n v="93.6"/>
    <n v="0"/>
    <d v="2024-09-09T00:00:00"/>
    <x v="2"/>
    <x v="6"/>
    <n v="49"/>
    <n v="4.3"/>
    <s v="Ok"/>
    <n v="4.3"/>
    <s v="False"/>
    <m/>
    <n v="0"/>
    <n v="93.6"/>
    <x v="0"/>
    <n v="0"/>
  </r>
  <r>
    <s v="FB000892"/>
    <x v="2"/>
    <x v="7"/>
    <x v="0"/>
    <m/>
    <x v="2"/>
    <x v="10"/>
    <n v="64.56"/>
    <x v="238"/>
    <n v="0.43"/>
    <n v="36.799999999999997"/>
    <n v="27.760000000000005"/>
    <d v="2024-08-06T00:00:00"/>
    <x v="3"/>
    <x v="1"/>
    <n v="36"/>
    <n v="3.9"/>
    <s v="Ok"/>
    <n v="3.9"/>
    <s v="False"/>
    <m/>
    <n v="0"/>
    <n v="36.799999999999997"/>
    <x v="0"/>
    <n v="0"/>
  </r>
  <r>
    <s v="FB000893"/>
    <x v="0"/>
    <x v="5"/>
    <x v="1"/>
    <s v="S"/>
    <x v="3"/>
    <x v="8"/>
    <n v="142.34"/>
    <x v="0"/>
    <n v="0"/>
    <n v="142.34"/>
    <n v="0"/>
    <d v="2025-08-06T00:00:00"/>
    <x v="1"/>
    <x v="1"/>
    <n v="43"/>
    <m/>
    <s v="Ok"/>
    <s v="No valorado"/>
    <s v="False"/>
    <m/>
    <n v="0"/>
    <n v="142.34"/>
    <x v="0"/>
    <n v="0"/>
  </r>
  <r>
    <s v="FB000894"/>
    <x v="3"/>
    <x v="6"/>
    <x v="0"/>
    <s v="XS"/>
    <x v="5"/>
    <x v="3"/>
    <n v="111.02"/>
    <x v="265"/>
    <n v="0.57799999999999996"/>
    <n v="46.85"/>
    <n v="64.169999999999987"/>
    <d v="2025-05-19T00:00:00"/>
    <x v="2"/>
    <x v="8"/>
    <n v="11"/>
    <n v="2.2000000000000002"/>
    <s v="Ok"/>
    <n v="2.2000000000000002"/>
    <s v="False"/>
    <m/>
    <n v="0"/>
    <n v="46.85"/>
    <x v="0"/>
    <n v="0"/>
  </r>
  <r>
    <s v="FB000895"/>
    <x v="1"/>
    <x v="2"/>
    <x v="1"/>
    <m/>
    <x v="7"/>
    <x v="2"/>
    <n v="29.16"/>
    <x v="266"/>
    <n v="0.49"/>
    <n v="14.87"/>
    <n v="14.290000000000001"/>
    <d v="2025-08-06T00:00:00"/>
    <x v="1"/>
    <x v="1"/>
    <n v="31"/>
    <m/>
    <s v="Ok"/>
    <s v="No valorado"/>
    <s v="False"/>
    <m/>
    <n v="0"/>
    <n v="14.87"/>
    <x v="0"/>
    <n v="0"/>
  </r>
  <r>
    <s v="FB000896"/>
    <x v="1"/>
    <x v="5"/>
    <x v="3"/>
    <s v="XS"/>
    <x v="5"/>
    <x v="2"/>
    <n v="30.46"/>
    <x v="0"/>
    <n v="0"/>
    <n v="30.46"/>
    <n v="0"/>
    <d v="2025-08-06T00:00:00"/>
    <x v="1"/>
    <x v="1"/>
    <n v="19"/>
    <n v="1.2"/>
    <s v="Ok"/>
    <n v="1.2"/>
    <s v="False"/>
    <m/>
    <n v="0"/>
    <n v="30.46"/>
    <x v="0"/>
    <n v="0"/>
  </r>
  <r>
    <s v="FB000897"/>
    <x v="2"/>
    <x v="7"/>
    <x v="1"/>
    <m/>
    <x v="2"/>
    <x v="5"/>
    <n v="31.32"/>
    <x v="0"/>
    <n v="0"/>
    <n v="31.32"/>
    <n v="0"/>
    <d v="2025-08-06T00:00:00"/>
    <x v="1"/>
    <x v="1"/>
    <n v="28"/>
    <n v="2.7"/>
    <s v="Ok"/>
    <n v="2.7"/>
    <s v="False"/>
    <m/>
    <n v="0"/>
    <n v="31.32"/>
    <x v="0"/>
    <n v="0"/>
  </r>
  <r>
    <s v="FB000898"/>
    <x v="4"/>
    <x v="1"/>
    <x v="0"/>
    <s v="M"/>
    <x v="6"/>
    <x v="1"/>
    <n v="61.78"/>
    <x v="0"/>
    <n v="0"/>
    <n v="61.78"/>
    <n v="0"/>
    <d v="2025-07-30T00:00:00"/>
    <x v="1"/>
    <x v="0"/>
    <n v="24"/>
    <n v="3.5"/>
    <s v="Ok"/>
    <n v="3.5"/>
    <s v="False"/>
    <m/>
    <n v="0"/>
    <n v="61.78"/>
    <x v="0"/>
    <n v="0"/>
  </r>
  <r>
    <s v="FB000899"/>
    <x v="0"/>
    <x v="0"/>
    <x v="3"/>
    <s v="M"/>
    <x v="6"/>
    <x v="6"/>
    <n v="126.27"/>
    <x v="0"/>
    <n v="0"/>
    <n v="126.27"/>
    <n v="0"/>
    <d v="2025-08-06T00:00:00"/>
    <x v="1"/>
    <x v="1"/>
    <n v="1"/>
    <n v="4.7"/>
    <s v="Pocas Unidades"/>
    <n v="4.7"/>
    <s v="False"/>
    <m/>
    <n v="0"/>
    <n v="126.27"/>
    <x v="0"/>
    <n v="0"/>
  </r>
  <r>
    <s v="FB000900"/>
    <x v="0"/>
    <x v="1"/>
    <x v="1"/>
    <s v="L"/>
    <x v="1"/>
    <x v="3"/>
    <n v="147.53"/>
    <x v="0"/>
    <n v="0"/>
    <n v="147.53"/>
    <n v="0"/>
    <d v="2025-08-06T00:00:00"/>
    <x v="1"/>
    <x v="1"/>
    <n v="33"/>
    <n v="4.7"/>
    <s v="Ok"/>
    <n v="4.7"/>
    <s v="True"/>
    <s v="Quality Issue"/>
    <n v="1"/>
    <n v="0"/>
    <x v="4"/>
    <n v="0"/>
  </r>
  <r>
    <s v="FB000901"/>
    <x v="2"/>
    <x v="2"/>
    <x v="3"/>
    <m/>
    <x v="2"/>
    <x v="0"/>
    <n v="36.979999999999997"/>
    <x v="267"/>
    <n v="0.122"/>
    <n v="32.47"/>
    <n v="4.509999999999998"/>
    <d v="2025-08-06T00:00:00"/>
    <x v="1"/>
    <x v="1"/>
    <n v="14"/>
    <n v="4.8"/>
    <s v="Ok"/>
    <n v="4.8"/>
    <s v="False"/>
    <m/>
    <n v="0"/>
    <n v="32.47"/>
    <x v="0"/>
    <n v="0"/>
  </r>
  <r>
    <s v="FB000902"/>
    <x v="3"/>
    <x v="4"/>
    <x v="2"/>
    <s v="M"/>
    <x v="6"/>
    <x v="1"/>
    <n v="172.41"/>
    <x v="0"/>
    <n v="0"/>
    <n v="172.41"/>
    <n v="0"/>
    <d v="2025-08-06T00:00:00"/>
    <x v="1"/>
    <x v="1"/>
    <n v="33"/>
    <n v="2.2999999999999998"/>
    <s v="Ok"/>
    <n v="2.2999999999999998"/>
    <s v="False"/>
    <m/>
    <n v="0"/>
    <n v="172.41"/>
    <x v="0"/>
    <n v="0"/>
  </r>
  <r>
    <s v="FB000903"/>
    <x v="2"/>
    <x v="4"/>
    <x v="0"/>
    <m/>
    <x v="2"/>
    <x v="1"/>
    <n v="53.79"/>
    <x v="268"/>
    <n v="0.16"/>
    <n v="45.18"/>
    <n v="8.61"/>
    <d v="2024-10-01T00:00:00"/>
    <x v="3"/>
    <x v="2"/>
    <n v="32"/>
    <m/>
    <s v="Ok"/>
    <s v="No valorado"/>
    <s v="False"/>
    <m/>
    <n v="0"/>
    <n v="45.18"/>
    <x v="0"/>
    <n v="0"/>
  </r>
  <r>
    <s v="FB000904"/>
    <x v="3"/>
    <x v="3"/>
    <x v="3"/>
    <s v="XS"/>
    <x v="5"/>
    <x v="7"/>
    <n v="80.56"/>
    <x v="0"/>
    <n v="0"/>
    <n v="80.56"/>
    <n v="0"/>
    <d v="2025-08-06T00:00:00"/>
    <x v="1"/>
    <x v="1"/>
    <n v="7"/>
    <n v="1.9"/>
    <s v="Pocas Unidades"/>
    <n v="1.9"/>
    <s v="False"/>
    <m/>
    <n v="0"/>
    <n v="80.56"/>
    <x v="0"/>
    <n v="0"/>
  </r>
  <r>
    <s v="FB000905"/>
    <x v="2"/>
    <x v="3"/>
    <x v="2"/>
    <m/>
    <x v="2"/>
    <x v="1"/>
    <n v="51.72"/>
    <x v="0"/>
    <n v="0"/>
    <n v="51.72"/>
    <n v="0"/>
    <d v="2025-08-06T00:00:00"/>
    <x v="1"/>
    <x v="1"/>
    <n v="35"/>
    <n v="3.7"/>
    <s v="Ok"/>
    <n v="3.7"/>
    <s v="True"/>
    <s v="Damaged"/>
    <n v="1"/>
    <n v="0"/>
    <x v="3"/>
    <n v="0"/>
  </r>
  <r>
    <s v="FB000906"/>
    <x v="4"/>
    <x v="3"/>
    <x v="0"/>
    <s v="XL"/>
    <x v="0"/>
    <x v="1"/>
    <n v="107.22"/>
    <x v="269"/>
    <n v="0.37799999999999995"/>
    <n v="66.69"/>
    <n v="40.53"/>
    <d v="2025-07-11T00:00:00"/>
    <x v="4"/>
    <x v="0"/>
    <n v="21"/>
    <n v="2.9"/>
    <s v="Ok"/>
    <n v="2.9"/>
    <s v="False"/>
    <m/>
    <n v="0"/>
    <n v="66.69"/>
    <x v="0"/>
    <n v="0"/>
  </r>
  <r>
    <s v="FB000907"/>
    <x v="3"/>
    <x v="4"/>
    <x v="2"/>
    <s v="XXL"/>
    <x v="4"/>
    <x v="6"/>
    <n v="174.99"/>
    <x v="270"/>
    <n v="0.501"/>
    <n v="87.32"/>
    <n v="87.670000000000016"/>
    <d v="2025-08-06T00:00:00"/>
    <x v="1"/>
    <x v="1"/>
    <n v="7"/>
    <n v="4.9000000000000004"/>
    <s v="Pocas Unidades"/>
    <n v="4.9000000000000004"/>
    <s v="False"/>
    <m/>
    <n v="0"/>
    <n v="87.32"/>
    <x v="0"/>
    <n v="0"/>
  </r>
  <r>
    <s v="FB000908"/>
    <x v="5"/>
    <x v="7"/>
    <x v="0"/>
    <s v="S"/>
    <x v="3"/>
    <x v="5"/>
    <n v="90.52"/>
    <x v="271"/>
    <n v="0.53200000000000003"/>
    <n v="42.36"/>
    <n v="48.16"/>
    <d v="2025-07-28T00:00:00"/>
    <x v="2"/>
    <x v="0"/>
    <n v="37"/>
    <n v="2.2000000000000002"/>
    <s v="Ok"/>
    <n v="2.2000000000000002"/>
    <s v="False"/>
    <m/>
    <n v="0"/>
    <n v="42.36"/>
    <x v="0"/>
    <n v="0"/>
  </r>
  <r>
    <s v="FB000909"/>
    <x v="3"/>
    <x v="7"/>
    <x v="3"/>
    <s v="XXL"/>
    <x v="4"/>
    <x v="6"/>
    <n v="94.93"/>
    <x v="189"/>
    <n v="0.16600000000000001"/>
    <n v="79.17"/>
    <n v="15.760000000000005"/>
    <d v="2025-08-06T00:00:00"/>
    <x v="1"/>
    <x v="1"/>
    <n v="39"/>
    <n v="4.8"/>
    <s v="Ok"/>
    <n v="4.8"/>
    <s v="False"/>
    <m/>
    <n v="0"/>
    <n v="79.17"/>
    <x v="0"/>
    <n v="0"/>
  </r>
  <r>
    <s v="FB000910"/>
    <x v="3"/>
    <x v="2"/>
    <x v="1"/>
    <s v="XS"/>
    <x v="5"/>
    <x v="4"/>
    <n v="179.82"/>
    <x v="0"/>
    <n v="0"/>
    <n v="179.82"/>
    <n v="0"/>
    <d v="2025-08-06T00:00:00"/>
    <x v="1"/>
    <x v="1"/>
    <n v="28"/>
    <n v="2.4"/>
    <s v="Ok"/>
    <n v="2.4"/>
    <s v="True"/>
    <s v="Damaged"/>
    <n v="1"/>
    <n v="0"/>
    <x v="3"/>
    <n v="0"/>
  </r>
  <r>
    <s v="FB000911"/>
    <x v="1"/>
    <x v="1"/>
    <x v="0"/>
    <m/>
    <x v="7"/>
    <x v="10"/>
    <n v="101.96"/>
    <x v="272"/>
    <n v="0.23699999999999999"/>
    <n v="77.8"/>
    <n v="24.159999999999997"/>
    <d v="2025-05-21T00:00:00"/>
    <x v="1"/>
    <x v="8"/>
    <n v="29"/>
    <n v="3.6"/>
    <s v="Ok"/>
    <n v="3.6"/>
    <s v="False"/>
    <m/>
    <n v="0"/>
    <n v="77.8"/>
    <x v="0"/>
    <n v="0"/>
  </r>
  <r>
    <s v="FB000912"/>
    <x v="4"/>
    <x v="2"/>
    <x v="0"/>
    <s v="S"/>
    <x v="3"/>
    <x v="6"/>
    <n v="27.11"/>
    <x v="115"/>
    <n v="0.16200000000000001"/>
    <n v="22.72"/>
    <n v="4.3900000000000006"/>
    <d v="2024-12-08T00:00:00"/>
    <x v="6"/>
    <x v="10"/>
    <n v="10"/>
    <n v="2.4"/>
    <s v="Ok"/>
    <n v="2.4"/>
    <s v="True"/>
    <s v="Changed Mind"/>
    <n v="1"/>
    <n v="0"/>
    <x v="5"/>
    <n v="0"/>
  </r>
  <r>
    <s v="FB000913"/>
    <x v="0"/>
    <x v="6"/>
    <x v="3"/>
    <s v="S"/>
    <x v="3"/>
    <x v="2"/>
    <n v="141.83000000000001"/>
    <x v="0"/>
    <n v="0"/>
    <n v="141.83000000000001"/>
    <n v="0"/>
    <d v="2025-08-06T00:00:00"/>
    <x v="1"/>
    <x v="1"/>
    <n v="2"/>
    <n v="2.4"/>
    <s v="Pocas Unidades"/>
    <n v="2.4"/>
    <s v="True"/>
    <s v="Color Mismatch"/>
    <n v="1"/>
    <n v="0"/>
    <x v="1"/>
    <n v="0"/>
  </r>
  <r>
    <s v="FB000914"/>
    <x v="3"/>
    <x v="6"/>
    <x v="0"/>
    <m/>
    <x v="7"/>
    <x v="7"/>
    <n v="156.34"/>
    <x v="273"/>
    <n v="0.37"/>
    <n v="98.49"/>
    <n v="57.850000000000009"/>
    <d v="2025-04-13T00:00:00"/>
    <x v="6"/>
    <x v="4"/>
    <n v="45"/>
    <n v="2.9"/>
    <s v="Ok"/>
    <n v="2.9"/>
    <s v="True"/>
    <s v="Size Issue"/>
    <n v="1"/>
    <n v="0"/>
    <x v="2"/>
    <n v="0"/>
  </r>
  <r>
    <s v="FB000915"/>
    <x v="1"/>
    <x v="7"/>
    <x v="3"/>
    <s v="XS"/>
    <x v="5"/>
    <x v="10"/>
    <n v="81.84"/>
    <x v="0"/>
    <n v="0"/>
    <n v="81.84"/>
    <n v="0"/>
    <d v="2025-08-06T00:00:00"/>
    <x v="1"/>
    <x v="1"/>
    <n v="41"/>
    <n v="2.4"/>
    <s v="Ok"/>
    <n v="2.4"/>
    <s v="False"/>
    <m/>
    <n v="0"/>
    <n v="81.84"/>
    <x v="0"/>
    <n v="0"/>
  </r>
  <r>
    <s v="FB000916"/>
    <x v="4"/>
    <x v="4"/>
    <x v="2"/>
    <s v="L"/>
    <x v="1"/>
    <x v="2"/>
    <n v="36.44"/>
    <x v="274"/>
    <n v="0.19899999999999998"/>
    <n v="29.19"/>
    <n v="7.2499999999999964"/>
    <d v="2025-08-06T00:00:00"/>
    <x v="1"/>
    <x v="1"/>
    <n v="39"/>
    <n v="1.8"/>
    <s v="Ok"/>
    <n v="1.8"/>
    <s v="False"/>
    <m/>
    <n v="0"/>
    <n v="29.19"/>
    <x v="0"/>
    <n v="0"/>
  </r>
  <r>
    <s v="FB000917"/>
    <x v="0"/>
    <x v="5"/>
    <x v="2"/>
    <s v="S"/>
    <x v="3"/>
    <x v="1"/>
    <n v="155.30000000000001"/>
    <x v="0"/>
    <n v="0"/>
    <n v="155.30000000000001"/>
    <n v="0"/>
    <d v="2025-08-06T00:00:00"/>
    <x v="1"/>
    <x v="1"/>
    <n v="9"/>
    <n v="3"/>
    <s v="Pocas Unidades"/>
    <n v="3"/>
    <s v="False"/>
    <m/>
    <n v="0"/>
    <n v="155.30000000000001"/>
    <x v="0"/>
    <n v="0"/>
  </r>
  <r>
    <s v="FB000918"/>
    <x v="4"/>
    <x v="1"/>
    <x v="2"/>
    <s v="XL"/>
    <x v="0"/>
    <x v="0"/>
    <n v="84.04"/>
    <x v="275"/>
    <n v="0.28499999999999998"/>
    <n v="60.09"/>
    <n v="23.950000000000003"/>
    <d v="2025-08-06T00:00:00"/>
    <x v="1"/>
    <x v="1"/>
    <n v="3"/>
    <n v="1"/>
    <s v="Pocas Unidades"/>
    <n v="1"/>
    <s v="False"/>
    <m/>
    <n v="0"/>
    <n v="60.09"/>
    <x v="0"/>
    <n v="0"/>
  </r>
  <r>
    <s v="FB000919"/>
    <x v="3"/>
    <x v="6"/>
    <x v="2"/>
    <s v="XS"/>
    <x v="5"/>
    <x v="10"/>
    <n v="98.76"/>
    <x v="43"/>
    <n v="0.56399999999999995"/>
    <n v="43.06"/>
    <n v="55.7"/>
    <d v="2025-08-06T00:00:00"/>
    <x v="1"/>
    <x v="1"/>
    <n v="22"/>
    <n v="4.5"/>
    <s v="Ok"/>
    <n v="4.5"/>
    <s v="False"/>
    <m/>
    <n v="0"/>
    <n v="43.06"/>
    <x v="0"/>
    <n v="0"/>
  </r>
  <r>
    <s v="FB000920"/>
    <x v="2"/>
    <x v="5"/>
    <x v="3"/>
    <m/>
    <x v="2"/>
    <x v="3"/>
    <n v="52.99"/>
    <x v="276"/>
    <n v="0.59099999999999997"/>
    <n v="21.67"/>
    <n v="31.32"/>
    <d v="2025-08-06T00:00:00"/>
    <x v="1"/>
    <x v="1"/>
    <n v="50"/>
    <n v="3.4"/>
    <s v="Ok"/>
    <n v="3.4"/>
    <s v="True"/>
    <s v="Size Issue"/>
    <n v="1"/>
    <n v="0"/>
    <x v="2"/>
    <n v="0"/>
  </r>
  <r>
    <s v="FB000921"/>
    <x v="4"/>
    <x v="1"/>
    <x v="0"/>
    <s v="L"/>
    <x v="1"/>
    <x v="0"/>
    <n v="39.840000000000003"/>
    <x v="0"/>
    <n v="0"/>
    <n v="39.840000000000003"/>
    <n v="0"/>
    <d v="2025-04-18T00:00:00"/>
    <x v="4"/>
    <x v="4"/>
    <n v="24"/>
    <n v="2.4"/>
    <s v="Ok"/>
    <n v="2.4"/>
    <s v="False"/>
    <m/>
    <n v="0"/>
    <n v="39.840000000000003"/>
    <x v="0"/>
    <n v="0"/>
  </r>
  <r>
    <s v="FB000922"/>
    <x v="2"/>
    <x v="5"/>
    <x v="0"/>
    <m/>
    <x v="2"/>
    <x v="6"/>
    <n v="40.01"/>
    <x v="0"/>
    <n v="0"/>
    <n v="40.01"/>
    <n v="0"/>
    <d v="2025-06-05T00:00:00"/>
    <x v="5"/>
    <x v="7"/>
    <n v="22"/>
    <n v="4.5"/>
    <s v="Ok"/>
    <n v="4.5"/>
    <s v="False"/>
    <m/>
    <n v="0"/>
    <n v="40.01"/>
    <x v="0"/>
    <n v="0"/>
  </r>
  <r>
    <s v="FB000923"/>
    <x v="0"/>
    <x v="5"/>
    <x v="3"/>
    <s v="L"/>
    <x v="1"/>
    <x v="8"/>
    <n v="245.75"/>
    <x v="0"/>
    <n v="0"/>
    <n v="245.75"/>
    <n v="0"/>
    <d v="2025-08-06T00:00:00"/>
    <x v="1"/>
    <x v="1"/>
    <n v="12"/>
    <m/>
    <s v="Ok"/>
    <s v="No valorado"/>
    <s v="True"/>
    <s v="Changed Mind"/>
    <n v="1"/>
    <n v="0"/>
    <x v="5"/>
    <n v="0"/>
  </r>
  <r>
    <s v="FB000924"/>
    <x v="4"/>
    <x v="0"/>
    <x v="1"/>
    <s v="XL"/>
    <x v="0"/>
    <x v="4"/>
    <n v="102.25"/>
    <x v="0"/>
    <n v="0"/>
    <n v="102.25"/>
    <n v="0"/>
    <d v="2025-08-06T00:00:00"/>
    <x v="1"/>
    <x v="1"/>
    <n v="6"/>
    <n v="3.8"/>
    <s v="Pocas Unidades"/>
    <n v="3.8"/>
    <s v="False"/>
    <m/>
    <n v="0"/>
    <n v="102.25"/>
    <x v="0"/>
    <n v="0"/>
  </r>
  <r>
    <s v="FB000925"/>
    <x v="1"/>
    <x v="5"/>
    <x v="3"/>
    <s v="M"/>
    <x v="6"/>
    <x v="4"/>
    <n v="76.33"/>
    <x v="0"/>
    <n v="0"/>
    <n v="76.33"/>
    <n v="0"/>
    <d v="2025-08-06T00:00:00"/>
    <x v="1"/>
    <x v="1"/>
    <n v="15"/>
    <n v="2"/>
    <s v="Ok"/>
    <n v="2"/>
    <s v="True"/>
    <s v="Wrong Item"/>
    <n v="1"/>
    <n v="0"/>
    <x v="6"/>
    <n v="0"/>
  </r>
  <r>
    <s v="FB000926"/>
    <x v="2"/>
    <x v="0"/>
    <x v="0"/>
    <m/>
    <x v="2"/>
    <x v="4"/>
    <n v="51.79"/>
    <x v="277"/>
    <n v="0.39"/>
    <n v="31.59"/>
    <n v="20.2"/>
    <d v="2025-03-17T00:00:00"/>
    <x v="2"/>
    <x v="3"/>
    <n v="37"/>
    <n v="2.5"/>
    <s v="Ok"/>
    <n v="2.5"/>
    <s v="False"/>
    <m/>
    <n v="0"/>
    <n v="31.59"/>
    <x v="0"/>
    <n v="0"/>
  </r>
  <r>
    <s v="FB000927"/>
    <x v="0"/>
    <x v="0"/>
    <x v="0"/>
    <s v="XXL"/>
    <x v="4"/>
    <x v="1"/>
    <n v="141.24"/>
    <x v="278"/>
    <n v="0.129"/>
    <n v="123.02"/>
    <n v="18.220000000000013"/>
    <d v="2024-10-02T00:00:00"/>
    <x v="1"/>
    <x v="2"/>
    <n v="23"/>
    <n v="1.7"/>
    <s v="Ok"/>
    <n v="1.7"/>
    <s v="False"/>
    <m/>
    <n v="0"/>
    <n v="123.02"/>
    <x v="0"/>
    <n v="0"/>
  </r>
  <r>
    <s v="FB000928"/>
    <x v="2"/>
    <x v="1"/>
    <x v="0"/>
    <m/>
    <x v="2"/>
    <x v="2"/>
    <n v="66.180000000000007"/>
    <x v="0"/>
    <n v="0"/>
    <n v="66.180000000000007"/>
    <n v="0"/>
    <d v="2025-05-23T00:00:00"/>
    <x v="4"/>
    <x v="8"/>
    <n v="20"/>
    <n v="1.7"/>
    <s v="Ok"/>
    <n v="1.7"/>
    <s v="False"/>
    <m/>
    <n v="0"/>
    <n v="66.180000000000007"/>
    <x v="0"/>
    <n v="0"/>
  </r>
  <r>
    <s v="FB000929"/>
    <x v="1"/>
    <x v="2"/>
    <x v="3"/>
    <s v="M"/>
    <x v="6"/>
    <x v="8"/>
    <n v="35.15"/>
    <x v="0"/>
    <n v="0"/>
    <n v="35.15"/>
    <n v="0"/>
    <d v="2025-08-06T00:00:00"/>
    <x v="1"/>
    <x v="1"/>
    <n v="38"/>
    <n v="2.2000000000000002"/>
    <s v="Ok"/>
    <n v="2.2000000000000002"/>
    <s v="False"/>
    <m/>
    <n v="0"/>
    <n v="35.15"/>
    <x v="0"/>
    <n v="0"/>
  </r>
  <r>
    <s v="FB000930"/>
    <x v="2"/>
    <x v="4"/>
    <x v="0"/>
    <m/>
    <x v="2"/>
    <x v="1"/>
    <n v="35.619999999999997"/>
    <x v="279"/>
    <n v="0.41200000000000003"/>
    <n v="20.94"/>
    <n v="14.679999999999996"/>
    <d v="2025-03-20T00:00:00"/>
    <x v="5"/>
    <x v="3"/>
    <n v="4"/>
    <n v="3.7"/>
    <s v="Pocas Unidades"/>
    <n v="3.7"/>
    <s v="False"/>
    <m/>
    <n v="0"/>
    <n v="20.94"/>
    <x v="0"/>
    <n v="0"/>
  </r>
  <r>
    <s v="FB000931"/>
    <x v="2"/>
    <x v="7"/>
    <x v="3"/>
    <m/>
    <x v="2"/>
    <x v="6"/>
    <n v="35.64"/>
    <x v="0"/>
    <n v="0"/>
    <n v="35.64"/>
    <n v="0"/>
    <d v="2025-08-06T00:00:00"/>
    <x v="1"/>
    <x v="1"/>
    <n v="48"/>
    <n v="5"/>
    <s v="Ok"/>
    <n v="5"/>
    <s v="True"/>
    <s v="Color Mismatch"/>
    <n v="1"/>
    <n v="0"/>
    <x v="1"/>
    <n v="0"/>
  </r>
  <r>
    <s v="FB000932"/>
    <x v="4"/>
    <x v="5"/>
    <x v="3"/>
    <s v="L"/>
    <x v="1"/>
    <x v="0"/>
    <n v="86.68"/>
    <x v="0"/>
    <n v="0"/>
    <n v="86.68"/>
    <n v="0"/>
    <d v="2025-08-06T00:00:00"/>
    <x v="1"/>
    <x v="1"/>
    <n v="2"/>
    <m/>
    <s v="Pocas Unidades"/>
    <s v="No valorado"/>
    <s v="False"/>
    <m/>
    <n v="0"/>
    <n v="86.68"/>
    <x v="0"/>
    <n v="0"/>
  </r>
  <r>
    <s v="FB000933"/>
    <x v="2"/>
    <x v="4"/>
    <x v="2"/>
    <m/>
    <x v="2"/>
    <x v="1"/>
    <n v="17.72"/>
    <x v="0"/>
    <n v="0"/>
    <n v="17.72"/>
    <n v="0"/>
    <d v="2025-08-06T00:00:00"/>
    <x v="1"/>
    <x v="1"/>
    <n v="9"/>
    <n v="1.2"/>
    <s v="Pocas Unidades"/>
    <n v="1.2"/>
    <s v="False"/>
    <m/>
    <n v="0"/>
    <n v="17.72"/>
    <x v="0"/>
    <n v="0"/>
  </r>
  <r>
    <s v="FB000934"/>
    <x v="0"/>
    <x v="1"/>
    <x v="2"/>
    <s v="XXL"/>
    <x v="4"/>
    <x v="1"/>
    <n v="87.95"/>
    <x v="280"/>
    <n v="0.13300000000000001"/>
    <n v="76.25"/>
    <n v="11.700000000000003"/>
    <d v="2025-08-06T00:00:00"/>
    <x v="1"/>
    <x v="1"/>
    <n v="4"/>
    <n v="4.5"/>
    <s v="Pocas Unidades"/>
    <n v="4.5"/>
    <s v="False"/>
    <m/>
    <n v="0"/>
    <n v="76.25"/>
    <x v="0"/>
    <n v="0"/>
  </r>
  <r>
    <s v="FB000935"/>
    <x v="0"/>
    <x v="3"/>
    <x v="0"/>
    <s v="XS"/>
    <x v="5"/>
    <x v="4"/>
    <n v="216.26"/>
    <x v="0"/>
    <n v="0"/>
    <n v="216.26"/>
    <n v="0"/>
    <d v="2025-04-16T00:00:00"/>
    <x v="1"/>
    <x v="4"/>
    <n v="26"/>
    <n v="1.1000000000000001"/>
    <s v="Ok"/>
    <n v="1.1000000000000001"/>
    <s v="False"/>
    <m/>
    <n v="0"/>
    <n v="216.26"/>
    <x v="0"/>
    <n v="0"/>
  </r>
  <r>
    <s v="FB000936"/>
    <x v="0"/>
    <x v="3"/>
    <x v="3"/>
    <s v="S"/>
    <x v="3"/>
    <x v="2"/>
    <n v="238.11"/>
    <x v="0"/>
    <n v="0"/>
    <n v="238.11"/>
    <n v="0"/>
    <d v="2025-08-06T00:00:00"/>
    <x v="1"/>
    <x v="1"/>
    <n v="49"/>
    <m/>
    <s v="Ok"/>
    <s v="No valorado"/>
    <s v="False"/>
    <m/>
    <n v="0"/>
    <n v="238.11"/>
    <x v="0"/>
    <n v="0"/>
  </r>
  <r>
    <s v="FB000937"/>
    <x v="3"/>
    <x v="1"/>
    <x v="1"/>
    <s v="XXL"/>
    <x v="4"/>
    <x v="1"/>
    <n v="112.77"/>
    <x v="0"/>
    <n v="0"/>
    <n v="112.77"/>
    <n v="0"/>
    <d v="2025-08-06T00:00:00"/>
    <x v="1"/>
    <x v="1"/>
    <n v="11"/>
    <n v="4.0999999999999996"/>
    <s v="Ok"/>
    <n v="4.0999999999999996"/>
    <s v="False"/>
    <m/>
    <n v="0"/>
    <n v="112.77"/>
    <x v="0"/>
    <n v="0"/>
  </r>
  <r>
    <s v="FB000938"/>
    <x v="2"/>
    <x v="6"/>
    <x v="1"/>
    <m/>
    <x v="2"/>
    <x v="8"/>
    <n v="39.020000000000003"/>
    <x v="201"/>
    <n v="0.44799999999999995"/>
    <n v="21.54"/>
    <n v="17.480000000000004"/>
    <d v="2025-08-06T00:00:00"/>
    <x v="1"/>
    <x v="1"/>
    <n v="29"/>
    <n v="3.4"/>
    <s v="Ok"/>
    <n v="3.4"/>
    <s v="False"/>
    <m/>
    <n v="0"/>
    <n v="21.54"/>
    <x v="0"/>
    <n v="0"/>
  </r>
  <r>
    <s v="FB000939"/>
    <x v="1"/>
    <x v="5"/>
    <x v="0"/>
    <s v="XXL"/>
    <x v="4"/>
    <x v="9"/>
    <n v="69.77"/>
    <x v="0"/>
    <n v="0"/>
    <n v="69.77"/>
    <n v="0"/>
    <d v="2024-11-09T00:00:00"/>
    <x v="0"/>
    <x v="11"/>
    <n v="29"/>
    <n v="5"/>
    <s v="Ok"/>
    <n v="5"/>
    <s v="False"/>
    <m/>
    <n v="0"/>
    <n v="69.77"/>
    <x v="0"/>
    <n v="0"/>
  </r>
  <r>
    <s v="FB000940"/>
    <x v="5"/>
    <x v="4"/>
    <x v="0"/>
    <s v="M"/>
    <x v="6"/>
    <x v="9"/>
    <n v="124.92"/>
    <x v="281"/>
    <n v="0.48399999999999999"/>
    <n v="64.459999999999994"/>
    <n v="60.460000000000008"/>
    <d v="2025-05-03T00:00:00"/>
    <x v="0"/>
    <x v="8"/>
    <n v="22"/>
    <n v="3.2"/>
    <s v="Ok"/>
    <n v="3.2"/>
    <s v="False"/>
    <m/>
    <n v="0"/>
    <n v="64.459999999999994"/>
    <x v="0"/>
    <n v="0"/>
  </r>
  <r>
    <s v="FB000941"/>
    <x v="5"/>
    <x v="2"/>
    <x v="3"/>
    <m/>
    <x v="7"/>
    <x v="9"/>
    <n v="83.92"/>
    <x v="62"/>
    <n v="0.29399999999999998"/>
    <n v="59.25"/>
    <n v="24.67"/>
    <d v="2025-08-06T00:00:00"/>
    <x v="1"/>
    <x v="1"/>
    <n v="20"/>
    <n v="2.1"/>
    <s v="Ok"/>
    <n v="2.1"/>
    <s v="True"/>
    <s v="Quality Issue"/>
    <n v="1"/>
    <n v="0"/>
    <x v="4"/>
    <n v="0"/>
  </r>
  <r>
    <s v="FB000942"/>
    <x v="0"/>
    <x v="7"/>
    <x v="2"/>
    <s v="XS"/>
    <x v="5"/>
    <x v="7"/>
    <n v="180.91"/>
    <x v="0"/>
    <n v="0"/>
    <n v="180.91"/>
    <n v="0"/>
    <d v="2025-08-06T00:00:00"/>
    <x v="1"/>
    <x v="1"/>
    <n v="10"/>
    <n v="3.8"/>
    <s v="Ok"/>
    <n v="3.8"/>
    <s v="False"/>
    <m/>
    <n v="0"/>
    <n v="180.91"/>
    <x v="0"/>
    <n v="0"/>
  </r>
  <r>
    <s v="FB000943"/>
    <x v="3"/>
    <x v="7"/>
    <x v="0"/>
    <s v="XXL"/>
    <x v="4"/>
    <x v="10"/>
    <n v="120.11"/>
    <x v="0"/>
    <n v="0"/>
    <n v="120.11"/>
    <n v="0"/>
    <d v="2024-12-24T00:00:00"/>
    <x v="3"/>
    <x v="10"/>
    <n v="27"/>
    <n v="4.0999999999999996"/>
    <s v="Ok"/>
    <n v="4.0999999999999996"/>
    <s v="False"/>
    <m/>
    <n v="0"/>
    <n v="120.11"/>
    <x v="0"/>
    <n v="0"/>
  </r>
  <r>
    <s v="FB000944"/>
    <x v="0"/>
    <x v="7"/>
    <x v="3"/>
    <s v="XL"/>
    <x v="0"/>
    <x v="0"/>
    <n v="225.01"/>
    <x v="0"/>
    <n v="0"/>
    <n v="225.01"/>
    <n v="0"/>
    <d v="2025-08-06T00:00:00"/>
    <x v="1"/>
    <x v="1"/>
    <n v="50"/>
    <n v="1.9"/>
    <s v="Ok"/>
    <n v="1.9"/>
    <s v="True"/>
    <s v="Size Issue"/>
    <n v="1"/>
    <n v="0"/>
    <x v="2"/>
    <n v="0"/>
  </r>
  <r>
    <s v="FB000945"/>
    <x v="5"/>
    <x v="3"/>
    <x v="3"/>
    <s v="L"/>
    <x v="1"/>
    <x v="6"/>
    <n v="115.57"/>
    <x v="0"/>
    <n v="0"/>
    <n v="115.57"/>
    <n v="0"/>
    <d v="2025-08-06T00:00:00"/>
    <x v="1"/>
    <x v="1"/>
    <n v="32"/>
    <n v="3"/>
    <s v="Ok"/>
    <n v="3"/>
    <s v="False"/>
    <m/>
    <n v="0"/>
    <n v="115.57"/>
    <x v="0"/>
    <n v="0"/>
  </r>
  <r>
    <s v="FB000946"/>
    <x v="2"/>
    <x v="6"/>
    <x v="2"/>
    <m/>
    <x v="2"/>
    <x v="5"/>
    <n v="21.2"/>
    <x v="282"/>
    <n v="0.19"/>
    <n v="17.170000000000002"/>
    <n v="4.0299999999999976"/>
    <d v="2025-08-06T00:00:00"/>
    <x v="1"/>
    <x v="1"/>
    <n v="22"/>
    <n v="1.3"/>
    <s v="Ok"/>
    <n v="1.3"/>
    <s v="False"/>
    <m/>
    <n v="0"/>
    <n v="17.170000000000002"/>
    <x v="0"/>
    <n v="0"/>
  </r>
  <r>
    <s v="FB000947"/>
    <x v="4"/>
    <x v="0"/>
    <x v="0"/>
    <s v="XXL"/>
    <x v="4"/>
    <x v="2"/>
    <n v="52.36"/>
    <x v="0"/>
    <n v="0"/>
    <n v="52.36"/>
    <n v="0"/>
    <d v="2025-04-22T00:00:00"/>
    <x v="3"/>
    <x v="4"/>
    <n v="35"/>
    <m/>
    <s v="Ok"/>
    <s v="No valorado"/>
    <s v="False"/>
    <m/>
    <n v="0"/>
    <n v="52.36"/>
    <x v="0"/>
    <n v="0"/>
  </r>
  <r>
    <s v="FB000948"/>
    <x v="2"/>
    <x v="5"/>
    <x v="2"/>
    <m/>
    <x v="2"/>
    <x v="4"/>
    <n v="73.430000000000007"/>
    <x v="0"/>
    <n v="0"/>
    <n v="73.430000000000007"/>
    <n v="0"/>
    <d v="2025-08-06T00:00:00"/>
    <x v="1"/>
    <x v="1"/>
    <n v="22"/>
    <n v="2.2999999999999998"/>
    <s v="Ok"/>
    <n v="2.2999999999999998"/>
    <s v="False"/>
    <m/>
    <n v="0"/>
    <n v="73.430000000000007"/>
    <x v="0"/>
    <n v="0"/>
  </r>
  <r>
    <s v="FB000949"/>
    <x v="2"/>
    <x v="5"/>
    <x v="0"/>
    <m/>
    <x v="2"/>
    <x v="9"/>
    <n v="70.75"/>
    <x v="0"/>
    <n v="0"/>
    <n v="70.75"/>
    <n v="0"/>
    <d v="2025-05-12T00:00:00"/>
    <x v="2"/>
    <x v="8"/>
    <n v="0"/>
    <n v="1.4"/>
    <s v="Agotado"/>
    <n v="1.4"/>
    <s v="False"/>
    <m/>
    <n v="0"/>
    <n v="70.75"/>
    <x v="0"/>
    <n v="0"/>
  </r>
  <r>
    <s v="FB000950"/>
    <x v="2"/>
    <x v="6"/>
    <x v="2"/>
    <m/>
    <x v="2"/>
    <x v="3"/>
    <n v="58.9"/>
    <x v="0"/>
    <n v="0"/>
    <n v="58.9"/>
    <n v="0"/>
    <d v="2025-08-06T00:00:00"/>
    <x v="1"/>
    <x v="1"/>
    <n v="39"/>
    <n v="4"/>
    <s v="Ok"/>
    <n v="4"/>
    <s v="False"/>
    <m/>
    <n v="0"/>
    <n v="58.9"/>
    <x v="0"/>
    <n v="0"/>
  </r>
  <r>
    <s v="FB000951"/>
    <x v="0"/>
    <x v="7"/>
    <x v="1"/>
    <s v="L"/>
    <x v="1"/>
    <x v="9"/>
    <n v="104.78"/>
    <x v="283"/>
    <n v="0.16899999999999998"/>
    <n v="87.07"/>
    <n v="17.710000000000008"/>
    <d v="2025-08-06T00:00:00"/>
    <x v="1"/>
    <x v="1"/>
    <n v="43"/>
    <n v="4.3"/>
    <s v="Ok"/>
    <n v="4.3"/>
    <s v="False"/>
    <m/>
    <n v="0"/>
    <n v="87.07"/>
    <x v="0"/>
    <n v="0"/>
  </r>
  <r>
    <s v="FB000952"/>
    <x v="2"/>
    <x v="7"/>
    <x v="2"/>
    <m/>
    <x v="2"/>
    <x v="5"/>
    <n v="55.3"/>
    <x v="0"/>
    <n v="0"/>
    <n v="55.3"/>
    <n v="0"/>
    <d v="2025-08-06T00:00:00"/>
    <x v="1"/>
    <x v="1"/>
    <n v="17"/>
    <n v="2.5"/>
    <s v="Ok"/>
    <n v="2.5"/>
    <s v="False"/>
    <m/>
    <n v="0"/>
    <n v="55.3"/>
    <x v="0"/>
    <n v="0"/>
  </r>
  <r>
    <s v="FB000953"/>
    <x v="4"/>
    <x v="6"/>
    <x v="3"/>
    <s v="XS"/>
    <x v="5"/>
    <x v="2"/>
    <n v="56.65"/>
    <x v="9"/>
    <n v="0.34"/>
    <n v="37.39"/>
    <n v="19.259999999999998"/>
    <d v="2025-08-06T00:00:00"/>
    <x v="1"/>
    <x v="1"/>
    <n v="23"/>
    <n v="4.3"/>
    <s v="Ok"/>
    <n v="4.3"/>
    <s v="False"/>
    <m/>
    <n v="0"/>
    <n v="37.39"/>
    <x v="0"/>
    <n v="0"/>
  </r>
  <r>
    <s v="FB000954"/>
    <x v="3"/>
    <x v="1"/>
    <x v="2"/>
    <s v="XS"/>
    <x v="5"/>
    <x v="1"/>
    <n v="199.14"/>
    <x v="0"/>
    <n v="0"/>
    <n v="199.14"/>
    <n v="0"/>
    <d v="2025-08-06T00:00:00"/>
    <x v="1"/>
    <x v="1"/>
    <n v="18"/>
    <m/>
    <s v="Ok"/>
    <s v="No valorado"/>
    <s v="False"/>
    <m/>
    <n v="0"/>
    <n v="199.14"/>
    <x v="0"/>
    <n v="0"/>
  </r>
  <r>
    <s v="FB000955"/>
    <x v="3"/>
    <x v="0"/>
    <x v="2"/>
    <s v="M"/>
    <x v="6"/>
    <x v="1"/>
    <n v="128.68"/>
    <x v="0"/>
    <n v="0"/>
    <n v="128.68"/>
    <n v="0"/>
    <d v="2025-08-06T00:00:00"/>
    <x v="1"/>
    <x v="1"/>
    <n v="8"/>
    <n v="2.2000000000000002"/>
    <s v="Pocas Unidades"/>
    <n v="2.2000000000000002"/>
    <s v="False"/>
    <m/>
    <n v="0"/>
    <n v="128.68"/>
    <x v="0"/>
    <n v="0"/>
  </r>
  <r>
    <s v="FB000956"/>
    <x v="0"/>
    <x v="1"/>
    <x v="2"/>
    <s v="XL"/>
    <x v="0"/>
    <x v="7"/>
    <n v="150.37"/>
    <x v="205"/>
    <n v="0.51900000000000002"/>
    <n v="72.33"/>
    <n v="78.040000000000006"/>
    <d v="2025-08-06T00:00:00"/>
    <x v="1"/>
    <x v="1"/>
    <n v="15"/>
    <n v="5"/>
    <s v="Ok"/>
    <n v="5"/>
    <s v="False"/>
    <m/>
    <n v="0"/>
    <n v="72.33"/>
    <x v="0"/>
    <n v="0"/>
  </r>
  <r>
    <s v="FB000957"/>
    <x v="5"/>
    <x v="7"/>
    <x v="1"/>
    <s v="M"/>
    <x v="6"/>
    <x v="1"/>
    <n v="162.65"/>
    <x v="0"/>
    <n v="0"/>
    <n v="162.65"/>
    <n v="0"/>
    <d v="2025-08-06T00:00:00"/>
    <x v="1"/>
    <x v="1"/>
    <n v="36"/>
    <n v="1.4"/>
    <s v="Ok"/>
    <n v="1.4"/>
    <s v="False"/>
    <m/>
    <n v="0"/>
    <n v="162.65"/>
    <x v="0"/>
    <n v="0"/>
  </r>
  <r>
    <s v="FB000958"/>
    <x v="4"/>
    <x v="3"/>
    <x v="3"/>
    <s v="XXL"/>
    <x v="4"/>
    <x v="3"/>
    <n v="28.9"/>
    <x v="0"/>
    <n v="0"/>
    <n v="28.9"/>
    <n v="0"/>
    <d v="2025-08-06T00:00:00"/>
    <x v="1"/>
    <x v="1"/>
    <n v="5"/>
    <n v="4.5999999999999996"/>
    <s v="Pocas Unidades"/>
    <n v="4.5999999999999996"/>
    <s v="False"/>
    <m/>
    <n v="0"/>
    <n v="28.9"/>
    <x v="0"/>
    <n v="0"/>
  </r>
  <r>
    <s v="FB000959"/>
    <x v="2"/>
    <x v="7"/>
    <x v="0"/>
    <m/>
    <x v="2"/>
    <x v="1"/>
    <n v="75.59"/>
    <x v="168"/>
    <n v="0.38799999999999996"/>
    <n v="46.26"/>
    <n v="29.330000000000005"/>
    <d v="2025-03-29T00:00:00"/>
    <x v="0"/>
    <x v="3"/>
    <n v="43"/>
    <n v="1.1000000000000001"/>
    <s v="Ok"/>
    <n v="1.1000000000000001"/>
    <s v="False"/>
    <m/>
    <n v="0"/>
    <n v="46.26"/>
    <x v="0"/>
    <n v="0"/>
  </r>
  <r>
    <s v="FB000960"/>
    <x v="1"/>
    <x v="0"/>
    <x v="0"/>
    <s v="S"/>
    <x v="3"/>
    <x v="10"/>
    <n v="30.9"/>
    <x v="284"/>
    <n v="5.5E-2"/>
    <n v="29.2"/>
    <n v="1.6999999999999993"/>
    <d v="2024-11-06T00:00:00"/>
    <x v="1"/>
    <x v="11"/>
    <n v="25"/>
    <n v="1.4"/>
    <s v="Ok"/>
    <n v="1.4"/>
    <s v="False"/>
    <m/>
    <n v="0"/>
    <n v="29.2"/>
    <x v="0"/>
    <n v="0"/>
  </r>
  <r>
    <s v="FB000961"/>
    <x v="0"/>
    <x v="3"/>
    <x v="3"/>
    <s v="S"/>
    <x v="3"/>
    <x v="5"/>
    <n v="101.04"/>
    <x v="0"/>
    <n v="0"/>
    <n v="101.04"/>
    <n v="0"/>
    <d v="2025-08-06T00:00:00"/>
    <x v="1"/>
    <x v="1"/>
    <n v="35"/>
    <n v="3.5"/>
    <s v="Ok"/>
    <n v="3.5"/>
    <s v="False"/>
    <m/>
    <n v="0"/>
    <n v="101.04"/>
    <x v="0"/>
    <n v="0"/>
  </r>
  <r>
    <s v="FB000962"/>
    <x v="5"/>
    <x v="7"/>
    <x v="2"/>
    <s v="S"/>
    <x v="3"/>
    <x v="3"/>
    <n v="54.81"/>
    <x v="0"/>
    <n v="0"/>
    <n v="54.81"/>
    <n v="0"/>
    <d v="2025-08-06T00:00:00"/>
    <x v="1"/>
    <x v="1"/>
    <n v="41"/>
    <n v="1.2"/>
    <s v="Ok"/>
    <n v="1.2"/>
    <s v="True"/>
    <s v="Wrong Item"/>
    <n v="1"/>
    <n v="0"/>
    <x v="6"/>
    <n v="0"/>
  </r>
  <r>
    <s v="FB000963"/>
    <x v="3"/>
    <x v="4"/>
    <x v="3"/>
    <s v="M"/>
    <x v="6"/>
    <x v="8"/>
    <n v="191.61"/>
    <x v="285"/>
    <n v="0.42100000000000004"/>
    <n v="110.94"/>
    <n v="80.670000000000016"/>
    <d v="2025-08-06T00:00:00"/>
    <x v="1"/>
    <x v="1"/>
    <n v="28"/>
    <n v="4"/>
    <s v="Ok"/>
    <n v="4"/>
    <s v="False"/>
    <m/>
    <n v="0"/>
    <n v="110.94"/>
    <x v="0"/>
    <n v="0"/>
  </r>
  <r>
    <s v="FB000964"/>
    <x v="1"/>
    <x v="3"/>
    <x v="3"/>
    <s v="XXL"/>
    <x v="4"/>
    <x v="1"/>
    <n v="100.5"/>
    <x v="0"/>
    <n v="0"/>
    <n v="100.5"/>
    <n v="0"/>
    <d v="2025-08-06T00:00:00"/>
    <x v="1"/>
    <x v="1"/>
    <n v="12"/>
    <n v="2.7"/>
    <s v="Ok"/>
    <n v="2.7"/>
    <s v="True"/>
    <s v="Damaged"/>
    <n v="1"/>
    <n v="0"/>
    <x v="3"/>
    <n v="0"/>
  </r>
  <r>
    <s v="FB000965"/>
    <x v="3"/>
    <x v="3"/>
    <x v="0"/>
    <s v="XXL"/>
    <x v="4"/>
    <x v="6"/>
    <n v="92.35"/>
    <x v="286"/>
    <n v="0.23600000000000002"/>
    <n v="70.56"/>
    <n v="21.789999999999992"/>
    <d v="2024-11-28T00:00:00"/>
    <x v="5"/>
    <x v="11"/>
    <n v="32"/>
    <n v="2.2000000000000002"/>
    <s v="Ok"/>
    <n v="2.2000000000000002"/>
    <s v="False"/>
    <m/>
    <n v="0"/>
    <n v="70.56"/>
    <x v="0"/>
    <n v="0"/>
  </r>
  <r>
    <s v="FB000966"/>
    <x v="3"/>
    <x v="5"/>
    <x v="3"/>
    <s v="M"/>
    <x v="6"/>
    <x v="4"/>
    <n v="161.24"/>
    <x v="287"/>
    <n v="0.56600000000000006"/>
    <n v="69.98"/>
    <n v="91.26"/>
    <d v="2025-08-06T00:00:00"/>
    <x v="1"/>
    <x v="1"/>
    <n v="8"/>
    <n v="2.1"/>
    <s v="Pocas Unidades"/>
    <n v="2.1"/>
    <s v="False"/>
    <m/>
    <n v="0"/>
    <n v="69.98"/>
    <x v="0"/>
    <n v="0"/>
  </r>
  <r>
    <s v="FB000967"/>
    <x v="5"/>
    <x v="3"/>
    <x v="1"/>
    <s v="XS"/>
    <x v="5"/>
    <x v="4"/>
    <n v="68.03"/>
    <x v="165"/>
    <n v="6.3E-2"/>
    <n v="63.74"/>
    <n v="4.2899999999999991"/>
    <d v="2025-08-06T00:00:00"/>
    <x v="1"/>
    <x v="1"/>
    <n v="43"/>
    <n v="3.4"/>
    <s v="Ok"/>
    <n v="3.4"/>
    <s v="False"/>
    <m/>
    <n v="0"/>
    <n v="63.74"/>
    <x v="0"/>
    <n v="0"/>
  </r>
  <r>
    <s v="FB000968"/>
    <x v="3"/>
    <x v="5"/>
    <x v="2"/>
    <s v="XS"/>
    <x v="5"/>
    <x v="9"/>
    <n v="121.21"/>
    <x v="288"/>
    <n v="0.47399999999999998"/>
    <n v="63.76"/>
    <n v="57.449999999999996"/>
    <d v="2025-08-06T00:00:00"/>
    <x v="1"/>
    <x v="1"/>
    <n v="45"/>
    <n v="3"/>
    <s v="Ok"/>
    <n v="3"/>
    <s v="True"/>
    <s v="Changed Mind"/>
    <n v="1"/>
    <n v="0"/>
    <x v="5"/>
    <n v="0"/>
  </r>
  <r>
    <s v="FB000969"/>
    <x v="1"/>
    <x v="0"/>
    <x v="1"/>
    <s v="L"/>
    <x v="1"/>
    <x v="5"/>
    <n v="69.599999999999994"/>
    <x v="289"/>
    <n v="0.28800000000000003"/>
    <n v="49.56"/>
    <n v="20.039999999999992"/>
    <d v="2025-08-06T00:00:00"/>
    <x v="1"/>
    <x v="1"/>
    <n v="42"/>
    <n v="3.7"/>
    <s v="Ok"/>
    <n v="3.7"/>
    <s v="False"/>
    <m/>
    <n v="0"/>
    <n v="49.56"/>
    <x v="0"/>
    <n v="0"/>
  </r>
  <r>
    <s v="FB000970"/>
    <x v="0"/>
    <x v="2"/>
    <x v="1"/>
    <s v="XS"/>
    <x v="5"/>
    <x v="3"/>
    <n v="222.5"/>
    <x v="251"/>
    <n v="0.187"/>
    <n v="180.89"/>
    <n v="41.610000000000014"/>
    <d v="2025-08-06T00:00:00"/>
    <x v="1"/>
    <x v="1"/>
    <n v="47"/>
    <m/>
    <s v="Ok"/>
    <s v="No valorado"/>
    <s v="False"/>
    <m/>
    <n v="0"/>
    <n v="180.89"/>
    <x v="0"/>
    <n v="0"/>
  </r>
  <r>
    <s v="FB000971"/>
    <x v="4"/>
    <x v="7"/>
    <x v="2"/>
    <s v="XXL"/>
    <x v="4"/>
    <x v="1"/>
    <n v="25.58"/>
    <x v="2"/>
    <n v="0.54500000000000004"/>
    <n v="11.64"/>
    <n v="13.939999999999998"/>
    <d v="2025-08-06T00:00:00"/>
    <x v="1"/>
    <x v="1"/>
    <n v="34"/>
    <n v="2.4"/>
    <s v="Ok"/>
    <n v="2.4"/>
    <s v="False"/>
    <m/>
    <n v="0"/>
    <n v="11.64"/>
    <x v="0"/>
    <n v="0"/>
  </r>
  <r>
    <s v="FB000972"/>
    <x v="5"/>
    <x v="3"/>
    <x v="3"/>
    <s v="XL"/>
    <x v="0"/>
    <x v="5"/>
    <n v="54.46"/>
    <x v="24"/>
    <n v="6.6000000000000003E-2"/>
    <n v="50.87"/>
    <n v="3.5900000000000034"/>
    <d v="2025-08-06T00:00:00"/>
    <x v="1"/>
    <x v="1"/>
    <n v="17"/>
    <n v="1.7"/>
    <s v="Ok"/>
    <n v="1.7"/>
    <s v="False"/>
    <m/>
    <n v="0"/>
    <n v="50.87"/>
    <x v="0"/>
    <n v="0"/>
  </r>
  <r>
    <s v="FB000973"/>
    <x v="4"/>
    <x v="7"/>
    <x v="1"/>
    <s v="S"/>
    <x v="3"/>
    <x v="1"/>
    <n v="43.32"/>
    <x v="0"/>
    <n v="0"/>
    <n v="43.32"/>
    <n v="0"/>
    <d v="2025-08-06T00:00:00"/>
    <x v="1"/>
    <x v="1"/>
    <n v="0"/>
    <n v="2.6"/>
    <s v="Agotado"/>
    <n v="2.6"/>
    <s v="False"/>
    <m/>
    <n v="0"/>
    <n v="43.32"/>
    <x v="0"/>
    <n v="0"/>
  </r>
  <r>
    <s v="FB000974"/>
    <x v="2"/>
    <x v="7"/>
    <x v="1"/>
    <m/>
    <x v="2"/>
    <x v="0"/>
    <n v="75.09"/>
    <x v="0"/>
    <n v="0"/>
    <n v="75.09"/>
    <n v="0"/>
    <d v="2025-08-06T00:00:00"/>
    <x v="1"/>
    <x v="1"/>
    <n v="41"/>
    <n v="3.5"/>
    <s v="Ok"/>
    <n v="3.5"/>
    <s v="False"/>
    <m/>
    <n v="0"/>
    <n v="75.09"/>
    <x v="0"/>
    <n v="0"/>
  </r>
  <r>
    <s v="FB000975"/>
    <x v="5"/>
    <x v="1"/>
    <x v="0"/>
    <s v="XS"/>
    <x v="5"/>
    <x v="0"/>
    <n v="167.46"/>
    <x v="0"/>
    <n v="0"/>
    <n v="167.46"/>
    <n v="0"/>
    <d v="2024-08-18T00:00:00"/>
    <x v="6"/>
    <x v="1"/>
    <n v="4"/>
    <n v="1.3"/>
    <s v="Pocas Unidades"/>
    <n v="1.3"/>
    <s v="False"/>
    <m/>
    <n v="0"/>
    <n v="167.46"/>
    <x v="0"/>
    <n v="0"/>
  </r>
  <r>
    <s v="FB000976"/>
    <x v="3"/>
    <x v="2"/>
    <x v="2"/>
    <s v="L"/>
    <x v="1"/>
    <x v="5"/>
    <n v="111.24"/>
    <x v="290"/>
    <n v="0.34299999999999997"/>
    <n v="73.08"/>
    <n v="38.159999999999997"/>
    <d v="2025-08-06T00:00:00"/>
    <x v="1"/>
    <x v="1"/>
    <n v="3"/>
    <n v="2.2000000000000002"/>
    <s v="Pocas Unidades"/>
    <n v="2.2000000000000002"/>
    <s v="False"/>
    <m/>
    <n v="0"/>
    <n v="73.08"/>
    <x v="0"/>
    <n v="0"/>
  </r>
  <r>
    <s v="FB000977"/>
    <x v="4"/>
    <x v="1"/>
    <x v="2"/>
    <s v="XXL"/>
    <x v="4"/>
    <x v="8"/>
    <n v="59.36"/>
    <x v="0"/>
    <n v="0"/>
    <n v="59.36"/>
    <n v="0"/>
    <d v="2025-08-06T00:00:00"/>
    <x v="1"/>
    <x v="1"/>
    <n v="16"/>
    <m/>
    <s v="Ok"/>
    <s v="No valorado"/>
    <s v="False"/>
    <m/>
    <n v="0"/>
    <n v="59.36"/>
    <x v="0"/>
    <n v="0"/>
  </r>
  <r>
    <s v="FB000978"/>
    <x v="3"/>
    <x v="2"/>
    <x v="2"/>
    <s v="S"/>
    <x v="3"/>
    <x v="8"/>
    <n v="199.46"/>
    <x v="0"/>
    <n v="0"/>
    <n v="199.46"/>
    <n v="0"/>
    <d v="2025-08-06T00:00:00"/>
    <x v="1"/>
    <x v="1"/>
    <n v="15"/>
    <n v="1.4"/>
    <s v="Ok"/>
    <n v="1.4"/>
    <s v="False"/>
    <m/>
    <n v="0"/>
    <n v="199.46"/>
    <x v="0"/>
    <n v="0"/>
  </r>
  <r>
    <s v="FB000979"/>
    <x v="3"/>
    <x v="7"/>
    <x v="2"/>
    <s v="M"/>
    <x v="6"/>
    <x v="3"/>
    <n v="72.75"/>
    <x v="118"/>
    <n v="0.502"/>
    <n v="36.229999999999997"/>
    <n v="36.520000000000003"/>
    <d v="2025-08-06T00:00:00"/>
    <x v="1"/>
    <x v="1"/>
    <n v="28"/>
    <n v="3.6"/>
    <s v="Ok"/>
    <n v="3.6"/>
    <s v="False"/>
    <m/>
    <n v="0"/>
    <n v="36.229999999999997"/>
    <x v="0"/>
    <n v="0"/>
  </r>
  <r>
    <s v="FB000980"/>
    <x v="4"/>
    <x v="3"/>
    <x v="2"/>
    <s v="XS"/>
    <x v="5"/>
    <x v="1"/>
    <n v="86.52"/>
    <x v="163"/>
    <n v="0.27600000000000002"/>
    <n v="62.64"/>
    <n v="23.879999999999995"/>
    <d v="2025-08-06T00:00:00"/>
    <x v="1"/>
    <x v="1"/>
    <n v="47"/>
    <n v="1.1000000000000001"/>
    <s v="Ok"/>
    <n v="1.1000000000000001"/>
    <s v="False"/>
    <m/>
    <n v="0"/>
    <n v="62.64"/>
    <x v="0"/>
    <n v="0"/>
  </r>
  <r>
    <s v="FB000981"/>
    <x v="2"/>
    <x v="7"/>
    <x v="0"/>
    <m/>
    <x v="2"/>
    <x v="5"/>
    <n v="52.69"/>
    <x v="291"/>
    <n v="0.40200000000000002"/>
    <n v="31.51"/>
    <n v="21.179999999999996"/>
    <d v="2024-11-15T00:00:00"/>
    <x v="4"/>
    <x v="11"/>
    <n v="7"/>
    <n v="2.7"/>
    <s v="Pocas Unidades"/>
    <n v="2.7"/>
    <s v="False"/>
    <m/>
    <n v="0"/>
    <n v="31.51"/>
    <x v="0"/>
    <n v="0"/>
  </r>
  <r>
    <s v="FB000982"/>
    <x v="0"/>
    <x v="2"/>
    <x v="2"/>
    <s v="L"/>
    <x v="1"/>
    <x v="2"/>
    <n v="104.18"/>
    <x v="0"/>
    <n v="0"/>
    <n v="104.18"/>
    <n v="0"/>
    <d v="2025-08-06T00:00:00"/>
    <x v="1"/>
    <x v="1"/>
    <n v="12"/>
    <n v="5"/>
    <s v="Ok"/>
    <n v="5"/>
    <s v="False"/>
    <m/>
    <n v="0"/>
    <n v="104.18"/>
    <x v="0"/>
    <n v="0"/>
  </r>
  <r>
    <s v="FB000983"/>
    <x v="0"/>
    <x v="4"/>
    <x v="1"/>
    <s v="L"/>
    <x v="1"/>
    <x v="0"/>
    <n v="132.38"/>
    <x v="46"/>
    <n v="0.58200000000000007"/>
    <n v="55.33"/>
    <n v="77.05"/>
    <d v="2025-08-06T00:00:00"/>
    <x v="1"/>
    <x v="1"/>
    <n v="24"/>
    <m/>
    <s v="Ok"/>
    <s v="No valorado"/>
    <s v="False"/>
    <m/>
    <n v="0"/>
    <n v="55.33"/>
    <x v="0"/>
    <n v="0"/>
  </r>
  <r>
    <s v="FB000984"/>
    <x v="3"/>
    <x v="4"/>
    <x v="2"/>
    <s v="XL"/>
    <x v="0"/>
    <x v="1"/>
    <n v="64.400000000000006"/>
    <x v="0"/>
    <n v="0"/>
    <n v="64.400000000000006"/>
    <n v="0"/>
    <d v="2025-08-06T00:00:00"/>
    <x v="1"/>
    <x v="1"/>
    <n v="40"/>
    <n v="4.9000000000000004"/>
    <s v="Ok"/>
    <n v="4.9000000000000004"/>
    <s v="False"/>
    <m/>
    <n v="0"/>
    <n v="64.400000000000006"/>
    <x v="0"/>
    <n v="0"/>
  </r>
  <r>
    <s v="FB000985"/>
    <x v="4"/>
    <x v="0"/>
    <x v="3"/>
    <s v="XL"/>
    <x v="0"/>
    <x v="4"/>
    <n v="34.07"/>
    <x v="0"/>
    <n v="0"/>
    <n v="34.07"/>
    <n v="0"/>
    <d v="2025-08-06T00:00:00"/>
    <x v="1"/>
    <x v="1"/>
    <n v="25"/>
    <n v="4.2"/>
    <s v="Ok"/>
    <n v="4.2"/>
    <s v="True"/>
    <s v="Wrong Item"/>
    <n v="1"/>
    <n v="0"/>
    <x v="6"/>
    <n v="0"/>
  </r>
  <r>
    <s v="FB000986"/>
    <x v="4"/>
    <x v="0"/>
    <x v="1"/>
    <s v="XXL"/>
    <x v="4"/>
    <x v="0"/>
    <n v="43.33"/>
    <x v="56"/>
    <n v="0.45299999999999996"/>
    <n v="23.7"/>
    <n v="19.63"/>
    <d v="2025-08-06T00:00:00"/>
    <x v="1"/>
    <x v="1"/>
    <n v="1"/>
    <n v="3.4"/>
    <s v="Pocas Unidades"/>
    <n v="3.4"/>
    <s v="False"/>
    <m/>
    <n v="0"/>
    <n v="23.7"/>
    <x v="0"/>
    <n v="0"/>
  </r>
  <r>
    <s v="FB000987"/>
    <x v="0"/>
    <x v="1"/>
    <x v="0"/>
    <s v="XL"/>
    <x v="0"/>
    <x v="3"/>
    <n v="122.92"/>
    <x v="0"/>
    <n v="0"/>
    <n v="122.92"/>
    <n v="0"/>
    <d v="2024-11-06T00:00:00"/>
    <x v="1"/>
    <x v="11"/>
    <n v="41"/>
    <n v="2.9"/>
    <s v="Ok"/>
    <n v="2.9"/>
    <s v="False"/>
    <m/>
    <n v="0"/>
    <n v="122.92"/>
    <x v="0"/>
    <n v="0"/>
  </r>
  <r>
    <s v="FB000988"/>
    <x v="3"/>
    <x v="0"/>
    <x v="0"/>
    <s v="S"/>
    <x v="3"/>
    <x v="4"/>
    <n v="142.84"/>
    <x v="0"/>
    <n v="0"/>
    <n v="142.84"/>
    <n v="0"/>
    <d v="2025-02-14T00:00:00"/>
    <x v="4"/>
    <x v="9"/>
    <n v="36"/>
    <m/>
    <s v="Ok"/>
    <s v="No valorado"/>
    <s v="False"/>
    <m/>
    <n v="0"/>
    <n v="142.84"/>
    <x v="0"/>
    <n v="0"/>
  </r>
  <r>
    <s v="FB000989"/>
    <x v="3"/>
    <x v="6"/>
    <x v="3"/>
    <s v="XXL"/>
    <x v="4"/>
    <x v="2"/>
    <n v="131.55000000000001"/>
    <x v="0"/>
    <n v="0"/>
    <n v="131.55000000000001"/>
    <n v="0"/>
    <d v="2025-08-06T00:00:00"/>
    <x v="1"/>
    <x v="1"/>
    <n v="45"/>
    <n v="1.8"/>
    <s v="Ok"/>
    <n v="1.8"/>
    <s v="False"/>
    <m/>
    <n v="0"/>
    <n v="131.55000000000001"/>
    <x v="0"/>
    <n v="0"/>
  </r>
  <r>
    <s v="FB000990"/>
    <x v="0"/>
    <x v="0"/>
    <x v="0"/>
    <s v="S"/>
    <x v="3"/>
    <x v="0"/>
    <n v="192.58"/>
    <x v="0"/>
    <n v="0"/>
    <n v="192.58"/>
    <n v="0"/>
    <d v="2025-04-17T00:00:00"/>
    <x v="5"/>
    <x v="4"/>
    <n v="16"/>
    <n v="1.2"/>
    <s v="Ok"/>
    <n v="1.2"/>
    <s v="False"/>
    <m/>
    <n v="0"/>
    <n v="192.58"/>
    <x v="0"/>
    <n v="0"/>
  </r>
  <r>
    <s v="FB000991"/>
    <x v="2"/>
    <x v="5"/>
    <x v="0"/>
    <m/>
    <x v="2"/>
    <x v="9"/>
    <n v="33.56"/>
    <x v="0"/>
    <n v="0"/>
    <n v="33.56"/>
    <n v="0"/>
    <d v="2025-03-27T00:00:00"/>
    <x v="5"/>
    <x v="3"/>
    <n v="24"/>
    <n v="3"/>
    <s v="Ok"/>
    <n v="3"/>
    <s v="False"/>
    <m/>
    <n v="0"/>
    <n v="33.56"/>
    <x v="0"/>
    <n v="0"/>
  </r>
  <r>
    <s v="FB000992"/>
    <x v="2"/>
    <x v="1"/>
    <x v="3"/>
    <m/>
    <x v="2"/>
    <x v="5"/>
    <n v="59.1"/>
    <x v="0"/>
    <n v="0"/>
    <n v="59.1"/>
    <n v="0"/>
    <d v="2025-08-06T00:00:00"/>
    <x v="1"/>
    <x v="1"/>
    <n v="29"/>
    <n v="1.3"/>
    <s v="Ok"/>
    <n v="1.3"/>
    <s v="False"/>
    <m/>
    <n v="0"/>
    <n v="59.1"/>
    <x v="0"/>
    <n v="0"/>
  </r>
  <r>
    <s v="FB000993"/>
    <x v="3"/>
    <x v="6"/>
    <x v="2"/>
    <s v="S"/>
    <x v="3"/>
    <x v="4"/>
    <n v="109.15"/>
    <x v="239"/>
    <n v="0.20699999999999999"/>
    <n v="86.56"/>
    <n v="22.590000000000003"/>
    <d v="2025-08-06T00:00:00"/>
    <x v="1"/>
    <x v="1"/>
    <n v="28"/>
    <n v="2"/>
    <s v="Ok"/>
    <n v="2"/>
    <s v="True"/>
    <s v="Changed Mind"/>
    <n v="1"/>
    <n v="0"/>
    <x v="5"/>
    <n v="0"/>
  </r>
  <r>
    <s v="FB000994"/>
    <x v="4"/>
    <x v="5"/>
    <x v="2"/>
    <m/>
    <x v="7"/>
    <x v="7"/>
    <n v="59.1"/>
    <x v="0"/>
    <n v="0"/>
    <n v="59.1"/>
    <n v="0"/>
    <d v="2025-08-06T00:00:00"/>
    <x v="1"/>
    <x v="1"/>
    <n v="47"/>
    <n v="4.5999999999999996"/>
    <s v="Ok"/>
    <n v="4.5999999999999996"/>
    <s v="False"/>
    <m/>
    <n v="0"/>
    <n v="59.1"/>
    <x v="0"/>
    <n v="0"/>
  </r>
  <r>
    <s v="FB000995"/>
    <x v="3"/>
    <x v="6"/>
    <x v="0"/>
    <s v="M"/>
    <x v="6"/>
    <x v="9"/>
    <n v="99.33"/>
    <x v="0"/>
    <n v="0"/>
    <n v="99.33"/>
    <n v="0"/>
    <d v="2025-05-21T00:00:00"/>
    <x v="1"/>
    <x v="8"/>
    <n v="16"/>
    <n v="3.9"/>
    <s v="Ok"/>
    <n v="3.9"/>
    <s v="False"/>
    <m/>
    <n v="0"/>
    <n v="99.33"/>
    <x v="0"/>
    <n v="0"/>
  </r>
  <r>
    <s v="FB000996"/>
    <x v="5"/>
    <x v="5"/>
    <x v="1"/>
    <s v="XL"/>
    <x v="0"/>
    <x v="8"/>
    <n v="92.75"/>
    <x v="0"/>
    <n v="0"/>
    <n v="92.75"/>
    <n v="0"/>
    <d v="2025-08-06T00:00:00"/>
    <x v="1"/>
    <x v="1"/>
    <n v="29"/>
    <m/>
    <s v="Ok"/>
    <s v="No valorado"/>
    <s v="True"/>
    <s v="Changed Mind"/>
    <n v="1"/>
    <n v="0"/>
    <x v="5"/>
    <n v="0"/>
  </r>
  <r>
    <s v="FB000997"/>
    <x v="1"/>
    <x v="0"/>
    <x v="3"/>
    <s v="S"/>
    <x v="3"/>
    <x v="7"/>
    <n v="116.82"/>
    <x v="0"/>
    <n v="0"/>
    <n v="116.82"/>
    <n v="0"/>
    <d v="2025-08-06T00:00:00"/>
    <x v="1"/>
    <x v="1"/>
    <n v="34"/>
    <m/>
    <s v="Ok"/>
    <s v="No valorado"/>
    <s v="False"/>
    <m/>
    <n v="0"/>
    <n v="116.82"/>
    <x v="0"/>
    <n v="0"/>
  </r>
  <r>
    <s v="FB000998"/>
    <x v="0"/>
    <x v="5"/>
    <x v="3"/>
    <s v="XL"/>
    <x v="0"/>
    <x v="6"/>
    <n v="129.78"/>
    <x v="29"/>
    <n v="9.5000000000000001E-2"/>
    <n v="117.45"/>
    <n v="12.329999999999998"/>
    <d v="2025-08-06T00:00:00"/>
    <x v="1"/>
    <x v="1"/>
    <n v="17"/>
    <n v="4"/>
    <s v="Ok"/>
    <n v="4"/>
    <s v="False"/>
    <m/>
    <n v="0"/>
    <n v="117.45"/>
    <x v="0"/>
    <n v="0"/>
  </r>
  <r>
    <s v="FB000999"/>
    <x v="5"/>
    <x v="2"/>
    <x v="0"/>
    <s v="XS"/>
    <x v="5"/>
    <x v="10"/>
    <n v="135.69"/>
    <x v="44"/>
    <n v="0.03"/>
    <n v="131.62"/>
    <n v="4.0699999999999932"/>
    <d v="2024-08-29T00:00:00"/>
    <x v="5"/>
    <x v="1"/>
    <n v="16"/>
    <m/>
    <s v="Ok"/>
    <s v="No valorado"/>
    <s v="False"/>
    <m/>
    <n v="0"/>
    <n v="131.62"/>
    <x v="0"/>
    <n v="0"/>
  </r>
  <r>
    <s v="FB001000"/>
    <x v="5"/>
    <x v="6"/>
    <x v="2"/>
    <m/>
    <x v="7"/>
    <x v="0"/>
    <n v="48.14"/>
    <x v="63"/>
    <n v="0.28300000000000003"/>
    <n v="34.520000000000003"/>
    <n v="13.619999999999997"/>
    <d v="2025-08-06T00:00:00"/>
    <x v="1"/>
    <x v="1"/>
    <n v="41"/>
    <m/>
    <s v="Ok"/>
    <s v="No valorado"/>
    <s v="False"/>
    <m/>
    <n v="0"/>
    <n v="34.520000000000003"/>
    <x v="0"/>
    <n v="0"/>
  </r>
  <r>
    <s v="FB001001"/>
    <x v="5"/>
    <x v="3"/>
    <x v="2"/>
    <s v="XS"/>
    <x v="5"/>
    <x v="5"/>
    <n v="142.96"/>
    <x v="292"/>
    <n v="0.47700000000000004"/>
    <n v="74.77"/>
    <n v="68.190000000000012"/>
    <d v="2025-08-06T00:00:00"/>
    <x v="1"/>
    <x v="1"/>
    <n v="7"/>
    <m/>
    <s v="Pocas Unidades"/>
    <s v="No valorado"/>
    <s v="False"/>
    <m/>
    <n v="0"/>
    <n v="74.77"/>
    <x v="0"/>
    <n v="0"/>
  </r>
  <r>
    <s v="FB001002"/>
    <x v="1"/>
    <x v="7"/>
    <x v="0"/>
    <s v="L"/>
    <x v="1"/>
    <x v="7"/>
    <n v="51.72"/>
    <x v="0"/>
    <n v="0"/>
    <n v="51.72"/>
    <n v="0"/>
    <d v="2025-02-14T00:00:00"/>
    <x v="4"/>
    <x v="9"/>
    <n v="50"/>
    <m/>
    <s v="Ok"/>
    <s v="No valorado"/>
    <s v="False"/>
    <m/>
    <n v="0"/>
    <n v="51.72"/>
    <x v="0"/>
    <n v="0"/>
  </r>
  <r>
    <s v="FB001003"/>
    <x v="2"/>
    <x v="0"/>
    <x v="2"/>
    <m/>
    <x v="2"/>
    <x v="10"/>
    <n v="18.3"/>
    <x v="293"/>
    <n v="0.38299999999999995"/>
    <n v="11.29"/>
    <n v="7.0100000000000016"/>
    <d v="2025-08-06T00:00:00"/>
    <x v="1"/>
    <x v="1"/>
    <n v="14"/>
    <n v="1.1000000000000001"/>
    <s v="Ok"/>
    <n v="1.1000000000000001"/>
    <s v="False"/>
    <m/>
    <n v="0"/>
    <n v="11.29"/>
    <x v="0"/>
    <n v="0"/>
  </r>
  <r>
    <s v="FB001004"/>
    <x v="0"/>
    <x v="3"/>
    <x v="0"/>
    <s v="L"/>
    <x v="1"/>
    <x v="8"/>
    <n v="214.99"/>
    <x v="294"/>
    <n v="0.28999999999999998"/>
    <n v="152.63999999999999"/>
    <n v="62.350000000000023"/>
    <d v="2024-09-06T00:00:00"/>
    <x v="4"/>
    <x v="6"/>
    <n v="32"/>
    <n v="2.8"/>
    <s v="Ok"/>
    <n v="2.8"/>
    <s v="True"/>
    <s v="Wrong Item"/>
    <n v="1"/>
    <n v="0"/>
    <x v="6"/>
    <n v="0"/>
  </r>
  <r>
    <s v="FB001005"/>
    <x v="2"/>
    <x v="6"/>
    <x v="0"/>
    <m/>
    <x v="2"/>
    <x v="0"/>
    <n v="20.77"/>
    <x v="0"/>
    <n v="0"/>
    <n v="20.77"/>
    <n v="0"/>
    <d v="2024-08-17T00:00:00"/>
    <x v="0"/>
    <x v="1"/>
    <n v="31"/>
    <n v="2"/>
    <s v="Ok"/>
    <n v="2"/>
    <s v="False"/>
    <m/>
    <n v="0"/>
    <n v="20.77"/>
    <x v="0"/>
    <n v="0"/>
  </r>
  <r>
    <s v="FB001006"/>
    <x v="2"/>
    <x v="6"/>
    <x v="3"/>
    <m/>
    <x v="2"/>
    <x v="1"/>
    <n v="77.959999999999994"/>
    <x v="0"/>
    <n v="0"/>
    <n v="77.959999999999994"/>
    <n v="0"/>
    <d v="2025-08-06T00:00:00"/>
    <x v="1"/>
    <x v="1"/>
    <n v="39"/>
    <n v="4.8"/>
    <s v="Ok"/>
    <n v="4.8"/>
    <s v="False"/>
    <m/>
    <n v="0"/>
    <n v="77.959999999999994"/>
    <x v="0"/>
    <n v="0"/>
  </r>
  <r>
    <s v="FB001007"/>
    <x v="2"/>
    <x v="0"/>
    <x v="2"/>
    <m/>
    <x v="2"/>
    <x v="9"/>
    <n v="73.33"/>
    <x v="295"/>
    <n v="0.34600000000000003"/>
    <n v="47.96"/>
    <n v="25.369999999999997"/>
    <d v="2025-08-06T00:00:00"/>
    <x v="1"/>
    <x v="1"/>
    <n v="45"/>
    <n v="2.1"/>
    <s v="Ok"/>
    <n v="2.1"/>
    <s v="False"/>
    <m/>
    <n v="0"/>
    <n v="47.96"/>
    <x v="0"/>
    <n v="0"/>
  </r>
  <r>
    <s v="FB001008"/>
    <x v="2"/>
    <x v="7"/>
    <x v="2"/>
    <m/>
    <x v="2"/>
    <x v="9"/>
    <n v="75.22"/>
    <x v="228"/>
    <n v="0.25900000000000001"/>
    <n v="55.74"/>
    <n v="19.479999999999997"/>
    <d v="2025-08-06T00:00:00"/>
    <x v="1"/>
    <x v="1"/>
    <n v="31"/>
    <n v="1.9"/>
    <s v="Ok"/>
    <n v="1.9"/>
    <s v="True"/>
    <s v="Color Mismatch"/>
    <n v="1"/>
    <n v="0"/>
    <x v="1"/>
    <n v="0"/>
  </r>
  <r>
    <s v="FB001009"/>
    <x v="4"/>
    <x v="6"/>
    <x v="2"/>
    <s v="XS"/>
    <x v="5"/>
    <x v="2"/>
    <n v="46.65"/>
    <x v="296"/>
    <n v="0.24199999999999999"/>
    <n v="35.36"/>
    <n v="11.29"/>
    <d v="2025-08-06T00:00:00"/>
    <x v="1"/>
    <x v="1"/>
    <n v="8"/>
    <n v="3.2"/>
    <s v="Pocas Unidades"/>
    <n v="3.2"/>
    <s v="False"/>
    <m/>
    <n v="0"/>
    <n v="35.36"/>
    <x v="0"/>
    <n v="0"/>
  </r>
  <r>
    <s v="FB001010"/>
    <x v="5"/>
    <x v="3"/>
    <x v="2"/>
    <s v="XXL"/>
    <x v="4"/>
    <x v="1"/>
    <n v="108.19"/>
    <x v="0"/>
    <n v="0"/>
    <n v="108.19"/>
    <n v="0"/>
    <d v="2025-08-06T00:00:00"/>
    <x v="1"/>
    <x v="1"/>
    <n v="21"/>
    <m/>
    <s v="Ok"/>
    <s v="No valorado"/>
    <s v="False"/>
    <m/>
    <n v="0"/>
    <n v="108.19"/>
    <x v="0"/>
    <n v="0"/>
  </r>
  <r>
    <s v="FB001011"/>
    <x v="5"/>
    <x v="0"/>
    <x v="0"/>
    <s v="L"/>
    <x v="1"/>
    <x v="0"/>
    <n v="62.82"/>
    <x v="0"/>
    <n v="0"/>
    <n v="62.82"/>
    <n v="0"/>
    <d v="2024-10-08T00:00:00"/>
    <x v="3"/>
    <x v="2"/>
    <n v="36"/>
    <n v="2.1"/>
    <s v="Ok"/>
    <n v="2.1"/>
    <s v="False"/>
    <m/>
    <n v="0"/>
    <n v="62.82"/>
    <x v="0"/>
    <n v="0"/>
  </r>
  <r>
    <s v="FB001012"/>
    <x v="1"/>
    <x v="0"/>
    <x v="3"/>
    <s v="S"/>
    <x v="3"/>
    <x v="1"/>
    <n v="57.32"/>
    <x v="112"/>
    <n v="0.57399999999999995"/>
    <n v="24.42"/>
    <n v="32.9"/>
    <d v="2025-08-06T00:00:00"/>
    <x v="1"/>
    <x v="1"/>
    <n v="46"/>
    <n v="3.1"/>
    <s v="Ok"/>
    <n v="3.1"/>
    <s v="False"/>
    <m/>
    <n v="0"/>
    <n v="24.42"/>
    <x v="0"/>
    <n v="0"/>
  </r>
  <r>
    <s v="FB001013"/>
    <x v="0"/>
    <x v="4"/>
    <x v="1"/>
    <s v="XXL"/>
    <x v="4"/>
    <x v="6"/>
    <n v="153.59"/>
    <x v="0"/>
    <n v="0"/>
    <n v="153.59"/>
    <n v="0"/>
    <d v="2025-08-06T00:00:00"/>
    <x v="1"/>
    <x v="1"/>
    <n v="31"/>
    <n v="2.9"/>
    <s v="Ok"/>
    <n v="2.9"/>
    <s v="True"/>
    <s v="Damaged"/>
    <n v="1"/>
    <n v="0"/>
    <x v="3"/>
    <n v="0"/>
  </r>
  <r>
    <s v="FB001014"/>
    <x v="3"/>
    <x v="3"/>
    <x v="1"/>
    <s v="XL"/>
    <x v="0"/>
    <x v="9"/>
    <n v="101.14"/>
    <x v="0"/>
    <n v="0"/>
    <n v="101.14"/>
    <n v="0"/>
    <d v="2025-08-06T00:00:00"/>
    <x v="1"/>
    <x v="1"/>
    <n v="43"/>
    <n v="2.8"/>
    <s v="Ok"/>
    <n v="2.8"/>
    <s v="False"/>
    <m/>
    <n v="0"/>
    <n v="101.14"/>
    <x v="0"/>
    <n v="0"/>
  </r>
  <r>
    <s v="FB001015"/>
    <x v="4"/>
    <x v="5"/>
    <x v="0"/>
    <s v="XXL"/>
    <x v="4"/>
    <x v="10"/>
    <n v="43.89"/>
    <x v="151"/>
    <n v="0.156"/>
    <n v="37.04"/>
    <n v="6.8500000000000014"/>
    <d v="2025-04-30T00:00:00"/>
    <x v="1"/>
    <x v="4"/>
    <n v="31"/>
    <n v="1.7"/>
    <s v="Ok"/>
    <n v="1.7"/>
    <s v="True"/>
    <s v="Wrong Item"/>
    <n v="1"/>
    <n v="0"/>
    <x v="6"/>
    <n v="0"/>
  </r>
  <r>
    <s v="FB001016"/>
    <x v="0"/>
    <x v="0"/>
    <x v="1"/>
    <s v="S"/>
    <x v="3"/>
    <x v="4"/>
    <n v="130.16"/>
    <x v="297"/>
    <n v="0.47499999999999998"/>
    <n v="68.33"/>
    <n v="61.83"/>
    <d v="2025-08-06T00:00:00"/>
    <x v="1"/>
    <x v="1"/>
    <n v="21"/>
    <m/>
    <s v="Ok"/>
    <s v="No valorado"/>
    <s v="False"/>
    <m/>
    <n v="0"/>
    <n v="68.33"/>
    <x v="0"/>
    <n v="0"/>
  </r>
  <r>
    <s v="FB001017"/>
    <x v="5"/>
    <x v="6"/>
    <x v="1"/>
    <s v="L"/>
    <x v="1"/>
    <x v="2"/>
    <n v="153.12"/>
    <x v="0"/>
    <n v="0"/>
    <n v="153.12"/>
    <n v="0"/>
    <d v="2025-08-06T00:00:00"/>
    <x v="1"/>
    <x v="1"/>
    <n v="27"/>
    <n v="3.3"/>
    <s v="Ok"/>
    <n v="3.3"/>
    <s v="False"/>
    <m/>
    <n v="0"/>
    <n v="153.12"/>
    <x v="0"/>
    <n v="0"/>
  </r>
  <r>
    <s v="FB001018"/>
    <x v="1"/>
    <x v="7"/>
    <x v="3"/>
    <s v="XXL"/>
    <x v="4"/>
    <x v="5"/>
    <n v="37.119999999999997"/>
    <x v="298"/>
    <n v="0.121"/>
    <n v="32.630000000000003"/>
    <n v="4.4899999999999949"/>
    <d v="2025-08-06T00:00:00"/>
    <x v="1"/>
    <x v="1"/>
    <n v="43"/>
    <n v="3.2"/>
    <s v="Ok"/>
    <n v="3.2"/>
    <s v="False"/>
    <m/>
    <n v="0"/>
    <n v="32.630000000000003"/>
    <x v="0"/>
    <n v="0"/>
  </r>
  <r>
    <s v="FB001019"/>
    <x v="1"/>
    <x v="3"/>
    <x v="3"/>
    <s v="XXL"/>
    <x v="4"/>
    <x v="9"/>
    <n v="41.05"/>
    <x v="0"/>
    <n v="0"/>
    <n v="41.05"/>
    <n v="0"/>
    <d v="2025-08-06T00:00:00"/>
    <x v="1"/>
    <x v="1"/>
    <n v="24"/>
    <m/>
    <s v="Ok"/>
    <s v="No valorado"/>
    <s v="False"/>
    <m/>
    <n v="0"/>
    <n v="41.05"/>
    <x v="0"/>
    <n v="0"/>
  </r>
  <r>
    <s v="FB001020"/>
    <x v="3"/>
    <x v="7"/>
    <x v="2"/>
    <s v="M"/>
    <x v="6"/>
    <x v="8"/>
    <n v="61.04"/>
    <x v="0"/>
    <n v="0"/>
    <n v="61.04"/>
    <n v="0"/>
    <d v="2025-08-06T00:00:00"/>
    <x v="1"/>
    <x v="1"/>
    <n v="43"/>
    <n v="1.9"/>
    <s v="Ok"/>
    <n v="1.9"/>
    <s v="False"/>
    <m/>
    <n v="0"/>
    <n v="61.04"/>
    <x v="0"/>
    <n v="0"/>
  </r>
  <r>
    <s v="FB001021"/>
    <x v="1"/>
    <x v="5"/>
    <x v="3"/>
    <s v="S"/>
    <x v="3"/>
    <x v="2"/>
    <n v="97.17"/>
    <x v="0"/>
    <n v="0"/>
    <n v="97.17"/>
    <n v="0"/>
    <d v="2025-08-06T00:00:00"/>
    <x v="1"/>
    <x v="1"/>
    <n v="35"/>
    <n v="3"/>
    <s v="Ok"/>
    <n v="3"/>
    <s v="False"/>
    <m/>
    <n v="0"/>
    <n v="97.17"/>
    <x v="0"/>
    <n v="0"/>
  </r>
  <r>
    <s v="FB001022"/>
    <x v="2"/>
    <x v="1"/>
    <x v="3"/>
    <m/>
    <x v="2"/>
    <x v="0"/>
    <n v="63.45"/>
    <x v="0"/>
    <n v="0"/>
    <n v="63.45"/>
    <n v="0"/>
    <d v="2025-08-06T00:00:00"/>
    <x v="1"/>
    <x v="1"/>
    <n v="4"/>
    <n v="3.9"/>
    <s v="Pocas Unidades"/>
    <n v="3.9"/>
    <s v="False"/>
    <m/>
    <n v="0"/>
    <n v="63.45"/>
    <x v="0"/>
    <n v="0"/>
  </r>
  <r>
    <s v="FB001023"/>
    <x v="1"/>
    <x v="3"/>
    <x v="2"/>
    <m/>
    <x v="7"/>
    <x v="4"/>
    <n v="117.39"/>
    <x v="0"/>
    <n v="0"/>
    <n v="117.39"/>
    <n v="0"/>
    <d v="2025-08-06T00:00:00"/>
    <x v="1"/>
    <x v="1"/>
    <n v="14"/>
    <n v="3.2"/>
    <s v="Ok"/>
    <n v="3.2"/>
    <s v="False"/>
    <m/>
    <n v="0"/>
    <n v="117.39"/>
    <x v="0"/>
    <n v="0"/>
  </r>
  <r>
    <s v="FB001024"/>
    <x v="1"/>
    <x v="2"/>
    <x v="0"/>
    <s v="S"/>
    <x v="3"/>
    <x v="10"/>
    <n v="32.89"/>
    <x v="0"/>
    <n v="0"/>
    <n v="32.89"/>
    <n v="0"/>
    <d v="2025-07-08T00:00:00"/>
    <x v="3"/>
    <x v="0"/>
    <n v="6"/>
    <n v="4.5999999999999996"/>
    <s v="Pocas Unidades"/>
    <n v="4.5999999999999996"/>
    <s v="False"/>
    <m/>
    <n v="0"/>
    <n v="32.89"/>
    <x v="0"/>
    <n v="0"/>
  </r>
  <r>
    <s v="FB001025"/>
    <x v="4"/>
    <x v="5"/>
    <x v="0"/>
    <s v="L"/>
    <x v="1"/>
    <x v="5"/>
    <n v="102.6"/>
    <x v="299"/>
    <n v="0.38600000000000001"/>
    <n v="63"/>
    <n v="39.599999999999994"/>
    <d v="2025-05-10T00:00:00"/>
    <x v="0"/>
    <x v="8"/>
    <n v="14"/>
    <n v="4"/>
    <s v="Ok"/>
    <n v="4"/>
    <s v="False"/>
    <m/>
    <n v="0"/>
    <n v="63"/>
    <x v="0"/>
    <n v="0"/>
  </r>
  <r>
    <s v="FB001026"/>
    <x v="3"/>
    <x v="6"/>
    <x v="0"/>
    <s v="XXL"/>
    <x v="4"/>
    <x v="8"/>
    <n v="155.91999999999999"/>
    <x v="250"/>
    <n v="0.32200000000000001"/>
    <n v="105.71"/>
    <n v="50.209999999999994"/>
    <d v="2024-10-02T00:00:00"/>
    <x v="1"/>
    <x v="2"/>
    <n v="5"/>
    <n v="2"/>
    <s v="Pocas Unidades"/>
    <n v="2"/>
    <s v="False"/>
    <m/>
    <n v="0"/>
    <n v="105.71"/>
    <x v="0"/>
    <n v="0"/>
  </r>
  <r>
    <s v="FB001027"/>
    <x v="0"/>
    <x v="6"/>
    <x v="2"/>
    <s v="L"/>
    <x v="1"/>
    <x v="9"/>
    <n v="178.39"/>
    <x v="0"/>
    <n v="0"/>
    <n v="178.39"/>
    <n v="0"/>
    <d v="2025-08-06T00:00:00"/>
    <x v="1"/>
    <x v="1"/>
    <n v="29"/>
    <n v="4.2"/>
    <s v="Ok"/>
    <n v="4.2"/>
    <s v="False"/>
    <m/>
    <n v="0"/>
    <n v="178.39"/>
    <x v="0"/>
    <n v="0"/>
  </r>
  <r>
    <s v="FB001028"/>
    <x v="0"/>
    <x v="4"/>
    <x v="0"/>
    <s v="XL"/>
    <x v="0"/>
    <x v="4"/>
    <n v="151.1"/>
    <x v="0"/>
    <n v="0"/>
    <n v="151.1"/>
    <n v="0"/>
    <d v="2025-03-22T00:00:00"/>
    <x v="0"/>
    <x v="3"/>
    <n v="24"/>
    <n v="2.4"/>
    <s v="Ok"/>
    <n v="2.4"/>
    <s v="False"/>
    <m/>
    <n v="0"/>
    <n v="151.1"/>
    <x v="0"/>
    <n v="0"/>
  </r>
  <r>
    <s v="FB001029"/>
    <x v="1"/>
    <x v="7"/>
    <x v="3"/>
    <s v="XXL"/>
    <x v="4"/>
    <x v="7"/>
    <n v="91.03"/>
    <x v="300"/>
    <n v="0.55399999999999994"/>
    <n v="40.6"/>
    <n v="50.43"/>
    <d v="2025-08-06T00:00:00"/>
    <x v="1"/>
    <x v="1"/>
    <n v="2"/>
    <n v="2.5"/>
    <s v="Pocas Unidades"/>
    <n v="2.5"/>
    <s v="False"/>
    <m/>
    <n v="0"/>
    <n v="40.6"/>
    <x v="0"/>
    <n v="0"/>
  </r>
  <r>
    <s v="FB001030"/>
    <x v="1"/>
    <x v="4"/>
    <x v="2"/>
    <s v="M"/>
    <x v="6"/>
    <x v="4"/>
    <n v="89.03"/>
    <x v="301"/>
    <n v="0.41299999999999998"/>
    <n v="52.26"/>
    <n v="36.770000000000003"/>
    <d v="2025-08-06T00:00:00"/>
    <x v="1"/>
    <x v="1"/>
    <n v="50"/>
    <m/>
    <s v="Ok"/>
    <s v="No valorado"/>
    <s v="False"/>
    <m/>
    <n v="0"/>
    <n v="52.26"/>
    <x v="0"/>
    <n v="0"/>
  </r>
  <r>
    <s v="FB001031"/>
    <x v="5"/>
    <x v="5"/>
    <x v="3"/>
    <s v="S"/>
    <x v="3"/>
    <x v="6"/>
    <n v="147.58000000000001"/>
    <x v="0"/>
    <n v="0"/>
    <n v="147.58000000000001"/>
    <n v="0"/>
    <d v="2025-08-06T00:00:00"/>
    <x v="1"/>
    <x v="1"/>
    <n v="10"/>
    <n v="4.3"/>
    <s v="Ok"/>
    <n v="4.3"/>
    <s v="False"/>
    <m/>
    <n v="0"/>
    <n v="147.58000000000001"/>
    <x v="0"/>
    <n v="0"/>
  </r>
  <r>
    <s v="FB001032"/>
    <x v="5"/>
    <x v="2"/>
    <x v="3"/>
    <s v="XL"/>
    <x v="0"/>
    <x v="5"/>
    <n v="79.98"/>
    <x v="0"/>
    <n v="0"/>
    <n v="79.98"/>
    <n v="0"/>
    <d v="2025-08-06T00:00:00"/>
    <x v="1"/>
    <x v="1"/>
    <n v="25"/>
    <n v="1.5"/>
    <s v="Ok"/>
    <n v="1.5"/>
    <s v="False"/>
    <m/>
    <n v="0"/>
    <n v="79.98"/>
    <x v="0"/>
    <n v="0"/>
  </r>
  <r>
    <s v="FB001033"/>
    <x v="5"/>
    <x v="4"/>
    <x v="2"/>
    <s v="XS"/>
    <x v="5"/>
    <x v="7"/>
    <n v="86.38"/>
    <x v="0"/>
    <n v="0"/>
    <n v="86.38"/>
    <n v="0"/>
    <d v="2025-08-06T00:00:00"/>
    <x v="1"/>
    <x v="1"/>
    <n v="40"/>
    <n v="2.7"/>
    <s v="Ok"/>
    <n v="2.7"/>
    <s v="False"/>
    <m/>
    <n v="0"/>
    <n v="86.38"/>
    <x v="0"/>
    <n v="0"/>
  </r>
  <r>
    <s v="FB001034"/>
    <x v="1"/>
    <x v="2"/>
    <x v="3"/>
    <s v="XXL"/>
    <x v="4"/>
    <x v="10"/>
    <n v="47.29"/>
    <x v="199"/>
    <n v="0.40399999999999997"/>
    <n v="28.18"/>
    <n v="19.11"/>
    <d v="2025-08-06T00:00:00"/>
    <x v="1"/>
    <x v="1"/>
    <n v="26"/>
    <n v="4.4000000000000004"/>
    <s v="Ok"/>
    <n v="4.4000000000000004"/>
    <s v="False"/>
    <m/>
    <n v="0"/>
    <n v="28.18"/>
    <x v="0"/>
    <n v="0"/>
  </r>
  <r>
    <s v="FB001035"/>
    <x v="0"/>
    <x v="7"/>
    <x v="0"/>
    <s v="L"/>
    <x v="1"/>
    <x v="8"/>
    <n v="196.54"/>
    <x v="36"/>
    <n v="0.22600000000000001"/>
    <n v="152.12"/>
    <n v="44.419999999999987"/>
    <d v="2025-05-12T00:00:00"/>
    <x v="2"/>
    <x v="8"/>
    <n v="33"/>
    <n v="1.4"/>
    <s v="Ok"/>
    <n v="1.4"/>
    <s v="False"/>
    <m/>
    <n v="0"/>
    <n v="152.12"/>
    <x v="0"/>
    <n v="0"/>
  </r>
  <r>
    <s v="FB001036"/>
    <x v="1"/>
    <x v="0"/>
    <x v="0"/>
    <s v="XXL"/>
    <x v="4"/>
    <x v="4"/>
    <n v="72.72"/>
    <x v="0"/>
    <n v="0"/>
    <n v="72.72"/>
    <n v="0"/>
    <d v="2025-01-31T00:00:00"/>
    <x v="4"/>
    <x v="5"/>
    <n v="23"/>
    <n v="1.6"/>
    <s v="Ok"/>
    <n v="1.6"/>
    <s v="False"/>
    <m/>
    <n v="0"/>
    <n v="72.72"/>
    <x v="0"/>
    <n v="0"/>
  </r>
  <r>
    <s v="FB001037"/>
    <x v="1"/>
    <x v="6"/>
    <x v="3"/>
    <s v="XXL"/>
    <x v="4"/>
    <x v="7"/>
    <n v="115.5"/>
    <x v="0"/>
    <n v="0"/>
    <n v="115.5"/>
    <n v="0"/>
    <d v="2025-08-06T00:00:00"/>
    <x v="1"/>
    <x v="1"/>
    <n v="36"/>
    <m/>
    <s v="Ok"/>
    <s v="No valorado"/>
    <s v="True"/>
    <s v="Quality Issue"/>
    <n v="1"/>
    <n v="0"/>
    <x v="4"/>
    <n v="0"/>
  </r>
  <r>
    <s v="FB001038"/>
    <x v="2"/>
    <x v="4"/>
    <x v="3"/>
    <m/>
    <x v="2"/>
    <x v="4"/>
    <n v="68.22"/>
    <x v="302"/>
    <n v="8.1000000000000003E-2"/>
    <n v="62.69"/>
    <n v="5.5300000000000011"/>
    <d v="2025-08-06T00:00:00"/>
    <x v="1"/>
    <x v="1"/>
    <n v="28"/>
    <n v="4"/>
    <s v="Ok"/>
    <n v="4"/>
    <s v="False"/>
    <m/>
    <n v="0"/>
    <n v="62.69"/>
    <x v="0"/>
    <n v="0"/>
  </r>
  <r>
    <s v="FB001039"/>
    <x v="1"/>
    <x v="3"/>
    <x v="2"/>
    <s v="XXL"/>
    <x v="4"/>
    <x v="2"/>
    <n v="91.03"/>
    <x v="0"/>
    <n v="0"/>
    <n v="91.03"/>
    <n v="0"/>
    <d v="2025-08-06T00:00:00"/>
    <x v="1"/>
    <x v="1"/>
    <n v="20"/>
    <n v="2.1"/>
    <s v="Ok"/>
    <n v="2.1"/>
    <s v="False"/>
    <m/>
    <n v="0"/>
    <n v="91.03"/>
    <x v="0"/>
    <n v="0"/>
  </r>
  <r>
    <s v="FB001040"/>
    <x v="0"/>
    <x v="7"/>
    <x v="2"/>
    <s v="XXL"/>
    <x v="4"/>
    <x v="9"/>
    <n v="100.39"/>
    <x v="303"/>
    <n v="0.16500000000000001"/>
    <n v="83.83"/>
    <n v="16.560000000000002"/>
    <d v="2025-08-06T00:00:00"/>
    <x v="1"/>
    <x v="1"/>
    <n v="17"/>
    <n v="4.5999999999999996"/>
    <s v="Ok"/>
    <n v="4.5999999999999996"/>
    <s v="False"/>
    <m/>
    <n v="0"/>
    <n v="83.83"/>
    <x v="0"/>
    <n v="0"/>
  </r>
  <r>
    <s v="FB001041"/>
    <x v="1"/>
    <x v="6"/>
    <x v="2"/>
    <s v="XS"/>
    <x v="5"/>
    <x v="8"/>
    <n v="100.03"/>
    <x v="0"/>
    <n v="0"/>
    <n v="100.03"/>
    <n v="0"/>
    <d v="2025-08-06T00:00:00"/>
    <x v="1"/>
    <x v="1"/>
    <n v="39"/>
    <n v="1.2"/>
    <s v="Ok"/>
    <n v="1.2"/>
    <s v="False"/>
    <m/>
    <n v="0"/>
    <n v="100.03"/>
    <x v="0"/>
    <n v="0"/>
  </r>
  <r>
    <s v="FB001042"/>
    <x v="2"/>
    <x v="6"/>
    <x v="0"/>
    <m/>
    <x v="2"/>
    <x v="3"/>
    <n v="50.14"/>
    <x v="128"/>
    <n v="0.29199999999999998"/>
    <n v="35.5"/>
    <n v="14.64"/>
    <d v="2025-02-04T00:00:00"/>
    <x v="3"/>
    <x v="9"/>
    <n v="33"/>
    <n v="4.4000000000000004"/>
    <s v="Ok"/>
    <n v="4.4000000000000004"/>
    <s v="False"/>
    <m/>
    <n v="0"/>
    <n v="35.5"/>
    <x v="0"/>
    <n v="0"/>
  </r>
  <r>
    <s v="FB001043"/>
    <x v="4"/>
    <x v="0"/>
    <x v="3"/>
    <s v="XL"/>
    <x v="0"/>
    <x v="2"/>
    <n v="33.130000000000003"/>
    <x v="0"/>
    <n v="0"/>
    <n v="33.130000000000003"/>
    <n v="0"/>
    <d v="2025-08-06T00:00:00"/>
    <x v="1"/>
    <x v="1"/>
    <n v="41"/>
    <n v="3.3"/>
    <s v="Ok"/>
    <n v="3.3"/>
    <s v="False"/>
    <m/>
    <n v="0"/>
    <n v="33.130000000000003"/>
    <x v="0"/>
    <n v="0"/>
  </r>
  <r>
    <s v="FB001044"/>
    <x v="2"/>
    <x v="4"/>
    <x v="0"/>
    <m/>
    <x v="2"/>
    <x v="8"/>
    <n v="67.67"/>
    <x v="0"/>
    <n v="0"/>
    <n v="67.67"/>
    <n v="0"/>
    <d v="2024-09-25T00:00:00"/>
    <x v="1"/>
    <x v="6"/>
    <n v="7"/>
    <n v="3.3"/>
    <s v="Pocas Unidades"/>
    <n v="3.3"/>
    <s v="False"/>
    <m/>
    <n v="0"/>
    <n v="67.67"/>
    <x v="0"/>
    <n v="0"/>
  </r>
  <r>
    <s v="FB001045"/>
    <x v="4"/>
    <x v="2"/>
    <x v="3"/>
    <s v="S"/>
    <x v="3"/>
    <x v="2"/>
    <n v="93.94"/>
    <x v="304"/>
    <n v="0.56299999999999994"/>
    <n v="41.05"/>
    <n v="52.89"/>
    <d v="2025-08-06T00:00:00"/>
    <x v="1"/>
    <x v="1"/>
    <n v="36"/>
    <n v="1.1000000000000001"/>
    <s v="Ok"/>
    <n v="1.1000000000000001"/>
    <s v="False"/>
    <m/>
    <n v="0"/>
    <n v="41.05"/>
    <x v="0"/>
    <n v="0"/>
  </r>
  <r>
    <s v="FB001046"/>
    <x v="1"/>
    <x v="2"/>
    <x v="2"/>
    <s v="XS"/>
    <x v="5"/>
    <x v="2"/>
    <n v="34.56"/>
    <x v="305"/>
    <n v="0.11199999999999999"/>
    <n v="30.69"/>
    <n v="3.870000000000001"/>
    <d v="2025-08-06T00:00:00"/>
    <x v="1"/>
    <x v="1"/>
    <n v="46"/>
    <n v="3.4"/>
    <s v="Ok"/>
    <n v="3.4"/>
    <s v="False"/>
    <m/>
    <n v="0"/>
    <n v="30.69"/>
    <x v="0"/>
    <n v="0"/>
  </r>
  <r>
    <s v="FB001047"/>
    <x v="0"/>
    <x v="5"/>
    <x v="3"/>
    <s v="M"/>
    <x v="6"/>
    <x v="2"/>
    <n v="235.33"/>
    <x v="0"/>
    <n v="0"/>
    <n v="235.33"/>
    <n v="0"/>
    <d v="2025-08-06T00:00:00"/>
    <x v="1"/>
    <x v="1"/>
    <n v="11"/>
    <n v="4.7"/>
    <s v="Ok"/>
    <n v="4.7"/>
    <s v="True"/>
    <s v="Size Issue"/>
    <n v="1"/>
    <n v="0"/>
    <x v="2"/>
    <n v="0"/>
  </r>
  <r>
    <s v="FB001048"/>
    <x v="1"/>
    <x v="1"/>
    <x v="0"/>
    <s v="XS"/>
    <x v="5"/>
    <x v="0"/>
    <n v="25.45"/>
    <x v="0"/>
    <n v="0"/>
    <n v="25.45"/>
    <n v="0"/>
    <d v="2024-08-10T00:00:00"/>
    <x v="0"/>
    <x v="1"/>
    <n v="29"/>
    <n v="3.7"/>
    <s v="Ok"/>
    <n v="3.7"/>
    <s v="False"/>
    <m/>
    <n v="0"/>
    <n v="25.45"/>
    <x v="0"/>
    <n v="0"/>
  </r>
  <r>
    <s v="FB001049"/>
    <x v="1"/>
    <x v="6"/>
    <x v="1"/>
    <s v="XL"/>
    <x v="0"/>
    <x v="4"/>
    <n v="71.44"/>
    <x v="0"/>
    <n v="0"/>
    <n v="71.44"/>
    <n v="0"/>
    <d v="2025-08-06T00:00:00"/>
    <x v="1"/>
    <x v="1"/>
    <n v="18"/>
    <n v="4.3"/>
    <s v="Ok"/>
    <n v="4.3"/>
    <s v="False"/>
    <m/>
    <n v="0"/>
    <n v="71.44"/>
    <x v="0"/>
    <n v="0"/>
  </r>
  <r>
    <s v="FB001050"/>
    <x v="5"/>
    <x v="2"/>
    <x v="3"/>
    <s v="XL"/>
    <x v="0"/>
    <x v="3"/>
    <n v="98.33"/>
    <x v="0"/>
    <n v="0"/>
    <n v="98.33"/>
    <n v="0"/>
    <d v="2025-08-06T00:00:00"/>
    <x v="1"/>
    <x v="1"/>
    <n v="46"/>
    <n v="3.7"/>
    <s v="Ok"/>
    <n v="3.7"/>
    <s v="False"/>
    <m/>
    <n v="0"/>
    <n v="98.33"/>
    <x v="0"/>
    <n v="0"/>
  </r>
  <r>
    <s v="FB001051"/>
    <x v="5"/>
    <x v="7"/>
    <x v="0"/>
    <s v="S"/>
    <x v="3"/>
    <x v="5"/>
    <n v="171.1"/>
    <x v="0"/>
    <n v="0"/>
    <n v="171.1"/>
    <n v="0"/>
    <d v="2025-07-23T00:00:00"/>
    <x v="1"/>
    <x v="0"/>
    <n v="34"/>
    <m/>
    <s v="Ok"/>
    <s v="No valorado"/>
    <s v="False"/>
    <m/>
    <n v="0"/>
    <n v="171.1"/>
    <x v="0"/>
    <n v="0"/>
  </r>
  <r>
    <s v="FB001052"/>
    <x v="5"/>
    <x v="7"/>
    <x v="1"/>
    <s v="XS"/>
    <x v="5"/>
    <x v="3"/>
    <n v="155.57"/>
    <x v="0"/>
    <n v="0"/>
    <n v="155.57"/>
    <n v="0"/>
    <d v="2025-08-06T00:00:00"/>
    <x v="1"/>
    <x v="1"/>
    <n v="48"/>
    <n v="3.8"/>
    <s v="Ok"/>
    <n v="3.8"/>
    <s v="False"/>
    <m/>
    <n v="0"/>
    <n v="155.57"/>
    <x v="0"/>
    <n v="0"/>
  </r>
  <r>
    <s v="FB001053"/>
    <x v="0"/>
    <x v="3"/>
    <x v="2"/>
    <s v="L"/>
    <x v="1"/>
    <x v="6"/>
    <n v="198.44"/>
    <x v="0"/>
    <n v="0"/>
    <n v="198.44"/>
    <n v="0"/>
    <d v="2025-08-06T00:00:00"/>
    <x v="1"/>
    <x v="1"/>
    <n v="40"/>
    <n v="2.2000000000000002"/>
    <s v="Ok"/>
    <n v="2.2000000000000002"/>
    <s v="False"/>
    <m/>
    <n v="0"/>
    <n v="198.44"/>
    <x v="0"/>
    <n v="0"/>
  </r>
  <r>
    <s v="FB001054"/>
    <x v="3"/>
    <x v="5"/>
    <x v="0"/>
    <s v="M"/>
    <x v="6"/>
    <x v="2"/>
    <n v="175.85"/>
    <x v="306"/>
    <n v="0.18100000000000002"/>
    <n v="144.02000000000001"/>
    <n v="31.829999999999984"/>
    <d v="2025-01-29T00:00:00"/>
    <x v="1"/>
    <x v="5"/>
    <n v="4"/>
    <n v="4"/>
    <s v="Pocas Unidades"/>
    <n v="4"/>
    <s v="False"/>
    <m/>
    <n v="0"/>
    <n v="144.02000000000001"/>
    <x v="0"/>
    <n v="0"/>
  </r>
  <r>
    <s v="FB001055"/>
    <x v="0"/>
    <x v="7"/>
    <x v="3"/>
    <s v="M"/>
    <x v="6"/>
    <x v="1"/>
    <n v="100.23"/>
    <x v="0"/>
    <n v="0"/>
    <n v="100.23"/>
    <n v="0"/>
    <d v="2025-08-06T00:00:00"/>
    <x v="1"/>
    <x v="1"/>
    <n v="12"/>
    <n v="3.5"/>
    <s v="Ok"/>
    <n v="3.5"/>
    <s v="False"/>
    <m/>
    <n v="0"/>
    <n v="100.23"/>
    <x v="0"/>
    <n v="0"/>
  </r>
  <r>
    <s v="FB001056"/>
    <x v="0"/>
    <x v="0"/>
    <x v="1"/>
    <s v="XXL"/>
    <x v="4"/>
    <x v="7"/>
    <n v="88.94"/>
    <x v="0"/>
    <n v="0"/>
    <n v="88.94"/>
    <n v="0"/>
    <d v="2025-08-06T00:00:00"/>
    <x v="1"/>
    <x v="1"/>
    <n v="36"/>
    <m/>
    <s v="Ok"/>
    <s v="No valorado"/>
    <s v="False"/>
    <m/>
    <n v="0"/>
    <n v="88.94"/>
    <x v="0"/>
    <n v="0"/>
  </r>
  <r>
    <s v="FB001057"/>
    <x v="0"/>
    <x v="4"/>
    <x v="2"/>
    <s v="XXL"/>
    <x v="4"/>
    <x v="8"/>
    <n v="205.91"/>
    <x v="0"/>
    <n v="0"/>
    <n v="205.91"/>
    <n v="0"/>
    <d v="2025-08-06T00:00:00"/>
    <x v="1"/>
    <x v="1"/>
    <n v="3"/>
    <n v="4.8"/>
    <s v="Pocas Unidades"/>
    <n v="4.8"/>
    <s v="False"/>
    <m/>
    <n v="0"/>
    <n v="205.91"/>
    <x v="0"/>
    <n v="0"/>
  </r>
  <r>
    <s v="FB001058"/>
    <x v="2"/>
    <x v="1"/>
    <x v="2"/>
    <m/>
    <x v="2"/>
    <x v="1"/>
    <n v="29.06"/>
    <x v="25"/>
    <n v="1.1000000000000001E-2"/>
    <n v="28.74"/>
    <n v="0.32000000000000028"/>
    <d v="2025-08-06T00:00:00"/>
    <x v="1"/>
    <x v="1"/>
    <n v="12"/>
    <n v="1.1000000000000001"/>
    <s v="Ok"/>
    <n v="1.1000000000000001"/>
    <s v="True"/>
    <s v="Color Mismatch"/>
    <n v="1"/>
    <n v="0"/>
    <x v="1"/>
    <n v="0"/>
  </r>
  <r>
    <s v="FB001059"/>
    <x v="2"/>
    <x v="6"/>
    <x v="3"/>
    <m/>
    <x v="2"/>
    <x v="10"/>
    <n v="68.56"/>
    <x v="0"/>
    <n v="0"/>
    <n v="68.56"/>
    <n v="0"/>
    <d v="2025-08-06T00:00:00"/>
    <x v="1"/>
    <x v="1"/>
    <n v="2"/>
    <n v="2.4"/>
    <s v="Pocas Unidades"/>
    <n v="2.4"/>
    <s v="False"/>
    <m/>
    <n v="0"/>
    <n v="68.56"/>
    <x v="0"/>
    <n v="0"/>
  </r>
  <r>
    <s v="FB001060"/>
    <x v="1"/>
    <x v="7"/>
    <x v="3"/>
    <s v="L"/>
    <x v="1"/>
    <x v="9"/>
    <n v="91.6"/>
    <x v="47"/>
    <n v="0.59499999999999997"/>
    <n v="37.1"/>
    <n v="54.499999999999993"/>
    <d v="2025-08-06T00:00:00"/>
    <x v="1"/>
    <x v="1"/>
    <n v="2"/>
    <n v="4.3"/>
    <s v="Pocas Unidades"/>
    <n v="4.3"/>
    <s v="False"/>
    <m/>
    <n v="0"/>
    <n v="37.1"/>
    <x v="0"/>
    <n v="0"/>
  </r>
  <r>
    <s v="FB001061"/>
    <x v="5"/>
    <x v="4"/>
    <x v="3"/>
    <s v="XS"/>
    <x v="5"/>
    <x v="2"/>
    <n v="96.57"/>
    <x v="0"/>
    <n v="0"/>
    <n v="96.57"/>
    <n v="0"/>
    <d v="2025-08-06T00:00:00"/>
    <x v="1"/>
    <x v="1"/>
    <n v="6"/>
    <n v="1.9"/>
    <s v="Pocas Unidades"/>
    <n v="1.9"/>
    <s v="False"/>
    <m/>
    <n v="0"/>
    <n v="96.57"/>
    <x v="0"/>
    <n v="0"/>
  </r>
  <r>
    <s v="FB001062"/>
    <x v="4"/>
    <x v="4"/>
    <x v="1"/>
    <s v="S"/>
    <x v="3"/>
    <x v="1"/>
    <n v="35.630000000000003"/>
    <x v="307"/>
    <n v="0.57899999999999996"/>
    <n v="15"/>
    <n v="20.630000000000003"/>
    <d v="2025-08-06T00:00:00"/>
    <x v="1"/>
    <x v="1"/>
    <n v="11"/>
    <n v="1.8"/>
    <s v="Ok"/>
    <n v="1.8"/>
    <s v="False"/>
    <m/>
    <n v="0"/>
    <n v="15"/>
    <x v="0"/>
    <n v="0"/>
  </r>
  <r>
    <s v="FB001063"/>
    <x v="3"/>
    <x v="1"/>
    <x v="1"/>
    <s v="XS"/>
    <x v="5"/>
    <x v="6"/>
    <n v="118.98"/>
    <x v="169"/>
    <n v="0.38100000000000001"/>
    <n v="73.650000000000006"/>
    <n v="45.33"/>
    <d v="2025-08-06T00:00:00"/>
    <x v="1"/>
    <x v="1"/>
    <n v="36"/>
    <n v="1.1000000000000001"/>
    <s v="Ok"/>
    <n v="1.1000000000000001"/>
    <s v="True"/>
    <s v="Color Mismatch"/>
    <n v="1"/>
    <n v="0"/>
    <x v="1"/>
    <n v="0"/>
  </r>
  <r>
    <s v="FB001064"/>
    <x v="3"/>
    <x v="4"/>
    <x v="0"/>
    <s v="XL"/>
    <x v="0"/>
    <x v="0"/>
    <n v="62.62"/>
    <x v="308"/>
    <n v="0.10099999999999999"/>
    <n v="56.3"/>
    <n v="6.32"/>
    <d v="2025-04-15T00:00:00"/>
    <x v="3"/>
    <x v="4"/>
    <n v="32"/>
    <n v="2.9"/>
    <s v="Ok"/>
    <n v="2.9"/>
    <s v="False"/>
    <m/>
    <n v="0"/>
    <n v="56.3"/>
    <x v="0"/>
    <n v="0"/>
  </r>
  <r>
    <s v="FB001065"/>
    <x v="3"/>
    <x v="7"/>
    <x v="3"/>
    <s v="M"/>
    <x v="6"/>
    <x v="10"/>
    <n v="153.34"/>
    <x v="309"/>
    <n v="0.55500000000000005"/>
    <n v="68.239999999999995"/>
    <n v="85.100000000000009"/>
    <d v="2025-08-06T00:00:00"/>
    <x v="1"/>
    <x v="1"/>
    <n v="46"/>
    <n v="4.2"/>
    <s v="Ok"/>
    <n v="4.2"/>
    <s v="True"/>
    <s v="Wrong Item"/>
    <n v="1"/>
    <n v="0"/>
    <x v="6"/>
    <n v="0"/>
  </r>
  <r>
    <s v="FB001066"/>
    <x v="1"/>
    <x v="5"/>
    <x v="3"/>
    <s v="L"/>
    <x v="1"/>
    <x v="6"/>
    <n v="71.66"/>
    <x v="310"/>
    <n v="0.49700000000000005"/>
    <n v="36.04"/>
    <n v="35.619999999999997"/>
    <d v="2025-08-06T00:00:00"/>
    <x v="1"/>
    <x v="1"/>
    <n v="33"/>
    <m/>
    <s v="Ok"/>
    <s v="No valorado"/>
    <s v="True"/>
    <s v="Color Mismatch"/>
    <n v="1"/>
    <n v="0"/>
    <x v="1"/>
    <n v="0"/>
  </r>
  <r>
    <s v="FB001067"/>
    <x v="5"/>
    <x v="5"/>
    <x v="0"/>
    <s v="S"/>
    <x v="3"/>
    <x v="2"/>
    <n v="107.58"/>
    <x v="18"/>
    <n v="0.55899999999999994"/>
    <n v="47.44"/>
    <n v="60.14"/>
    <d v="2025-02-15T00:00:00"/>
    <x v="0"/>
    <x v="9"/>
    <n v="19"/>
    <n v="4.4000000000000004"/>
    <s v="Ok"/>
    <n v="4.4000000000000004"/>
    <s v="False"/>
    <m/>
    <n v="0"/>
    <n v="47.44"/>
    <x v="0"/>
    <n v="0"/>
  </r>
  <r>
    <s v="FB001068"/>
    <x v="3"/>
    <x v="0"/>
    <x v="0"/>
    <s v="XL"/>
    <x v="0"/>
    <x v="5"/>
    <n v="137.16"/>
    <x v="0"/>
    <n v="0"/>
    <n v="137.16"/>
    <n v="0"/>
    <d v="2025-04-02T00:00:00"/>
    <x v="1"/>
    <x v="4"/>
    <n v="34"/>
    <n v="4"/>
    <s v="Ok"/>
    <n v="4"/>
    <s v="False"/>
    <m/>
    <n v="0"/>
    <n v="137.16"/>
    <x v="0"/>
    <n v="0"/>
  </r>
  <r>
    <s v="FB001069"/>
    <x v="1"/>
    <x v="2"/>
    <x v="1"/>
    <s v="M"/>
    <x v="6"/>
    <x v="3"/>
    <n v="119.29"/>
    <x v="0"/>
    <n v="0"/>
    <n v="119.29"/>
    <n v="0"/>
    <d v="2025-08-06T00:00:00"/>
    <x v="1"/>
    <x v="1"/>
    <n v="3"/>
    <m/>
    <s v="Pocas Unidades"/>
    <s v="No valorado"/>
    <s v="False"/>
    <m/>
    <n v="0"/>
    <n v="119.29"/>
    <x v="0"/>
    <n v="0"/>
  </r>
  <r>
    <s v="FB001070"/>
    <x v="1"/>
    <x v="3"/>
    <x v="0"/>
    <s v="M"/>
    <x v="6"/>
    <x v="8"/>
    <n v="104.09"/>
    <x v="0"/>
    <n v="0"/>
    <n v="104.09"/>
    <n v="0"/>
    <d v="2024-12-21T00:00:00"/>
    <x v="0"/>
    <x v="10"/>
    <n v="29"/>
    <m/>
    <s v="Ok"/>
    <s v="No valorado"/>
    <s v="False"/>
    <m/>
    <n v="0"/>
    <n v="104.09"/>
    <x v="0"/>
    <n v="0"/>
  </r>
  <r>
    <s v="FB001071"/>
    <x v="5"/>
    <x v="2"/>
    <x v="2"/>
    <m/>
    <x v="7"/>
    <x v="1"/>
    <n v="73.069999999999993"/>
    <x v="0"/>
    <n v="0"/>
    <n v="73.069999999999993"/>
    <n v="0"/>
    <d v="2025-08-06T00:00:00"/>
    <x v="1"/>
    <x v="1"/>
    <n v="5"/>
    <n v="4.2"/>
    <s v="Pocas Unidades"/>
    <n v="4.2"/>
    <s v="False"/>
    <m/>
    <n v="0"/>
    <n v="73.069999999999993"/>
    <x v="0"/>
    <n v="0"/>
  </r>
  <r>
    <s v="FB001072"/>
    <x v="4"/>
    <x v="0"/>
    <x v="2"/>
    <s v="XXL"/>
    <x v="4"/>
    <x v="6"/>
    <n v="76.94"/>
    <x v="311"/>
    <n v="7.5999999999999998E-2"/>
    <n v="71.09"/>
    <n v="5.8499999999999943"/>
    <d v="2025-08-06T00:00:00"/>
    <x v="1"/>
    <x v="1"/>
    <n v="20"/>
    <n v="3.7"/>
    <s v="Ok"/>
    <n v="3.7"/>
    <s v="False"/>
    <m/>
    <n v="0"/>
    <n v="71.09"/>
    <x v="0"/>
    <n v="0"/>
  </r>
  <r>
    <s v="FB001073"/>
    <x v="4"/>
    <x v="7"/>
    <x v="1"/>
    <s v="XL"/>
    <x v="0"/>
    <x v="7"/>
    <n v="119.92"/>
    <x v="0"/>
    <n v="0"/>
    <n v="119.92"/>
    <n v="0"/>
    <d v="2025-08-06T00:00:00"/>
    <x v="1"/>
    <x v="1"/>
    <n v="37"/>
    <n v="5"/>
    <s v="Ok"/>
    <n v="5"/>
    <s v="False"/>
    <m/>
    <n v="0"/>
    <n v="119.92"/>
    <x v="0"/>
    <n v="0"/>
  </r>
  <r>
    <s v="FB001074"/>
    <x v="0"/>
    <x v="5"/>
    <x v="1"/>
    <s v="XS"/>
    <x v="5"/>
    <x v="3"/>
    <n v="116.49"/>
    <x v="0"/>
    <n v="0"/>
    <n v="116.49"/>
    <n v="0"/>
    <d v="2025-08-06T00:00:00"/>
    <x v="1"/>
    <x v="1"/>
    <n v="17"/>
    <n v="3.3"/>
    <s v="Ok"/>
    <n v="3.3"/>
    <s v="True"/>
    <s v="Damaged"/>
    <n v="1"/>
    <n v="0"/>
    <x v="3"/>
    <n v="0"/>
  </r>
  <r>
    <s v="FB001075"/>
    <x v="3"/>
    <x v="6"/>
    <x v="2"/>
    <s v="XL"/>
    <x v="0"/>
    <x v="1"/>
    <n v="179.59"/>
    <x v="312"/>
    <n v="0.14699999999999999"/>
    <n v="153.19"/>
    <n v="26.400000000000006"/>
    <d v="2025-08-06T00:00:00"/>
    <x v="1"/>
    <x v="1"/>
    <n v="47"/>
    <n v="2.9"/>
    <s v="Ok"/>
    <n v="2.9"/>
    <s v="False"/>
    <m/>
    <n v="0"/>
    <n v="153.19"/>
    <x v="0"/>
    <n v="0"/>
  </r>
  <r>
    <s v="FB001076"/>
    <x v="2"/>
    <x v="1"/>
    <x v="1"/>
    <m/>
    <x v="2"/>
    <x v="2"/>
    <n v="33.799999999999997"/>
    <x v="0"/>
    <n v="0"/>
    <n v="33.799999999999997"/>
    <n v="0"/>
    <d v="2025-08-06T00:00:00"/>
    <x v="1"/>
    <x v="1"/>
    <n v="34"/>
    <n v="4.8"/>
    <s v="Ok"/>
    <n v="4.8"/>
    <s v="False"/>
    <m/>
    <n v="0"/>
    <n v="33.799999999999997"/>
    <x v="0"/>
    <n v="0"/>
  </r>
  <r>
    <s v="FB001077"/>
    <x v="1"/>
    <x v="1"/>
    <x v="2"/>
    <s v="L"/>
    <x v="1"/>
    <x v="7"/>
    <n v="41.57"/>
    <x v="150"/>
    <n v="3.3000000000000002E-2"/>
    <n v="40.200000000000003"/>
    <n v="1.3699999999999974"/>
    <d v="2025-08-06T00:00:00"/>
    <x v="1"/>
    <x v="1"/>
    <n v="5"/>
    <n v="2.9"/>
    <s v="Pocas Unidades"/>
    <n v="2.9"/>
    <s v="False"/>
    <m/>
    <n v="0"/>
    <n v="40.200000000000003"/>
    <x v="0"/>
    <n v="0"/>
  </r>
  <r>
    <s v="FB001078"/>
    <x v="3"/>
    <x v="7"/>
    <x v="0"/>
    <s v="XL"/>
    <x v="0"/>
    <x v="9"/>
    <n v="139.1"/>
    <x v="313"/>
    <n v="0.47"/>
    <n v="73.72"/>
    <n v="65.38"/>
    <d v="2025-01-04T00:00:00"/>
    <x v="0"/>
    <x v="5"/>
    <n v="6"/>
    <n v="3.4"/>
    <s v="Pocas Unidades"/>
    <n v="3.4"/>
    <s v="False"/>
    <m/>
    <n v="0"/>
    <n v="73.72"/>
    <x v="0"/>
    <n v="0"/>
  </r>
  <r>
    <s v="FB001079"/>
    <x v="5"/>
    <x v="3"/>
    <x v="2"/>
    <s v="L"/>
    <x v="1"/>
    <x v="1"/>
    <n v="102.04"/>
    <x v="0"/>
    <n v="0"/>
    <n v="102.04"/>
    <n v="0"/>
    <d v="2025-08-06T00:00:00"/>
    <x v="1"/>
    <x v="1"/>
    <n v="34"/>
    <n v="3.4"/>
    <s v="Ok"/>
    <n v="3.4"/>
    <s v="False"/>
    <m/>
    <n v="0"/>
    <n v="102.04"/>
    <x v="0"/>
    <n v="0"/>
  </r>
  <r>
    <s v="FB001080"/>
    <x v="4"/>
    <x v="6"/>
    <x v="2"/>
    <s v="XXL"/>
    <x v="4"/>
    <x v="8"/>
    <n v="47.25"/>
    <x v="314"/>
    <n v="0.54200000000000004"/>
    <n v="21.64"/>
    <n v="25.61"/>
    <d v="2025-08-06T00:00:00"/>
    <x v="1"/>
    <x v="1"/>
    <n v="4"/>
    <n v="4.9000000000000004"/>
    <s v="Pocas Unidades"/>
    <n v="4.9000000000000004"/>
    <s v="False"/>
    <m/>
    <n v="0"/>
    <n v="21.64"/>
    <x v="0"/>
    <n v="0"/>
  </r>
  <r>
    <s v="FB001081"/>
    <x v="5"/>
    <x v="1"/>
    <x v="3"/>
    <s v="XS"/>
    <x v="5"/>
    <x v="3"/>
    <n v="55.08"/>
    <x v="0"/>
    <n v="0"/>
    <n v="55.08"/>
    <n v="0"/>
    <d v="2025-08-06T00:00:00"/>
    <x v="1"/>
    <x v="1"/>
    <n v="48"/>
    <n v="4.0999999999999996"/>
    <s v="Ok"/>
    <n v="4.0999999999999996"/>
    <s v="False"/>
    <m/>
    <n v="0"/>
    <n v="55.08"/>
    <x v="0"/>
    <n v="0"/>
  </r>
  <r>
    <s v="FB001082"/>
    <x v="0"/>
    <x v="7"/>
    <x v="1"/>
    <s v="L"/>
    <x v="1"/>
    <x v="6"/>
    <n v="88.32"/>
    <x v="86"/>
    <n v="0.54799999999999993"/>
    <n v="39.92"/>
    <n v="48.399999999999991"/>
    <d v="2025-08-06T00:00:00"/>
    <x v="1"/>
    <x v="1"/>
    <n v="36"/>
    <n v="3.1"/>
    <s v="Ok"/>
    <n v="3.1"/>
    <s v="False"/>
    <m/>
    <n v="0"/>
    <n v="39.92"/>
    <x v="0"/>
    <n v="0"/>
  </r>
  <r>
    <s v="FB001083"/>
    <x v="4"/>
    <x v="3"/>
    <x v="2"/>
    <s v="M"/>
    <x v="6"/>
    <x v="0"/>
    <n v="74.900000000000006"/>
    <x v="257"/>
    <n v="0.16800000000000001"/>
    <n v="62.32"/>
    <n v="12.580000000000005"/>
    <d v="2025-08-06T00:00:00"/>
    <x v="1"/>
    <x v="1"/>
    <n v="13"/>
    <m/>
    <s v="Ok"/>
    <s v="No valorado"/>
    <s v="True"/>
    <s v="Color Mismatch"/>
    <n v="1"/>
    <n v="0"/>
    <x v="1"/>
    <n v="0"/>
  </r>
  <r>
    <s v="FB001084"/>
    <x v="4"/>
    <x v="3"/>
    <x v="1"/>
    <s v="M"/>
    <x v="6"/>
    <x v="3"/>
    <n v="69.88"/>
    <x v="112"/>
    <n v="0.57399999999999995"/>
    <n v="29.77"/>
    <n v="40.11"/>
    <d v="2025-08-06T00:00:00"/>
    <x v="1"/>
    <x v="1"/>
    <n v="30"/>
    <n v="4.2"/>
    <s v="Ok"/>
    <n v="4.2"/>
    <s v="False"/>
    <m/>
    <n v="0"/>
    <n v="29.77"/>
    <x v="0"/>
    <n v="0"/>
  </r>
  <r>
    <s v="FB001085"/>
    <x v="3"/>
    <x v="1"/>
    <x v="2"/>
    <s v="S"/>
    <x v="3"/>
    <x v="4"/>
    <n v="142.83000000000001"/>
    <x v="0"/>
    <n v="0"/>
    <n v="142.83000000000001"/>
    <n v="0"/>
    <d v="2025-08-06T00:00:00"/>
    <x v="1"/>
    <x v="1"/>
    <n v="25"/>
    <n v="3.5"/>
    <s v="Ok"/>
    <n v="3.5"/>
    <s v="False"/>
    <m/>
    <n v="0"/>
    <n v="142.83000000000001"/>
    <x v="0"/>
    <n v="0"/>
  </r>
  <r>
    <s v="FB001086"/>
    <x v="3"/>
    <x v="0"/>
    <x v="2"/>
    <m/>
    <x v="7"/>
    <x v="9"/>
    <n v="140.16999999999999"/>
    <x v="0"/>
    <n v="0"/>
    <n v="140.16999999999999"/>
    <n v="0"/>
    <d v="2025-08-06T00:00:00"/>
    <x v="1"/>
    <x v="1"/>
    <n v="43"/>
    <n v="3.1"/>
    <s v="Ok"/>
    <n v="3.1"/>
    <s v="False"/>
    <m/>
    <n v="0"/>
    <n v="140.16999999999999"/>
    <x v="0"/>
    <n v="0"/>
  </r>
  <r>
    <s v="FB001087"/>
    <x v="1"/>
    <x v="6"/>
    <x v="1"/>
    <s v="M"/>
    <x v="6"/>
    <x v="10"/>
    <n v="106.11"/>
    <x v="49"/>
    <n v="0.33799999999999997"/>
    <n v="70.239999999999995"/>
    <n v="35.870000000000005"/>
    <d v="2025-08-06T00:00:00"/>
    <x v="1"/>
    <x v="1"/>
    <n v="15"/>
    <n v="4.5"/>
    <s v="Ok"/>
    <n v="4.5"/>
    <s v="False"/>
    <m/>
    <n v="0"/>
    <n v="70.239999999999995"/>
    <x v="0"/>
    <n v="0"/>
  </r>
  <r>
    <s v="FB001088"/>
    <x v="5"/>
    <x v="4"/>
    <x v="3"/>
    <s v="XS"/>
    <x v="5"/>
    <x v="1"/>
    <n v="53.23"/>
    <x v="0"/>
    <n v="0"/>
    <n v="53.23"/>
    <n v="0"/>
    <d v="2025-08-06T00:00:00"/>
    <x v="1"/>
    <x v="1"/>
    <n v="41"/>
    <n v="2.8"/>
    <s v="Ok"/>
    <n v="2.8"/>
    <s v="True"/>
    <s v="Color Mismatch"/>
    <n v="1"/>
    <n v="0"/>
    <x v="1"/>
    <n v="0"/>
  </r>
  <r>
    <s v="FB001089"/>
    <x v="0"/>
    <x v="2"/>
    <x v="0"/>
    <s v="XXL"/>
    <x v="4"/>
    <x v="2"/>
    <n v="92.25"/>
    <x v="0"/>
    <n v="0"/>
    <n v="92.25"/>
    <n v="0"/>
    <d v="2025-05-28T00:00:00"/>
    <x v="1"/>
    <x v="8"/>
    <n v="22"/>
    <n v="3.3"/>
    <s v="Ok"/>
    <n v="3.3"/>
    <s v="True"/>
    <s v="Wrong Item"/>
    <n v="1"/>
    <n v="0"/>
    <x v="6"/>
    <n v="0"/>
  </r>
  <r>
    <s v="FB001090"/>
    <x v="2"/>
    <x v="5"/>
    <x v="3"/>
    <m/>
    <x v="2"/>
    <x v="10"/>
    <n v="39.17"/>
    <x v="0"/>
    <n v="0"/>
    <n v="39.17"/>
    <n v="0"/>
    <d v="2025-08-06T00:00:00"/>
    <x v="1"/>
    <x v="1"/>
    <n v="4"/>
    <n v="3.5"/>
    <s v="Pocas Unidades"/>
    <n v="3.5"/>
    <s v="True"/>
    <s v="Color Mismatch"/>
    <n v="1"/>
    <n v="0"/>
    <x v="1"/>
    <n v="0"/>
  </r>
  <r>
    <s v="FB001091"/>
    <x v="2"/>
    <x v="6"/>
    <x v="0"/>
    <m/>
    <x v="2"/>
    <x v="3"/>
    <n v="72.83"/>
    <x v="0"/>
    <n v="0"/>
    <n v="72.83"/>
    <n v="0"/>
    <d v="2024-11-26T00:00:00"/>
    <x v="3"/>
    <x v="11"/>
    <n v="6"/>
    <n v="2"/>
    <s v="Pocas Unidades"/>
    <n v="2"/>
    <s v="False"/>
    <m/>
    <n v="0"/>
    <n v="72.83"/>
    <x v="0"/>
    <n v="0"/>
  </r>
  <r>
    <s v="FB001092"/>
    <x v="4"/>
    <x v="7"/>
    <x v="1"/>
    <s v="S"/>
    <x v="3"/>
    <x v="10"/>
    <n v="29.73"/>
    <x v="132"/>
    <n v="0.28699999999999998"/>
    <n v="21.2"/>
    <n v="8.5300000000000011"/>
    <d v="2025-08-06T00:00:00"/>
    <x v="1"/>
    <x v="1"/>
    <n v="37"/>
    <n v="2.5"/>
    <s v="Ok"/>
    <n v="2.5"/>
    <s v="False"/>
    <m/>
    <n v="0"/>
    <n v="21.2"/>
    <x v="0"/>
    <n v="0"/>
  </r>
  <r>
    <s v="FB001093"/>
    <x v="5"/>
    <x v="3"/>
    <x v="1"/>
    <s v="XL"/>
    <x v="0"/>
    <x v="2"/>
    <n v="144.1"/>
    <x v="0"/>
    <n v="0"/>
    <n v="144.1"/>
    <n v="0"/>
    <d v="2025-08-06T00:00:00"/>
    <x v="1"/>
    <x v="1"/>
    <n v="36"/>
    <n v="2.5"/>
    <s v="Ok"/>
    <n v="2.5"/>
    <s v="False"/>
    <m/>
    <n v="0"/>
    <n v="144.1"/>
    <x v="0"/>
    <n v="0"/>
  </r>
  <r>
    <s v="FB001094"/>
    <x v="5"/>
    <x v="4"/>
    <x v="3"/>
    <s v="XL"/>
    <x v="0"/>
    <x v="10"/>
    <n v="109.23"/>
    <x v="116"/>
    <n v="0.10800000000000001"/>
    <n v="97.43"/>
    <n v="11.799999999999997"/>
    <d v="2025-08-06T00:00:00"/>
    <x v="1"/>
    <x v="1"/>
    <n v="38"/>
    <n v="3.3"/>
    <s v="Ok"/>
    <n v="3.3"/>
    <s v="False"/>
    <m/>
    <n v="0"/>
    <n v="97.43"/>
    <x v="0"/>
    <n v="0"/>
  </r>
  <r>
    <s v="FB001095"/>
    <x v="0"/>
    <x v="3"/>
    <x v="1"/>
    <s v="XL"/>
    <x v="0"/>
    <x v="1"/>
    <n v="180.65"/>
    <x v="315"/>
    <n v="0.17499999999999999"/>
    <n v="149.04"/>
    <n v="31.610000000000014"/>
    <d v="2025-08-06T00:00:00"/>
    <x v="1"/>
    <x v="1"/>
    <n v="41"/>
    <n v="1.4"/>
    <s v="Ok"/>
    <n v="1.4"/>
    <s v="False"/>
    <m/>
    <n v="0"/>
    <n v="149.04"/>
    <x v="0"/>
    <n v="0"/>
  </r>
  <r>
    <s v="FB001096"/>
    <x v="0"/>
    <x v="2"/>
    <x v="0"/>
    <s v="M"/>
    <x v="6"/>
    <x v="6"/>
    <n v="129.24"/>
    <x v="198"/>
    <n v="0.46200000000000002"/>
    <n v="69.53"/>
    <n v="59.710000000000008"/>
    <d v="2025-03-27T00:00:00"/>
    <x v="5"/>
    <x v="3"/>
    <n v="28"/>
    <n v="3.2"/>
    <s v="Ok"/>
    <n v="3.2"/>
    <s v="False"/>
    <m/>
    <n v="0"/>
    <n v="69.53"/>
    <x v="0"/>
    <n v="0"/>
  </r>
  <r>
    <s v="FB001097"/>
    <x v="3"/>
    <x v="6"/>
    <x v="3"/>
    <s v="XS"/>
    <x v="5"/>
    <x v="5"/>
    <n v="195.67"/>
    <x v="187"/>
    <n v="0.47100000000000003"/>
    <n v="103.51"/>
    <n v="92.159999999999982"/>
    <d v="2025-08-06T00:00:00"/>
    <x v="1"/>
    <x v="1"/>
    <n v="36"/>
    <n v="4"/>
    <s v="Ok"/>
    <n v="4"/>
    <s v="False"/>
    <m/>
    <n v="0"/>
    <n v="103.51"/>
    <x v="0"/>
    <n v="0"/>
  </r>
  <r>
    <s v="FB001098"/>
    <x v="2"/>
    <x v="2"/>
    <x v="1"/>
    <m/>
    <x v="2"/>
    <x v="8"/>
    <n v="65.64"/>
    <x v="239"/>
    <n v="0.20699999999999999"/>
    <n v="52.05"/>
    <n v="13.590000000000003"/>
    <d v="2025-08-06T00:00:00"/>
    <x v="1"/>
    <x v="1"/>
    <n v="20"/>
    <n v="2.6"/>
    <s v="Ok"/>
    <n v="2.6"/>
    <s v="False"/>
    <m/>
    <n v="0"/>
    <n v="52.05"/>
    <x v="0"/>
    <n v="0"/>
  </r>
  <r>
    <s v="FB001099"/>
    <x v="4"/>
    <x v="4"/>
    <x v="0"/>
    <s v="XS"/>
    <x v="5"/>
    <x v="9"/>
    <n v="113.18"/>
    <x v="0"/>
    <n v="0"/>
    <n v="113.18"/>
    <n v="0"/>
    <d v="2025-04-02T00:00:00"/>
    <x v="1"/>
    <x v="4"/>
    <n v="3"/>
    <n v="4.9000000000000004"/>
    <s v="Pocas Unidades"/>
    <n v="4.9000000000000004"/>
    <s v="False"/>
    <m/>
    <n v="0"/>
    <n v="113.18"/>
    <x v="0"/>
    <n v="0"/>
  </r>
  <r>
    <s v="FB001100"/>
    <x v="3"/>
    <x v="5"/>
    <x v="2"/>
    <s v="XL"/>
    <x v="0"/>
    <x v="7"/>
    <n v="173.69"/>
    <x v="0"/>
    <n v="0"/>
    <n v="173.69"/>
    <n v="0"/>
    <d v="2025-08-06T00:00:00"/>
    <x v="1"/>
    <x v="1"/>
    <n v="25"/>
    <n v="3.6"/>
    <s v="Ok"/>
    <n v="3.6"/>
    <s v="False"/>
    <m/>
    <n v="0"/>
    <n v="173.69"/>
    <x v="0"/>
    <n v="0"/>
  </r>
  <r>
    <s v="FB001101"/>
    <x v="0"/>
    <x v="0"/>
    <x v="2"/>
    <s v="S"/>
    <x v="3"/>
    <x v="4"/>
    <n v="156.54"/>
    <x v="0"/>
    <n v="0"/>
    <n v="156.54"/>
    <n v="0"/>
    <d v="2025-08-06T00:00:00"/>
    <x v="1"/>
    <x v="1"/>
    <n v="23"/>
    <n v="1.8"/>
    <s v="Ok"/>
    <n v="1.8"/>
    <s v="False"/>
    <m/>
    <n v="0"/>
    <n v="156.54"/>
    <x v="0"/>
    <n v="0"/>
  </r>
  <r>
    <s v="FB001102"/>
    <x v="5"/>
    <x v="4"/>
    <x v="0"/>
    <s v="XL"/>
    <x v="0"/>
    <x v="10"/>
    <n v="103.78"/>
    <x v="277"/>
    <n v="0.39"/>
    <n v="63.31"/>
    <n v="40.47"/>
    <d v="2024-10-12T00:00:00"/>
    <x v="0"/>
    <x v="2"/>
    <n v="5"/>
    <m/>
    <s v="Pocas Unidades"/>
    <s v="No valorado"/>
    <s v="False"/>
    <m/>
    <n v="0"/>
    <n v="63.31"/>
    <x v="0"/>
    <n v="0"/>
  </r>
  <r>
    <s v="FB001103"/>
    <x v="2"/>
    <x v="6"/>
    <x v="2"/>
    <m/>
    <x v="2"/>
    <x v="2"/>
    <n v="79.599999999999994"/>
    <x v="0"/>
    <n v="0"/>
    <n v="79.599999999999994"/>
    <n v="0"/>
    <d v="2025-08-06T00:00:00"/>
    <x v="1"/>
    <x v="1"/>
    <n v="22"/>
    <m/>
    <s v="Ok"/>
    <s v="No valorado"/>
    <s v="False"/>
    <m/>
    <n v="0"/>
    <n v="79.599999999999994"/>
    <x v="0"/>
    <n v="0"/>
  </r>
  <r>
    <s v="FB001104"/>
    <x v="2"/>
    <x v="5"/>
    <x v="2"/>
    <m/>
    <x v="2"/>
    <x v="7"/>
    <n v="34.18"/>
    <x v="183"/>
    <n v="0.18899999999999997"/>
    <n v="27.72"/>
    <n v="6.4600000000000009"/>
    <d v="2025-08-06T00:00:00"/>
    <x v="1"/>
    <x v="1"/>
    <n v="50"/>
    <n v="3.6"/>
    <s v="Ok"/>
    <n v="3.6"/>
    <s v="False"/>
    <m/>
    <n v="0"/>
    <n v="27.72"/>
    <x v="0"/>
    <n v="0"/>
  </r>
  <r>
    <s v="FB001105"/>
    <x v="4"/>
    <x v="6"/>
    <x v="1"/>
    <s v="XXL"/>
    <x v="4"/>
    <x v="5"/>
    <n v="58.44"/>
    <x v="0"/>
    <n v="0"/>
    <n v="58.44"/>
    <n v="0"/>
    <d v="2025-08-06T00:00:00"/>
    <x v="1"/>
    <x v="1"/>
    <n v="3"/>
    <n v="2.6"/>
    <s v="Pocas Unidades"/>
    <n v="2.6"/>
    <s v="True"/>
    <s v="Wrong Item"/>
    <n v="1"/>
    <n v="0"/>
    <x v="6"/>
    <n v="0"/>
  </r>
  <r>
    <s v="FB001106"/>
    <x v="2"/>
    <x v="0"/>
    <x v="3"/>
    <m/>
    <x v="2"/>
    <x v="8"/>
    <n v="30.62"/>
    <x v="0"/>
    <n v="0"/>
    <n v="30.62"/>
    <n v="0"/>
    <d v="2025-08-06T00:00:00"/>
    <x v="1"/>
    <x v="1"/>
    <n v="31"/>
    <n v="3"/>
    <s v="Ok"/>
    <n v="3"/>
    <s v="True"/>
    <s v="Damaged"/>
    <n v="1"/>
    <n v="0"/>
    <x v="3"/>
    <n v="0"/>
  </r>
  <r>
    <s v="FB001107"/>
    <x v="0"/>
    <x v="1"/>
    <x v="2"/>
    <s v="XXL"/>
    <x v="4"/>
    <x v="9"/>
    <n v="213.94"/>
    <x v="0"/>
    <n v="0"/>
    <n v="213.94"/>
    <n v="0"/>
    <d v="2025-08-06T00:00:00"/>
    <x v="1"/>
    <x v="1"/>
    <n v="16"/>
    <n v="4.7"/>
    <s v="Ok"/>
    <n v="4.7"/>
    <s v="False"/>
    <m/>
    <n v="0"/>
    <n v="213.94"/>
    <x v="0"/>
    <n v="0"/>
  </r>
  <r>
    <s v="FB001108"/>
    <x v="4"/>
    <x v="7"/>
    <x v="2"/>
    <s v="XL"/>
    <x v="0"/>
    <x v="1"/>
    <n v="29.31"/>
    <x v="0"/>
    <n v="0"/>
    <n v="29.31"/>
    <n v="0"/>
    <d v="2025-08-06T00:00:00"/>
    <x v="1"/>
    <x v="1"/>
    <n v="25"/>
    <n v="4.5999999999999996"/>
    <s v="Ok"/>
    <n v="4.5999999999999996"/>
    <s v="True"/>
    <s v="Changed Mind"/>
    <n v="1"/>
    <n v="0"/>
    <x v="5"/>
    <n v="0"/>
  </r>
  <r>
    <s v="FB001109"/>
    <x v="1"/>
    <x v="7"/>
    <x v="0"/>
    <s v="M"/>
    <x v="6"/>
    <x v="0"/>
    <n v="49.12"/>
    <x v="0"/>
    <n v="0"/>
    <n v="49.12"/>
    <n v="0"/>
    <d v="2025-06-28T00:00:00"/>
    <x v="0"/>
    <x v="7"/>
    <n v="47"/>
    <m/>
    <s v="Ok"/>
    <s v="No valorado"/>
    <s v="False"/>
    <m/>
    <n v="0"/>
    <n v="49.12"/>
    <x v="0"/>
    <n v="0"/>
  </r>
  <r>
    <s v="FB001110"/>
    <x v="4"/>
    <x v="2"/>
    <x v="2"/>
    <m/>
    <x v="7"/>
    <x v="9"/>
    <n v="113.23"/>
    <x v="0"/>
    <n v="0"/>
    <n v="113.23"/>
    <n v="0"/>
    <d v="2025-08-06T00:00:00"/>
    <x v="1"/>
    <x v="1"/>
    <n v="13"/>
    <n v="3.7"/>
    <s v="Ok"/>
    <n v="3.7"/>
    <s v="False"/>
    <m/>
    <n v="0"/>
    <n v="113.23"/>
    <x v="0"/>
    <n v="0"/>
  </r>
  <r>
    <s v="FB001111"/>
    <x v="0"/>
    <x v="2"/>
    <x v="0"/>
    <s v="XXL"/>
    <x v="4"/>
    <x v="10"/>
    <n v="103.65"/>
    <x v="0"/>
    <n v="0"/>
    <n v="103.65"/>
    <n v="0"/>
    <d v="2024-11-16T00:00:00"/>
    <x v="0"/>
    <x v="11"/>
    <n v="4"/>
    <n v="1"/>
    <s v="Pocas Unidades"/>
    <n v="1"/>
    <s v="False"/>
    <m/>
    <n v="0"/>
    <n v="103.65"/>
    <x v="0"/>
    <n v="0"/>
  </r>
  <r>
    <s v="FB001112"/>
    <x v="5"/>
    <x v="5"/>
    <x v="2"/>
    <m/>
    <x v="7"/>
    <x v="4"/>
    <n v="71.84"/>
    <x v="179"/>
    <n v="0.49399999999999999"/>
    <n v="36.35"/>
    <n v="35.49"/>
    <d v="2025-08-06T00:00:00"/>
    <x v="1"/>
    <x v="1"/>
    <n v="25"/>
    <m/>
    <s v="Ok"/>
    <s v="No valorado"/>
    <s v="False"/>
    <m/>
    <n v="0"/>
    <n v="36.35"/>
    <x v="0"/>
    <n v="0"/>
  </r>
  <r>
    <s v="FB001113"/>
    <x v="3"/>
    <x v="0"/>
    <x v="1"/>
    <s v="L"/>
    <x v="1"/>
    <x v="4"/>
    <n v="128.31"/>
    <x v="0"/>
    <n v="0"/>
    <n v="128.31"/>
    <n v="0"/>
    <d v="2025-08-06T00:00:00"/>
    <x v="1"/>
    <x v="1"/>
    <n v="36"/>
    <n v="4"/>
    <s v="Ok"/>
    <n v="4"/>
    <s v="True"/>
    <s v="Changed Mind"/>
    <n v="1"/>
    <n v="0"/>
    <x v="5"/>
    <n v="0"/>
  </r>
  <r>
    <s v="FB001114"/>
    <x v="3"/>
    <x v="7"/>
    <x v="1"/>
    <s v="L"/>
    <x v="1"/>
    <x v="5"/>
    <n v="118.97"/>
    <x v="0"/>
    <n v="0"/>
    <n v="118.97"/>
    <n v="0"/>
    <d v="2025-08-06T00:00:00"/>
    <x v="1"/>
    <x v="1"/>
    <n v="45"/>
    <n v="3.8"/>
    <s v="Ok"/>
    <n v="3.8"/>
    <s v="False"/>
    <m/>
    <n v="0"/>
    <n v="118.97"/>
    <x v="0"/>
    <n v="0"/>
  </r>
  <r>
    <s v="FB001115"/>
    <x v="4"/>
    <x v="0"/>
    <x v="1"/>
    <s v="S"/>
    <x v="3"/>
    <x v="0"/>
    <n v="31.98"/>
    <x v="303"/>
    <n v="0.16500000000000001"/>
    <n v="26.7"/>
    <n v="5.2800000000000011"/>
    <d v="2025-08-06T00:00:00"/>
    <x v="1"/>
    <x v="1"/>
    <n v="48"/>
    <n v="1.8"/>
    <s v="Ok"/>
    <n v="1.8"/>
    <s v="False"/>
    <m/>
    <n v="0"/>
    <n v="26.7"/>
    <x v="0"/>
    <n v="0"/>
  </r>
  <r>
    <s v="FB001116"/>
    <x v="1"/>
    <x v="2"/>
    <x v="1"/>
    <s v="XXL"/>
    <x v="4"/>
    <x v="9"/>
    <n v="115.89"/>
    <x v="316"/>
    <n v="0.26800000000000002"/>
    <n v="84.83"/>
    <n v="31.060000000000002"/>
    <d v="2025-08-06T00:00:00"/>
    <x v="1"/>
    <x v="1"/>
    <n v="26"/>
    <n v="4.5999999999999996"/>
    <s v="Ok"/>
    <n v="4.5999999999999996"/>
    <s v="False"/>
    <m/>
    <n v="0"/>
    <n v="84.83"/>
    <x v="0"/>
    <n v="0"/>
  </r>
  <r>
    <s v="FB001117"/>
    <x v="5"/>
    <x v="5"/>
    <x v="2"/>
    <s v="XL"/>
    <x v="0"/>
    <x v="1"/>
    <n v="140.06"/>
    <x v="0"/>
    <n v="0"/>
    <n v="140.06"/>
    <n v="0"/>
    <d v="2025-08-06T00:00:00"/>
    <x v="1"/>
    <x v="1"/>
    <n v="37"/>
    <n v="2.2999999999999998"/>
    <s v="Ok"/>
    <n v="2.2999999999999998"/>
    <s v="False"/>
    <m/>
    <n v="0"/>
    <n v="140.06"/>
    <x v="0"/>
    <n v="0"/>
  </r>
  <r>
    <s v="FB001118"/>
    <x v="3"/>
    <x v="3"/>
    <x v="2"/>
    <s v="XS"/>
    <x v="5"/>
    <x v="1"/>
    <n v="154.82"/>
    <x v="0"/>
    <n v="0"/>
    <n v="154.82"/>
    <n v="0"/>
    <d v="2025-08-06T00:00:00"/>
    <x v="1"/>
    <x v="1"/>
    <n v="10"/>
    <n v="4.0999999999999996"/>
    <s v="Ok"/>
    <n v="4.0999999999999996"/>
    <s v="False"/>
    <m/>
    <n v="0"/>
    <n v="154.82"/>
    <x v="0"/>
    <n v="0"/>
  </r>
  <r>
    <s v="FB001119"/>
    <x v="5"/>
    <x v="1"/>
    <x v="1"/>
    <s v="XL"/>
    <x v="0"/>
    <x v="5"/>
    <n v="114.21"/>
    <x v="134"/>
    <n v="0.20199999999999999"/>
    <n v="91.14"/>
    <n v="23.069999999999993"/>
    <d v="2025-08-06T00:00:00"/>
    <x v="1"/>
    <x v="1"/>
    <n v="5"/>
    <n v="2"/>
    <s v="Pocas Unidades"/>
    <n v="2"/>
    <s v="True"/>
    <s v="Wrong Item"/>
    <n v="1"/>
    <n v="0"/>
    <x v="6"/>
    <n v="0"/>
  </r>
  <r>
    <s v="FB001120"/>
    <x v="3"/>
    <x v="0"/>
    <x v="1"/>
    <s v="XL"/>
    <x v="0"/>
    <x v="5"/>
    <n v="114.84"/>
    <x v="0"/>
    <n v="0"/>
    <n v="114.84"/>
    <n v="0"/>
    <d v="2025-08-06T00:00:00"/>
    <x v="1"/>
    <x v="1"/>
    <n v="38"/>
    <n v="2.6"/>
    <s v="Ok"/>
    <n v="2.6"/>
    <s v="True"/>
    <s v="Color Mismatch"/>
    <n v="1"/>
    <n v="0"/>
    <x v="1"/>
    <n v="0"/>
  </r>
  <r>
    <s v="FB001121"/>
    <x v="5"/>
    <x v="3"/>
    <x v="1"/>
    <s v="XL"/>
    <x v="0"/>
    <x v="8"/>
    <n v="131.32"/>
    <x v="317"/>
    <n v="6.8000000000000005E-2"/>
    <n v="122.39"/>
    <n v="8.9299999999999926"/>
    <d v="2025-08-06T00:00:00"/>
    <x v="1"/>
    <x v="1"/>
    <n v="18"/>
    <n v="2"/>
    <s v="Ok"/>
    <n v="2"/>
    <s v="False"/>
    <m/>
    <n v="0"/>
    <n v="122.39"/>
    <x v="0"/>
    <n v="0"/>
  </r>
  <r>
    <s v="FB001122"/>
    <x v="1"/>
    <x v="3"/>
    <x v="2"/>
    <s v="S"/>
    <x v="3"/>
    <x v="1"/>
    <n v="91.41"/>
    <x v="318"/>
    <n v="0.32100000000000001"/>
    <n v="62.07"/>
    <n v="29.339999999999996"/>
    <d v="2025-08-06T00:00:00"/>
    <x v="1"/>
    <x v="1"/>
    <n v="49"/>
    <n v="2.2999999999999998"/>
    <s v="Ok"/>
    <n v="2.2999999999999998"/>
    <s v="False"/>
    <m/>
    <n v="0"/>
    <n v="62.07"/>
    <x v="0"/>
    <n v="0"/>
  </r>
  <r>
    <s v="FB001123"/>
    <x v="0"/>
    <x v="6"/>
    <x v="2"/>
    <s v="XS"/>
    <x v="5"/>
    <x v="2"/>
    <n v="202.28"/>
    <x v="0"/>
    <n v="0"/>
    <n v="202.28"/>
    <n v="0"/>
    <d v="2025-08-06T00:00:00"/>
    <x v="1"/>
    <x v="1"/>
    <n v="4"/>
    <m/>
    <s v="Pocas Unidades"/>
    <s v="No valorado"/>
    <s v="False"/>
    <m/>
    <n v="0"/>
    <n v="202.28"/>
    <x v="0"/>
    <n v="0"/>
  </r>
  <r>
    <s v="FB001124"/>
    <x v="4"/>
    <x v="7"/>
    <x v="2"/>
    <s v="M"/>
    <x v="6"/>
    <x v="0"/>
    <n v="119.63"/>
    <x v="0"/>
    <n v="0"/>
    <n v="119.63"/>
    <n v="0"/>
    <d v="2025-08-06T00:00:00"/>
    <x v="1"/>
    <x v="1"/>
    <n v="14"/>
    <n v="2.1"/>
    <s v="Ok"/>
    <n v="2.1"/>
    <s v="False"/>
    <m/>
    <n v="0"/>
    <n v="119.63"/>
    <x v="0"/>
    <n v="0"/>
  </r>
  <r>
    <s v="FB001125"/>
    <x v="3"/>
    <x v="2"/>
    <x v="3"/>
    <s v="L"/>
    <x v="1"/>
    <x v="5"/>
    <n v="167.89"/>
    <x v="0"/>
    <n v="0"/>
    <n v="167.89"/>
    <n v="0"/>
    <d v="2025-08-06T00:00:00"/>
    <x v="1"/>
    <x v="1"/>
    <n v="12"/>
    <n v="1"/>
    <s v="Ok"/>
    <n v="1"/>
    <s v="False"/>
    <m/>
    <n v="0"/>
    <n v="167.89"/>
    <x v="0"/>
    <n v="0"/>
  </r>
  <r>
    <s v="FB001126"/>
    <x v="3"/>
    <x v="1"/>
    <x v="0"/>
    <s v="XL"/>
    <x v="0"/>
    <x v="5"/>
    <n v="100.39"/>
    <x v="0"/>
    <n v="0"/>
    <n v="100.39"/>
    <n v="0"/>
    <d v="2025-03-07T00:00:00"/>
    <x v="4"/>
    <x v="3"/>
    <n v="24"/>
    <n v="3.2"/>
    <s v="Ok"/>
    <n v="3.2"/>
    <s v="True"/>
    <s v="Quality Issue"/>
    <n v="1"/>
    <n v="0"/>
    <x v="4"/>
    <n v="0"/>
  </r>
  <r>
    <s v="FB001127"/>
    <x v="5"/>
    <x v="6"/>
    <x v="3"/>
    <s v="L"/>
    <x v="1"/>
    <x v="4"/>
    <n v="162.41999999999999"/>
    <x v="319"/>
    <n v="0.40899999999999997"/>
    <n v="95.99"/>
    <n v="66.429999999999993"/>
    <d v="2025-08-06T00:00:00"/>
    <x v="1"/>
    <x v="1"/>
    <n v="32"/>
    <n v="1"/>
    <s v="Ok"/>
    <n v="1"/>
    <s v="False"/>
    <m/>
    <n v="0"/>
    <n v="95.99"/>
    <x v="0"/>
    <n v="0"/>
  </r>
  <r>
    <s v="FB001128"/>
    <x v="3"/>
    <x v="6"/>
    <x v="0"/>
    <s v="XS"/>
    <x v="5"/>
    <x v="4"/>
    <n v="65.069999999999993"/>
    <x v="320"/>
    <n v="5.0999999999999997E-2"/>
    <n v="61.75"/>
    <n v="3.3199999999999932"/>
    <d v="2025-01-17T00:00:00"/>
    <x v="4"/>
    <x v="5"/>
    <n v="16"/>
    <n v="4.3"/>
    <s v="Ok"/>
    <n v="4.3"/>
    <s v="False"/>
    <m/>
    <n v="0"/>
    <n v="61.75"/>
    <x v="0"/>
    <n v="0"/>
  </r>
  <r>
    <s v="FB001129"/>
    <x v="4"/>
    <x v="7"/>
    <x v="0"/>
    <s v="XXL"/>
    <x v="4"/>
    <x v="0"/>
    <n v="78.099999999999994"/>
    <x v="321"/>
    <n v="0.48700000000000004"/>
    <n v="40.07"/>
    <n v="38.029999999999994"/>
    <d v="2025-05-06T00:00:00"/>
    <x v="3"/>
    <x v="8"/>
    <n v="0"/>
    <m/>
    <s v="Agotado"/>
    <s v="No valorado"/>
    <s v="False"/>
    <m/>
    <n v="0"/>
    <n v="40.07"/>
    <x v="0"/>
    <n v="0"/>
  </r>
  <r>
    <s v="FB001130"/>
    <x v="0"/>
    <x v="0"/>
    <x v="0"/>
    <s v="M"/>
    <x v="6"/>
    <x v="5"/>
    <n v="115.73"/>
    <x v="322"/>
    <n v="0.59799999999999998"/>
    <n v="46.52"/>
    <n v="69.210000000000008"/>
    <d v="2024-09-28T00:00:00"/>
    <x v="0"/>
    <x v="6"/>
    <n v="10"/>
    <n v="4.2"/>
    <s v="Ok"/>
    <n v="4.2"/>
    <s v="False"/>
    <m/>
    <n v="0"/>
    <n v="46.52"/>
    <x v="0"/>
    <n v="0"/>
  </r>
  <r>
    <s v="FB001131"/>
    <x v="2"/>
    <x v="5"/>
    <x v="2"/>
    <m/>
    <x v="2"/>
    <x v="8"/>
    <n v="21.57"/>
    <x v="37"/>
    <n v="0.11900000000000001"/>
    <n v="19"/>
    <n v="2.5700000000000003"/>
    <d v="2025-08-06T00:00:00"/>
    <x v="1"/>
    <x v="1"/>
    <n v="37"/>
    <n v="3"/>
    <s v="Ok"/>
    <n v="3"/>
    <s v="True"/>
    <s v="Changed Mind"/>
    <n v="1"/>
    <n v="0"/>
    <x v="5"/>
    <n v="0"/>
  </r>
  <r>
    <s v="FB001132"/>
    <x v="5"/>
    <x v="2"/>
    <x v="2"/>
    <s v="S"/>
    <x v="3"/>
    <x v="10"/>
    <n v="75.849999999999994"/>
    <x v="323"/>
    <n v="0.503"/>
    <n v="37.700000000000003"/>
    <n v="38.149999999999991"/>
    <d v="2025-08-06T00:00:00"/>
    <x v="1"/>
    <x v="1"/>
    <n v="50"/>
    <n v="4.7"/>
    <s v="Ok"/>
    <n v="4.7"/>
    <s v="True"/>
    <s v="Quality Issue"/>
    <n v="1"/>
    <n v="0"/>
    <x v="4"/>
    <n v="0"/>
  </r>
  <r>
    <s v="FB001133"/>
    <x v="0"/>
    <x v="1"/>
    <x v="3"/>
    <s v="L"/>
    <x v="1"/>
    <x v="6"/>
    <n v="170.91"/>
    <x v="0"/>
    <n v="0"/>
    <n v="170.91"/>
    <n v="0"/>
    <d v="2025-08-06T00:00:00"/>
    <x v="1"/>
    <x v="1"/>
    <n v="36"/>
    <n v="1.6"/>
    <s v="Ok"/>
    <n v="1.6"/>
    <s v="True"/>
    <s v="Quality Issue"/>
    <n v="1"/>
    <n v="0"/>
    <x v="4"/>
    <n v="0"/>
  </r>
  <r>
    <s v="FB001134"/>
    <x v="3"/>
    <x v="4"/>
    <x v="2"/>
    <s v="XL"/>
    <x v="0"/>
    <x v="3"/>
    <n v="94.06"/>
    <x v="89"/>
    <n v="0.22399999999999998"/>
    <n v="72.989999999999995"/>
    <n v="21.070000000000007"/>
    <d v="2025-08-06T00:00:00"/>
    <x v="1"/>
    <x v="1"/>
    <n v="0"/>
    <m/>
    <s v="Agotado"/>
    <s v="No valorado"/>
    <s v="False"/>
    <m/>
    <n v="0"/>
    <n v="72.989999999999995"/>
    <x v="0"/>
    <n v="0"/>
  </r>
  <r>
    <s v="FB001135"/>
    <x v="4"/>
    <x v="4"/>
    <x v="3"/>
    <s v="S"/>
    <x v="3"/>
    <x v="5"/>
    <n v="84.44"/>
    <x v="0"/>
    <n v="0"/>
    <n v="84.44"/>
    <n v="0"/>
    <d v="2025-08-06T00:00:00"/>
    <x v="1"/>
    <x v="1"/>
    <n v="2"/>
    <n v="1.1000000000000001"/>
    <s v="Pocas Unidades"/>
    <n v="1.1000000000000001"/>
    <s v="False"/>
    <m/>
    <n v="0"/>
    <n v="84.44"/>
    <x v="0"/>
    <n v="0"/>
  </r>
  <r>
    <s v="FB001136"/>
    <x v="0"/>
    <x v="0"/>
    <x v="3"/>
    <s v="XS"/>
    <x v="5"/>
    <x v="1"/>
    <n v="93.11"/>
    <x v="0"/>
    <n v="0"/>
    <n v="93.11"/>
    <n v="0"/>
    <d v="2025-08-06T00:00:00"/>
    <x v="1"/>
    <x v="1"/>
    <n v="43"/>
    <n v="2.8"/>
    <s v="Ok"/>
    <n v="2.8"/>
    <s v="False"/>
    <m/>
    <n v="0"/>
    <n v="93.11"/>
    <x v="0"/>
    <n v="0"/>
  </r>
  <r>
    <s v="FB001137"/>
    <x v="1"/>
    <x v="0"/>
    <x v="1"/>
    <s v="S"/>
    <x v="3"/>
    <x v="5"/>
    <n v="84.85"/>
    <x v="83"/>
    <n v="8.8000000000000009E-2"/>
    <n v="77.38"/>
    <n v="7.4699999999999989"/>
    <d v="2025-08-06T00:00:00"/>
    <x v="1"/>
    <x v="1"/>
    <n v="19"/>
    <n v="4.0999999999999996"/>
    <s v="Ok"/>
    <n v="4.0999999999999996"/>
    <s v="True"/>
    <s v="Changed Mind"/>
    <n v="1"/>
    <n v="0"/>
    <x v="5"/>
    <n v="0"/>
  </r>
  <r>
    <s v="FB001138"/>
    <x v="3"/>
    <x v="1"/>
    <x v="0"/>
    <s v="M"/>
    <x v="6"/>
    <x v="6"/>
    <n v="138.41"/>
    <x v="0"/>
    <n v="0"/>
    <n v="138.41"/>
    <n v="0"/>
    <d v="2024-11-17T00:00:00"/>
    <x v="6"/>
    <x v="11"/>
    <n v="40"/>
    <n v="3.1"/>
    <s v="Ok"/>
    <n v="3.1"/>
    <s v="False"/>
    <m/>
    <n v="0"/>
    <n v="138.41"/>
    <x v="0"/>
    <n v="0"/>
  </r>
  <r>
    <s v="FB001139"/>
    <x v="2"/>
    <x v="0"/>
    <x v="2"/>
    <m/>
    <x v="2"/>
    <x v="1"/>
    <n v="20.190000000000001"/>
    <x v="324"/>
    <n v="0.21600000000000003"/>
    <n v="15.83"/>
    <n v="4.3600000000000012"/>
    <d v="2025-08-06T00:00:00"/>
    <x v="1"/>
    <x v="1"/>
    <n v="45"/>
    <n v="4.4000000000000004"/>
    <s v="Ok"/>
    <n v="4.4000000000000004"/>
    <s v="True"/>
    <s v="Changed Mind"/>
    <n v="1"/>
    <n v="0"/>
    <x v="5"/>
    <n v="0"/>
  </r>
  <r>
    <s v="FB001140"/>
    <x v="5"/>
    <x v="2"/>
    <x v="2"/>
    <s v="M"/>
    <x v="6"/>
    <x v="4"/>
    <n v="124.17"/>
    <x v="133"/>
    <n v="0.376"/>
    <n v="77.48"/>
    <n v="46.69"/>
    <d v="2025-08-06T00:00:00"/>
    <x v="1"/>
    <x v="1"/>
    <n v="24"/>
    <n v="2.2999999999999998"/>
    <s v="Ok"/>
    <n v="2.2999999999999998"/>
    <s v="False"/>
    <m/>
    <n v="0"/>
    <n v="77.48"/>
    <x v="0"/>
    <n v="0"/>
  </r>
  <r>
    <s v="FB001141"/>
    <x v="0"/>
    <x v="2"/>
    <x v="0"/>
    <s v="L"/>
    <x v="1"/>
    <x v="0"/>
    <n v="133.91999999999999"/>
    <x v="0"/>
    <n v="0"/>
    <n v="133.91999999999999"/>
    <n v="0"/>
    <d v="2025-04-13T00:00:00"/>
    <x v="6"/>
    <x v="4"/>
    <n v="41"/>
    <n v="2.8"/>
    <s v="Ok"/>
    <n v="2.8"/>
    <s v="False"/>
    <m/>
    <n v="0"/>
    <n v="133.91999999999999"/>
    <x v="0"/>
    <n v="0"/>
  </r>
  <r>
    <s v="FB001142"/>
    <x v="2"/>
    <x v="2"/>
    <x v="0"/>
    <m/>
    <x v="2"/>
    <x v="4"/>
    <n v="77.78"/>
    <x v="0"/>
    <n v="0"/>
    <n v="77.78"/>
    <n v="0"/>
    <d v="2025-07-07T00:00:00"/>
    <x v="2"/>
    <x v="0"/>
    <n v="23"/>
    <n v="2.5"/>
    <s v="Ok"/>
    <n v="2.5"/>
    <s v="True"/>
    <s v="Size Issue"/>
    <n v="1"/>
    <n v="0"/>
    <x v="2"/>
    <n v="0"/>
  </r>
  <r>
    <s v="FB001143"/>
    <x v="5"/>
    <x v="3"/>
    <x v="1"/>
    <s v="XXL"/>
    <x v="4"/>
    <x v="10"/>
    <n v="157.69"/>
    <x v="71"/>
    <n v="0.35899999999999999"/>
    <n v="101.08"/>
    <n v="56.61"/>
    <d v="2025-08-06T00:00:00"/>
    <x v="1"/>
    <x v="1"/>
    <n v="6"/>
    <n v="1"/>
    <s v="Pocas Unidades"/>
    <n v="1"/>
    <s v="False"/>
    <m/>
    <n v="0"/>
    <n v="101.08"/>
    <x v="0"/>
    <n v="0"/>
  </r>
  <r>
    <s v="FB001144"/>
    <x v="1"/>
    <x v="0"/>
    <x v="1"/>
    <s v="L"/>
    <x v="1"/>
    <x v="2"/>
    <n v="99.57"/>
    <x v="0"/>
    <n v="0"/>
    <n v="99.57"/>
    <n v="0"/>
    <d v="2025-08-06T00:00:00"/>
    <x v="1"/>
    <x v="1"/>
    <n v="17"/>
    <n v="1"/>
    <s v="Ok"/>
    <n v="1"/>
    <s v="False"/>
    <m/>
    <n v="0"/>
    <n v="99.57"/>
    <x v="0"/>
    <n v="0"/>
  </r>
  <r>
    <s v="FB001145"/>
    <x v="2"/>
    <x v="0"/>
    <x v="3"/>
    <m/>
    <x v="2"/>
    <x v="10"/>
    <n v="43.61"/>
    <x v="79"/>
    <n v="0.33299999999999996"/>
    <n v="29.09"/>
    <n v="14.52"/>
    <d v="2025-08-06T00:00:00"/>
    <x v="1"/>
    <x v="1"/>
    <n v="47"/>
    <n v="2.5"/>
    <s v="Ok"/>
    <n v="2.5"/>
    <s v="False"/>
    <m/>
    <n v="0"/>
    <n v="29.09"/>
    <x v="0"/>
    <n v="0"/>
  </r>
  <r>
    <s v="FB001146"/>
    <x v="0"/>
    <x v="6"/>
    <x v="1"/>
    <s v="M"/>
    <x v="6"/>
    <x v="10"/>
    <n v="88.87"/>
    <x v="0"/>
    <n v="0"/>
    <n v="88.87"/>
    <n v="0"/>
    <d v="2025-08-06T00:00:00"/>
    <x v="1"/>
    <x v="1"/>
    <n v="27"/>
    <n v="2.4"/>
    <s v="Ok"/>
    <n v="2.4"/>
    <s v="False"/>
    <m/>
    <n v="0"/>
    <n v="88.87"/>
    <x v="0"/>
    <n v="0"/>
  </r>
  <r>
    <s v="FB001147"/>
    <x v="4"/>
    <x v="7"/>
    <x v="2"/>
    <s v="M"/>
    <x v="6"/>
    <x v="3"/>
    <n v="112.6"/>
    <x v="30"/>
    <n v="0.19800000000000001"/>
    <n v="90.31"/>
    <n v="22.289999999999992"/>
    <d v="2025-08-06T00:00:00"/>
    <x v="1"/>
    <x v="1"/>
    <n v="2"/>
    <n v="1"/>
    <s v="Pocas Unidades"/>
    <n v="1"/>
    <s v="False"/>
    <m/>
    <n v="0"/>
    <n v="90.31"/>
    <x v="0"/>
    <n v="0"/>
  </r>
  <r>
    <s v="FB001148"/>
    <x v="1"/>
    <x v="1"/>
    <x v="2"/>
    <s v="XL"/>
    <x v="0"/>
    <x v="6"/>
    <n v="33.35"/>
    <x v="0"/>
    <n v="0"/>
    <n v="33.35"/>
    <n v="0"/>
    <d v="2025-08-06T00:00:00"/>
    <x v="1"/>
    <x v="1"/>
    <n v="29"/>
    <n v="1.2"/>
    <s v="Ok"/>
    <n v="1.2"/>
    <s v="False"/>
    <m/>
    <n v="0"/>
    <n v="33.35"/>
    <x v="0"/>
    <n v="0"/>
  </r>
  <r>
    <s v="FB001149"/>
    <x v="4"/>
    <x v="7"/>
    <x v="2"/>
    <s v="L"/>
    <x v="1"/>
    <x v="8"/>
    <n v="115.82"/>
    <x v="325"/>
    <n v="2.8999999999999998E-2"/>
    <n v="112.46"/>
    <n v="3.3599999999999994"/>
    <d v="2025-08-06T00:00:00"/>
    <x v="1"/>
    <x v="1"/>
    <n v="46"/>
    <m/>
    <s v="Ok"/>
    <s v="No valorado"/>
    <s v="False"/>
    <m/>
    <n v="0"/>
    <n v="112.46"/>
    <x v="0"/>
    <n v="0"/>
  </r>
  <r>
    <s v="FB001150"/>
    <x v="1"/>
    <x v="2"/>
    <x v="2"/>
    <s v="XL"/>
    <x v="0"/>
    <x v="3"/>
    <n v="107.79"/>
    <x v="326"/>
    <n v="3.1E-2"/>
    <n v="104.45"/>
    <n v="3.3400000000000034"/>
    <d v="2025-08-06T00:00:00"/>
    <x v="1"/>
    <x v="1"/>
    <n v="6"/>
    <n v="2.8"/>
    <s v="Pocas Unidades"/>
    <n v="2.8"/>
    <s v="False"/>
    <m/>
    <n v="0"/>
    <n v="104.45"/>
    <x v="0"/>
    <n v="0"/>
  </r>
  <r>
    <s v="FB001151"/>
    <x v="1"/>
    <x v="4"/>
    <x v="3"/>
    <s v="S"/>
    <x v="3"/>
    <x v="3"/>
    <n v="53.87"/>
    <x v="0"/>
    <n v="0"/>
    <n v="53.87"/>
    <n v="0"/>
    <d v="2025-08-06T00:00:00"/>
    <x v="1"/>
    <x v="1"/>
    <n v="50"/>
    <n v="4.2"/>
    <s v="Ok"/>
    <n v="4.2"/>
    <s v="True"/>
    <s v="Damaged"/>
    <n v="1"/>
    <n v="0"/>
    <x v="3"/>
    <n v="0"/>
  </r>
  <r>
    <s v="FB001152"/>
    <x v="1"/>
    <x v="6"/>
    <x v="0"/>
    <s v="XS"/>
    <x v="5"/>
    <x v="6"/>
    <n v="72.5"/>
    <x v="140"/>
    <n v="0.40799999999999997"/>
    <n v="42.92"/>
    <n v="29.58"/>
    <d v="2024-12-30T00:00:00"/>
    <x v="2"/>
    <x v="10"/>
    <n v="23"/>
    <n v="4.4000000000000004"/>
    <s v="Ok"/>
    <n v="4.4000000000000004"/>
    <s v="False"/>
    <m/>
    <n v="0"/>
    <n v="42.92"/>
    <x v="0"/>
    <n v="0"/>
  </r>
  <r>
    <s v="FB001153"/>
    <x v="3"/>
    <x v="6"/>
    <x v="0"/>
    <s v="S"/>
    <x v="3"/>
    <x v="4"/>
    <n v="152.32"/>
    <x v="0"/>
    <n v="0"/>
    <n v="152.32"/>
    <n v="0"/>
    <d v="2025-06-09T00:00:00"/>
    <x v="2"/>
    <x v="7"/>
    <n v="15"/>
    <m/>
    <s v="Ok"/>
    <s v="No valorado"/>
    <s v="False"/>
    <m/>
    <n v="0"/>
    <n v="152.32"/>
    <x v="0"/>
    <n v="0"/>
  </r>
  <r>
    <s v="FB001154"/>
    <x v="5"/>
    <x v="4"/>
    <x v="1"/>
    <s v="M"/>
    <x v="6"/>
    <x v="0"/>
    <n v="67.63"/>
    <x v="0"/>
    <n v="0"/>
    <n v="67.63"/>
    <n v="0"/>
    <d v="2025-08-06T00:00:00"/>
    <x v="1"/>
    <x v="1"/>
    <n v="9"/>
    <n v="4.7"/>
    <s v="Pocas Unidades"/>
    <n v="4.7"/>
    <s v="False"/>
    <m/>
    <n v="0"/>
    <n v="67.63"/>
    <x v="0"/>
    <n v="0"/>
  </r>
  <r>
    <s v="FB001155"/>
    <x v="0"/>
    <x v="1"/>
    <x v="3"/>
    <s v="XS"/>
    <x v="5"/>
    <x v="9"/>
    <n v="221.94"/>
    <x v="0"/>
    <n v="0"/>
    <n v="221.94"/>
    <n v="0"/>
    <d v="2025-08-06T00:00:00"/>
    <x v="1"/>
    <x v="1"/>
    <n v="35"/>
    <n v="1.5"/>
    <s v="Ok"/>
    <n v="1.5"/>
    <s v="False"/>
    <m/>
    <n v="0"/>
    <n v="221.94"/>
    <x v="0"/>
    <n v="0"/>
  </r>
  <r>
    <s v="FB001156"/>
    <x v="4"/>
    <x v="0"/>
    <x v="2"/>
    <s v="XS"/>
    <x v="5"/>
    <x v="1"/>
    <n v="118.77"/>
    <x v="327"/>
    <n v="8.4000000000000005E-2"/>
    <n v="108.79"/>
    <n v="9.9799999999999898"/>
    <d v="2025-08-06T00:00:00"/>
    <x v="1"/>
    <x v="1"/>
    <n v="30"/>
    <n v="4.5999999999999996"/>
    <s v="Ok"/>
    <n v="4.5999999999999996"/>
    <s v="True"/>
    <s v="Wrong Item"/>
    <n v="1"/>
    <n v="0"/>
    <x v="6"/>
    <n v="0"/>
  </r>
  <r>
    <s v="FB001157"/>
    <x v="1"/>
    <x v="7"/>
    <x v="2"/>
    <s v="XS"/>
    <x v="5"/>
    <x v="6"/>
    <n v="100.17"/>
    <x v="0"/>
    <n v="0"/>
    <n v="100.17"/>
    <n v="0"/>
    <d v="2025-08-06T00:00:00"/>
    <x v="1"/>
    <x v="1"/>
    <n v="18"/>
    <n v="1.2"/>
    <s v="Ok"/>
    <n v="1.2"/>
    <s v="False"/>
    <m/>
    <n v="0"/>
    <n v="100.17"/>
    <x v="0"/>
    <n v="0"/>
  </r>
  <r>
    <s v="FB001158"/>
    <x v="2"/>
    <x v="2"/>
    <x v="3"/>
    <m/>
    <x v="2"/>
    <x v="3"/>
    <n v="18.45"/>
    <x v="0"/>
    <n v="0"/>
    <n v="18.45"/>
    <n v="0"/>
    <d v="2025-08-06T00:00:00"/>
    <x v="1"/>
    <x v="1"/>
    <n v="39"/>
    <n v="2.2000000000000002"/>
    <s v="Ok"/>
    <n v="2.2000000000000002"/>
    <s v="False"/>
    <m/>
    <n v="0"/>
    <n v="18.45"/>
    <x v="0"/>
    <n v="0"/>
  </r>
  <r>
    <s v="FB001159"/>
    <x v="2"/>
    <x v="6"/>
    <x v="3"/>
    <m/>
    <x v="2"/>
    <x v="9"/>
    <n v="45.56"/>
    <x v="328"/>
    <n v="0.13500000000000001"/>
    <n v="39.409999999999997"/>
    <n v="6.1500000000000057"/>
    <d v="2025-08-06T00:00:00"/>
    <x v="1"/>
    <x v="1"/>
    <n v="40"/>
    <n v="3.2"/>
    <s v="Ok"/>
    <n v="3.2"/>
    <s v="False"/>
    <m/>
    <n v="0"/>
    <n v="39.409999999999997"/>
    <x v="0"/>
    <n v="0"/>
  </r>
  <r>
    <s v="FB001160"/>
    <x v="1"/>
    <x v="1"/>
    <x v="0"/>
    <s v="S"/>
    <x v="3"/>
    <x v="9"/>
    <n v="62.21"/>
    <x v="0"/>
    <n v="0"/>
    <n v="62.21"/>
    <n v="0"/>
    <d v="2025-07-23T00:00:00"/>
    <x v="1"/>
    <x v="0"/>
    <n v="38"/>
    <n v="2.6"/>
    <s v="Ok"/>
    <n v="2.6"/>
    <s v="False"/>
    <m/>
    <n v="0"/>
    <n v="62.21"/>
    <x v="0"/>
    <n v="0"/>
  </r>
  <r>
    <s v="FB001161"/>
    <x v="2"/>
    <x v="7"/>
    <x v="1"/>
    <m/>
    <x v="2"/>
    <x v="5"/>
    <n v="37.020000000000003"/>
    <x v="0"/>
    <n v="0"/>
    <n v="37.020000000000003"/>
    <n v="0"/>
    <d v="2025-08-06T00:00:00"/>
    <x v="1"/>
    <x v="1"/>
    <n v="12"/>
    <n v="4.3"/>
    <s v="Ok"/>
    <n v="4.3"/>
    <s v="False"/>
    <m/>
    <n v="0"/>
    <n v="37.020000000000003"/>
    <x v="0"/>
    <n v="0"/>
  </r>
  <r>
    <s v="FB001162"/>
    <x v="5"/>
    <x v="0"/>
    <x v="3"/>
    <s v="XL"/>
    <x v="0"/>
    <x v="7"/>
    <n v="51.86"/>
    <x v="277"/>
    <n v="0.39"/>
    <n v="31.63"/>
    <n v="20.23"/>
    <d v="2025-08-06T00:00:00"/>
    <x v="1"/>
    <x v="1"/>
    <n v="40"/>
    <n v="2.4"/>
    <s v="Ok"/>
    <n v="2.4"/>
    <s v="False"/>
    <m/>
    <n v="0"/>
    <n v="31.63"/>
    <x v="0"/>
    <n v="0"/>
  </r>
  <r>
    <s v="FB001163"/>
    <x v="5"/>
    <x v="0"/>
    <x v="0"/>
    <s v="XS"/>
    <x v="5"/>
    <x v="9"/>
    <n v="76.239999999999995"/>
    <x v="0"/>
    <n v="0"/>
    <n v="76.239999999999995"/>
    <n v="0"/>
    <d v="2025-01-07T00:00:00"/>
    <x v="3"/>
    <x v="5"/>
    <n v="14"/>
    <n v="2.8"/>
    <s v="Ok"/>
    <n v="2.8"/>
    <s v="False"/>
    <m/>
    <n v="0"/>
    <n v="76.239999999999995"/>
    <x v="0"/>
    <n v="0"/>
  </r>
  <r>
    <s v="FB001164"/>
    <x v="2"/>
    <x v="0"/>
    <x v="2"/>
    <m/>
    <x v="2"/>
    <x v="4"/>
    <n v="74.17"/>
    <x v="0"/>
    <n v="0"/>
    <n v="74.17"/>
    <n v="0"/>
    <d v="2025-08-06T00:00:00"/>
    <x v="1"/>
    <x v="1"/>
    <n v="24"/>
    <n v="1.7"/>
    <s v="Ok"/>
    <n v="1.7"/>
    <s v="False"/>
    <m/>
    <n v="0"/>
    <n v="74.17"/>
    <x v="0"/>
    <n v="0"/>
  </r>
  <r>
    <s v="FB001165"/>
    <x v="4"/>
    <x v="7"/>
    <x v="0"/>
    <s v="L"/>
    <x v="1"/>
    <x v="7"/>
    <n v="75.989999999999995"/>
    <x v="0"/>
    <n v="0"/>
    <n v="75.989999999999995"/>
    <n v="0"/>
    <d v="2025-02-18T00:00:00"/>
    <x v="3"/>
    <x v="9"/>
    <n v="19"/>
    <n v="1.7"/>
    <s v="Ok"/>
    <n v="1.7"/>
    <s v="True"/>
    <s v="Size Issue"/>
    <n v="1"/>
    <n v="0"/>
    <x v="2"/>
    <n v="0"/>
  </r>
  <r>
    <s v="FB001166"/>
    <x v="4"/>
    <x v="4"/>
    <x v="1"/>
    <s v="XS"/>
    <x v="5"/>
    <x v="8"/>
    <n v="62.33"/>
    <x v="179"/>
    <n v="0.49399999999999999"/>
    <n v="31.54"/>
    <n v="30.79"/>
    <d v="2025-08-06T00:00:00"/>
    <x v="1"/>
    <x v="1"/>
    <n v="46"/>
    <n v="3.5"/>
    <s v="Ok"/>
    <n v="3.5"/>
    <s v="False"/>
    <m/>
    <n v="0"/>
    <n v="31.54"/>
    <x v="0"/>
    <n v="0"/>
  </r>
  <r>
    <s v="FB001167"/>
    <x v="4"/>
    <x v="3"/>
    <x v="1"/>
    <s v="XXL"/>
    <x v="4"/>
    <x v="0"/>
    <n v="93.59"/>
    <x v="0"/>
    <n v="0"/>
    <n v="93.59"/>
    <n v="0"/>
    <d v="2025-08-06T00:00:00"/>
    <x v="1"/>
    <x v="1"/>
    <n v="38"/>
    <n v="1.9"/>
    <s v="Ok"/>
    <n v="1.9"/>
    <s v="False"/>
    <m/>
    <n v="0"/>
    <n v="93.59"/>
    <x v="0"/>
    <n v="0"/>
  </r>
  <r>
    <s v="FB001168"/>
    <x v="1"/>
    <x v="7"/>
    <x v="2"/>
    <m/>
    <x v="7"/>
    <x v="5"/>
    <n v="72.83"/>
    <x v="145"/>
    <n v="0.35700000000000004"/>
    <n v="46.83"/>
    <n v="26"/>
    <d v="2025-08-06T00:00:00"/>
    <x v="1"/>
    <x v="1"/>
    <n v="11"/>
    <n v="3.1"/>
    <s v="Ok"/>
    <n v="3.1"/>
    <s v="False"/>
    <m/>
    <n v="0"/>
    <n v="46.83"/>
    <x v="0"/>
    <n v="0"/>
  </r>
  <r>
    <s v="FB001169"/>
    <x v="0"/>
    <x v="1"/>
    <x v="1"/>
    <s v="XXL"/>
    <x v="4"/>
    <x v="4"/>
    <n v="134.59"/>
    <x v="193"/>
    <n v="0.33600000000000002"/>
    <n v="89.37"/>
    <n v="45.22"/>
    <d v="2025-08-06T00:00:00"/>
    <x v="1"/>
    <x v="1"/>
    <n v="42"/>
    <n v="2.9"/>
    <s v="Ok"/>
    <n v="2.9"/>
    <s v="False"/>
    <m/>
    <n v="0"/>
    <n v="89.37"/>
    <x v="0"/>
    <n v="0"/>
  </r>
  <r>
    <s v="FB001170"/>
    <x v="4"/>
    <x v="0"/>
    <x v="0"/>
    <m/>
    <x v="7"/>
    <x v="7"/>
    <n v="71.599999999999994"/>
    <x v="329"/>
    <n v="0.41899999999999998"/>
    <n v="41.6"/>
    <n v="29.999999999999993"/>
    <d v="2025-04-12T00:00:00"/>
    <x v="0"/>
    <x v="4"/>
    <n v="16"/>
    <n v="2.8"/>
    <s v="Ok"/>
    <n v="2.8"/>
    <s v="False"/>
    <m/>
    <n v="0"/>
    <n v="41.6"/>
    <x v="0"/>
    <n v="0"/>
  </r>
  <r>
    <s v="FB001171"/>
    <x v="3"/>
    <x v="5"/>
    <x v="3"/>
    <s v="XL"/>
    <x v="0"/>
    <x v="0"/>
    <n v="62.35"/>
    <x v="236"/>
    <n v="0.53500000000000003"/>
    <n v="28.99"/>
    <n v="33.36"/>
    <d v="2025-08-06T00:00:00"/>
    <x v="1"/>
    <x v="1"/>
    <n v="1"/>
    <n v="4.0999999999999996"/>
    <s v="Pocas Unidades"/>
    <n v="4.0999999999999996"/>
    <s v="False"/>
    <m/>
    <n v="0"/>
    <n v="28.99"/>
    <x v="0"/>
    <n v="0"/>
  </r>
  <r>
    <s v="FB001172"/>
    <x v="0"/>
    <x v="5"/>
    <x v="0"/>
    <s v="XS"/>
    <x v="5"/>
    <x v="8"/>
    <n v="80.55"/>
    <x v="219"/>
    <n v="0.43700000000000006"/>
    <n v="45.35"/>
    <n v="35.199999999999996"/>
    <d v="2024-10-21T00:00:00"/>
    <x v="2"/>
    <x v="2"/>
    <n v="41"/>
    <n v="4.8"/>
    <s v="Ok"/>
    <n v="4.8"/>
    <s v="True"/>
    <s v="Changed Mind"/>
    <n v="1"/>
    <n v="0"/>
    <x v="5"/>
    <n v="0"/>
  </r>
  <r>
    <s v="FB001173"/>
    <x v="3"/>
    <x v="2"/>
    <x v="1"/>
    <s v="M"/>
    <x v="6"/>
    <x v="7"/>
    <n v="171.48"/>
    <x v="0"/>
    <n v="0"/>
    <n v="171.48"/>
    <n v="0"/>
    <d v="2025-08-06T00:00:00"/>
    <x v="1"/>
    <x v="1"/>
    <n v="15"/>
    <n v="2.4"/>
    <s v="Ok"/>
    <n v="2.4"/>
    <s v="False"/>
    <m/>
    <n v="0"/>
    <n v="171.48"/>
    <x v="0"/>
    <n v="0"/>
  </r>
  <r>
    <s v="FB001174"/>
    <x v="1"/>
    <x v="5"/>
    <x v="0"/>
    <s v="XL"/>
    <x v="0"/>
    <x v="8"/>
    <n v="30.81"/>
    <x v="223"/>
    <n v="0.157"/>
    <n v="25.97"/>
    <n v="4.84"/>
    <d v="2024-09-19T00:00:00"/>
    <x v="5"/>
    <x v="6"/>
    <n v="4"/>
    <m/>
    <s v="Pocas Unidades"/>
    <s v="No valorado"/>
    <s v="False"/>
    <m/>
    <n v="0"/>
    <n v="25.97"/>
    <x v="0"/>
    <n v="0"/>
  </r>
  <r>
    <s v="FB001175"/>
    <x v="5"/>
    <x v="4"/>
    <x v="3"/>
    <s v="L"/>
    <x v="1"/>
    <x v="5"/>
    <n v="97.14"/>
    <x v="0"/>
    <n v="0"/>
    <n v="97.14"/>
    <n v="0"/>
    <d v="2025-08-06T00:00:00"/>
    <x v="1"/>
    <x v="1"/>
    <n v="20"/>
    <n v="4.0999999999999996"/>
    <s v="Ok"/>
    <n v="4.0999999999999996"/>
    <s v="False"/>
    <m/>
    <n v="0"/>
    <n v="97.14"/>
    <x v="0"/>
    <n v="0"/>
  </r>
  <r>
    <s v="FB001176"/>
    <x v="3"/>
    <x v="7"/>
    <x v="2"/>
    <s v="S"/>
    <x v="3"/>
    <x v="3"/>
    <n v="128.27000000000001"/>
    <x v="0"/>
    <n v="0"/>
    <n v="128.27000000000001"/>
    <n v="0"/>
    <d v="2025-08-06T00:00:00"/>
    <x v="1"/>
    <x v="1"/>
    <n v="28"/>
    <m/>
    <s v="Ok"/>
    <s v="No valorado"/>
    <s v="False"/>
    <m/>
    <n v="0"/>
    <n v="128.27000000000001"/>
    <x v="0"/>
    <n v="0"/>
  </r>
  <r>
    <s v="FB001177"/>
    <x v="5"/>
    <x v="0"/>
    <x v="1"/>
    <s v="XL"/>
    <x v="0"/>
    <x v="6"/>
    <n v="174.86"/>
    <x v="0"/>
    <n v="0"/>
    <n v="174.86"/>
    <n v="0"/>
    <d v="2025-08-06T00:00:00"/>
    <x v="1"/>
    <x v="1"/>
    <n v="43"/>
    <n v="4.5999999999999996"/>
    <s v="Ok"/>
    <n v="4.5999999999999996"/>
    <s v="False"/>
    <m/>
    <n v="0"/>
    <n v="174.86"/>
    <x v="0"/>
    <n v="0"/>
  </r>
  <r>
    <s v="FB001178"/>
    <x v="5"/>
    <x v="2"/>
    <x v="1"/>
    <s v="XL"/>
    <x v="0"/>
    <x v="3"/>
    <n v="100.03"/>
    <x v="0"/>
    <n v="0"/>
    <n v="100.03"/>
    <n v="0"/>
    <d v="2025-08-06T00:00:00"/>
    <x v="1"/>
    <x v="1"/>
    <n v="36"/>
    <n v="1.9"/>
    <s v="Ok"/>
    <n v="1.9"/>
    <s v="True"/>
    <s v="Quality Issue"/>
    <n v="1"/>
    <n v="0"/>
    <x v="4"/>
    <n v="0"/>
  </r>
  <r>
    <s v="FB001179"/>
    <x v="5"/>
    <x v="0"/>
    <x v="1"/>
    <s v="S"/>
    <x v="3"/>
    <x v="9"/>
    <n v="49.89"/>
    <x v="0"/>
    <n v="0"/>
    <n v="49.89"/>
    <n v="0"/>
    <d v="2025-08-06T00:00:00"/>
    <x v="1"/>
    <x v="1"/>
    <n v="0"/>
    <n v="3.5"/>
    <s v="Agotado"/>
    <n v="3.5"/>
    <s v="True"/>
    <s v="Wrong Item"/>
    <n v="1"/>
    <n v="0"/>
    <x v="6"/>
    <n v="0"/>
  </r>
  <r>
    <s v="FB001180"/>
    <x v="3"/>
    <x v="4"/>
    <x v="2"/>
    <s v="XL"/>
    <x v="0"/>
    <x v="10"/>
    <n v="170.43"/>
    <x v="0"/>
    <n v="0"/>
    <n v="170.43"/>
    <n v="0"/>
    <d v="2025-08-06T00:00:00"/>
    <x v="1"/>
    <x v="1"/>
    <n v="22"/>
    <m/>
    <s v="Ok"/>
    <s v="No valorado"/>
    <s v="False"/>
    <m/>
    <n v="0"/>
    <n v="170.43"/>
    <x v="0"/>
    <n v="0"/>
  </r>
  <r>
    <s v="FB001181"/>
    <x v="0"/>
    <x v="6"/>
    <x v="3"/>
    <s v="XS"/>
    <x v="5"/>
    <x v="8"/>
    <n v="186.78"/>
    <x v="0"/>
    <n v="0"/>
    <n v="186.78"/>
    <n v="0"/>
    <d v="2025-08-06T00:00:00"/>
    <x v="1"/>
    <x v="1"/>
    <n v="22"/>
    <n v="2.9"/>
    <s v="Ok"/>
    <n v="2.9"/>
    <s v="False"/>
    <m/>
    <n v="0"/>
    <n v="186.78"/>
    <x v="0"/>
    <n v="0"/>
  </r>
  <r>
    <s v="FB001182"/>
    <x v="2"/>
    <x v="7"/>
    <x v="2"/>
    <m/>
    <x v="2"/>
    <x v="8"/>
    <n v="63.98"/>
    <x v="0"/>
    <n v="0"/>
    <n v="63.98"/>
    <n v="0"/>
    <d v="2025-08-06T00:00:00"/>
    <x v="1"/>
    <x v="1"/>
    <n v="36"/>
    <n v="1.7"/>
    <s v="Ok"/>
    <n v="1.7"/>
    <s v="False"/>
    <m/>
    <n v="0"/>
    <n v="63.98"/>
    <x v="0"/>
    <n v="0"/>
  </r>
  <r>
    <s v="FB001183"/>
    <x v="0"/>
    <x v="7"/>
    <x v="2"/>
    <s v="XS"/>
    <x v="5"/>
    <x v="8"/>
    <n v="225.64"/>
    <x v="0"/>
    <n v="0"/>
    <n v="225.64"/>
    <n v="0"/>
    <d v="2025-08-06T00:00:00"/>
    <x v="1"/>
    <x v="1"/>
    <n v="31"/>
    <n v="1.3"/>
    <s v="Ok"/>
    <n v="1.3"/>
    <s v="False"/>
    <m/>
    <n v="0"/>
    <n v="225.64"/>
    <x v="0"/>
    <n v="0"/>
  </r>
  <r>
    <s v="FB001184"/>
    <x v="1"/>
    <x v="3"/>
    <x v="2"/>
    <s v="XS"/>
    <x v="5"/>
    <x v="3"/>
    <n v="115.29"/>
    <x v="207"/>
    <n v="0.13900000000000001"/>
    <n v="99.26"/>
    <n v="16.03"/>
    <d v="2025-08-06T00:00:00"/>
    <x v="1"/>
    <x v="1"/>
    <n v="37"/>
    <m/>
    <s v="Ok"/>
    <s v="No valorado"/>
    <s v="False"/>
    <m/>
    <n v="0"/>
    <n v="99.26"/>
    <x v="0"/>
    <n v="0"/>
  </r>
  <r>
    <s v="FB001185"/>
    <x v="4"/>
    <x v="3"/>
    <x v="2"/>
    <s v="XS"/>
    <x v="5"/>
    <x v="3"/>
    <n v="92.59"/>
    <x v="0"/>
    <n v="0"/>
    <n v="92.59"/>
    <n v="0"/>
    <d v="2025-08-06T00:00:00"/>
    <x v="1"/>
    <x v="1"/>
    <n v="39"/>
    <n v="2.2999999999999998"/>
    <s v="Ok"/>
    <n v="2.2999999999999998"/>
    <s v="False"/>
    <m/>
    <n v="0"/>
    <n v="92.59"/>
    <x v="0"/>
    <n v="0"/>
  </r>
  <r>
    <s v="FB001186"/>
    <x v="2"/>
    <x v="1"/>
    <x v="0"/>
    <m/>
    <x v="2"/>
    <x v="7"/>
    <n v="67.650000000000006"/>
    <x v="330"/>
    <n v="0.26200000000000001"/>
    <n v="49.93"/>
    <n v="17.720000000000006"/>
    <d v="2025-05-28T00:00:00"/>
    <x v="1"/>
    <x v="8"/>
    <n v="23"/>
    <n v="1.7"/>
    <s v="Ok"/>
    <n v="1.7"/>
    <s v="False"/>
    <m/>
    <n v="0"/>
    <n v="49.93"/>
    <x v="0"/>
    <n v="0"/>
  </r>
  <r>
    <s v="FB001187"/>
    <x v="0"/>
    <x v="5"/>
    <x v="0"/>
    <s v="L"/>
    <x v="1"/>
    <x v="3"/>
    <n v="128.91999999999999"/>
    <x v="0"/>
    <n v="0"/>
    <n v="128.91999999999999"/>
    <n v="0"/>
    <d v="2025-07-10T00:00:00"/>
    <x v="5"/>
    <x v="0"/>
    <n v="40"/>
    <n v="1.5"/>
    <s v="Ok"/>
    <n v="1.5"/>
    <s v="False"/>
    <m/>
    <n v="0"/>
    <n v="128.91999999999999"/>
    <x v="0"/>
    <n v="0"/>
  </r>
  <r>
    <s v="FB001188"/>
    <x v="2"/>
    <x v="2"/>
    <x v="2"/>
    <m/>
    <x v="2"/>
    <x v="0"/>
    <n v="16.510000000000002"/>
    <x v="257"/>
    <n v="0.16800000000000001"/>
    <n v="13.74"/>
    <n v="2.7700000000000014"/>
    <d v="2025-08-06T00:00:00"/>
    <x v="1"/>
    <x v="1"/>
    <n v="47"/>
    <n v="1.2"/>
    <s v="Ok"/>
    <n v="1.2"/>
    <s v="False"/>
    <m/>
    <n v="0"/>
    <n v="13.74"/>
    <x v="0"/>
    <n v="0"/>
  </r>
  <r>
    <s v="FB001189"/>
    <x v="3"/>
    <x v="2"/>
    <x v="1"/>
    <m/>
    <x v="7"/>
    <x v="4"/>
    <n v="173.66"/>
    <x v="76"/>
    <n v="0.42700000000000005"/>
    <n v="99.51"/>
    <n v="74.149999999999991"/>
    <d v="2025-08-06T00:00:00"/>
    <x v="1"/>
    <x v="1"/>
    <n v="1"/>
    <n v="3.1"/>
    <s v="Pocas Unidades"/>
    <n v="3.1"/>
    <s v="False"/>
    <m/>
    <n v="0"/>
    <n v="99.51"/>
    <x v="0"/>
    <n v="0"/>
  </r>
  <r>
    <s v="FB001190"/>
    <x v="1"/>
    <x v="4"/>
    <x v="0"/>
    <s v="S"/>
    <x v="3"/>
    <x v="2"/>
    <n v="71.489999999999995"/>
    <x v="331"/>
    <n v="0.20899999999999999"/>
    <n v="56.55"/>
    <n v="14.939999999999998"/>
    <d v="2025-01-12T00:00:00"/>
    <x v="6"/>
    <x v="5"/>
    <n v="33"/>
    <n v="1.3"/>
    <s v="Ok"/>
    <n v="1.3"/>
    <s v="False"/>
    <m/>
    <n v="0"/>
    <n v="56.55"/>
    <x v="0"/>
    <n v="0"/>
  </r>
  <r>
    <s v="FB001191"/>
    <x v="0"/>
    <x v="1"/>
    <x v="2"/>
    <s v="XXL"/>
    <x v="4"/>
    <x v="4"/>
    <n v="230.81"/>
    <x v="106"/>
    <n v="0.24299999999999999"/>
    <n v="174.72"/>
    <n v="56.09"/>
    <d v="2025-08-06T00:00:00"/>
    <x v="1"/>
    <x v="1"/>
    <n v="26"/>
    <m/>
    <s v="Ok"/>
    <s v="No valorado"/>
    <s v="True"/>
    <s v="Size Issue"/>
    <n v="1"/>
    <n v="0"/>
    <x v="2"/>
    <n v="0"/>
  </r>
  <r>
    <s v="FB001192"/>
    <x v="3"/>
    <x v="4"/>
    <x v="0"/>
    <s v="XS"/>
    <x v="5"/>
    <x v="6"/>
    <n v="101"/>
    <x v="206"/>
    <n v="0.58599999999999997"/>
    <n v="41.81"/>
    <n v="59.19"/>
    <d v="2025-07-04T00:00:00"/>
    <x v="4"/>
    <x v="0"/>
    <n v="44"/>
    <n v="1.2"/>
    <s v="Ok"/>
    <n v="1.2"/>
    <s v="False"/>
    <m/>
    <n v="0"/>
    <n v="41.81"/>
    <x v="0"/>
    <n v="0"/>
  </r>
  <r>
    <s v="FB001193"/>
    <x v="0"/>
    <x v="3"/>
    <x v="1"/>
    <s v="XXL"/>
    <x v="4"/>
    <x v="10"/>
    <n v="116.37"/>
    <x v="332"/>
    <n v="0.52600000000000002"/>
    <n v="55.16"/>
    <n v="61.210000000000008"/>
    <d v="2025-08-06T00:00:00"/>
    <x v="1"/>
    <x v="1"/>
    <n v="43"/>
    <n v="2.4"/>
    <s v="Ok"/>
    <n v="2.4"/>
    <s v="False"/>
    <m/>
    <n v="0"/>
    <n v="55.16"/>
    <x v="0"/>
    <n v="0"/>
  </r>
  <r>
    <s v="FB001194"/>
    <x v="3"/>
    <x v="4"/>
    <x v="0"/>
    <s v="L"/>
    <x v="1"/>
    <x v="7"/>
    <n v="150.28"/>
    <x v="333"/>
    <n v="8.3000000000000004E-2"/>
    <n v="137.81"/>
    <n v="12.469999999999999"/>
    <d v="2025-01-22T00:00:00"/>
    <x v="1"/>
    <x v="5"/>
    <n v="48"/>
    <n v="2.9"/>
    <s v="Ok"/>
    <n v="2.9"/>
    <s v="False"/>
    <m/>
    <n v="0"/>
    <n v="137.81"/>
    <x v="0"/>
    <n v="0"/>
  </r>
  <r>
    <s v="FB001195"/>
    <x v="0"/>
    <x v="0"/>
    <x v="1"/>
    <s v="XL"/>
    <x v="0"/>
    <x v="4"/>
    <n v="107.81"/>
    <x v="0"/>
    <n v="0"/>
    <n v="107.81"/>
    <n v="0"/>
    <d v="2025-08-06T00:00:00"/>
    <x v="1"/>
    <x v="1"/>
    <n v="15"/>
    <n v="2.7"/>
    <s v="Ok"/>
    <n v="2.7"/>
    <s v="False"/>
    <m/>
    <n v="0"/>
    <n v="107.81"/>
    <x v="0"/>
    <n v="0"/>
  </r>
  <r>
    <s v="FB001196"/>
    <x v="5"/>
    <x v="0"/>
    <x v="0"/>
    <s v="L"/>
    <x v="1"/>
    <x v="8"/>
    <n v="61.24"/>
    <x v="0"/>
    <n v="0"/>
    <n v="61.24"/>
    <n v="0"/>
    <d v="2025-04-05T00:00:00"/>
    <x v="0"/>
    <x v="4"/>
    <n v="3"/>
    <m/>
    <s v="Pocas Unidades"/>
    <s v="No valorado"/>
    <s v="False"/>
    <m/>
    <n v="0"/>
    <n v="61.24"/>
    <x v="0"/>
    <n v="0"/>
  </r>
  <r>
    <s v="FB001197"/>
    <x v="2"/>
    <x v="0"/>
    <x v="1"/>
    <m/>
    <x v="2"/>
    <x v="6"/>
    <n v="34.04"/>
    <x v="0"/>
    <n v="0"/>
    <n v="34.04"/>
    <n v="0"/>
    <d v="2025-08-06T00:00:00"/>
    <x v="1"/>
    <x v="1"/>
    <n v="3"/>
    <n v="1.9"/>
    <s v="Pocas Unidades"/>
    <n v="1.9"/>
    <s v="False"/>
    <m/>
    <n v="0"/>
    <n v="34.04"/>
    <x v="0"/>
    <n v="0"/>
  </r>
  <r>
    <s v="FB001198"/>
    <x v="5"/>
    <x v="6"/>
    <x v="3"/>
    <s v="S"/>
    <x v="3"/>
    <x v="10"/>
    <n v="168.16"/>
    <x v="51"/>
    <n v="0.45899999999999996"/>
    <n v="90.97"/>
    <n v="77.19"/>
    <d v="2025-08-06T00:00:00"/>
    <x v="1"/>
    <x v="1"/>
    <n v="44"/>
    <n v="1.5"/>
    <s v="Ok"/>
    <n v="1.5"/>
    <s v="False"/>
    <m/>
    <n v="0"/>
    <n v="90.97"/>
    <x v="0"/>
    <n v="0"/>
  </r>
  <r>
    <s v="FB001199"/>
    <x v="1"/>
    <x v="5"/>
    <x v="2"/>
    <s v="M"/>
    <x v="6"/>
    <x v="0"/>
    <n v="74.069999999999993"/>
    <x v="0"/>
    <n v="0"/>
    <n v="74.069999999999993"/>
    <n v="0"/>
    <d v="2025-08-06T00:00:00"/>
    <x v="1"/>
    <x v="1"/>
    <n v="47"/>
    <n v="1.4"/>
    <s v="Ok"/>
    <n v="1.4"/>
    <s v="False"/>
    <m/>
    <n v="0"/>
    <n v="74.069999999999993"/>
    <x v="0"/>
    <n v="0"/>
  </r>
  <r>
    <s v="FB001200"/>
    <x v="1"/>
    <x v="7"/>
    <x v="1"/>
    <s v="XXL"/>
    <x v="4"/>
    <x v="10"/>
    <n v="84.75"/>
    <x v="0"/>
    <n v="0"/>
    <n v="84.75"/>
    <n v="0"/>
    <d v="2025-08-06T00:00:00"/>
    <x v="1"/>
    <x v="1"/>
    <n v="7"/>
    <n v="2.5"/>
    <s v="Pocas Unidades"/>
    <n v="2.5"/>
    <s v="False"/>
    <m/>
    <n v="0"/>
    <n v="84.75"/>
    <x v="0"/>
    <n v="0"/>
  </r>
  <r>
    <s v="FB001201"/>
    <x v="3"/>
    <x v="3"/>
    <x v="3"/>
    <s v="M"/>
    <x v="6"/>
    <x v="0"/>
    <n v="187.47"/>
    <x v="226"/>
    <n v="9.6000000000000002E-2"/>
    <n v="169.47"/>
    <n v="18"/>
    <d v="2025-08-06T00:00:00"/>
    <x v="1"/>
    <x v="1"/>
    <n v="28"/>
    <n v="4"/>
    <s v="Ok"/>
    <n v="4"/>
    <s v="False"/>
    <m/>
    <n v="0"/>
    <n v="169.47"/>
    <x v="0"/>
    <n v="0"/>
  </r>
  <r>
    <s v="FB001202"/>
    <x v="2"/>
    <x v="1"/>
    <x v="0"/>
    <m/>
    <x v="2"/>
    <x v="6"/>
    <n v="45.81"/>
    <x v="105"/>
    <n v="0.14099999999999999"/>
    <n v="39.35"/>
    <n v="6.4600000000000009"/>
    <d v="2025-04-14T00:00:00"/>
    <x v="2"/>
    <x v="4"/>
    <n v="29"/>
    <m/>
    <s v="Ok"/>
    <s v="No valorado"/>
    <s v="False"/>
    <m/>
    <n v="0"/>
    <n v="39.35"/>
    <x v="0"/>
    <n v="0"/>
  </r>
  <r>
    <s v="FB001203"/>
    <x v="0"/>
    <x v="2"/>
    <x v="2"/>
    <s v="XL"/>
    <x v="0"/>
    <x v="10"/>
    <n v="87.09"/>
    <x v="0"/>
    <n v="0"/>
    <n v="87.09"/>
    <n v="0"/>
    <d v="2025-08-06T00:00:00"/>
    <x v="1"/>
    <x v="1"/>
    <n v="8"/>
    <n v="2.8"/>
    <s v="Pocas Unidades"/>
    <n v="2.8"/>
    <s v="False"/>
    <m/>
    <n v="0"/>
    <n v="87.09"/>
    <x v="0"/>
    <n v="0"/>
  </r>
  <r>
    <s v="FB001204"/>
    <x v="0"/>
    <x v="4"/>
    <x v="3"/>
    <s v="XS"/>
    <x v="5"/>
    <x v="10"/>
    <n v="232.5"/>
    <x v="334"/>
    <n v="0.56799999999999995"/>
    <n v="100.44"/>
    <n v="132.06"/>
    <d v="2025-08-06T00:00:00"/>
    <x v="1"/>
    <x v="1"/>
    <n v="23"/>
    <n v="2.9"/>
    <s v="Ok"/>
    <n v="2.9"/>
    <s v="True"/>
    <s v="Size Issue"/>
    <n v="1"/>
    <n v="0"/>
    <x v="2"/>
    <n v="0"/>
  </r>
  <r>
    <s v="FB001205"/>
    <x v="3"/>
    <x v="5"/>
    <x v="0"/>
    <s v="XS"/>
    <x v="5"/>
    <x v="9"/>
    <n v="184.87"/>
    <x v="0"/>
    <n v="0"/>
    <n v="184.87"/>
    <n v="0"/>
    <d v="2024-09-28T00:00:00"/>
    <x v="0"/>
    <x v="6"/>
    <n v="32"/>
    <n v="1.8"/>
    <s v="Ok"/>
    <n v="1.8"/>
    <s v="False"/>
    <m/>
    <n v="0"/>
    <n v="184.87"/>
    <x v="0"/>
    <n v="0"/>
  </r>
  <r>
    <s v="FB001206"/>
    <x v="1"/>
    <x v="6"/>
    <x v="2"/>
    <s v="XS"/>
    <x v="5"/>
    <x v="4"/>
    <n v="31.36"/>
    <x v="0"/>
    <n v="0"/>
    <n v="31.36"/>
    <n v="0"/>
    <d v="2025-08-06T00:00:00"/>
    <x v="1"/>
    <x v="1"/>
    <n v="50"/>
    <n v="3.4"/>
    <s v="Ok"/>
    <n v="3.4"/>
    <s v="False"/>
    <m/>
    <n v="0"/>
    <n v="31.36"/>
    <x v="0"/>
    <n v="0"/>
  </r>
  <r>
    <s v="FB001207"/>
    <x v="2"/>
    <x v="4"/>
    <x v="1"/>
    <m/>
    <x v="2"/>
    <x v="8"/>
    <n v="62.26"/>
    <x v="335"/>
    <n v="0.24600000000000002"/>
    <n v="46.94"/>
    <n v="15.32"/>
    <d v="2025-08-06T00:00:00"/>
    <x v="1"/>
    <x v="1"/>
    <n v="33"/>
    <n v="3.5"/>
    <s v="Ok"/>
    <n v="3.5"/>
    <s v="False"/>
    <m/>
    <n v="0"/>
    <n v="46.94"/>
    <x v="0"/>
    <n v="0"/>
  </r>
  <r>
    <s v="FB001208"/>
    <x v="2"/>
    <x v="3"/>
    <x v="3"/>
    <m/>
    <x v="2"/>
    <x v="8"/>
    <n v="64.819999999999993"/>
    <x v="109"/>
    <n v="0.42200000000000004"/>
    <n v="37.47"/>
    <n v="27.349999999999994"/>
    <d v="2025-08-06T00:00:00"/>
    <x v="1"/>
    <x v="1"/>
    <n v="26"/>
    <n v="1.3"/>
    <s v="Ok"/>
    <n v="1.3"/>
    <s v="False"/>
    <m/>
    <n v="0"/>
    <n v="37.47"/>
    <x v="0"/>
    <n v="0"/>
  </r>
  <r>
    <s v="FB001209"/>
    <x v="2"/>
    <x v="0"/>
    <x v="0"/>
    <m/>
    <x v="2"/>
    <x v="5"/>
    <n v="15.92"/>
    <x v="0"/>
    <n v="0"/>
    <n v="15.92"/>
    <n v="0"/>
    <d v="2024-09-06T00:00:00"/>
    <x v="4"/>
    <x v="6"/>
    <n v="7"/>
    <n v="4.0999999999999996"/>
    <s v="Pocas Unidades"/>
    <n v="4.0999999999999996"/>
    <s v="False"/>
    <m/>
    <n v="0"/>
    <n v="15.92"/>
    <x v="0"/>
    <n v="0"/>
  </r>
  <r>
    <s v="FB001210"/>
    <x v="0"/>
    <x v="4"/>
    <x v="0"/>
    <s v="M"/>
    <x v="6"/>
    <x v="9"/>
    <n v="180.83"/>
    <x v="0"/>
    <n v="0"/>
    <n v="180.83"/>
    <n v="0"/>
    <d v="2024-09-02T00:00:00"/>
    <x v="2"/>
    <x v="6"/>
    <n v="20"/>
    <n v="2"/>
    <s v="Ok"/>
    <n v="2"/>
    <s v="False"/>
    <m/>
    <n v="0"/>
    <n v="180.83"/>
    <x v="0"/>
    <n v="0"/>
  </r>
  <r>
    <s v="FB001211"/>
    <x v="3"/>
    <x v="7"/>
    <x v="3"/>
    <s v="L"/>
    <x v="1"/>
    <x v="10"/>
    <n v="73.81"/>
    <x v="0"/>
    <n v="0"/>
    <n v="73.81"/>
    <n v="0"/>
    <d v="2025-08-06T00:00:00"/>
    <x v="1"/>
    <x v="1"/>
    <n v="44"/>
    <n v="1.3"/>
    <s v="Ok"/>
    <n v="1.3"/>
    <s v="False"/>
    <m/>
    <n v="0"/>
    <n v="73.81"/>
    <x v="0"/>
    <n v="0"/>
  </r>
  <r>
    <s v="FB001212"/>
    <x v="3"/>
    <x v="5"/>
    <x v="3"/>
    <s v="XXL"/>
    <x v="4"/>
    <x v="7"/>
    <n v="127.52"/>
    <x v="0"/>
    <n v="0"/>
    <n v="127.52"/>
    <n v="0"/>
    <d v="2025-08-06T00:00:00"/>
    <x v="1"/>
    <x v="1"/>
    <n v="0"/>
    <n v="3.4"/>
    <s v="Agotado"/>
    <n v="3.4"/>
    <s v="False"/>
    <m/>
    <n v="0"/>
    <n v="127.52"/>
    <x v="0"/>
    <n v="0"/>
  </r>
  <r>
    <s v="FB001213"/>
    <x v="4"/>
    <x v="4"/>
    <x v="2"/>
    <m/>
    <x v="7"/>
    <x v="10"/>
    <n v="52.08"/>
    <x v="0"/>
    <n v="0"/>
    <n v="52.08"/>
    <n v="0"/>
    <d v="2025-08-06T00:00:00"/>
    <x v="1"/>
    <x v="1"/>
    <n v="12"/>
    <m/>
    <s v="Ok"/>
    <s v="No valorado"/>
    <s v="False"/>
    <m/>
    <n v="0"/>
    <n v="52.08"/>
    <x v="0"/>
    <n v="0"/>
  </r>
  <r>
    <s v="FB001214"/>
    <x v="4"/>
    <x v="7"/>
    <x v="1"/>
    <s v="XS"/>
    <x v="5"/>
    <x v="0"/>
    <n v="32.83"/>
    <x v="103"/>
    <n v="0.23"/>
    <n v="25.28"/>
    <n v="7.5499999999999972"/>
    <d v="2025-08-06T00:00:00"/>
    <x v="1"/>
    <x v="1"/>
    <n v="24"/>
    <n v="1.1000000000000001"/>
    <s v="Ok"/>
    <n v="1.1000000000000001"/>
    <s v="False"/>
    <m/>
    <n v="0"/>
    <n v="25.28"/>
    <x v="0"/>
    <n v="0"/>
  </r>
  <r>
    <s v="FB001215"/>
    <x v="1"/>
    <x v="2"/>
    <x v="1"/>
    <s v="S"/>
    <x v="3"/>
    <x v="9"/>
    <n v="108.92"/>
    <x v="0"/>
    <n v="0"/>
    <n v="108.92"/>
    <n v="0"/>
    <d v="2025-08-06T00:00:00"/>
    <x v="1"/>
    <x v="1"/>
    <n v="6"/>
    <n v="1.8"/>
    <s v="Pocas Unidades"/>
    <n v="1.8"/>
    <s v="False"/>
    <m/>
    <n v="0"/>
    <n v="108.92"/>
    <x v="0"/>
    <n v="0"/>
  </r>
  <r>
    <s v="FB001216"/>
    <x v="3"/>
    <x v="7"/>
    <x v="1"/>
    <m/>
    <x v="7"/>
    <x v="8"/>
    <n v="85.83"/>
    <x v="297"/>
    <n v="0.47499999999999998"/>
    <n v="45.06"/>
    <n v="40.769999999999996"/>
    <d v="2025-08-06T00:00:00"/>
    <x v="1"/>
    <x v="1"/>
    <n v="8"/>
    <n v="1.1000000000000001"/>
    <s v="Pocas Unidades"/>
    <n v="1.1000000000000001"/>
    <s v="False"/>
    <m/>
    <n v="0"/>
    <n v="45.06"/>
    <x v="0"/>
    <n v="0"/>
  </r>
  <r>
    <s v="FB001217"/>
    <x v="2"/>
    <x v="0"/>
    <x v="0"/>
    <m/>
    <x v="2"/>
    <x v="5"/>
    <n v="62.02"/>
    <x v="0"/>
    <n v="0"/>
    <n v="62.02"/>
    <n v="0"/>
    <d v="2025-04-25T00:00:00"/>
    <x v="4"/>
    <x v="4"/>
    <n v="3"/>
    <n v="3.7"/>
    <s v="Pocas Unidades"/>
    <n v="3.7"/>
    <s v="False"/>
    <m/>
    <n v="0"/>
    <n v="62.02"/>
    <x v="0"/>
    <n v="0"/>
  </r>
  <r>
    <s v="FB001218"/>
    <x v="3"/>
    <x v="4"/>
    <x v="3"/>
    <s v="XL"/>
    <x v="0"/>
    <x v="2"/>
    <n v="127.31"/>
    <x v="108"/>
    <n v="5.4000000000000006E-2"/>
    <n v="120.44"/>
    <n v="6.8700000000000045"/>
    <d v="2025-08-06T00:00:00"/>
    <x v="1"/>
    <x v="1"/>
    <n v="34"/>
    <n v="2.5"/>
    <s v="Ok"/>
    <n v="2.5"/>
    <s v="False"/>
    <m/>
    <n v="0"/>
    <n v="120.44"/>
    <x v="0"/>
    <n v="0"/>
  </r>
  <r>
    <s v="FB001219"/>
    <x v="1"/>
    <x v="5"/>
    <x v="2"/>
    <m/>
    <x v="7"/>
    <x v="0"/>
    <n v="35.74"/>
    <x v="0"/>
    <n v="0"/>
    <n v="35.74"/>
    <n v="0"/>
    <d v="2025-08-06T00:00:00"/>
    <x v="1"/>
    <x v="1"/>
    <n v="33"/>
    <m/>
    <s v="Ok"/>
    <s v="No valorado"/>
    <s v="True"/>
    <s v="Color Mismatch"/>
    <n v="1"/>
    <n v="0"/>
    <x v="1"/>
    <n v="0"/>
  </r>
  <r>
    <s v="FB001220"/>
    <x v="2"/>
    <x v="4"/>
    <x v="3"/>
    <m/>
    <x v="2"/>
    <x v="4"/>
    <n v="69.62"/>
    <x v="138"/>
    <n v="0.27899999999999997"/>
    <n v="50.2"/>
    <n v="19.420000000000002"/>
    <d v="2025-08-06T00:00:00"/>
    <x v="1"/>
    <x v="1"/>
    <n v="5"/>
    <n v="1.1000000000000001"/>
    <s v="Pocas Unidades"/>
    <n v="1.1000000000000001"/>
    <s v="False"/>
    <m/>
    <n v="0"/>
    <n v="50.2"/>
    <x v="0"/>
    <n v="0"/>
  </r>
  <r>
    <s v="FB001221"/>
    <x v="1"/>
    <x v="0"/>
    <x v="1"/>
    <s v="XXL"/>
    <x v="4"/>
    <x v="2"/>
    <n v="92.01"/>
    <x v="289"/>
    <n v="0.28800000000000003"/>
    <n v="65.510000000000005"/>
    <n v="26.5"/>
    <d v="2025-08-06T00:00:00"/>
    <x v="1"/>
    <x v="1"/>
    <n v="37"/>
    <n v="1.9"/>
    <s v="Ok"/>
    <n v="1.9"/>
    <s v="False"/>
    <m/>
    <n v="0"/>
    <n v="65.510000000000005"/>
    <x v="0"/>
    <n v="0"/>
  </r>
  <r>
    <s v="FB001222"/>
    <x v="3"/>
    <x v="3"/>
    <x v="2"/>
    <s v="M"/>
    <x v="6"/>
    <x v="2"/>
    <n v="110.1"/>
    <x v="0"/>
    <n v="0"/>
    <n v="110.1"/>
    <n v="0"/>
    <d v="2025-08-06T00:00:00"/>
    <x v="1"/>
    <x v="1"/>
    <n v="13"/>
    <n v="3.6"/>
    <s v="Ok"/>
    <n v="3.6"/>
    <s v="True"/>
    <s v="Changed Mind"/>
    <n v="1"/>
    <n v="0"/>
    <x v="5"/>
    <n v="0"/>
  </r>
  <r>
    <s v="FB001223"/>
    <x v="4"/>
    <x v="0"/>
    <x v="2"/>
    <s v="XXL"/>
    <x v="4"/>
    <x v="0"/>
    <n v="109.05"/>
    <x v="0"/>
    <n v="0"/>
    <n v="109.05"/>
    <n v="0"/>
    <d v="2025-08-06T00:00:00"/>
    <x v="1"/>
    <x v="1"/>
    <n v="13"/>
    <n v="3.7"/>
    <s v="Ok"/>
    <n v="3.7"/>
    <s v="False"/>
    <m/>
    <n v="0"/>
    <n v="109.05"/>
    <x v="0"/>
    <n v="0"/>
  </r>
  <r>
    <s v="FB001224"/>
    <x v="2"/>
    <x v="7"/>
    <x v="1"/>
    <m/>
    <x v="2"/>
    <x v="7"/>
    <n v="67.459999999999994"/>
    <x v="0"/>
    <n v="0"/>
    <n v="67.459999999999994"/>
    <n v="0"/>
    <d v="2025-08-06T00:00:00"/>
    <x v="1"/>
    <x v="1"/>
    <n v="28"/>
    <n v="1.4"/>
    <s v="Ok"/>
    <n v="1.4"/>
    <s v="False"/>
    <m/>
    <n v="0"/>
    <n v="67.459999999999994"/>
    <x v="0"/>
    <n v="0"/>
  </r>
  <r>
    <s v="FB001225"/>
    <x v="3"/>
    <x v="5"/>
    <x v="1"/>
    <s v="M"/>
    <x v="6"/>
    <x v="3"/>
    <n v="110.11"/>
    <x v="102"/>
    <n v="0.10199999999999999"/>
    <n v="98.88"/>
    <n v="11.230000000000004"/>
    <d v="2025-08-06T00:00:00"/>
    <x v="1"/>
    <x v="1"/>
    <n v="47"/>
    <m/>
    <s v="Ok"/>
    <s v="No valorado"/>
    <s v="False"/>
    <m/>
    <n v="0"/>
    <n v="98.88"/>
    <x v="0"/>
    <n v="0"/>
  </r>
  <r>
    <s v="FB001226"/>
    <x v="3"/>
    <x v="2"/>
    <x v="3"/>
    <s v="XL"/>
    <x v="0"/>
    <x v="3"/>
    <n v="162.5"/>
    <x v="0"/>
    <n v="0"/>
    <n v="162.5"/>
    <n v="0"/>
    <d v="2025-08-06T00:00:00"/>
    <x v="1"/>
    <x v="1"/>
    <n v="45"/>
    <m/>
    <s v="Ok"/>
    <s v="No valorado"/>
    <s v="False"/>
    <m/>
    <n v="0"/>
    <n v="162.5"/>
    <x v="0"/>
    <n v="0"/>
  </r>
  <r>
    <s v="FB001227"/>
    <x v="2"/>
    <x v="1"/>
    <x v="3"/>
    <m/>
    <x v="2"/>
    <x v="2"/>
    <n v="23.8"/>
    <x v="333"/>
    <n v="8.3000000000000004E-2"/>
    <n v="21.82"/>
    <n v="1.9800000000000004"/>
    <d v="2025-08-06T00:00:00"/>
    <x v="1"/>
    <x v="1"/>
    <n v="0"/>
    <n v="3.5"/>
    <s v="Agotado"/>
    <n v="3.5"/>
    <s v="False"/>
    <m/>
    <n v="0"/>
    <n v="21.82"/>
    <x v="0"/>
    <n v="0"/>
  </r>
  <r>
    <s v="FB001228"/>
    <x v="4"/>
    <x v="2"/>
    <x v="2"/>
    <s v="XS"/>
    <x v="5"/>
    <x v="10"/>
    <n v="115.89"/>
    <x v="0"/>
    <n v="0"/>
    <n v="115.89"/>
    <n v="0"/>
    <d v="2025-08-06T00:00:00"/>
    <x v="1"/>
    <x v="1"/>
    <n v="34"/>
    <n v="2.9"/>
    <s v="Ok"/>
    <n v="2.9"/>
    <s v="False"/>
    <m/>
    <n v="0"/>
    <n v="115.89"/>
    <x v="0"/>
    <n v="0"/>
  </r>
  <r>
    <s v="FB001229"/>
    <x v="0"/>
    <x v="4"/>
    <x v="0"/>
    <s v="M"/>
    <x v="6"/>
    <x v="0"/>
    <n v="139.19999999999999"/>
    <x v="173"/>
    <n v="0.42499999999999999"/>
    <n v="80.040000000000006"/>
    <n v="59.159999999999982"/>
    <d v="2024-10-02T00:00:00"/>
    <x v="1"/>
    <x v="2"/>
    <n v="27"/>
    <n v="2.9"/>
    <s v="Ok"/>
    <n v="2.9"/>
    <s v="False"/>
    <m/>
    <n v="0"/>
    <n v="80.040000000000006"/>
    <x v="0"/>
    <n v="0"/>
  </r>
  <r>
    <s v="FB001230"/>
    <x v="5"/>
    <x v="7"/>
    <x v="2"/>
    <s v="S"/>
    <x v="3"/>
    <x v="8"/>
    <n v="120.42"/>
    <x v="176"/>
    <n v="0.36700000000000005"/>
    <n v="76.23"/>
    <n v="44.19"/>
    <d v="2025-08-06T00:00:00"/>
    <x v="1"/>
    <x v="1"/>
    <n v="46"/>
    <n v="2.4"/>
    <s v="Ok"/>
    <n v="2.4"/>
    <s v="False"/>
    <m/>
    <n v="0"/>
    <n v="76.23"/>
    <x v="0"/>
    <n v="0"/>
  </r>
  <r>
    <s v="FB001231"/>
    <x v="2"/>
    <x v="2"/>
    <x v="2"/>
    <m/>
    <x v="2"/>
    <x v="7"/>
    <n v="72.81"/>
    <x v="0"/>
    <n v="0"/>
    <n v="72.81"/>
    <n v="0"/>
    <d v="2025-08-06T00:00:00"/>
    <x v="1"/>
    <x v="1"/>
    <n v="4"/>
    <n v="4.3"/>
    <s v="Pocas Unidades"/>
    <n v="4.3"/>
    <s v="False"/>
    <m/>
    <n v="0"/>
    <n v="72.81"/>
    <x v="0"/>
    <n v="0"/>
  </r>
  <r>
    <s v="FB001232"/>
    <x v="2"/>
    <x v="0"/>
    <x v="0"/>
    <m/>
    <x v="2"/>
    <x v="10"/>
    <n v="29.75"/>
    <x v="0"/>
    <n v="0"/>
    <n v="29.75"/>
    <n v="0"/>
    <d v="2025-02-07T00:00:00"/>
    <x v="4"/>
    <x v="9"/>
    <n v="37"/>
    <n v="3.9"/>
    <s v="Ok"/>
    <n v="3.9"/>
    <s v="False"/>
    <m/>
    <n v="0"/>
    <n v="29.75"/>
    <x v="0"/>
    <n v="0"/>
  </r>
  <r>
    <s v="FB001233"/>
    <x v="1"/>
    <x v="6"/>
    <x v="3"/>
    <s v="XL"/>
    <x v="0"/>
    <x v="2"/>
    <n v="33.630000000000003"/>
    <x v="0"/>
    <n v="0"/>
    <n v="33.630000000000003"/>
    <n v="0"/>
    <d v="2025-08-06T00:00:00"/>
    <x v="1"/>
    <x v="1"/>
    <n v="13"/>
    <n v="4.7"/>
    <s v="Ok"/>
    <n v="4.7"/>
    <s v="False"/>
    <m/>
    <n v="0"/>
    <n v="33.630000000000003"/>
    <x v="0"/>
    <n v="0"/>
  </r>
  <r>
    <s v="FB001234"/>
    <x v="0"/>
    <x v="2"/>
    <x v="2"/>
    <s v="S"/>
    <x v="3"/>
    <x v="10"/>
    <n v="101.93"/>
    <x v="0"/>
    <n v="0"/>
    <n v="101.93"/>
    <n v="0"/>
    <d v="2025-08-06T00:00:00"/>
    <x v="1"/>
    <x v="1"/>
    <n v="31"/>
    <m/>
    <s v="Ok"/>
    <s v="No valorado"/>
    <s v="False"/>
    <m/>
    <n v="0"/>
    <n v="101.93"/>
    <x v="0"/>
    <n v="0"/>
  </r>
  <r>
    <s v="FB001235"/>
    <x v="2"/>
    <x v="3"/>
    <x v="1"/>
    <m/>
    <x v="2"/>
    <x v="3"/>
    <n v="41.43"/>
    <x v="0"/>
    <n v="0"/>
    <n v="41.43"/>
    <n v="0"/>
    <d v="2025-08-06T00:00:00"/>
    <x v="1"/>
    <x v="1"/>
    <n v="10"/>
    <m/>
    <s v="Ok"/>
    <s v="No valorado"/>
    <s v="False"/>
    <m/>
    <n v="0"/>
    <n v="41.43"/>
    <x v="0"/>
    <n v="0"/>
  </r>
  <r>
    <s v="FB001236"/>
    <x v="0"/>
    <x v="5"/>
    <x v="0"/>
    <s v="L"/>
    <x v="1"/>
    <x v="6"/>
    <n v="126.14"/>
    <x v="0"/>
    <n v="0"/>
    <n v="126.14"/>
    <n v="0"/>
    <d v="2025-05-18T00:00:00"/>
    <x v="6"/>
    <x v="8"/>
    <n v="24"/>
    <n v="3.6"/>
    <s v="Ok"/>
    <n v="3.6"/>
    <s v="False"/>
    <m/>
    <n v="0"/>
    <n v="126.14"/>
    <x v="0"/>
    <n v="0"/>
  </r>
  <r>
    <s v="FB001237"/>
    <x v="4"/>
    <x v="0"/>
    <x v="0"/>
    <s v="M"/>
    <x v="6"/>
    <x v="9"/>
    <n v="96.76"/>
    <x v="0"/>
    <n v="0"/>
    <n v="96.76"/>
    <n v="0"/>
    <d v="2025-02-26T00:00:00"/>
    <x v="1"/>
    <x v="9"/>
    <n v="6"/>
    <m/>
    <s v="Pocas Unidades"/>
    <s v="No valorado"/>
    <s v="False"/>
    <m/>
    <n v="0"/>
    <n v="96.76"/>
    <x v="0"/>
    <n v="0"/>
  </r>
  <r>
    <s v="FB001238"/>
    <x v="1"/>
    <x v="3"/>
    <x v="1"/>
    <s v="XS"/>
    <x v="5"/>
    <x v="8"/>
    <n v="114.32"/>
    <x v="0"/>
    <n v="0"/>
    <n v="114.32"/>
    <n v="0"/>
    <d v="2025-08-06T00:00:00"/>
    <x v="1"/>
    <x v="1"/>
    <n v="27"/>
    <n v="5"/>
    <s v="Ok"/>
    <n v="5"/>
    <s v="False"/>
    <m/>
    <n v="0"/>
    <n v="114.32"/>
    <x v="0"/>
    <n v="0"/>
  </r>
  <r>
    <s v="FB001239"/>
    <x v="3"/>
    <x v="4"/>
    <x v="0"/>
    <s v="S"/>
    <x v="3"/>
    <x v="9"/>
    <n v="102.46"/>
    <x v="0"/>
    <n v="0"/>
    <n v="102.46"/>
    <n v="0"/>
    <d v="2024-12-17T00:00:00"/>
    <x v="3"/>
    <x v="10"/>
    <n v="20"/>
    <n v="3.7"/>
    <s v="Ok"/>
    <n v="3.7"/>
    <s v="True"/>
    <s v="Quality Issue"/>
    <n v="1"/>
    <n v="0"/>
    <x v="4"/>
    <n v="0"/>
  </r>
  <r>
    <s v="FB001240"/>
    <x v="4"/>
    <x v="1"/>
    <x v="3"/>
    <s v="L"/>
    <x v="1"/>
    <x v="1"/>
    <n v="95.7"/>
    <x v="336"/>
    <n v="0.15"/>
    <n v="81.34"/>
    <n v="14.36"/>
    <d v="2025-08-06T00:00:00"/>
    <x v="1"/>
    <x v="1"/>
    <n v="9"/>
    <n v="4.9000000000000004"/>
    <s v="Pocas Unidades"/>
    <n v="4.9000000000000004"/>
    <s v="False"/>
    <m/>
    <n v="0"/>
    <n v="81.34"/>
    <x v="0"/>
    <n v="0"/>
  </r>
  <r>
    <s v="FB001241"/>
    <x v="4"/>
    <x v="4"/>
    <x v="1"/>
    <s v="M"/>
    <x v="6"/>
    <x v="5"/>
    <n v="55.49"/>
    <x v="0"/>
    <n v="0"/>
    <n v="55.49"/>
    <n v="0"/>
    <d v="2025-08-06T00:00:00"/>
    <x v="1"/>
    <x v="1"/>
    <n v="25"/>
    <n v="4.5999999999999996"/>
    <s v="Ok"/>
    <n v="4.5999999999999996"/>
    <s v="False"/>
    <m/>
    <n v="0"/>
    <n v="55.49"/>
    <x v="0"/>
    <n v="0"/>
  </r>
  <r>
    <s v="FB001242"/>
    <x v="2"/>
    <x v="5"/>
    <x v="1"/>
    <m/>
    <x v="2"/>
    <x v="3"/>
    <n v="30.58"/>
    <x v="337"/>
    <n v="9.8000000000000004E-2"/>
    <n v="27.58"/>
    <n v="3"/>
    <d v="2025-08-06T00:00:00"/>
    <x v="1"/>
    <x v="1"/>
    <n v="34"/>
    <n v="3.4"/>
    <s v="Ok"/>
    <n v="3.4"/>
    <s v="False"/>
    <m/>
    <n v="0"/>
    <n v="27.58"/>
    <x v="0"/>
    <n v="0"/>
  </r>
  <r>
    <s v="FB001243"/>
    <x v="4"/>
    <x v="3"/>
    <x v="2"/>
    <s v="S"/>
    <x v="3"/>
    <x v="0"/>
    <n v="116.58"/>
    <x v="0"/>
    <n v="0"/>
    <n v="116.58"/>
    <n v="0"/>
    <d v="2025-08-06T00:00:00"/>
    <x v="1"/>
    <x v="1"/>
    <n v="47"/>
    <n v="1.2"/>
    <s v="Ok"/>
    <n v="1.2"/>
    <s v="False"/>
    <m/>
    <n v="0"/>
    <n v="116.58"/>
    <x v="0"/>
    <n v="0"/>
  </r>
  <r>
    <s v="FB001244"/>
    <x v="5"/>
    <x v="0"/>
    <x v="1"/>
    <s v="XL"/>
    <x v="0"/>
    <x v="8"/>
    <n v="79.180000000000007"/>
    <x v="338"/>
    <n v="0.21100000000000002"/>
    <n v="62.47"/>
    <n v="16.710000000000008"/>
    <d v="2025-08-06T00:00:00"/>
    <x v="1"/>
    <x v="1"/>
    <n v="36"/>
    <n v="1.5"/>
    <s v="Ok"/>
    <n v="1.5"/>
    <s v="True"/>
    <s v="Changed Mind"/>
    <n v="1"/>
    <n v="0"/>
    <x v="5"/>
    <n v="0"/>
  </r>
  <r>
    <s v="FB001245"/>
    <x v="5"/>
    <x v="7"/>
    <x v="3"/>
    <m/>
    <x v="7"/>
    <x v="8"/>
    <n v="88.71"/>
    <x v="0"/>
    <n v="0"/>
    <n v="88.71"/>
    <n v="0"/>
    <d v="2025-08-06T00:00:00"/>
    <x v="1"/>
    <x v="1"/>
    <n v="3"/>
    <n v="3.5"/>
    <s v="Pocas Unidades"/>
    <n v="3.5"/>
    <s v="False"/>
    <m/>
    <n v="0"/>
    <n v="88.71"/>
    <x v="0"/>
    <n v="0"/>
  </r>
  <r>
    <s v="FB001246"/>
    <x v="5"/>
    <x v="2"/>
    <x v="0"/>
    <s v="XXL"/>
    <x v="4"/>
    <x v="9"/>
    <n v="150.58000000000001"/>
    <x v="0"/>
    <n v="0"/>
    <n v="150.58000000000001"/>
    <n v="0"/>
    <d v="2024-12-19T00:00:00"/>
    <x v="5"/>
    <x v="10"/>
    <n v="38"/>
    <n v="2.1"/>
    <s v="Ok"/>
    <n v="2.1"/>
    <s v="False"/>
    <m/>
    <n v="0"/>
    <n v="150.58000000000001"/>
    <x v="0"/>
    <n v="0"/>
  </r>
  <r>
    <s v="FB001247"/>
    <x v="5"/>
    <x v="1"/>
    <x v="3"/>
    <s v="XXL"/>
    <x v="4"/>
    <x v="3"/>
    <n v="179.9"/>
    <x v="339"/>
    <n v="9.3000000000000013E-2"/>
    <n v="163.16999999999999"/>
    <n v="16.730000000000018"/>
    <d v="2025-08-06T00:00:00"/>
    <x v="1"/>
    <x v="1"/>
    <n v="34"/>
    <n v="2.1"/>
    <s v="Ok"/>
    <n v="2.1"/>
    <s v="False"/>
    <m/>
    <n v="0"/>
    <n v="163.16999999999999"/>
    <x v="0"/>
    <n v="0"/>
  </r>
  <r>
    <s v="FB001248"/>
    <x v="0"/>
    <x v="7"/>
    <x v="0"/>
    <s v="XL"/>
    <x v="0"/>
    <x v="0"/>
    <n v="135.30000000000001"/>
    <x v="0"/>
    <n v="0"/>
    <n v="135.30000000000001"/>
    <n v="0"/>
    <d v="2025-02-16T00:00:00"/>
    <x v="6"/>
    <x v="9"/>
    <n v="19"/>
    <n v="4.5999999999999996"/>
    <s v="Ok"/>
    <n v="4.5999999999999996"/>
    <s v="False"/>
    <m/>
    <n v="0"/>
    <n v="135.30000000000001"/>
    <x v="0"/>
    <n v="0"/>
  </r>
  <r>
    <s v="FB001249"/>
    <x v="3"/>
    <x v="1"/>
    <x v="2"/>
    <s v="XXL"/>
    <x v="4"/>
    <x v="2"/>
    <n v="146.43"/>
    <x v="0"/>
    <n v="0"/>
    <n v="146.43"/>
    <n v="0"/>
    <d v="2025-08-06T00:00:00"/>
    <x v="1"/>
    <x v="1"/>
    <n v="7"/>
    <n v="2.5"/>
    <s v="Pocas Unidades"/>
    <n v="2.5"/>
    <s v="False"/>
    <m/>
    <n v="0"/>
    <n v="146.43"/>
    <x v="0"/>
    <n v="0"/>
  </r>
  <r>
    <s v="FB001250"/>
    <x v="0"/>
    <x v="7"/>
    <x v="1"/>
    <s v="M"/>
    <x v="6"/>
    <x v="6"/>
    <n v="160.27000000000001"/>
    <x v="0"/>
    <n v="0"/>
    <n v="160.27000000000001"/>
    <n v="0"/>
    <d v="2025-08-06T00:00:00"/>
    <x v="1"/>
    <x v="1"/>
    <n v="11"/>
    <n v="2"/>
    <s v="Ok"/>
    <n v="2"/>
    <s v="False"/>
    <m/>
    <n v="0"/>
    <n v="160.27000000000001"/>
    <x v="0"/>
    <n v="0"/>
  </r>
  <r>
    <s v="FB001251"/>
    <x v="3"/>
    <x v="3"/>
    <x v="1"/>
    <s v="M"/>
    <x v="6"/>
    <x v="4"/>
    <n v="169.87"/>
    <x v="83"/>
    <n v="8.8000000000000009E-2"/>
    <n v="154.91999999999999"/>
    <n v="14.950000000000017"/>
    <d v="2025-08-06T00:00:00"/>
    <x v="1"/>
    <x v="1"/>
    <n v="36"/>
    <n v="2.1"/>
    <s v="Ok"/>
    <n v="2.1"/>
    <s v="False"/>
    <m/>
    <n v="0"/>
    <n v="154.91999999999999"/>
    <x v="0"/>
    <n v="0"/>
  </r>
  <r>
    <s v="FB001252"/>
    <x v="3"/>
    <x v="5"/>
    <x v="3"/>
    <m/>
    <x v="7"/>
    <x v="4"/>
    <n v="137.33000000000001"/>
    <x v="0"/>
    <n v="0"/>
    <n v="137.33000000000001"/>
    <n v="0"/>
    <d v="2025-08-06T00:00:00"/>
    <x v="1"/>
    <x v="1"/>
    <n v="35"/>
    <n v="4.5999999999999996"/>
    <s v="Ok"/>
    <n v="4.5999999999999996"/>
    <s v="False"/>
    <m/>
    <n v="0"/>
    <n v="137.33000000000001"/>
    <x v="0"/>
    <n v="0"/>
  </r>
  <r>
    <s v="FB001253"/>
    <x v="4"/>
    <x v="7"/>
    <x v="3"/>
    <s v="XXL"/>
    <x v="4"/>
    <x v="0"/>
    <n v="38.18"/>
    <x v="0"/>
    <n v="0"/>
    <n v="38.18"/>
    <n v="0"/>
    <d v="2025-08-06T00:00:00"/>
    <x v="1"/>
    <x v="1"/>
    <n v="38"/>
    <m/>
    <s v="Ok"/>
    <s v="No valorado"/>
    <s v="False"/>
    <m/>
    <n v="0"/>
    <n v="38.18"/>
    <x v="0"/>
    <n v="0"/>
  </r>
  <r>
    <s v="FB001254"/>
    <x v="1"/>
    <x v="0"/>
    <x v="3"/>
    <s v="XXL"/>
    <x v="4"/>
    <x v="5"/>
    <n v="40.619999999999997"/>
    <x v="340"/>
    <n v="0.20100000000000001"/>
    <n v="32.46"/>
    <n v="8.1599999999999966"/>
    <d v="2025-08-06T00:00:00"/>
    <x v="1"/>
    <x v="1"/>
    <n v="7"/>
    <m/>
    <s v="Pocas Unidades"/>
    <s v="No valorado"/>
    <s v="False"/>
    <m/>
    <n v="0"/>
    <n v="32.46"/>
    <x v="0"/>
    <n v="0"/>
  </r>
  <r>
    <s v="FB001255"/>
    <x v="4"/>
    <x v="4"/>
    <x v="1"/>
    <s v="XS"/>
    <x v="5"/>
    <x v="2"/>
    <n v="56.4"/>
    <x v="341"/>
    <n v="0.23300000000000001"/>
    <n v="43.26"/>
    <n v="13.14"/>
    <d v="2025-08-06T00:00:00"/>
    <x v="1"/>
    <x v="1"/>
    <n v="35"/>
    <m/>
    <s v="Ok"/>
    <s v="No valorado"/>
    <s v="False"/>
    <m/>
    <n v="0"/>
    <n v="43.26"/>
    <x v="0"/>
    <n v="0"/>
  </r>
  <r>
    <s v="FB001256"/>
    <x v="2"/>
    <x v="7"/>
    <x v="3"/>
    <m/>
    <x v="2"/>
    <x v="6"/>
    <n v="19.559999999999999"/>
    <x v="0"/>
    <n v="0"/>
    <n v="19.559999999999999"/>
    <n v="0"/>
    <d v="2025-08-06T00:00:00"/>
    <x v="1"/>
    <x v="1"/>
    <n v="13"/>
    <n v="3.1"/>
    <s v="Ok"/>
    <n v="3.1"/>
    <s v="False"/>
    <m/>
    <n v="0"/>
    <n v="19.559999999999999"/>
    <x v="0"/>
    <n v="0"/>
  </r>
  <r>
    <s v="FB001257"/>
    <x v="3"/>
    <x v="4"/>
    <x v="1"/>
    <s v="L"/>
    <x v="1"/>
    <x v="3"/>
    <n v="155.66"/>
    <x v="0"/>
    <n v="0"/>
    <n v="155.66"/>
    <n v="0"/>
    <d v="2025-08-06T00:00:00"/>
    <x v="1"/>
    <x v="1"/>
    <n v="3"/>
    <n v="4"/>
    <s v="Pocas Unidades"/>
    <n v="4"/>
    <s v="False"/>
    <m/>
    <n v="0"/>
    <n v="155.66"/>
    <x v="0"/>
    <n v="0"/>
  </r>
  <r>
    <s v="FB001258"/>
    <x v="1"/>
    <x v="0"/>
    <x v="3"/>
    <s v="S"/>
    <x v="3"/>
    <x v="9"/>
    <n v="106.2"/>
    <x v="0"/>
    <n v="0"/>
    <n v="106.2"/>
    <n v="0"/>
    <d v="2025-08-06T00:00:00"/>
    <x v="1"/>
    <x v="1"/>
    <n v="10"/>
    <n v="1.1000000000000001"/>
    <s v="Ok"/>
    <n v="1.1000000000000001"/>
    <s v="False"/>
    <m/>
    <n v="0"/>
    <n v="106.2"/>
    <x v="0"/>
    <n v="0"/>
  </r>
  <r>
    <s v="FB001259"/>
    <x v="0"/>
    <x v="5"/>
    <x v="2"/>
    <s v="XXL"/>
    <x v="4"/>
    <x v="8"/>
    <n v="158.31"/>
    <x v="0"/>
    <n v="0"/>
    <n v="158.31"/>
    <n v="0"/>
    <d v="2025-08-06T00:00:00"/>
    <x v="1"/>
    <x v="1"/>
    <n v="7"/>
    <n v="5"/>
    <s v="Pocas Unidades"/>
    <n v="5"/>
    <s v="False"/>
    <m/>
    <n v="0"/>
    <n v="158.31"/>
    <x v="0"/>
    <n v="0"/>
  </r>
  <r>
    <s v="FB001260"/>
    <x v="5"/>
    <x v="3"/>
    <x v="0"/>
    <s v="XL"/>
    <x v="0"/>
    <x v="1"/>
    <n v="102.3"/>
    <x v="109"/>
    <n v="0.42200000000000004"/>
    <n v="59.13"/>
    <n v="43.169999999999995"/>
    <d v="2025-05-30T00:00:00"/>
    <x v="4"/>
    <x v="8"/>
    <n v="43"/>
    <n v="1.3"/>
    <s v="Ok"/>
    <n v="1.3"/>
    <s v="False"/>
    <m/>
    <n v="0"/>
    <n v="59.13"/>
    <x v="0"/>
    <n v="0"/>
  </r>
  <r>
    <s v="FB001261"/>
    <x v="2"/>
    <x v="6"/>
    <x v="2"/>
    <m/>
    <x v="2"/>
    <x v="8"/>
    <n v="53.46"/>
    <x v="342"/>
    <n v="0.57999999999999996"/>
    <n v="22.45"/>
    <n v="31.01"/>
    <d v="2025-08-06T00:00:00"/>
    <x v="1"/>
    <x v="1"/>
    <n v="6"/>
    <n v="4.2"/>
    <s v="Pocas Unidades"/>
    <n v="4.2"/>
    <s v="False"/>
    <m/>
    <n v="0"/>
    <n v="22.45"/>
    <x v="0"/>
    <n v="0"/>
  </r>
  <r>
    <s v="FB001262"/>
    <x v="5"/>
    <x v="1"/>
    <x v="3"/>
    <s v="XS"/>
    <x v="5"/>
    <x v="5"/>
    <n v="101.78"/>
    <x v="343"/>
    <n v="0.22899999999999998"/>
    <n v="78.47"/>
    <n v="23.310000000000002"/>
    <d v="2025-08-06T00:00:00"/>
    <x v="1"/>
    <x v="1"/>
    <n v="5"/>
    <n v="1.2"/>
    <s v="Pocas Unidades"/>
    <n v="1.2"/>
    <s v="True"/>
    <s v="Damaged"/>
    <n v="1"/>
    <n v="0"/>
    <x v="3"/>
    <n v="0"/>
  </r>
  <r>
    <s v="FB001263"/>
    <x v="0"/>
    <x v="2"/>
    <x v="3"/>
    <s v="M"/>
    <x v="6"/>
    <x v="4"/>
    <n v="112.28"/>
    <x v="0"/>
    <n v="0"/>
    <n v="112.28"/>
    <n v="0"/>
    <d v="2025-08-06T00:00:00"/>
    <x v="1"/>
    <x v="1"/>
    <n v="41"/>
    <n v="4.0999999999999996"/>
    <s v="Ok"/>
    <n v="4.0999999999999996"/>
    <s v="False"/>
    <m/>
    <n v="0"/>
    <n v="112.28"/>
    <x v="0"/>
    <n v="0"/>
  </r>
  <r>
    <s v="FB001264"/>
    <x v="2"/>
    <x v="2"/>
    <x v="1"/>
    <m/>
    <x v="2"/>
    <x v="1"/>
    <n v="47.51"/>
    <x v="0"/>
    <n v="0"/>
    <n v="47.51"/>
    <n v="0"/>
    <d v="2025-08-06T00:00:00"/>
    <x v="1"/>
    <x v="1"/>
    <n v="39"/>
    <n v="4.4000000000000004"/>
    <s v="Ok"/>
    <n v="4.4000000000000004"/>
    <s v="False"/>
    <m/>
    <n v="0"/>
    <n v="47.51"/>
    <x v="0"/>
    <n v="0"/>
  </r>
  <r>
    <s v="FB001265"/>
    <x v="1"/>
    <x v="1"/>
    <x v="1"/>
    <s v="XXL"/>
    <x v="4"/>
    <x v="7"/>
    <n v="80.39"/>
    <x v="0"/>
    <n v="0"/>
    <n v="80.39"/>
    <n v="0"/>
    <d v="2025-08-06T00:00:00"/>
    <x v="1"/>
    <x v="1"/>
    <n v="24"/>
    <m/>
    <s v="Ok"/>
    <s v="No valorado"/>
    <s v="False"/>
    <m/>
    <n v="0"/>
    <n v="80.39"/>
    <x v="0"/>
    <n v="0"/>
  </r>
  <r>
    <s v="FB001266"/>
    <x v="4"/>
    <x v="3"/>
    <x v="1"/>
    <s v="L"/>
    <x v="1"/>
    <x v="0"/>
    <n v="64.75"/>
    <x v="208"/>
    <n v="0.26400000000000001"/>
    <n v="47.66"/>
    <n v="17.090000000000003"/>
    <d v="2025-08-06T00:00:00"/>
    <x v="1"/>
    <x v="1"/>
    <n v="7"/>
    <n v="2.9"/>
    <s v="Pocas Unidades"/>
    <n v="2.9"/>
    <s v="True"/>
    <s v="Wrong Item"/>
    <n v="1"/>
    <n v="0"/>
    <x v="6"/>
    <n v="0"/>
  </r>
  <r>
    <s v="FB001267"/>
    <x v="0"/>
    <x v="0"/>
    <x v="1"/>
    <s v="L"/>
    <x v="1"/>
    <x v="0"/>
    <n v="129.86000000000001"/>
    <x v="0"/>
    <n v="0"/>
    <n v="129.86000000000001"/>
    <n v="0"/>
    <d v="2025-08-06T00:00:00"/>
    <x v="1"/>
    <x v="1"/>
    <n v="41"/>
    <n v="1.7"/>
    <s v="Ok"/>
    <n v="1.7"/>
    <s v="False"/>
    <m/>
    <n v="0"/>
    <n v="129.86000000000001"/>
    <x v="0"/>
    <n v="0"/>
  </r>
  <r>
    <s v="FB001268"/>
    <x v="4"/>
    <x v="2"/>
    <x v="0"/>
    <s v="L"/>
    <x v="1"/>
    <x v="6"/>
    <n v="32.74"/>
    <x v="0"/>
    <n v="0"/>
    <n v="32.74"/>
    <n v="0"/>
    <d v="2024-08-12T00:00:00"/>
    <x v="2"/>
    <x v="1"/>
    <n v="23"/>
    <n v="4"/>
    <s v="Ok"/>
    <n v="4"/>
    <s v="True"/>
    <s v="Damaged"/>
    <n v="1"/>
    <n v="0"/>
    <x v="3"/>
    <n v="0"/>
  </r>
  <r>
    <s v="FB001269"/>
    <x v="4"/>
    <x v="1"/>
    <x v="0"/>
    <s v="L"/>
    <x v="1"/>
    <x v="5"/>
    <n v="79.27"/>
    <x v="0"/>
    <n v="0"/>
    <n v="79.27"/>
    <n v="0"/>
    <d v="2025-05-11T00:00:00"/>
    <x v="6"/>
    <x v="8"/>
    <n v="13"/>
    <n v="3.5"/>
    <s v="Ok"/>
    <n v="3.5"/>
    <s v="False"/>
    <m/>
    <n v="0"/>
    <n v="79.27"/>
    <x v="0"/>
    <n v="0"/>
  </r>
  <r>
    <s v="FB001270"/>
    <x v="1"/>
    <x v="7"/>
    <x v="0"/>
    <s v="S"/>
    <x v="3"/>
    <x v="7"/>
    <n v="119.38"/>
    <x v="0"/>
    <n v="0"/>
    <n v="119.38"/>
    <n v="0"/>
    <d v="2025-02-20T00:00:00"/>
    <x v="5"/>
    <x v="9"/>
    <n v="18"/>
    <n v="4.4000000000000004"/>
    <s v="Ok"/>
    <n v="4.4000000000000004"/>
    <s v="False"/>
    <m/>
    <n v="0"/>
    <n v="119.38"/>
    <x v="0"/>
    <n v="0"/>
  </r>
  <r>
    <s v="FB001271"/>
    <x v="5"/>
    <x v="4"/>
    <x v="1"/>
    <s v="S"/>
    <x v="3"/>
    <x v="3"/>
    <n v="66.17"/>
    <x v="0"/>
    <n v="0"/>
    <n v="66.17"/>
    <n v="0"/>
    <d v="2025-08-06T00:00:00"/>
    <x v="1"/>
    <x v="1"/>
    <n v="1"/>
    <m/>
    <s v="Pocas Unidades"/>
    <s v="No valorado"/>
    <s v="False"/>
    <m/>
    <n v="0"/>
    <n v="66.17"/>
    <x v="0"/>
    <n v="0"/>
  </r>
  <r>
    <s v="FB001272"/>
    <x v="2"/>
    <x v="4"/>
    <x v="2"/>
    <m/>
    <x v="2"/>
    <x v="9"/>
    <n v="68.3"/>
    <x v="344"/>
    <n v="0.08"/>
    <n v="62.84"/>
    <n v="5.4599999999999937"/>
    <d v="2025-08-06T00:00:00"/>
    <x v="1"/>
    <x v="1"/>
    <n v="18"/>
    <n v="3.1"/>
    <s v="Ok"/>
    <n v="3.1"/>
    <s v="False"/>
    <m/>
    <n v="0"/>
    <n v="62.84"/>
    <x v="0"/>
    <n v="0"/>
  </r>
  <r>
    <s v="FB001273"/>
    <x v="0"/>
    <x v="3"/>
    <x v="2"/>
    <s v="L"/>
    <x v="1"/>
    <x v="9"/>
    <n v="209.66"/>
    <x v="0"/>
    <n v="0"/>
    <n v="209.66"/>
    <n v="0"/>
    <d v="2025-08-06T00:00:00"/>
    <x v="1"/>
    <x v="1"/>
    <n v="30"/>
    <n v="2.1"/>
    <s v="Ok"/>
    <n v="2.1"/>
    <s v="False"/>
    <m/>
    <n v="0"/>
    <n v="209.66"/>
    <x v="0"/>
    <n v="0"/>
  </r>
  <r>
    <s v="FB001274"/>
    <x v="3"/>
    <x v="1"/>
    <x v="3"/>
    <s v="XS"/>
    <x v="5"/>
    <x v="5"/>
    <n v="154.82"/>
    <x v="0"/>
    <n v="0"/>
    <n v="154.82"/>
    <n v="0"/>
    <d v="2025-08-06T00:00:00"/>
    <x v="1"/>
    <x v="1"/>
    <n v="31"/>
    <m/>
    <s v="Ok"/>
    <s v="No valorado"/>
    <s v="False"/>
    <m/>
    <n v="0"/>
    <n v="154.82"/>
    <x v="0"/>
    <n v="0"/>
  </r>
  <r>
    <s v="FB001275"/>
    <x v="4"/>
    <x v="4"/>
    <x v="1"/>
    <s v="S"/>
    <x v="3"/>
    <x v="4"/>
    <n v="37.53"/>
    <x v="0"/>
    <n v="0"/>
    <n v="37.53"/>
    <n v="0"/>
    <d v="2025-08-06T00:00:00"/>
    <x v="1"/>
    <x v="1"/>
    <n v="8"/>
    <n v="3"/>
    <s v="Pocas Unidades"/>
    <n v="3"/>
    <s v="True"/>
    <s v="Changed Mind"/>
    <n v="1"/>
    <n v="0"/>
    <x v="5"/>
    <n v="0"/>
  </r>
  <r>
    <s v="FB001276"/>
    <x v="3"/>
    <x v="0"/>
    <x v="3"/>
    <s v="XS"/>
    <x v="5"/>
    <x v="2"/>
    <n v="140.28"/>
    <x v="0"/>
    <n v="0"/>
    <n v="140.28"/>
    <n v="0"/>
    <d v="2025-08-06T00:00:00"/>
    <x v="1"/>
    <x v="1"/>
    <n v="10"/>
    <n v="1.9"/>
    <s v="Ok"/>
    <n v="1.9"/>
    <s v="False"/>
    <m/>
    <n v="0"/>
    <n v="140.28"/>
    <x v="0"/>
    <n v="0"/>
  </r>
  <r>
    <s v="FB001277"/>
    <x v="3"/>
    <x v="1"/>
    <x v="3"/>
    <s v="XS"/>
    <x v="5"/>
    <x v="3"/>
    <n v="171.07"/>
    <x v="0"/>
    <n v="0"/>
    <n v="171.07"/>
    <n v="0"/>
    <d v="2025-08-06T00:00:00"/>
    <x v="1"/>
    <x v="1"/>
    <n v="25"/>
    <n v="3"/>
    <s v="Ok"/>
    <n v="3"/>
    <s v="False"/>
    <m/>
    <n v="0"/>
    <n v="171.07"/>
    <x v="0"/>
    <n v="0"/>
  </r>
  <r>
    <s v="FB001278"/>
    <x v="1"/>
    <x v="0"/>
    <x v="3"/>
    <s v="M"/>
    <x v="6"/>
    <x v="9"/>
    <n v="77.87"/>
    <x v="0"/>
    <n v="0"/>
    <n v="77.87"/>
    <n v="0"/>
    <d v="2025-08-06T00:00:00"/>
    <x v="1"/>
    <x v="1"/>
    <n v="4"/>
    <n v="2.7"/>
    <s v="Pocas Unidades"/>
    <n v="2.7"/>
    <s v="False"/>
    <m/>
    <n v="0"/>
    <n v="77.87"/>
    <x v="0"/>
    <n v="0"/>
  </r>
  <r>
    <s v="FB001279"/>
    <x v="1"/>
    <x v="4"/>
    <x v="0"/>
    <s v="XL"/>
    <x v="0"/>
    <x v="8"/>
    <n v="80.540000000000006"/>
    <x v="0"/>
    <n v="0"/>
    <n v="80.540000000000006"/>
    <n v="0"/>
    <d v="2024-12-10T00:00:00"/>
    <x v="3"/>
    <x v="10"/>
    <n v="50"/>
    <n v="2.1"/>
    <s v="Ok"/>
    <n v="2.1"/>
    <s v="False"/>
    <m/>
    <n v="0"/>
    <n v="80.540000000000006"/>
    <x v="0"/>
    <n v="0"/>
  </r>
  <r>
    <s v="FB001280"/>
    <x v="4"/>
    <x v="1"/>
    <x v="3"/>
    <s v="S"/>
    <x v="3"/>
    <x v="3"/>
    <n v="48.68"/>
    <x v="90"/>
    <n v="0.41700000000000004"/>
    <n v="28.38"/>
    <n v="20.3"/>
    <d v="2025-08-06T00:00:00"/>
    <x v="1"/>
    <x v="1"/>
    <n v="20"/>
    <n v="1.3"/>
    <s v="Ok"/>
    <n v="1.3"/>
    <s v="True"/>
    <s v="Damaged"/>
    <n v="1"/>
    <n v="0"/>
    <x v="3"/>
    <n v="0"/>
  </r>
  <r>
    <s v="FB001281"/>
    <x v="3"/>
    <x v="5"/>
    <x v="1"/>
    <s v="XS"/>
    <x v="5"/>
    <x v="9"/>
    <n v="137.83000000000001"/>
    <x v="0"/>
    <n v="0"/>
    <n v="137.83000000000001"/>
    <n v="0"/>
    <d v="2025-08-06T00:00:00"/>
    <x v="1"/>
    <x v="1"/>
    <n v="32"/>
    <n v="3.4"/>
    <s v="Ok"/>
    <n v="3.4"/>
    <s v="True"/>
    <s v="Changed Mind"/>
    <n v="1"/>
    <n v="0"/>
    <x v="5"/>
    <n v="0"/>
  </r>
  <r>
    <s v="FB001282"/>
    <x v="4"/>
    <x v="0"/>
    <x v="2"/>
    <s v="XXL"/>
    <x v="4"/>
    <x v="10"/>
    <n v="96.88"/>
    <x v="201"/>
    <n v="0.44799999999999995"/>
    <n v="53.48"/>
    <n v="43.4"/>
    <d v="2025-08-06T00:00:00"/>
    <x v="1"/>
    <x v="1"/>
    <n v="15"/>
    <n v="1.3"/>
    <s v="Ok"/>
    <n v="1.3"/>
    <s v="False"/>
    <m/>
    <n v="0"/>
    <n v="53.48"/>
    <x v="0"/>
    <n v="0"/>
  </r>
  <r>
    <s v="FB001283"/>
    <x v="1"/>
    <x v="4"/>
    <x v="0"/>
    <s v="XL"/>
    <x v="0"/>
    <x v="5"/>
    <n v="46.44"/>
    <x v="117"/>
    <n v="0.36799999999999999"/>
    <n v="29.35"/>
    <n v="17.089999999999996"/>
    <d v="2025-03-11T00:00:00"/>
    <x v="3"/>
    <x v="3"/>
    <n v="19"/>
    <n v="1.9"/>
    <s v="Ok"/>
    <n v="1.9"/>
    <s v="False"/>
    <m/>
    <n v="0"/>
    <n v="29.35"/>
    <x v="0"/>
    <n v="0"/>
  </r>
  <r>
    <s v="FB001284"/>
    <x v="4"/>
    <x v="6"/>
    <x v="1"/>
    <s v="L"/>
    <x v="1"/>
    <x v="10"/>
    <n v="86.4"/>
    <x v="0"/>
    <n v="0"/>
    <n v="86.4"/>
    <n v="0"/>
    <d v="2025-08-06T00:00:00"/>
    <x v="1"/>
    <x v="1"/>
    <n v="26"/>
    <n v="3.7"/>
    <s v="Ok"/>
    <n v="3.7"/>
    <s v="False"/>
    <m/>
    <n v="0"/>
    <n v="86.4"/>
    <x v="0"/>
    <n v="0"/>
  </r>
  <r>
    <s v="FB001285"/>
    <x v="4"/>
    <x v="3"/>
    <x v="2"/>
    <s v="XXL"/>
    <x v="4"/>
    <x v="6"/>
    <n v="113.83"/>
    <x v="345"/>
    <n v="0.51600000000000001"/>
    <n v="55.09"/>
    <n v="58.739999999999995"/>
    <d v="2025-08-06T00:00:00"/>
    <x v="1"/>
    <x v="1"/>
    <n v="12"/>
    <n v="2.9"/>
    <s v="Ok"/>
    <n v="2.9"/>
    <s v="False"/>
    <m/>
    <n v="0"/>
    <n v="55.09"/>
    <x v="0"/>
    <n v="0"/>
  </r>
  <r>
    <s v="FB001286"/>
    <x v="4"/>
    <x v="0"/>
    <x v="3"/>
    <s v="XS"/>
    <x v="5"/>
    <x v="9"/>
    <n v="64.680000000000007"/>
    <x v="139"/>
    <n v="0.42899999999999999"/>
    <n v="36.93"/>
    <n v="27.750000000000007"/>
    <d v="2025-08-06T00:00:00"/>
    <x v="1"/>
    <x v="1"/>
    <n v="36"/>
    <m/>
    <s v="Ok"/>
    <s v="No valorado"/>
    <s v="False"/>
    <m/>
    <n v="0"/>
    <n v="36.93"/>
    <x v="0"/>
    <n v="0"/>
  </r>
  <r>
    <s v="FB001287"/>
    <x v="3"/>
    <x v="7"/>
    <x v="2"/>
    <m/>
    <x v="7"/>
    <x v="7"/>
    <n v="123.23"/>
    <x v="0"/>
    <n v="0"/>
    <n v="123.23"/>
    <n v="0"/>
    <d v="2025-08-06T00:00:00"/>
    <x v="1"/>
    <x v="1"/>
    <n v="40"/>
    <n v="4.3"/>
    <s v="Ok"/>
    <n v="4.3"/>
    <s v="False"/>
    <m/>
    <n v="0"/>
    <n v="123.23"/>
    <x v="0"/>
    <n v="0"/>
  </r>
  <r>
    <s v="FB001288"/>
    <x v="2"/>
    <x v="5"/>
    <x v="1"/>
    <m/>
    <x v="2"/>
    <x v="0"/>
    <n v="69.69"/>
    <x v="0"/>
    <n v="0"/>
    <n v="69.69"/>
    <n v="0"/>
    <d v="2025-08-06T00:00:00"/>
    <x v="1"/>
    <x v="1"/>
    <n v="35"/>
    <n v="3"/>
    <s v="Ok"/>
    <n v="3"/>
    <s v="False"/>
    <m/>
    <n v="0"/>
    <n v="69.69"/>
    <x v="0"/>
    <n v="0"/>
  </r>
  <r>
    <s v="FB001289"/>
    <x v="2"/>
    <x v="2"/>
    <x v="1"/>
    <m/>
    <x v="2"/>
    <x v="6"/>
    <n v="46.15"/>
    <x v="11"/>
    <n v="0.24399999999999999"/>
    <n v="34.89"/>
    <n v="11.259999999999998"/>
    <d v="2025-08-06T00:00:00"/>
    <x v="1"/>
    <x v="1"/>
    <n v="31"/>
    <n v="4.4000000000000004"/>
    <s v="Ok"/>
    <n v="4.4000000000000004"/>
    <s v="True"/>
    <s v="Size Issue"/>
    <n v="1"/>
    <n v="0"/>
    <x v="2"/>
    <n v="0"/>
  </r>
  <r>
    <s v="FB001290"/>
    <x v="0"/>
    <x v="4"/>
    <x v="3"/>
    <s v="XS"/>
    <x v="5"/>
    <x v="8"/>
    <n v="229.8"/>
    <x v="0"/>
    <n v="0"/>
    <n v="229.8"/>
    <n v="0"/>
    <d v="2025-08-06T00:00:00"/>
    <x v="1"/>
    <x v="1"/>
    <n v="46"/>
    <n v="3.6"/>
    <s v="Ok"/>
    <n v="3.6"/>
    <s v="False"/>
    <m/>
    <n v="0"/>
    <n v="229.8"/>
    <x v="0"/>
    <n v="0"/>
  </r>
  <r>
    <s v="FB001291"/>
    <x v="0"/>
    <x v="1"/>
    <x v="2"/>
    <s v="XS"/>
    <x v="5"/>
    <x v="9"/>
    <n v="179.44"/>
    <x v="346"/>
    <n v="0.19600000000000001"/>
    <n v="144.27000000000001"/>
    <n v="35.169999999999987"/>
    <d v="2025-08-06T00:00:00"/>
    <x v="1"/>
    <x v="1"/>
    <n v="42"/>
    <n v="3"/>
    <s v="Ok"/>
    <n v="3"/>
    <s v="False"/>
    <m/>
    <n v="0"/>
    <n v="144.27000000000001"/>
    <x v="0"/>
    <n v="0"/>
  </r>
  <r>
    <s v="FB001292"/>
    <x v="3"/>
    <x v="2"/>
    <x v="2"/>
    <s v="L"/>
    <x v="1"/>
    <x v="6"/>
    <n v="80.959999999999994"/>
    <x v="304"/>
    <n v="0.56299999999999994"/>
    <n v="35.380000000000003"/>
    <n v="45.579999999999991"/>
    <d v="2025-08-06T00:00:00"/>
    <x v="1"/>
    <x v="1"/>
    <n v="41"/>
    <n v="2.2000000000000002"/>
    <s v="Ok"/>
    <n v="2.2000000000000002"/>
    <s v="True"/>
    <s v="Changed Mind"/>
    <n v="1"/>
    <n v="0"/>
    <x v="5"/>
    <n v="0"/>
  </r>
  <r>
    <s v="FB001293"/>
    <x v="4"/>
    <x v="1"/>
    <x v="2"/>
    <s v="L"/>
    <x v="1"/>
    <x v="6"/>
    <n v="62.3"/>
    <x v="347"/>
    <n v="0.192"/>
    <n v="50.34"/>
    <n v="11.959999999999994"/>
    <d v="2025-08-06T00:00:00"/>
    <x v="1"/>
    <x v="1"/>
    <n v="9"/>
    <n v="2.5"/>
    <s v="Pocas Unidades"/>
    <n v="2.5"/>
    <s v="False"/>
    <m/>
    <n v="0"/>
    <n v="50.34"/>
    <x v="0"/>
    <n v="0"/>
  </r>
  <r>
    <s v="FB001294"/>
    <x v="2"/>
    <x v="1"/>
    <x v="2"/>
    <m/>
    <x v="2"/>
    <x v="7"/>
    <n v="58.83"/>
    <x v="348"/>
    <n v="0.125"/>
    <n v="51.48"/>
    <n v="7.3500000000000014"/>
    <d v="2025-08-06T00:00:00"/>
    <x v="1"/>
    <x v="1"/>
    <n v="3"/>
    <n v="1.5"/>
    <s v="Pocas Unidades"/>
    <n v="1.5"/>
    <s v="False"/>
    <m/>
    <n v="0"/>
    <n v="51.48"/>
    <x v="0"/>
    <n v="0"/>
  </r>
  <r>
    <s v="FB001295"/>
    <x v="1"/>
    <x v="4"/>
    <x v="3"/>
    <s v="XXL"/>
    <x v="4"/>
    <x v="8"/>
    <n v="119.04"/>
    <x v="66"/>
    <n v="1.7000000000000001E-2"/>
    <n v="117.02"/>
    <n v="2.0200000000000102"/>
    <d v="2025-08-06T00:00:00"/>
    <x v="1"/>
    <x v="1"/>
    <n v="34"/>
    <n v="4.0999999999999996"/>
    <s v="Ok"/>
    <n v="4.0999999999999996"/>
    <s v="False"/>
    <m/>
    <n v="0"/>
    <n v="117.02"/>
    <x v="0"/>
    <n v="0"/>
  </r>
  <r>
    <s v="FB001296"/>
    <x v="0"/>
    <x v="0"/>
    <x v="3"/>
    <s v="S"/>
    <x v="3"/>
    <x v="8"/>
    <n v="80.540000000000006"/>
    <x v="0"/>
    <n v="0"/>
    <n v="80.540000000000006"/>
    <n v="0"/>
    <d v="2025-08-06T00:00:00"/>
    <x v="1"/>
    <x v="1"/>
    <n v="3"/>
    <n v="1.8"/>
    <s v="Pocas Unidades"/>
    <n v="1.8"/>
    <s v="True"/>
    <s v="Size Issue"/>
    <n v="1"/>
    <n v="0"/>
    <x v="2"/>
    <n v="0"/>
  </r>
  <r>
    <s v="FB001297"/>
    <x v="4"/>
    <x v="2"/>
    <x v="1"/>
    <s v="XS"/>
    <x v="5"/>
    <x v="2"/>
    <n v="47.32"/>
    <x v="349"/>
    <n v="0.25700000000000001"/>
    <n v="35.159999999999997"/>
    <n v="12.160000000000004"/>
    <d v="2025-08-06T00:00:00"/>
    <x v="1"/>
    <x v="1"/>
    <n v="2"/>
    <n v="3.2"/>
    <s v="Pocas Unidades"/>
    <n v="3.2"/>
    <s v="False"/>
    <m/>
    <n v="0"/>
    <n v="35.159999999999997"/>
    <x v="0"/>
    <n v="0"/>
  </r>
  <r>
    <s v="FB001298"/>
    <x v="3"/>
    <x v="6"/>
    <x v="1"/>
    <s v="XL"/>
    <x v="0"/>
    <x v="1"/>
    <n v="104.57"/>
    <x v="350"/>
    <n v="0.27399999999999997"/>
    <n v="75.92"/>
    <n v="28.649999999999991"/>
    <d v="2025-08-06T00:00:00"/>
    <x v="1"/>
    <x v="1"/>
    <n v="7"/>
    <n v="1"/>
    <s v="Pocas Unidades"/>
    <n v="1"/>
    <s v="True"/>
    <s v="Quality Issue"/>
    <n v="1"/>
    <n v="0"/>
    <x v="4"/>
    <n v="0"/>
  </r>
  <r>
    <s v="FB001299"/>
    <x v="2"/>
    <x v="0"/>
    <x v="1"/>
    <m/>
    <x v="2"/>
    <x v="5"/>
    <n v="38.369999999999997"/>
    <x v="341"/>
    <n v="0.23300000000000001"/>
    <n v="29.43"/>
    <n v="8.9399999999999977"/>
    <d v="2025-08-06T00:00:00"/>
    <x v="1"/>
    <x v="1"/>
    <n v="22"/>
    <n v="1.4"/>
    <s v="Ok"/>
    <n v="1.4"/>
    <s v="False"/>
    <m/>
    <n v="0"/>
    <n v="29.43"/>
    <x v="0"/>
    <n v="0"/>
  </r>
  <r>
    <s v="FB001300"/>
    <x v="0"/>
    <x v="4"/>
    <x v="1"/>
    <m/>
    <x v="7"/>
    <x v="0"/>
    <n v="86.3"/>
    <x v="0"/>
    <n v="0"/>
    <n v="86.3"/>
    <n v="0"/>
    <d v="2025-08-06T00:00:00"/>
    <x v="1"/>
    <x v="1"/>
    <n v="33"/>
    <n v="3.9"/>
    <s v="Ok"/>
    <n v="3.9"/>
    <s v="False"/>
    <m/>
    <n v="0"/>
    <n v="86.3"/>
    <x v="0"/>
    <n v="0"/>
  </r>
  <r>
    <s v="FB001301"/>
    <x v="2"/>
    <x v="3"/>
    <x v="1"/>
    <m/>
    <x v="2"/>
    <x v="9"/>
    <n v="64.89"/>
    <x v="127"/>
    <n v="4.2000000000000003E-2"/>
    <n v="62.16"/>
    <n v="2.730000000000004"/>
    <d v="2025-08-06T00:00:00"/>
    <x v="1"/>
    <x v="1"/>
    <n v="40"/>
    <n v="1.4"/>
    <s v="Ok"/>
    <n v="1.4"/>
    <s v="False"/>
    <m/>
    <n v="0"/>
    <n v="62.16"/>
    <x v="0"/>
    <n v="0"/>
  </r>
  <r>
    <s v="FB001302"/>
    <x v="2"/>
    <x v="3"/>
    <x v="2"/>
    <m/>
    <x v="2"/>
    <x v="8"/>
    <n v="53.64"/>
    <x v="0"/>
    <n v="0"/>
    <n v="53.64"/>
    <n v="0"/>
    <d v="2025-08-06T00:00:00"/>
    <x v="1"/>
    <x v="1"/>
    <n v="18"/>
    <n v="2.2999999999999998"/>
    <s v="Ok"/>
    <n v="2.2999999999999998"/>
    <s v="False"/>
    <m/>
    <n v="0"/>
    <n v="53.64"/>
    <x v="0"/>
    <n v="0"/>
  </r>
  <r>
    <s v="FB001303"/>
    <x v="5"/>
    <x v="3"/>
    <x v="3"/>
    <s v="XXL"/>
    <x v="4"/>
    <x v="1"/>
    <n v="113.81"/>
    <x v="99"/>
    <n v="9.1999999999999998E-2"/>
    <n v="103.34"/>
    <n v="10.469999999999999"/>
    <d v="2025-08-06T00:00:00"/>
    <x v="1"/>
    <x v="1"/>
    <n v="11"/>
    <n v="2.4"/>
    <s v="Ok"/>
    <n v="2.4"/>
    <s v="False"/>
    <m/>
    <n v="0"/>
    <n v="103.34"/>
    <x v="0"/>
    <n v="0"/>
  </r>
  <r>
    <s v="FB001304"/>
    <x v="1"/>
    <x v="5"/>
    <x v="3"/>
    <s v="XXL"/>
    <x v="4"/>
    <x v="7"/>
    <n v="40.119999999999997"/>
    <x v="351"/>
    <n v="0.27699999999999997"/>
    <n v="29.01"/>
    <n v="11.109999999999996"/>
    <d v="2025-08-06T00:00:00"/>
    <x v="1"/>
    <x v="1"/>
    <n v="29"/>
    <n v="1.7"/>
    <s v="Ok"/>
    <n v="1.7"/>
    <s v="True"/>
    <s v="Size Issue"/>
    <n v="1"/>
    <n v="0"/>
    <x v="2"/>
    <n v="0"/>
  </r>
  <r>
    <s v="FB001305"/>
    <x v="1"/>
    <x v="6"/>
    <x v="1"/>
    <s v="M"/>
    <x v="6"/>
    <x v="2"/>
    <n v="49.64"/>
    <x v="352"/>
    <n v="0.309"/>
    <n v="34.299999999999997"/>
    <n v="15.340000000000003"/>
    <d v="2025-08-06T00:00:00"/>
    <x v="1"/>
    <x v="1"/>
    <n v="21"/>
    <n v="2"/>
    <s v="Ok"/>
    <n v="2"/>
    <s v="False"/>
    <m/>
    <n v="0"/>
    <n v="34.299999999999997"/>
    <x v="0"/>
    <n v="0"/>
  </r>
  <r>
    <s v="FB001306"/>
    <x v="4"/>
    <x v="7"/>
    <x v="3"/>
    <s v="L"/>
    <x v="1"/>
    <x v="10"/>
    <n v="117.64"/>
    <x v="314"/>
    <n v="0.54200000000000004"/>
    <n v="53.88"/>
    <n v="63.76"/>
    <d v="2025-08-06T00:00:00"/>
    <x v="1"/>
    <x v="1"/>
    <n v="25"/>
    <n v="4.5999999999999996"/>
    <s v="Ok"/>
    <n v="4.5999999999999996"/>
    <s v="True"/>
    <s v="Wrong Item"/>
    <n v="1"/>
    <n v="0"/>
    <x v="6"/>
    <n v="0"/>
  </r>
  <r>
    <s v="FB001307"/>
    <x v="2"/>
    <x v="3"/>
    <x v="3"/>
    <m/>
    <x v="2"/>
    <x v="0"/>
    <n v="69.78"/>
    <x v="353"/>
    <n v="3.7000000000000005E-2"/>
    <n v="67.2"/>
    <n v="2.5799999999999983"/>
    <d v="2025-08-06T00:00:00"/>
    <x v="1"/>
    <x v="1"/>
    <n v="14"/>
    <n v="3.2"/>
    <s v="Ok"/>
    <n v="3.2"/>
    <s v="False"/>
    <m/>
    <n v="0"/>
    <n v="67.2"/>
    <x v="0"/>
    <n v="0"/>
  </r>
  <r>
    <s v="FB001308"/>
    <x v="2"/>
    <x v="7"/>
    <x v="0"/>
    <m/>
    <x v="2"/>
    <x v="3"/>
    <n v="29.91"/>
    <x v="85"/>
    <n v="0.184"/>
    <n v="24.41"/>
    <n v="5.5"/>
    <d v="2025-03-03T00:00:00"/>
    <x v="2"/>
    <x v="3"/>
    <n v="10"/>
    <n v="4.9000000000000004"/>
    <s v="Ok"/>
    <n v="4.9000000000000004"/>
    <s v="False"/>
    <m/>
    <n v="0"/>
    <n v="24.41"/>
    <x v="0"/>
    <n v="0"/>
  </r>
  <r>
    <s v="FB001309"/>
    <x v="3"/>
    <x v="4"/>
    <x v="2"/>
    <s v="XL"/>
    <x v="0"/>
    <x v="2"/>
    <n v="187.11"/>
    <x v="88"/>
    <n v="0.433"/>
    <n v="106.09"/>
    <n v="81.02000000000001"/>
    <d v="2025-08-06T00:00:00"/>
    <x v="1"/>
    <x v="1"/>
    <n v="26"/>
    <n v="3"/>
    <s v="Ok"/>
    <n v="3"/>
    <s v="False"/>
    <m/>
    <n v="0"/>
    <n v="106.09"/>
    <x v="0"/>
    <n v="0"/>
  </r>
  <r>
    <s v="FB001310"/>
    <x v="2"/>
    <x v="5"/>
    <x v="3"/>
    <m/>
    <x v="2"/>
    <x v="7"/>
    <n v="40.04"/>
    <x v="57"/>
    <n v="0.158"/>
    <n v="33.71"/>
    <n v="6.3299999999999983"/>
    <d v="2025-08-06T00:00:00"/>
    <x v="1"/>
    <x v="1"/>
    <n v="31"/>
    <n v="1.8"/>
    <s v="Ok"/>
    <n v="1.8"/>
    <s v="False"/>
    <m/>
    <n v="0"/>
    <n v="33.71"/>
    <x v="0"/>
    <n v="0"/>
  </r>
  <r>
    <s v="FB001311"/>
    <x v="5"/>
    <x v="3"/>
    <x v="0"/>
    <s v="XS"/>
    <x v="5"/>
    <x v="7"/>
    <n v="113.44"/>
    <x v="354"/>
    <n v="0.23399999999999999"/>
    <n v="86.9"/>
    <n v="26.539999999999992"/>
    <d v="2025-03-07T00:00:00"/>
    <x v="4"/>
    <x v="3"/>
    <n v="1"/>
    <m/>
    <s v="Pocas Unidades"/>
    <s v="No valorado"/>
    <s v="False"/>
    <m/>
    <n v="0"/>
    <n v="86.9"/>
    <x v="0"/>
    <n v="0"/>
  </r>
  <r>
    <s v="FB001312"/>
    <x v="4"/>
    <x v="0"/>
    <x v="0"/>
    <s v="S"/>
    <x v="3"/>
    <x v="4"/>
    <n v="119.84"/>
    <x v="0"/>
    <n v="0"/>
    <n v="119.84"/>
    <n v="0"/>
    <d v="2024-09-27T00:00:00"/>
    <x v="4"/>
    <x v="6"/>
    <n v="47"/>
    <n v="1.4"/>
    <s v="Ok"/>
    <n v="1.4"/>
    <s v="False"/>
    <m/>
    <n v="0"/>
    <n v="119.84"/>
    <x v="0"/>
    <n v="0"/>
  </r>
  <r>
    <s v="FB001313"/>
    <x v="3"/>
    <x v="1"/>
    <x v="2"/>
    <s v="XXL"/>
    <x v="4"/>
    <x v="10"/>
    <n v="167.27"/>
    <x v="0"/>
    <n v="0"/>
    <n v="167.27"/>
    <n v="0"/>
    <d v="2025-08-06T00:00:00"/>
    <x v="1"/>
    <x v="1"/>
    <n v="9"/>
    <n v="4"/>
    <s v="Pocas Unidades"/>
    <n v="4"/>
    <s v="False"/>
    <m/>
    <n v="0"/>
    <n v="167.27"/>
    <x v="0"/>
    <n v="0"/>
  </r>
  <r>
    <s v="FB001314"/>
    <x v="5"/>
    <x v="2"/>
    <x v="0"/>
    <s v="XL"/>
    <x v="0"/>
    <x v="5"/>
    <n v="148"/>
    <x v="25"/>
    <n v="1.1000000000000001E-2"/>
    <n v="146.37"/>
    <n v="1.6299999999999955"/>
    <d v="2025-02-23T00:00:00"/>
    <x v="6"/>
    <x v="9"/>
    <n v="43"/>
    <n v="2"/>
    <s v="Ok"/>
    <n v="2"/>
    <s v="False"/>
    <m/>
    <n v="0"/>
    <n v="146.37"/>
    <x v="0"/>
    <n v="0"/>
  </r>
  <r>
    <s v="FB001315"/>
    <x v="4"/>
    <x v="4"/>
    <x v="1"/>
    <s v="XXL"/>
    <x v="4"/>
    <x v="0"/>
    <n v="65.34"/>
    <x v="355"/>
    <n v="0.498"/>
    <n v="32.799999999999997"/>
    <n v="32.540000000000006"/>
    <d v="2025-08-06T00:00:00"/>
    <x v="1"/>
    <x v="1"/>
    <n v="9"/>
    <m/>
    <s v="Pocas Unidades"/>
    <s v="No valorado"/>
    <s v="False"/>
    <m/>
    <n v="0"/>
    <n v="32.799999999999997"/>
    <x v="0"/>
    <n v="0"/>
  </r>
  <r>
    <s v="FB001316"/>
    <x v="3"/>
    <x v="2"/>
    <x v="0"/>
    <s v="M"/>
    <x v="6"/>
    <x v="6"/>
    <n v="84.57"/>
    <x v="108"/>
    <n v="5.4000000000000006E-2"/>
    <n v="80"/>
    <n v="4.5699999999999932"/>
    <d v="2025-07-17T00:00:00"/>
    <x v="5"/>
    <x v="0"/>
    <n v="33"/>
    <m/>
    <s v="Ok"/>
    <s v="No valorado"/>
    <s v="False"/>
    <m/>
    <n v="0"/>
    <n v="80"/>
    <x v="0"/>
    <n v="0"/>
  </r>
  <r>
    <s v="FB001317"/>
    <x v="4"/>
    <x v="6"/>
    <x v="3"/>
    <s v="XS"/>
    <x v="5"/>
    <x v="4"/>
    <n v="52.6"/>
    <x v="0"/>
    <n v="0"/>
    <n v="52.6"/>
    <n v="0"/>
    <d v="2025-08-06T00:00:00"/>
    <x v="1"/>
    <x v="1"/>
    <n v="35"/>
    <n v="1.2"/>
    <s v="Ok"/>
    <n v="1.2"/>
    <s v="True"/>
    <s v="Color Mismatch"/>
    <n v="1"/>
    <n v="0"/>
    <x v="1"/>
    <n v="0"/>
  </r>
  <r>
    <s v="FB001318"/>
    <x v="3"/>
    <x v="1"/>
    <x v="3"/>
    <s v="L"/>
    <x v="1"/>
    <x v="6"/>
    <n v="106.37"/>
    <x v="0"/>
    <n v="0"/>
    <n v="106.37"/>
    <n v="0"/>
    <d v="2025-08-06T00:00:00"/>
    <x v="1"/>
    <x v="1"/>
    <n v="30"/>
    <n v="1.1000000000000001"/>
    <s v="Ok"/>
    <n v="1.1000000000000001"/>
    <s v="False"/>
    <m/>
    <n v="0"/>
    <n v="106.37"/>
    <x v="0"/>
    <n v="0"/>
  </r>
  <r>
    <s v="FB001319"/>
    <x v="1"/>
    <x v="6"/>
    <x v="3"/>
    <s v="XXL"/>
    <x v="4"/>
    <x v="2"/>
    <n v="96.77"/>
    <x v="199"/>
    <n v="0.40399999999999997"/>
    <n v="57.67"/>
    <n v="39.099999999999994"/>
    <d v="2025-08-06T00:00:00"/>
    <x v="1"/>
    <x v="1"/>
    <n v="31"/>
    <n v="4.5"/>
    <s v="Ok"/>
    <n v="4.5"/>
    <s v="False"/>
    <m/>
    <n v="0"/>
    <n v="57.67"/>
    <x v="0"/>
    <n v="0"/>
  </r>
  <r>
    <s v="FB001320"/>
    <x v="0"/>
    <x v="2"/>
    <x v="0"/>
    <s v="L"/>
    <x v="1"/>
    <x v="10"/>
    <n v="99.02"/>
    <x v="0"/>
    <n v="0"/>
    <n v="99.02"/>
    <n v="0"/>
    <d v="2024-10-16T00:00:00"/>
    <x v="1"/>
    <x v="2"/>
    <n v="21"/>
    <n v="1.2"/>
    <s v="Ok"/>
    <n v="1.2"/>
    <s v="False"/>
    <m/>
    <n v="0"/>
    <n v="99.02"/>
    <x v="0"/>
    <n v="0"/>
  </r>
  <r>
    <s v="FB001321"/>
    <x v="2"/>
    <x v="0"/>
    <x v="0"/>
    <m/>
    <x v="2"/>
    <x v="9"/>
    <n v="68.89"/>
    <x v="123"/>
    <n v="0.36899999999999999"/>
    <n v="43.47"/>
    <n v="25.42"/>
    <d v="2024-12-05T00:00:00"/>
    <x v="5"/>
    <x v="10"/>
    <n v="9"/>
    <n v="1.8"/>
    <s v="Pocas Unidades"/>
    <n v="1.8"/>
    <s v="False"/>
    <m/>
    <n v="0"/>
    <n v="43.47"/>
    <x v="0"/>
    <n v="0"/>
  </r>
  <r>
    <s v="FB001322"/>
    <x v="5"/>
    <x v="4"/>
    <x v="0"/>
    <s v="S"/>
    <x v="3"/>
    <x v="1"/>
    <n v="63.91"/>
    <x v="356"/>
    <n v="3.5000000000000003E-2"/>
    <n v="61.67"/>
    <n v="2.2399999999999949"/>
    <d v="2025-05-19T00:00:00"/>
    <x v="2"/>
    <x v="8"/>
    <n v="14"/>
    <n v="2.1"/>
    <s v="Ok"/>
    <n v="2.1"/>
    <s v="False"/>
    <m/>
    <n v="0"/>
    <n v="61.67"/>
    <x v="0"/>
    <n v="0"/>
  </r>
  <r>
    <s v="FB001323"/>
    <x v="3"/>
    <x v="3"/>
    <x v="2"/>
    <s v="S"/>
    <x v="3"/>
    <x v="8"/>
    <n v="116.38"/>
    <x v="61"/>
    <n v="0.114"/>
    <n v="103.11"/>
    <n v="13.269999999999996"/>
    <d v="2025-08-06T00:00:00"/>
    <x v="1"/>
    <x v="1"/>
    <n v="15"/>
    <m/>
    <s v="Ok"/>
    <s v="No valorado"/>
    <s v="False"/>
    <m/>
    <n v="0"/>
    <n v="103.11"/>
    <x v="0"/>
    <n v="0"/>
  </r>
  <r>
    <s v="FB001324"/>
    <x v="4"/>
    <x v="1"/>
    <x v="2"/>
    <s v="XS"/>
    <x v="5"/>
    <x v="6"/>
    <n v="71.739999999999995"/>
    <x v="0"/>
    <n v="0"/>
    <n v="71.739999999999995"/>
    <n v="0"/>
    <d v="2025-08-06T00:00:00"/>
    <x v="1"/>
    <x v="1"/>
    <n v="16"/>
    <m/>
    <s v="Ok"/>
    <s v="No valorado"/>
    <s v="False"/>
    <m/>
    <n v="0"/>
    <n v="71.739999999999995"/>
    <x v="0"/>
    <n v="0"/>
  </r>
  <r>
    <s v="FB001325"/>
    <x v="4"/>
    <x v="7"/>
    <x v="1"/>
    <s v="M"/>
    <x v="6"/>
    <x v="7"/>
    <n v="91.11"/>
    <x v="0"/>
    <n v="0"/>
    <n v="91.11"/>
    <n v="0"/>
    <d v="2025-08-06T00:00:00"/>
    <x v="1"/>
    <x v="1"/>
    <n v="38"/>
    <n v="3.3"/>
    <s v="Ok"/>
    <n v="3.3"/>
    <s v="False"/>
    <m/>
    <n v="0"/>
    <n v="91.11"/>
    <x v="0"/>
    <n v="0"/>
  </r>
  <r>
    <s v="FB001326"/>
    <x v="2"/>
    <x v="0"/>
    <x v="3"/>
    <m/>
    <x v="2"/>
    <x v="3"/>
    <n v="46.07"/>
    <x v="0"/>
    <n v="0"/>
    <n v="46.07"/>
    <n v="0"/>
    <d v="2025-08-06T00:00:00"/>
    <x v="1"/>
    <x v="1"/>
    <n v="25"/>
    <n v="2.5"/>
    <s v="Ok"/>
    <n v="2.5"/>
    <s v="False"/>
    <m/>
    <n v="0"/>
    <n v="46.07"/>
    <x v="0"/>
    <n v="0"/>
  </r>
  <r>
    <s v="FB001327"/>
    <x v="5"/>
    <x v="3"/>
    <x v="2"/>
    <s v="S"/>
    <x v="3"/>
    <x v="6"/>
    <n v="156.27000000000001"/>
    <x v="0"/>
    <n v="0"/>
    <n v="156.27000000000001"/>
    <n v="0"/>
    <d v="2025-08-06T00:00:00"/>
    <x v="1"/>
    <x v="1"/>
    <n v="43"/>
    <m/>
    <s v="Ok"/>
    <s v="No valorado"/>
    <s v="False"/>
    <m/>
    <n v="0"/>
    <n v="156.27000000000001"/>
    <x v="0"/>
    <n v="0"/>
  </r>
  <r>
    <s v="FB001328"/>
    <x v="1"/>
    <x v="3"/>
    <x v="2"/>
    <s v="XS"/>
    <x v="5"/>
    <x v="1"/>
    <n v="56.35"/>
    <x v="0"/>
    <n v="0"/>
    <n v="56.35"/>
    <n v="0"/>
    <d v="2025-08-06T00:00:00"/>
    <x v="1"/>
    <x v="1"/>
    <n v="31"/>
    <n v="1.5"/>
    <s v="Ok"/>
    <n v="1.5"/>
    <s v="False"/>
    <m/>
    <n v="0"/>
    <n v="56.35"/>
    <x v="0"/>
    <n v="0"/>
  </r>
  <r>
    <s v="FB001329"/>
    <x v="4"/>
    <x v="0"/>
    <x v="1"/>
    <s v="XS"/>
    <x v="5"/>
    <x v="9"/>
    <n v="118.21"/>
    <x v="254"/>
    <n v="0.23100000000000001"/>
    <n v="90.9"/>
    <n v="27.309999999999988"/>
    <d v="2025-08-06T00:00:00"/>
    <x v="1"/>
    <x v="1"/>
    <n v="15"/>
    <n v="5"/>
    <s v="Ok"/>
    <n v="5"/>
    <s v="False"/>
    <m/>
    <n v="0"/>
    <n v="90.9"/>
    <x v="0"/>
    <n v="0"/>
  </r>
  <r>
    <s v="FB001330"/>
    <x v="1"/>
    <x v="6"/>
    <x v="2"/>
    <s v="XS"/>
    <x v="5"/>
    <x v="7"/>
    <n v="25.86"/>
    <x v="0"/>
    <n v="0"/>
    <n v="25.86"/>
    <n v="0"/>
    <d v="2025-08-06T00:00:00"/>
    <x v="1"/>
    <x v="1"/>
    <n v="46"/>
    <n v="1.5"/>
    <s v="Ok"/>
    <n v="1.5"/>
    <s v="False"/>
    <m/>
    <n v="0"/>
    <n v="25.86"/>
    <x v="0"/>
    <n v="0"/>
  </r>
  <r>
    <s v="FB001331"/>
    <x v="1"/>
    <x v="4"/>
    <x v="2"/>
    <s v="S"/>
    <x v="3"/>
    <x v="6"/>
    <n v="91.67"/>
    <x v="272"/>
    <n v="0.23699999999999999"/>
    <n v="69.94"/>
    <n v="21.730000000000004"/>
    <d v="2025-08-06T00:00:00"/>
    <x v="1"/>
    <x v="1"/>
    <n v="3"/>
    <n v="3.7"/>
    <s v="Pocas Unidades"/>
    <n v="3.7"/>
    <s v="False"/>
    <m/>
    <n v="0"/>
    <n v="69.94"/>
    <x v="0"/>
    <n v="0"/>
  </r>
  <r>
    <s v="FB001332"/>
    <x v="4"/>
    <x v="1"/>
    <x v="2"/>
    <s v="L"/>
    <x v="1"/>
    <x v="5"/>
    <n v="25.29"/>
    <x v="216"/>
    <n v="7.9000000000000001E-2"/>
    <n v="23.29"/>
    <n v="2"/>
    <d v="2025-08-06T00:00:00"/>
    <x v="1"/>
    <x v="1"/>
    <n v="39"/>
    <n v="1.7"/>
    <s v="Ok"/>
    <n v="1.7"/>
    <s v="False"/>
    <m/>
    <n v="0"/>
    <n v="23.29"/>
    <x v="0"/>
    <n v="0"/>
  </r>
  <r>
    <s v="FB001333"/>
    <x v="2"/>
    <x v="4"/>
    <x v="1"/>
    <m/>
    <x v="2"/>
    <x v="8"/>
    <n v="51.61"/>
    <x v="250"/>
    <n v="0.32200000000000001"/>
    <n v="34.99"/>
    <n v="16.619999999999997"/>
    <d v="2025-08-06T00:00:00"/>
    <x v="1"/>
    <x v="1"/>
    <n v="34"/>
    <n v="4.8"/>
    <s v="Ok"/>
    <n v="4.8"/>
    <s v="False"/>
    <m/>
    <n v="0"/>
    <n v="34.99"/>
    <x v="0"/>
    <n v="0"/>
  </r>
  <r>
    <s v="FB001334"/>
    <x v="0"/>
    <x v="2"/>
    <x v="3"/>
    <s v="XL"/>
    <x v="0"/>
    <x v="2"/>
    <n v="143.61000000000001"/>
    <x v="335"/>
    <n v="0.24600000000000002"/>
    <n v="108.28"/>
    <n v="35.330000000000013"/>
    <d v="2025-08-06T00:00:00"/>
    <x v="1"/>
    <x v="1"/>
    <n v="50"/>
    <n v="4.0999999999999996"/>
    <s v="Ok"/>
    <n v="4.0999999999999996"/>
    <s v="False"/>
    <m/>
    <n v="0"/>
    <n v="108.28"/>
    <x v="0"/>
    <n v="0"/>
  </r>
  <r>
    <s v="FB001335"/>
    <x v="4"/>
    <x v="6"/>
    <x v="3"/>
    <s v="L"/>
    <x v="1"/>
    <x v="0"/>
    <n v="45.48"/>
    <x v="0"/>
    <n v="0"/>
    <n v="45.48"/>
    <n v="0"/>
    <d v="2025-08-06T00:00:00"/>
    <x v="1"/>
    <x v="1"/>
    <n v="29"/>
    <n v="2.2999999999999998"/>
    <s v="Ok"/>
    <n v="2.2999999999999998"/>
    <s v="False"/>
    <m/>
    <n v="0"/>
    <n v="45.48"/>
    <x v="0"/>
    <n v="0"/>
  </r>
  <r>
    <s v="FB001336"/>
    <x v="3"/>
    <x v="0"/>
    <x v="3"/>
    <m/>
    <x v="7"/>
    <x v="3"/>
    <n v="177.79"/>
    <x v="357"/>
    <n v="0.107"/>
    <n v="158.77000000000001"/>
    <n v="19.019999999999982"/>
    <d v="2025-08-06T00:00:00"/>
    <x v="1"/>
    <x v="1"/>
    <n v="37"/>
    <m/>
    <s v="Ok"/>
    <s v="No valorado"/>
    <s v="False"/>
    <m/>
    <n v="0"/>
    <n v="158.77000000000001"/>
    <x v="0"/>
    <n v="0"/>
  </r>
  <r>
    <s v="FB001337"/>
    <x v="0"/>
    <x v="6"/>
    <x v="2"/>
    <s v="XS"/>
    <x v="5"/>
    <x v="9"/>
    <n v="145.1"/>
    <x v="358"/>
    <n v="0.34200000000000003"/>
    <n v="95.48"/>
    <n v="49.61999999999999"/>
    <d v="2025-08-06T00:00:00"/>
    <x v="1"/>
    <x v="1"/>
    <n v="14"/>
    <m/>
    <s v="Ok"/>
    <s v="No valorado"/>
    <s v="False"/>
    <m/>
    <n v="0"/>
    <n v="95.48"/>
    <x v="0"/>
    <n v="0"/>
  </r>
  <r>
    <s v="FB001338"/>
    <x v="3"/>
    <x v="5"/>
    <x v="3"/>
    <s v="XXL"/>
    <x v="4"/>
    <x v="8"/>
    <n v="190.78"/>
    <x v="0"/>
    <n v="0"/>
    <n v="190.78"/>
    <n v="0"/>
    <d v="2025-08-06T00:00:00"/>
    <x v="1"/>
    <x v="1"/>
    <n v="39"/>
    <n v="3.7"/>
    <s v="Ok"/>
    <n v="3.7"/>
    <s v="False"/>
    <m/>
    <n v="0"/>
    <n v="190.78"/>
    <x v="0"/>
    <n v="0"/>
  </r>
  <r>
    <s v="FB001339"/>
    <x v="2"/>
    <x v="7"/>
    <x v="2"/>
    <m/>
    <x v="2"/>
    <x v="5"/>
    <n v="44.73"/>
    <x v="0"/>
    <n v="0"/>
    <n v="44.73"/>
    <n v="0"/>
    <d v="2025-08-06T00:00:00"/>
    <x v="1"/>
    <x v="1"/>
    <n v="25"/>
    <n v="1.1000000000000001"/>
    <s v="Ok"/>
    <n v="1.1000000000000001"/>
    <s v="False"/>
    <m/>
    <n v="0"/>
    <n v="44.73"/>
    <x v="0"/>
    <n v="0"/>
  </r>
  <r>
    <s v="FB001340"/>
    <x v="3"/>
    <x v="2"/>
    <x v="1"/>
    <s v="XXL"/>
    <x v="4"/>
    <x v="3"/>
    <n v="65.48"/>
    <x v="0"/>
    <n v="0"/>
    <n v="65.48"/>
    <n v="0"/>
    <d v="2025-08-06T00:00:00"/>
    <x v="1"/>
    <x v="1"/>
    <n v="7"/>
    <n v="4.5999999999999996"/>
    <s v="Pocas Unidades"/>
    <n v="4.5999999999999996"/>
    <s v="False"/>
    <m/>
    <n v="0"/>
    <n v="65.48"/>
    <x v="0"/>
    <n v="0"/>
  </r>
  <r>
    <s v="FB001341"/>
    <x v="3"/>
    <x v="6"/>
    <x v="0"/>
    <s v="XS"/>
    <x v="5"/>
    <x v="9"/>
    <n v="86.1"/>
    <x v="0"/>
    <n v="0"/>
    <n v="86.1"/>
    <n v="0"/>
    <d v="2024-12-27T00:00:00"/>
    <x v="4"/>
    <x v="10"/>
    <n v="4"/>
    <n v="2.4"/>
    <s v="Pocas Unidades"/>
    <n v="2.4"/>
    <s v="False"/>
    <m/>
    <n v="0"/>
    <n v="86.1"/>
    <x v="0"/>
    <n v="0"/>
  </r>
  <r>
    <s v="FB001342"/>
    <x v="4"/>
    <x v="1"/>
    <x v="1"/>
    <s v="XS"/>
    <x v="5"/>
    <x v="6"/>
    <n v="100.14"/>
    <x v="0"/>
    <n v="0"/>
    <n v="100.14"/>
    <n v="0"/>
    <d v="2025-08-06T00:00:00"/>
    <x v="1"/>
    <x v="1"/>
    <n v="48"/>
    <n v="4.2"/>
    <s v="Ok"/>
    <n v="4.2"/>
    <s v="False"/>
    <m/>
    <n v="0"/>
    <n v="100.14"/>
    <x v="0"/>
    <n v="0"/>
  </r>
  <r>
    <s v="FB001343"/>
    <x v="0"/>
    <x v="2"/>
    <x v="1"/>
    <m/>
    <x v="7"/>
    <x v="0"/>
    <n v="203.4"/>
    <x v="0"/>
    <n v="0"/>
    <n v="203.4"/>
    <n v="0"/>
    <d v="2025-08-06T00:00:00"/>
    <x v="1"/>
    <x v="1"/>
    <n v="18"/>
    <n v="1.8"/>
    <s v="Ok"/>
    <n v="1.8"/>
    <s v="False"/>
    <m/>
    <n v="0"/>
    <n v="203.4"/>
    <x v="0"/>
    <n v="0"/>
  </r>
  <r>
    <s v="FB001344"/>
    <x v="1"/>
    <x v="6"/>
    <x v="1"/>
    <s v="XS"/>
    <x v="5"/>
    <x v="3"/>
    <n v="95.22"/>
    <x v="11"/>
    <n v="0.24399999999999999"/>
    <n v="71.989999999999995"/>
    <n v="23.230000000000004"/>
    <d v="2025-08-06T00:00:00"/>
    <x v="1"/>
    <x v="1"/>
    <n v="26"/>
    <n v="2.2999999999999998"/>
    <s v="Ok"/>
    <n v="2.2999999999999998"/>
    <s v="False"/>
    <m/>
    <n v="0"/>
    <n v="71.989999999999995"/>
    <x v="0"/>
    <n v="0"/>
  </r>
  <r>
    <s v="FB001345"/>
    <x v="5"/>
    <x v="4"/>
    <x v="2"/>
    <s v="XL"/>
    <x v="0"/>
    <x v="0"/>
    <n v="173.88"/>
    <x v="359"/>
    <n v="0.316"/>
    <n v="118.93"/>
    <n v="54.949999999999989"/>
    <d v="2025-08-06T00:00:00"/>
    <x v="1"/>
    <x v="1"/>
    <n v="5"/>
    <n v="3.2"/>
    <s v="Pocas Unidades"/>
    <n v="3.2"/>
    <s v="False"/>
    <m/>
    <n v="0"/>
    <n v="118.93"/>
    <x v="0"/>
    <n v="0"/>
  </r>
  <r>
    <s v="FB001346"/>
    <x v="5"/>
    <x v="4"/>
    <x v="1"/>
    <s v="L"/>
    <x v="1"/>
    <x v="7"/>
    <n v="160.05000000000001"/>
    <x v="0"/>
    <n v="0"/>
    <n v="160.05000000000001"/>
    <n v="0"/>
    <d v="2025-08-06T00:00:00"/>
    <x v="1"/>
    <x v="1"/>
    <n v="23"/>
    <n v="4"/>
    <s v="Ok"/>
    <n v="4"/>
    <s v="False"/>
    <m/>
    <n v="0"/>
    <n v="160.05000000000001"/>
    <x v="0"/>
    <n v="0"/>
  </r>
  <r>
    <s v="FB001347"/>
    <x v="1"/>
    <x v="7"/>
    <x v="1"/>
    <s v="XS"/>
    <x v="5"/>
    <x v="5"/>
    <n v="59.53"/>
    <x v="0"/>
    <n v="0"/>
    <n v="59.53"/>
    <n v="0"/>
    <d v="2025-08-06T00:00:00"/>
    <x v="1"/>
    <x v="1"/>
    <n v="28"/>
    <n v="1.5"/>
    <s v="Ok"/>
    <n v="1.5"/>
    <s v="False"/>
    <m/>
    <n v="0"/>
    <n v="59.53"/>
    <x v="0"/>
    <n v="0"/>
  </r>
  <r>
    <s v="FB001348"/>
    <x v="5"/>
    <x v="3"/>
    <x v="2"/>
    <s v="XS"/>
    <x v="5"/>
    <x v="5"/>
    <n v="155.32"/>
    <x v="0"/>
    <n v="0"/>
    <n v="155.32"/>
    <n v="0"/>
    <d v="2025-08-06T00:00:00"/>
    <x v="1"/>
    <x v="1"/>
    <n v="19"/>
    <n v="4.0999999999999996"/>
    <s v="Ok"/>
    <n v="4.0999999999999996"/>
    <s v="False"/>
    <m/>
    <n v="0"/>
    <n v="155.32"/>
    <x v="0"/>
    <n v="0"/>
  </r>
  <r>
    <s v="FB001349"/>
    <x v="4"/>
    <x v="7"/>
    <x v="0"/>
    <s v="XL"/>
    <x v="0"/>
    <x v="2"/>
    <n v="29.65"/>
    <x v="360"/>
    <n v="0.41"/>
    <n v="17.489999999999998"/>
    <n v="12.16"/>
    <d v="2024-08-26T00:00:00"/>
    <x v="2"/>
    <x v="1"/>
    <n v="21"/>
    <n v="4.5"/>
    <s v="Ok"/>
    <n v="4.5"/>
    <s v="True"/>
    <s v="Quality Issue"/>
    <n v="1"/>
    <n v="0"/>
    <x v="4"/>
    <n v="0"/>
  </r>
  <r>
    <s v="FB001350"/>
    <x v="0"/>
    <x v="3"/>
    <x v="1"/>
    <s v="XXL"/>
    <x v="4"/>
    <x v="10"/>
    <n v="237.53"/>
    <x v="361"/>
    <n v="0.23199999999999998"/>
    <n v="182.42"/>
    <n v="55.110000000000014"/>
    <d v="2025-08-06T00:00:00"/>
    <x v="1"/>
    <x v="1"/>
    <n v="23"/>
    <n v="2.2000000000000002"/>
    <s v="Ok"/>
    <n v="2.2000000000000002"/>
    <s v="False"/>
    <m/>
    <n v="0"/>
    <n v="182.42"/>
    <x v="0"/>
    <n v="0"/>
  </r>
  <r>
    <s v="FB001351"/>
    <x v="0"/>
    <x v="5"/>
    <x v="3"/>
    <s v="M"/>
    <x v="6"/>
    <x v="1"/>
    <n v="81.67"/>
    <x v="0"/>
    <n v="0"/>
    <n v="81.67"/>
    <n v="0"/>
    <d v="2025-08-06T00:00:00"/>
    <x v="1"/>
    <x v="1"/>
    <n v="34"/>
    <n v="3.1"/>
    <s v="Ok"/>
    <n v="3.1"/>
    <s v="True"/>
    <s v="Damaged"/>
    <n v="1"/>
    <n v="0"/>
    <x v="3"/>
    <n v="0"/>
  </r>
  <r>
    <s v="FB001352"/>
    <x v="4"/>
    <x v="2"/>
    <x v="0"/>
    <s v="M"/>
    <x v="6"/>
    <x v="7"/>
    <n v="37.07"/>
    <x v="0"/>
    <n v="0"/>
    <n v="37.07"/>
    <n v="0"/>
    <d v="2025-05-01T00:00:00"/>
    <x v="5"/>
    <x v="8"/>
    <n v="13"/>
    <m/>
    <s v="Ok"/>
    <s v="No valorado"/>
    <s v="False"/>
    <m/>
    <n v="0"/>
    <n v="37.07"/>
    <x v="0"/>
    <n v="0"/>
  </r>
  <r>
    <s v="FB001353"/>
    <x v="1"/>
    <x v="1"/>
    <x v="2"/>
    <s v="XXL"/>
    <x v="4"/>
    <x v="9"/>
    <n v="80.97"/>
    <x v="0"/>
    <n v="0"/>
    <n v="80.97"/>
    <n v="0"/>
    <d v="2025-08-06T00:00:00"/>
    <x v="1"/>
    <x v="1"/>
    <n v="13"/>
    <m/>
    <s v="Ok"/>
    <s v="No valorado"/>
    <s v="False"/>
    <m/>
    <n v="0"/>
    <n v="80.97"/>
    <x v="0"/>
    <n v="0"/>
  </r>
  <r>
    <s v="FB001354"/>
    <x v="2"/>
    <x v="0"/>
    <x v="0"/>
    <m/>
    <x v="2"/>
    <x v="4"/>
    <n v="77.680000000000007"/>
    <x v="362"/>
    <n v="0.29899999999999999"/>
    <n v="54.45"/>
    <n v="23.230000000000004"/>
    <d v="2025-07-24T00:00:00"/>
    <x v="5"/>
    <x v="0"/>
    <n v="33"/>
    <n v="4"/>
    <s v="Ok"/>
    <n v="4"/>
    <s v="True"/>
    <s v="Damaged"/>
    <n v="1"/>
    <n v="0"/>
    <x v="3"/>
    <n v="0"/>
  </r>
  <r>
    <s v="FB001355"/>
    <x v="1"/>
    <x v="2"/>
    <x v="3"/>
    <s v="XXL"/>
    <x v="4"/>
    <x v="6"/>
    <n v="117.58"/>
    <x v="363"/>
    <n v="0.01"/>
    <n v="116.4"/>
    <n v="1.1799999999999926"/>
    <d v="2025-08-06T00:00:00"/>
    <x v="1"/>
    <x v="1"/>
    <n v="27"/>
    <n v="3.3"/>
    <s v="Ok"/>
    <n v="3.3"/>
    <s v="False"/>
    <m/>
    <n v="0"/>
    <n v="116.4"/>
    <x v="0"/>
    <n v="0"/>
  </r>
  <r>
    <s v="FB001356"/>
    <x v="0"/>
    <x v="3"/>
    <x v="2"/>
    <s v="XL"/>
    <x v="0"/>
    <x v="5"/>
    <n v="130.09"/>
    <x v="63"/>
    <n v="0.28300000000000003"/>
    <n v="93.27"/>
    <n v="36.820000000000007"/>
    <d v="2025-08-06T00:00:00"/>
    <x v="1"/>
    <x v="1"/>
    <n v="41"/>
    <n v="2.2999999999999998"/>
    <s v="Ok"/>
    <n v="2.2999999999999998"/>
    <s v="False"/>
    <m/>
    <n v="0"/>
    <n v="93.27"/>
    <x v="0"/>
    <n v="0"/>
  </r>
  <r>
    <s v="FB001357"/>
    <x v="1"/>
    <x v="1"/>
    <x v="2"/>
    <s v="XS"/>
    <x v="5"/>
    <x v="9"/>
    <n v="63.69"/>
    <x v="0"/>
    <n v="0"/>
    <n v="63.69"/>
    <n v="0"/>
    <d v="2025-08-06T00:00:00"/>
    <x v="1"/>
    <x v="1"/>
    <n v="11"/>
    <n v="3"/>
    <s v="Ok"/>
    <n v="3"/>
    <s v="False"/>
    <m/>
    <n v="0"/>
    <n v="63.69"/>
    <x v="0"/>
    <n v="0"/>
  </r>
  <r>
    <s v="FB001358"/>
    <x v="0"/>
    <x v="2"/>
    <x v="0"/>
    <s v="XL"/>
    <x v="0"/>
    <x v="0"/>
    <n v="135.02000000000001"/>
    <x v="0"/>
    <n v="0"/>
    <n v="135.02000000000001"/>
    <n v="0"/>
    <d v="2025-07-30T00:00:00"/>
    <x v="1"/>
    <x v="0"/>
    <n v="25"/>
    <n v="3.4"/>
    <s v="Ok"/>
    <n v="3.4"/>
    <s v="True"/>
    <s v="Changed Mind"/>
    <n v="1"/>
    <n v="0"/>
    <x v="5"/>
    <n v="0"/>
  </r>
  <r>
    <s v="FB001359"/>
    <x v="2"/>
    <x v="4"/>
    <x v="1"/>
    <m/>
    <x v="2"/>
    <x v="7"/>
    <n v="45.37"/>
    <x v="0"/>
    <n v="0"/>
    <n v="45.37"/>
    <n v="0"/>
    <d v="2025-08-06T00:00:00"/>
    <x v="1"/>
    <x v="1"/>
    <n v="19"/>
    <n v="1.1000000000000001"/>
    <s v="Ok"/>
    <n v="1.1000000000000001"/>
    <s v="False"/>
    <m/>
    <n v="0"/>
    <n v="45.37"/>
    <x v="0"/>
    <n v="0"/>
  </r>
  <r>
    <s v="FB001360"/>
    <x v="4"/>
    <x v="0"/>
    <x v="1"/>
    <s v="XL"/>
    <x v="0"/>
    <x v="10"/>
    <n v="51.17"/>
    <x v="344"/>
    <n v="0.08"/>
    <n v="47.08"/>
    <n v="4.0900000000000034"/>
    <d v="2025-08-06T00:00:00"/>
    <x v="1"/>
    <x v="1"/>
    <n v="7"/>
    <m/>
    <s v="Pocas Unidades"/>
    <s v="No valorado"/>
    <s v="False"/>
    <m/>
    <n v="0"/>
    <n v="47.08"/>
    <x v="0"/>
    <n v="0"/>
  </r>
  <r>
    <s v="FB001361"/>
    <x v="5"/>
    <x v="7"/>
    <x v="3"/>
    <s v="XXL"/>
    <x v="4"/>
    <x v="10"/>
    <n v="49.34"/>
    <x v="284"/>
    <n v="5.5E-2"/>
    <n v="46.63"/>
    <n v="2.7100000000000009"/>
    <d v="2025-08-06T00:00:00"/>
    <x v="1"/>
    <x v="1"/>
    <n v="10"/>
    <n v="4.3"/>
    <s v="Ok"/>
    <n v="4.3"/>
    <s v="False"/>
    <m/>
    <n v="0"/>
    <n v="46.63"/>
    <x v="0"/>
    <n v="0"/>
  </r>
  <r>
    <s v="FB001362"/>
    <x v="3"/>
    <x v="1"/>
    <x v="0"/>
    <s v="S"/>
    <x v="3"/>
    <x v="6"/>
    <n v="119.78"/>
    <x v="0"/>
    <n v="0"/>
    <n v="119.78"/>
    <n v="0"/>
    <d v="2025-06-10T00:00:00"/>
    <x v="3"/>
    <x v="7"/>
    <n v="40"/>
    <m/>
    <s v="Ok"/>
    <s v="No valorado"/>
    <s v="False"/>
    <m/>
    <n v="0"/>
    <n v="119.78"/>
    <x v="0"/>
    <n v="0"/>
  </r>
  <r>
    <s v="FB001363"/>
    <x v="1"/>
    <x v="2"/>
    <x v="0"/>
    <s v="S"/>
    <x v="3"/>
    <x v="4"/>
    <n v="77.3"/>
    <x v="364"/>
    <n v="0.35100000000000003"/>
    <n v="50.17"/>
    <n v="27.129999999999995"/>
    <d v="2025-07-26T00:00:00"/>
    <x v="0"/>
    <x v="0"/>
    <n v="16"/>
    <m/>
    <s v="Ok"/>
    <s v="No valorado"/>
    <s v="False"/>
    <m/>
    <n v="0"/>
    <n v="50.17"/>
    <x v="0"/>
    <n v="0"/>
  </r>
  <r>
    <s v="FB001364"/>
    <x v="1"/>
    <x v="6"/>
    <x v="2"/>
    <s v="XS"/>
    <x v="5"/>
    <x v="0"/>
    <n v="72.69"/>
    <x v="0"/>
    <n v="0"/>
    <n v="72.69"/>
    <n v="0"/>
    <d v="2025-08-06T00:00:00"/>
    <x v="1"/>
    <x v="1"/>
    <n v="6"/>
    <m/>
    <s v="Pocas Unidades"/>
    <s v="No valorado"/>
    <s v="False"/>
    <m/>
    <n v="0"/>
    <n v="72.69"/>
    <x v="0"/>
    <n v="0"/>
  </r>
  <r>
    <s v="FB001365"/>
    <x v="3"/>
    <x v="6"/>
    <x v="2"/>
    <s v="XL"/>
    <x v="0"/>
    <x v="10"/>
    <n v="117.57"/>
    <x v="0"/>
    <n v="0"/>
    <n v="117.57"/>
    <n v="0"/>
    <d v="2025-08-06T00:00:00"/>
    <x v="1"/>
    <x v="1"/>
    <n v="30"/>
    <n v="4.8"/>
    <s v="Ok"/>
    <n v="4.8"/>
    <s v="False"/>
    <m/>
    <n v="0"/>
    <n v="117.57"/>
    <x v="0"/>
    <n v="0"/>
  </r>
  <r>
    <s v="FB001366"/>
    <x v="0"/>
    <x v="7"/>
    <x v="0"/>
    <s v="S"/>
    <x v="3"/>
    <x v="6"/>
    <n v="161.25"/>
    <x v="281"/>
    <n v="0.48399999999999999"/>
    <n v="83.2"/>
    <n v="78.05"/>
    <d v="2024-11-11T00:00:00"/>
    <x v="2"/>
    <x v="11"/>
    <n v="32"/>
    <m/>
    <s v="Ok"/>
    <s v="No valorado"/>
    <s v="False"/>
    <m/>
    <n v="0"/>
    <n v="83.2"/>
    <x v="0"/>
    <n v="0"/>
  </r>
  <r>
    <s v="FB001367"/>
    <x v="3"/>
    <x v="5"/>
    <x v="2"/>
    <s v="S"/>
    <x v="3"/>
    <x v="9"/>
    <n v="158.01"/>
    <x v="0"/>
    <n v="0"/>
    <n v="158.01"/>
    <n v="0"/>
    <d v="2025-08-06T00:00:00"/>
    <x v="1"/>
    <x v="1"/>
    <n v="19"/>
    <n v="2.6"/>
    <s v="Ok"/>
    <n v="2.6"/>
    <s v="False"/>
    <m/>
    <n v="0"/>
    <n v="158.01"/>
    <x v="0"/>
    <n v="0"/>
  </r>
  <r>
    <s v="FB001368"/>
    <x v="1"/>
    <x v="5"/>
    <x v="3"/>
    <s v="L"/>
    <x v="1"/>
    <x v="5"/>
    <n v="60.92"/>
    <x v="0"/>
    <n v="0"/>
    <n v="60.92"/>
    <n v="0"/>
    <d v="2025-08-06T00:00:00"/>
    <x v="1"/>
    <x v="1"/>
    <n v="25"/>
    <m/>
    <s v="Ok"/>
    <s v="No valorado"/>
    <s v="True"/>
    <s v="Quality Issue"/>
    <n v="1"/>
    <n v="0"/>
    <x v="4"/>
    <n v="0"/>
  </r>
  <r>
    <s v="FB001369"/>
    <x v="3"/>
    <x v="4"/>
    <x v="3"/>
    <s v="XL"/>
    <x v="0"/>
    <x v="4"/>
    <n v="122.03"/>
    <x v="365"/>
    <n v="0.252"/>
    <n v="91.28"/>
    <n v="30.75"/>
    <d v="2025-08-06T00:00:00"/>
    <x v="1"/>
    <x v="1"/>
    <n v="21"/>
    <n v="4.7"/>
    <s v="Ok"/>
    <n v="4.7"/>
    <s v="False"/>
    <m/>
    <n v="0"/>
    <n v="91.28"/>
    <x v="0"/>
    <n v="0"/>
  </r>
  <r>
    <s v="FB001370"/>
    <x v="3"/>
    <x v="3"/>
    <x v="0"/>
    <s v="S"/>
    <x v="3"/>
    <x v="10"/>
    <n v="109.15"/>
    <x v="0"/>
    <n v="0"/>
    <n v="109.15"/>
    <n v="0"/>
    <d v="2024-11-11T00:00:00"/>
    <x v="2"/>
    <x v="11"/>
    <n v="11"/>
    <m/>
    <s v="Ok"/>
    <s v="No valorado"/>
    <s v="False"/>
    <m/>
    <n v="0"/>
    <n v="109.15"/>
    <x v="0"/>
    <n v="0"/>
  </r>
  <r>
    <s v="FB001371"/>
    <x v="4"/>
    <x v="5"/>
    <x v="2"/>
    <s v="M"/>
    <x v="6"/>
    <x v="7"/>
    <n v="60.97"/>
    <x v="0"/>
    <n v="0"/>
    <n v="60.97"/>
    <n v="0"/>
    <d v="2025-08-06T00:00:00"/>
    <x v="1"/>
    <x v="1"/>
    <n v="29"/>
    <n v="4.5"/>
    <s v="Ok"/>
    <n v="4.5"/>
    <s v="False"/>
    <m/>
    <n v="0"/>
    <n v="60.97"/>
    <x v="0"/>
    <n v="0"/>
  </r>
  <r>
    <s v="FB001372"/>
    <x v="2"/>
    <x v="1"/>
    <x v="3"/>
    <m/>
    <x v="2"/>
    <x v="1"/>
    <n v="64.87"/>
    <x v="233"/>
    <n v="0.35299999999999998"/>
    <n v="41.97"/>
    <n v="22.900000000000006"/>
    <d v="2025-08-06T00:00:00"/>
    <x v="1"/>
    <x v="1"/>
    <n v="12"/>
    <n v="4.2"/>
    <s v="Ok"/>
    <n v="4.2"/>
    <s v="True"/>
    <s v="Size Issue"/>
    <n v="1"/>
    <n v="0"/>
    <x v="2"/>
    <n v="0"/>
  </r>
  <r>
    <s v="FB001373"/>
    <x v="3"/>
    <x v="3"/>
    <x v="2"/>
    <s v="S"/>
    <x v="3"/>
    <x v="1"/>
    <n v="151.35"/>
    <x v="0"/>
    <n v="0"/>
    <n v="151.35"/>
    <n v="0"/>
    <d v="2025-08-06T00:00:00"/>
    <x v="1"/>
    <x v="1"/>
    <n v="18"/>
    <m/>
    <s v="Ok"/>
    <s v="No valorado"/>
    <s v="False"/>
    <m/>
    <n v="0"/>
    <n v="151.35"/>
    <x v="0"/>
    <n v="0"/>
  </r>
  <r>
    <s v="FB001374"/>
    <x v="2"/>
    <x v="6"/>
    <x v="1"/>
    <m/>
    <x v="2"/>
    <x v="5"/>
    <n v="72.900000000000006"/>
    <x v="366"/>
    <n v="0.44"/>
    <n v="40.82"/>
    <n v="32.080000000000005"/>
    <d v="2025-08-06T00:00:00"/>
    <x v="1"/>
    <x v="1"/>
    <n v="25"/>
    <n v="3"/>
    <s v="Ok"/>
    <n v="3"/>
    <s v="False"/>
    <m/>
    <n v="0"/>
    <n v="40.82"/>
    <x v="0"/>
    <n v="0"/>
  </r>
  <r>
    <s v="FB001375"/>
    <x v="2"/>
    <x v="6"/>
    <x v="1"/>
    <m/>
    <x v="2"/>
    <x v="9"/>
    <n v="79.48"/>
    <x v="0"/>
    <n v="0"/>
    <n v="79.48"/>
    <n v="0"/>
    <d v="2025-08-06T00:00:00"/>
    <x v="1"/>
    <x v="1"/>
    <n v="2"/>
    <n v="3.3"/>
    <s v="Pocas Unidades"/>
    <n v="3.3"/>
    <s v="False"/>
    <m/>
    <n v="0"/>
    <n v="79.48"/>
    <x v="0"/>
    <n v="0"/>
  </r>
  <r>
    <s v="FB001376"/>
    <x v="3"/>
    <x v="3"/>
    <x v="2"/>
    <s v="M"/>
    <x v="6"/>
    <x v="7"/>
    <n v="122.77"/>
    <x v="322"/>
    <n v="0.59799999999999998"/>
    <n v="49.35"/>
    <n v="73.419999999999987"/>
    <d v="2025-08-06T00:00:00"/>
    <x v="1"/>
    <x v="1"/>
    <n v="33"/>
    <n v="4"/>
    <s v="Ok"/>
    <n v="4"/>
    <s v="False"/>
    <m/>
    <n v="0"/>
    <n v="49.35"/>
    <x v="0"/>
    <n v="0"/>
  </r>
  <r>
    <s v="FB001377"/>
    <x v="4"/>
    <x v="7"/>
    <x v="3"/>
    <s v="XL"/>
    <x v="0"/>
    <x v="2"/>
    <n v="79.61"/>
    <x v="0"/>
    <n v="0"/>
    <n v="79.61"/>
    <n v="0"/>
    <d v="2025-08-06T00:00:00"/>
    <x v="1"/>
    <x v="1"/>
    <n v="29"/>
    <n v="3.7"/>
    <s v="Ok"/>
    <n v="3.7"/>
    <s v="False"/>
    <m/>
    <n v="0"/>
    <n v="79.61"/>
    <x v="0"/>
    <n v="0"/>
  </r>
  <r>
    <s v="FB001378"/>
    <x v="4"/>
    <x v="1"/>
    <x v="1"/>
    <s v="L"/>
    <x v="1"/>
    <x v="3"/>
    <n v="60.13"/>
    <x v="0"/>
    <n v="0"/>
    <n v="60.13"/>
    <n v="0"/>
    <d v="2025-08-06T00:00:00"/>
    <x v="1"/>
    <x v="1"/>
    <n v="27"/>
    <m/>
    <s v="Ok"/>
    <s v="No valorado"/>
    <s v="False"/>
    <m/>
    <n v="0"/>
    <n v="60.13"/>
    <x v="0"/>
    <n v="0"/>
  </r>
  <r>
    <s v="FB001379"/>
    <x v="2"/>
    <x v="6"/>
    <x v="1"/>
    <m/>
    <x v="2"/>
    <x v="4"/>
    <n v="72.260000000000005"/>
    <x v="360"/>
    <n v="0.41"/>
    <n v="42.63"/>
    <n v="29.630000000000003"/>
    <d v="2025-08-06T00:00:00"/>
    <x v="1"/>
    <x v="1"/>
    <n v="43"/>
    <n v="3.5"/>
    <s v="Ok"/>
    <n v="3.5"/>
    <s v="False"/>
    <m/>
    <n v="0"/>
    <n v="42.63"/>
    <x v="0"/>
    <n v="0"/>
  </r>
  <r>
    <s v="FB001380"/>
    <x v="4"/>
    <x v="3"/>
    <x v="3"/>
    <s v="XL"/>
    <x v="0"/>
    <x v="6"/>
    <n v="66.38"/>
    <x v="80"/>
    <n v="0.17"/>
    <n v="55.1"/>
    <n v="11.279999999999994"/>
    <d v="2025-08-06T00:00:00"/>
    <x v="1"/>
    <x v="1"/>
    <n v="24"/>
    <n v="4.9000000000000004"/>
    <s v="Ok"/>
    <n v="4.9000000000000004"/>
    <s v="True"/>
    <s v="Size Issue"/>
    <n v="1"/>
    <n v="0"/>
    <x v="2"/>
    <n v="0"/>
  </r>
  <r>
    <s v="FB001381"/>
    <x v="0"/>
    <x v="5"/>
    <x v="0"/>
    <s v="XS"/>
    <x v="5"/>
    <x v="7"/>
    <n v="100.27"/>
    <x v="0"/>
    <n v="0"/>
    <n v="100.27"/>
    <n v="0"/>
    <d v="2025-03-03T00:00:00"/>
    <x v="2"/>
    <x v="3"/>
    <n v="37"/>
    <n v="3.1"/>
    <s v="Ok"/>
    <n v="3.1"/>
    <s v="False"/>
    <m/>
    <n v="0"/>
    <n v="100.27"/>
    <x v="0"/>
    <n v="0"/>
  </r>
  <r>
    <s v="FB001382"/>
    <x v="5"/>
    <x v="0"/>
    <x v="3"/>
    <s v="S"/>
    <x v="3"/>
    <x v="7"/>
    <n v="116.09"/>
    <x v="229"/>
    <n v="0.52800000000000002"/>
    <n v="54.79"/>
    <n v="61.300000000000004"/>
    <d v="2025-08-06T00:00:00"/>
    <x v="1"/>
    <x v="1"/>
    <n v="22"/>
    <m/>
    <s v="Ok"/>
    <s v="No valorado"/>
    <s v="False"/>
    <m/>
    <n v="0"/>
    <n v="54.79"/>
    <x v="0"/>
    <n v="0"/>
  </r>
  <r>
    <s v="FB001383"/>
    <x v="0"/>
    <x v="3"/>
    <x v="2"/>
    <s v="S"/>
    <x v="3"/>
    <x v="3"/>
    <n v="80.709999999999994"/>
    <x v="126"/>
    <n v="9.0000000000000011E-3"/>
    <n v="79.98"/>
    <n v="0.72999999999998977"/>
    <d v="2025-08-06T00:00:00"/>
    <x v="1"/>
    <x v="1"/>
    <n v="11"/>
    <n v="1.1000000000000001"/>
    <s v="Ok"/>
    <n v="1.1000000000000001"/>
    <s v="False"/>
    <m/>
    <n v="0"/>
    <n v="79.98"/>
    <x v="0"/>
    <n v="0"/>
  </r>
  <r>
    <s v="FB001384"/>
    <x v="5"/>
    <x v="2"/>
    <x v="3"/>
    <s v="M"/>
    <x v="6"/>
    <x v="5"/>
    <n v="175.11"/>
    <x v="0"/>
    <n v="0"/>
    <n v="175.11"/>
    <n v="0"/>
    <d v="2025-08-06T00:00:00"/>
    <x v="1"/>
    <x v="1"/>
    <n v="39"/>
    <n v="2.9"/>
    <s v="Ok"/>
    <n v="2.9"/>
    <s v="False"/>
    <m/>
    <n v="0"/>
    <n v="175.11"/>
    <x v="0"/>
    <n v="0"/>
  </r>
  <r>
    <s v="FB001385"/>
    <x v="5"/>
    <x v="3"/>
    <x v="2"/>
    <s v="XS"/>
    <x v="5"/>
    <x v="10"/>
    <n v="122.35"/>
    <x v="273"/>
    <n v="0.37"/>
    <n v="77.08"/>
    <n v="45.269999999999996"/>
    <d v="2025-08-06T00:00:00"/>
    <x v="1"/>
    <x v="1"/>
    <n v="25"/>
    <m/>
    <s v="Ok"/>
    <s v="No valorado"/>
    <s v="False"/>
    <m/>
    <n v="0"/>
    <n v="77.08"/>
    <x v="0"/>
    <n v="0"/>
  </r>
  <r>
    <s v="FB001386"/>
    <x v="3"/>
    <x v="1"/>
    <x v="1"/>
    <s v="S"/>
    <x v="3"/>
    <x v="5"/>
    <n v="127.99"/>
    <x v="0"/>
    <n v="0"/>
    <n v="127.99"/>
    <n v="0"/>
    <d v="2025-08-06T00:00:00"/>
    <x v="1"/>
    <x v="1"/>
    <n v="14"/>
    <n v="2.7"/>
    <s v="Ok"/>
    <n v="2.7"/>
    <s v="False"/>
    <m/>
    <n v="0"/>
    <n v="127.99"/>
    <x v="0"/>
    <n v="0"/>
  </r>
  <r>
    <s v="FB001387"/>
    <x v="4"/>
    <x v="0"/>
    <x v="3"/>
    <s v="S"/>
    <x v="3"/>
    <x v="10"/>
    <n v="101.07"/>
    <x v="367"/>
    <n v="4.5999999999999999E-2"/>
    <n v="96.42"/>
    <n v="4.6499999999999915"/>
    <d v="2025-08-06T00:00:00"/>
    <x v="1"/>
    <x v="1"/>
    <n v="19"/>
    <n v="4.7"/>
    <s v="Ok"/>
    <n v="4.7"/>
    <s v="False"/>
    <m/>
    <n v="0"/>
    <n v="96.42"/>
    <x v="0"/>
    <n v="0"/>
  </r>
  <r>
    <s v="FB001388"/>
    <x v="4"/>
    <x v="7"/>
    <x v="1"/>
    <s v="L"/>
    <x v="1"/>
    <x v="10"/>
    <n v="41.83"/>
    <x v="256"/>
    <n v="0.441"/>
    <n v="23.38"/>
    <n v="18.45"/>
    <d v="2025-08-06T00:00:00"/>
    <x v="1"/>
    <x v="1"/>
    <n v="6"/>
    <n v="2.4"/>
    <s v="Pocas Unidades"/>
    <n v="2.4"/>
    <s v="False"/>
    <m/>
    <n v="0"/>
    <n v="23.38"/>
    <x v="0"/>
    <n v="0"/>
  </r>
  <r>
    <s v="FB001389"/>
    <x v="3"/>
    <x v="4"/>
    <x v="0"/>
    <s v="M"/>
    <x v="6"/>
    <x v="6"/>
    <n v="147.52000000000001"/>
    <x v="0"/>
    <n v="0"/>
    <n v="147.52000000000001"/>
    <n v="0"/>
    <d v="2025-01-08T00:00:00"/>
    <x v="1"/>
    <x v="5"/>
    <n v="41"/>
    <n v="4"/>
    <s v="Ok"/>
    <n v="4"/>
    <s v="False"/>
    <m/>
    <n v="0"/>
    <n v="147.52000000000001"/>
    <x v="0"/>
    <n v="0"/>
  </r>
  <r>
    <s v="FB001390"/>
    <x v="1"/>
    <x v="2"/>
    <x v="2"/>
    <s v="S"/>
    <x v="3"/>
    <x v="4"/>
    <n v="85.94"/>
    <x v="0"/>
    <n v="0"/>
    <n v="85.94"/>
    <n v="0"/>
    <d v="2025-08-06T00:00:00"/>
    <x v="1"/>
    <x v="1"/>
    <n v="49"/>
    <n v="1.5"/>
    <s v="Ok"/>
    <n v="1.5"/>
    <s v="False"/>
    <m/>
    <n v="0"/>
    <n v="85.94"/>
    <x v="0"/>
    <n v="0"/>
  </r>
  <r>
    <s v="FB001391"/>
    <x v="5"/>
    <x v="6"/>
    <x v="1"/>
    <s v="XXL"/>
    <x v="4"/>
    <x v="6"/>
    <n v="115.61"/>
    <x v="0"/>
    <n v="0"/>
    <n v="115.61"/>
    <n v="0"/>
    <d v="2025-08-06T00:00:00"/>
    <x v="1"/>
    <x v="1"/>
    <n v="35"/>
    <n v="1.8"/>
    <s v="Ok"/>
    <n v="1.8"/>
    <s v="False"/>
    <m/>
    <n v="0"/>
    <n v="115.61"/>
    <x v="0"/>
    <n v="0"/>
  </r>
  <r>
    <s v="FB001392"/>
    <x v="0"/>
    <x v="5"/>
    <x v="1"/>
    <s v="XS"/>
    <x v="5"/>
    <x v="1"/>
    <n v="90.58"/>
    <x v="0"/>
    <n v="0"/>
    <n v="90.58"/>
    <n v="0"/>
    <d v="2025-08-06T00:00:00"/>
    <x v="1"/>
    <x v="1"/>
    <n v="1"/>
    <n v="1"/>
    <s v="Pocas Unidades"/>
    <n v="1"/>
    <s v="False"/>
    <m/>
    <n v="0"/>
    <n v="90.58"/>
    <x v="0"/>
    <n v="0"/>
  </r>
  <r>
    <s v="FB001393"/>
    <x v="1"/>
    <x v="6"/>
    <x v="0"/>
    <s v="S"/>
    <x v="3"/>
    <x v="0"/>
    <n v="64.84"/>
    <x v="0"/>
    <n v="0"/>
    <n v="64.84"/>
    <n v="0"/>
    <d v="2024-10-26T00:00:00"/>
    <x v="0"/>
    <x v="2"/>
    <n v="25"/>
    <n v="3.9"/>
    <s v="Ok"/>
    <n v="3.9"/>
    <s v="False"/>
    <m/>
    <n v="0"/>
    <n v="64.84"/>
    <x v="0"/>
    <n v="0"/>
  </r>
  <r>
    <s v="FB001394"/>
    <x v="4"/>
    <x v="2"/>
    <x v="3"/>
    <s v="XS"/>
    <x v="5"/>
    <x v="2"/>
    <n v="37.270000000000003"/>
    <x v="0"/>
    <n v="0"/>
    <n v="37.270000000000003"/>
    <n v="0"/>
    <d v="2025-08-06T00:00:00"/>
    <x v="1"/>
    <x v="1"/>
    <n v="27"/>
    <n v="2.8"/>
    <s v="Ok"/>
    <n v="2.8"/>
    <s v="True"/>
    <s v="Changed Mind"/>
    <n v="1"/>
    <n v="0"/>
    <x v="5"/>
    <n v="0"/>
  </r>
  <r>
    <s v="FB001395"/>
    <x v="1"/>
    <x v="6"/>
    <x v="3"/>
    <s v="XL"/>
    <x v="0"/>
    <x v="5"/>
    <n v="90.48"/>
    <x v="32"/>
    <n v="0.55200000000000005"/>
    <n v="40.54"/>
    <n v="49.940000000000005"/>
    <d v="2025-08-06T00:00:00"/>
    <x v="1"/>
    <x v="1"/>
    <n v="26"/>
    <n v="3"/>
    <s v="Ok"/>
    <n v="3"/>
    <s v="False"/>
    <m/>
    <n v="0"/>
    <n v="40.54"/>
    <x v="0"/>
    <n v="0"/>
  </r>
  <r>
    <s v="FB001396"/>
    <x v="3"/>
    <x v="6"/>
    <x v="3"/>
    <s v="S"/>
    <x v="3"/>
    <x v="6"/>
    <n v="159.62"/>
    <x v="242"/>
    <n v="0.58399999999999996"/>
    <n v="66.400000000000006"/>
    <n v="93.22"/>
    <d v="2025-08-06T00:00:00"/>
    <x v="1"/>
    <x v="1"/>
    <n v="45"/>
    <n v="1.1000000000000001"/>
    <s v="Ok"/>
    <n v="1.1000000000000001"/>
    <s v="False"/>
    <m/>
    <n v="0"/>
    <n v="66.400000000000006"/>
    <x v="0"/>
    <n v="0"/>
  </r>
  <r>
    <s v="FB001397"/>
    <x v="3"/>
    <x v="5"/>
    <x v="3"/>
    <s v="L"/>
    <x v="1"/>
    <x v="4"/>
    <n v="81.459999999999994"/>
    <x v="55"/>
    <n v="0.58799999999999997"/>
    <n v="33.56"/>
    <n v="47.899999999999991"/>
    <d v="2025-08-06T00:00:00"/>
    <x v="1"/>
    <x v="1"/>
    <n v="37"/>
    <n v="4.5999999999999996"/>
    <s v="Ok"/>
    <n v="4.5999999999999996"/>
    <s v="False"/>
    <m/>
    <n v="0"/>
    <n v="33.56"/>
    <x v="0"/>
    <n v="0"/>
  </r>
  <r>
    <s v="FB001398"/>
    <x v="3"/>
    <x v="7"/>
    <x v="1"/>
    <s v="XS"/>
    <x v="5"/>
    <x v="3"/>
    <n v="93.63"/>
    <x v="0"/>
    <n v="0"/>
    <n v="93.63"/>
    <n v="0"/>
    <d v="2025-08-06T00:00:00"/>
    <x v="1"/>
    <x v="1"/>
    <n v="47"/>
    <n v="4.0999999999999996"/>
    <s v="Ok"/>
    <n v="4.0999999999999996"/>
    <s v="False"/>
    <m/>
    <n v="0"/>
    <n v="93.63"/>
    <x v="0"/>
    <n v="0"/>
  </r>
  <r>
    <s v="FB001399"/>
    <x v="1"/>
    <x v="5"/>
    <x v="3"/>
    <s v="M"/>
    <x v="6"/>
    <x v="10"/>
    <n v="95.55"/>
    <x v="0"/>
    <n v="0"/>
    <n v="95.55"/>
    <n v="0"/>
    <d v="2025-08-06T00:00:00"/>
    <x v="1"/>
    <x v="1"/>
    <n v="25"/>
    <n v="4.7"/>
    <s v="Ok"/>
    <n v="4.7"/>
    <s v="False"/>
    <m/>
    <n v="0"/>
    <n v="95.55"/>
    <x v="0"/>
    <n v="0"/>
  </r>
  <r>
    <s v="FB001400"/>
    <x v="0"/>
    <x v="0"/>
    <x v="1"/>
    <s v="M"/>
    <x v="6"/>
    <x v="3"/>
    <n v="146.44999999999999"/>
    <x v="0"/>
    <n v="0"/>
    <n v="146.44999999999999"/>
    <n v="0"/>
    <d v="2025-08-06T00:00:00"/>
    <x v="1"/>
    <x v="1"/>
    <n v="45"/>
    <n v="3.4"/>
    <s v="Ok"/>
    <n v="3.4"/>
    <s v="False"/>
    <m/>
    <n v="0"/>
    <n v="146.44999999999999"/>
    <x v="0"/>
    <n v="0"/>
  </r>
  <r>
    <s v="FB001401"/>
    <x v="3"/>
    <x v="2"/>
    <x v="0"/>
    <s v="M"/>
    <x v="6"/>
    <x v="5"/>
    <n v="96.9"/>
    <x v="0"/>
    <n v="0"/>
    <n v="96.9"/>
    <n v="0"/>
    <d v="2025-02-03T00:00:00"/>
    <x v="2"/>
    <x v="9"/>
    <n v="24"/>
    <n v="4.3"/>
    <s v="Ok"/>
    <n v="4.3"/>
    <s v="False"/>
    <m/>
    <n v="0"/>
    <n v="96.9"/>
    <x v="0"/>
    <n v="0"/>
  </r>
  <r>
    <s v="FB001402"/>
    <x v="1"/>
    <x v="2"/>
    <x v="2"/>
    <s v="XXL"/>
    <x v="4"/>
    <x v="10"/>
    <n v="71.83"/>
    <x v="0"/>
    <n v="0"/>
    <n v="71.83"/>
    <n v="0"/>
    <d v="2025-08-06T00:00:00"/>
    <x v="1"/>
    <x v="1"/>
    <n v="46"/>
    <n v="4.5"/>
    <s v="Ok"/>
    <n v="4.5"/>
    <s v="False"/>
    <m/>
    <n v="0"/>
    <n v="71.83"/>
    <x v="0"/>
    <n v="0"/>
  </r>
  <r>
    <s v="FB001403"/>
    <x v="1"/>
    <x v="4"/>
    <x v="3"/>
    <s v="L"/>
    <x v="1"/>
    <x v="8"/>
    <n v="29.17"/>
    <x v="0"/>
    <n v="0"/>
    <n v="29.17"/>
    <n v="0"/>
    <d v="2025-08-06T00:00:00"/>
    <x v="1"/>
    <x v="1"/>
    <n v="17"/>
    <n v="1.6"/>
    <s v="Ok"/>
    <n v="1.6"/>
    <s v="False"/>
    <m/>
    <n v="0"/>
    <n v="29.17"/>
    <x v="0"/>
    <n v="0"/>
  </r>
  <r>
    <s v="FB001404"/>
    <x v="1"/>
    <x v="4"/>
    <x v="0"/>
    <s v="S"/>
    <x v="3"/>
    <x v="6"/>
    <n v="31.3"/>
    <x v="368"/>
    <n v="0.436"/>
    <n v="17.649999999999999"/>
    <n v="13.650000000000002"/>
    <d v="2025-03-06T00:00:00"/>
    <x v="5"/>
    <x v="3"/>
    <n v="21"/>
    <n v="4.4000000000000004"/>
    <s v="Ok"/>
    <n v="4.4000000000000004"/>
    <s v="False"/>
    <m/>
    <n v="0"/>
    <n v="17.649999999999999"/>
    <x v="0"/>
    <n v="0"/>
  </r>
  <r>
    <s v="FB001405"/>
    <x v="2"/>
    <x v="0"/>
    <x v="2"/>
    <m/>
    <x v="2"/>
    <x v="6"/>
    <n v="73.569999999999993"/>
    <x v="0"/>
    <n v="0"/>
    <n v="73.569999999999993"/>
    <n v="0"/>
    <d v="2025-08-06T00:00:00"/>
    <x v="1"/>
    <x v="1"/>
    <n v="22"/>
    <n v="1.1000000000000001"/>
    <s v="Ok"/>
    <n v="1.1000000000000001"/>
    <s v="False"/>
    <m/>
    <n v="0"/>
    <n v="73.569999999999993"/>
    <x v="0"/>
    <n v="0"/>
  </r>
  <r>
    <s v="FB001406"/>
    <x v="3"/>
    <x v="3"/>
    <x v="3"/>
    <m/>
    <x v="7"/>
    <x v="1"/>
    <n v="75.95"/>
    <x v="0"/>
    <n v="0"/>
    <n v="75.95"/>
    <n v="0"/>
    <d v="2025-08-06T00:00:00"/>
    <x v="1"/>
    <x v="1"/>
    <n v="14"/>
    <m/>
    <s v="Ok"/>
    <s v="No valorado"/>
    <s v="False"/>
    <m/>
    <n v="0"/>
    <n v="75.95"/>
    <x v="0"/>
    <n v="0"/>
  </r>
  <r>
    <s v="FB001407"/>
    <x v="2"/>
    <x v="4"/>
    <x v="0"/>
    <m/>
    <x v="2"/>
    <x v="6"/>
    <n v="79.040000000000006"/>
    <x v="0"/>
    <n v="0"/>
    <n v="79.040000000000006"/>
    <n v="0"/>
    <d v="2024-10-03T00:00:00"/>
    <x v="5"/>
    <x v="2"/>
    <n v="28"/>
    <n v="4.7"/>
    <s v="Ok"/>
    <n v="4.7"/>
    <s v="False"/>
    <m/>
    <n v="0"/>
    <n v="79.040000000000006"/>
    <x v="0"/>
    <n v="0"/>
  </r>
  <r>
    <s v="FB001408"/>
    <x v="1"/>
    <x v="3"/>
    <x v="2"/>
    <s v="L"/>
    <x v="1"/>
    <x v="3"/>
    <n v="26.85"/>
    <x v="0"/>
    <n v="0"/>
    <n v="26.85"/>
    <n v="0"/>
    <d v="2025-08-06T00:00:00"/>
    <x v="1"/>
    <x v="1"/>
    <n v="26"/>
    <m/>
    <s v="Ok"/>
    <s v="No valorado"/>
    <s v="False"/>
    <m/>
    <n v="0"/>
    <n v="26.85"/>
    <x v="0"/>
    <n v="0"/>
  </r>
  <r>
    <s v="FB001409"/>
    <x v="5"/>
    <x v="5"/>
    <x v="0"/>
    <s v="L"/>
    <x v="1"/>
    <x v="4"/>
    <n v="126.21"/>
    <x v="128"/>
    <n v="0.29199999999999998"/>
    <n v="89.36"/>
    <n v="36.849999999999994"/>
    <d v="2024-08-15T00:00:00"/>
    <x v="5"/>
    <x v="1"/>
    <n v="25"/>
    <n v="1.1000000000000001"/>
    <s v="Ok"/>
    <n v="1.1000000000000001"/>
    <s v="False"/>
    <m/>
    <n v="0"/>
    <n v="89.36"/>
    <x v="0"/>
    <n v="0"/>
  </r>
  <r>
    <s v="FB001410"/>
    <x v="3"/>
    <x v="3"/>
    <x v="2"/>
    <s v="S"/>
    <x v="3"/>
    <x v="8"/>
    <n v="71.459999999999994"/>
    <x v="0"/>
    <n v="0"/>
    <n v="71.459999999999994"/>
    <n v="0"/>
    <d v="2025-08-06T00:00:00"/>
    <x v="1"/>
    <x v="1"/>
    <n v="2"/>
    <n v="3.1"/>
    <s v="Pocas Unidades"/>
    <n v="3.1"/>
    <s v="False"/>
    <m/>
    <n v="0"/>
    <n v="71.459999999999994"/>
    <x v="0"/>
    <n v="0"/>
  </r>
  <r>
    <s v="FB001411"/>
    <x v="5"/>
    <x v="3"/>
    <x v="1"/>
    <s v="M"/>
    <x v="6"/>
    <x v="7"/>
    <n v="65.069999999999993"/>
    <x v="369"/>
    <n v="0.14800000000000002"/>
    <n v="55.44"/>
    <n v="9.6299999999999955"/>
    <d v="2025-08-06T00:00:00"/>
    <x v="1"/>
    <x v="1"/>
    <n v="21"/>
    <m/>
    <s v="Ok"/>
    <s v="No valorado"/>
    <s v="False"/>
    <m/>
    <n v="0"/>
    <n v="55.44"/>
    <x v="0"/>
    <n v="0"/>
  </r>
  <r>
    <s v="FB001412"/>
    <x v="4"/>
    <x v="3"/>
    <x v="2"/>
    <s v="XL"/>
    <x v="0"/>
    <x v="1"/>
    <n v="28.11"/>
    <x v="331"/>
    <n v="0.20899999999999999"/>
    <n v="22.24"/>
    <n v="5.870000000000001"/>
    <d v="2025-08-06T00:00:00"/>
    <x v="1"/>
    <x v="1"/>
    <n v="6"/>
    <n v="2.2999999999999998"/>
    <s v="Pocas Unidades"/>
    <n v="2.2999999999999998"/>
    <s v="False"/>
    <m/>
    <n v="0"/>
    <n v="22.24"/>
    <x v="0"/>
    <n v="0"/>
  </r>
  <r>
    <s v="FB001413"/>
    <x v="1"/>
    <x v="4"/>
    <x v="0"/>
    <s v="L"/>
    <x v="1"/>
    <x v="6"/>
    <n v="29.12"/>
    <x v="0"/>
    <n v="0"/>
    <n v="29.12"/>
    <n v="0"/>
    <d v="2025-03-25T00:00:00"/>
    <x v="3"/>
    <x v="3"/>
    <n v="14"/>
    <n v="2.7"/>
    <s v="Ok"/>
    <n v="2.7"/>
    <s v="False"/>
    <m/>
    <n v="0"/>
    <n v="29.12"/>
    <x v="0"/>
    <n v="0"/>
  </r>
  <r>
    <s v="FB001414"/>
    <x v="2"/>
    <x v="7"/>
    <x v="1"/>
    <m/>
    <x v="2"/>
    <x v="2"/>
    <n v="57.1"/>
    <x v="0"/>
    <n v="0"/>
    <n v="57.1"/>
    <n v="0"/>
    <d v="2025-08-06T00:00:00"/>
    <x v="1"/>
    <x v="1"/>
    <n v="28"/>
    <m/>
    <s v="Ok"/>
    <s v="No valorado"/>
    <s v="True"/>
    <s v="Wrong Item"/>
    <n v="1"/>
    <n v="0"/>
    <x v="6"/>
    <n v="0"/>
  </r>
  <r>
    <s v="FB001415"/>
    <x v="0"/>
    <x v="1"/>
    <x v="0"/>
    <s v="M"/>
    <x v="6"/>
    <x v="2"/>
    <n v="248.05"/>
    <x v="0"/>
    <n v="0"/>
    <n v="248.05"/>
    <n v="0"/>
    <d v="2025-04-29T00:00:00"/>
    <x v="3"/>
    <x v="4"/>
    <n v="17"/>
    <n v="4.5999999999999996"/>
    <s v="Ok"/>
    <n v="4.5999999999999996"/>
    <s v="False"/>
    <m/>
    <n v="0"/>
    <n v="248.05"/>
    <x v="0"/>
    <n v="0"/>
  </r>
  <r>
    <s v="FB001416"/>
    <x v="4"/>
    <x v="0"/>
    <x v="2"/>
    <s v="S"/>
    <x v="3"/>
    <x v="4"/>
    <n v="108.59"/>
    <x v="64"/>
    <n v="0.40600000000000003"/>
    <n v="64.5"/>
    <n v="44.09"/>
    <d v="2025-08-06T00:00:00"/>
    <x v="1"/>
    <x v="1"/>
    <n v="9"/>
    <n v="1.3"/>
    <s v="Pocas Unidades"/>
    <n v="1.3"/>
    <s v="False"/>
    <m/>
    <n v="0"/>
    <n v="64.5"/>
    <x v="0"/>
    <n v="0"/>
  </r>
  <r>
    <s v="FB001417"/>
    <x v="0"/>
    <x v="7"/>
    <x v="3"/>
    <s v="XL"/>
    <x v="0"/>
    <x v="7"/>
    <n v="124.13"/>
    <x v="0"/>
    <n v="0"/>
    <n v="124.13"/>
    <n v="0"/>
    <d v="2025-08-06T00:00:00"/>
    <x v="1"/>
    <x v="1"/>
    <n v="33"/>
    <n v="5"/>
    <s v="Ok"/>
    <n v="5"/>
    <s v="False"/>
    <m/>
    <n v="0"/>
    <n v="124.13"/>
    <x v="0"/>
    <n v="0"/>
  </r>
  <r>
    <s v="FB001418"/>
    <x v="2"/>
    <x v="0"/>
    <x v="0"/>
    <m/>
    <x v="2"/>
    <x v="10"/>
    <n v="62.21"/>
    <x v="370"/>
    <n v="1.8000000000000002E-2"/>
    <n v="61.09"/>
    <n v="1.1199999999999974"/>
    <d v="2024-11-03T00:00:00"/>
    <x v="6"/>
    <x v="11"/>
    <n v="4"/>
    <n v="2.2999999999999998"/>
    <s v="Pocas Unidades"/>
    <n v="2.2999999999999998"/>
    <s v="False"/>
    <m/>
    <n v="0"/>
    <n v="61.09"/>
    <x v="0"/>
    <n v="0"/>
  </r>
  <r>
    <s v="FB001419"/>
    <x v="4"/>
    <x v="1"/>
    <x v="2"/>
    <s v="M"/>
    <x v="6"/>
    <x v="4"/>
    <n v="48.27"/>
    <x v="0"/>
    <n v="0"/>
    <n v="48.27"/>
    <n v="0"/>
    <d v="2025-08-06T00:00:00"/>
    <x v="1"/>
    <x v="1"/>
    <n v="33"/>
    <m/>
    <s v="Ok"/>
    <s v="No valorado"/>
    <s v="False"/>
    <m/>
    <n v="0"/>
    <n v="48.27"/>
    <x v="0"/>
    <n v="0"/>
  </r>
  <r>
    <s v="FB001420"/>
    <x v="1"/>
    <x v="0"/>
    <x v="0"/>
    <s v="XL"/>
    <x v="0"/>
    <x v="5"/>
    <n v="88.77"/>
    <x v="0"/>
    <n v="0"/>
    <n v="88.77"/>
    <n v="0"/>
    <d v="2025-05-16T00:00:00"/>
    <x v="4"/>
    <x v="8"/>
    <n v="40"/>
    <n v="4.8"/>
    <s v="Ok"/>
    <n v="4.8"/>
    <s v="False"/>
    <m/>
    <n v="0"/>
    <n v="88.77"/>
    <x v="0"/>
    <n v="0"/>
  </r>
  <r>
    <s v="FB001421"/>
    <x v="5"/>
    <x v="6"/>
    <x v="2"/>
    <s v="M"/>
    <x v="6"/>
    <x v="8"/>
    <n v="94.17"/>
    <x v="0"/>
    <n v="0"/>
    <n v="94.17"/>
    <n v="0"/>
    <d v="2025-08-06T00:00:00"/>
    <x v="1"/>
    <x v="1"/>
    <n v="2"/>
    <m/>
    <s v="Pocas Unidades"/>
    <s v="No valorado"/>
    <s v="False"/>
    <m/>
    <n v="0"/>
    <n v="94.17"/>
    <x v="0"/>
    <n v="0"/>
  </r>
  <r>
    <s v="FB001422"/>
    <x v="2"/>
    <x v="7"/>
    <x v="2"/>
    <m/>
    <x v="2"/>
    <x v="2"/>
    <n v="30.44"/>
    <x v="0"/>
    <n v="0"/>
    <n v="30.44"/>
    <n v="0"/>
    <d v="2025-08-06T00:00:00"/>
    <x v="1"/>
    <x v="1"/>
    <n v="42"/>
    <m/>
    <s v="Ok"/>
    <s v="No valorado"/>
    <s v="False"/>
    <m/>
    <n v="0"/>
    <n v="30.44"/>
    <x v="0"/>
    <n v="0"/>
  </r>
  <r>
    <s v="FB001423"/>
    <x v="4"/>
    <x v="1"/>
    <x v="2"/>
    <s v="XS"/>
    <x v="5"/>
    <x v="9"/>
    <n v="114.29"/>
    <x v="0"/>
    <n v="0"/>
    <n v="114.29"/>
    <n v="0"/>
    <d v="2025-08-06T00:00:00"/>
    <x v="1"/>
    <x v="1"/>
    <n v="9"/>
    <n v="3.2"/>
    <s v="Pocas Unidades"/>
    <n v="3.2"/>
    <s v="False"/>
    <m/>
    <n v="0"/>
    <n v="114.29"/>
    <x v="0"/>
    <n v="0"/>
  </r>
  <r>
    <s v="FB001424"/>
    <x v="3"/>
    <x v="1"/>
    <x v="2"/>
    <s v="XL"/>
    <x v="0"/>
    <x v="4"/>
    <n v="105.01"/>
    <x v="371"/>
    <n v="0.25800000000000001"/>
    <n v="77.92"/>
    <n v="27.090000000000003"/>
    <d v="2025-08-06T00:00:00"/>
    <x v="1"/>
    <x v="1"/>
    <n v="17"/>
    <n v="3.2"/>
    <s v="Ok"/>
    <n v="3.2"/>
    <s v="False"/>
    <m/>
    <n v="0"/>
    <n v="77.92"/>
    <x v="0"/>
    <n v="0"/>
  </r>
  <r>
    <s v="FB001425"/>
    <x v="1"/>
    <x v="5"/>
    <x v="0"/>
    <s v="XL"/>
    <x v="0"/>
    <x v="5"/>
    <n v="38.56"/>
    <x v="0"/>
    <n v="0"/>
    <n v="38.56"/>
    <n v="0"/>
    <d v="2025-05-30T00:00:00"/>
    <x v="4"/>
    <x v="8"/>
    <n v="39"/>
    <n v="1.5"/>
    <s v="Ok"/>
    <n v="1.5"/>
    <s v="False"/>
    <m/>
    <n v="0"/>
    <n v="38.56"/>
    <x v="0"/>
    <n v="0"/>
  </r>
  <r>
    <s v="FB001426"/>
    <x v="3"/>
    <x v="3"/>
    <x v="1"/>
    <s v="L"/>
    <x v="1"/>
    <x v="9"/>
    <n v="64.94"/>
    <x v="0"/>
    <n v="0"/>
    <n v="64.94"/>
    <n v="0"/>
    <d v="2025-08-06T00:00:00"/>
    <x v="1"/>
    <x v="1"/>
    <n v="32"/>
    <n v="4.5"/>
    <s v="Ok"/>
    <n v="4.5"/>
    <s v="False"/>
    <m/>
    <n v="0"/>
    <n v="64.94"/>
    <x v="0"/>
    <n v="0"/>
  </r>
  <r>
    <s v="FB001427"/>
    <x v="4"/>
    <x v="3"/>
    <x v="1"/>
    <s v="S"/>
    <x v="3"/>
    <x v="6"/>
    <n v="63.74"/>
    <x v="334"/>
    <n v="0.56799999999999995"/>
    <n v="27.54"/>
    <n v="36.200000000000003"/>
    <d v="2025-08-06T00:00:00"/>
    <x v="1"/>
    <x v="1"/>
    <n v="15"/>
    <n v="4"/>
    <s v="Ok"/>
    <n v="4"/>
    <s v="False"/>
    <m/>
    <n v="0"/>
    <n v="27.54"/>
    <x v="0"/>
    <n v="0"/>
  </r>
  <r>
    <s v="FB001428"/>
    <x v="1"/>
    <x v="0"/>
    <x v="3"/>
    <s v="XL"/>
    <x v="0"/>
    <x v="1"/>
    <n v="67.23"/>
    <x v="122"/>
    <n v="0.111"/>
    <n v="59.77"/>
    <n v="7.4600000000000009"/>
    <d v="2025-08-06T00:00:00"/>
    <x v="1"/>
    <x v="1"/>
    <n v="39"/>
    <n v="1.1000000000000001"/>
    <s v="Ok"/>
    <n v="1.1000000000000001"/>
    <s v="True"/>
    <s v="Wrong Item"/>
    <n v="1"/>
    <n v="0"/>
    <x v="6"/>
    <n v="0"/>
  </r>
  <r>
    <s v="FB001429"/>
    <x v="2"/>
    <x v="4"/>
    <x v="0"/>
    <m/>
    <x v="2"/>
    <x v="5"/>
    <n v="27.2"/>
    <x v="199"/>
    <n v="0.40399999999999997"/>
    <n v="16.21"/>
    <n v="10.989999999999998"/>
    <d v="2024-08-19T00:00:00"/>
    <x v="2"/>
    <x v="1"/>
    <n v="20"/>
    <n v="4.3"/>
    <s v="Ok"/>
    <n v="4.3"/>
    <s v="False"/>
    <m/>
    <n v="0"/>
    <n v="16.21"/>
    <x v="0"/>
    <n v="0"/>
  </r>
  <r>
    <s v="FB001430"/>
    <x v="1"/>
    <x v="3"/>
    <x v="0"/>
    <s v="XL"/>
    <x v="0"/>
    <x v="10"/>
    <n v="75.84"/>
    <x v="0"/>
    <n v="0"/>
    <n v="75.84"/>
    <n v="0"/>
    <d v="2025-04-07T00:00:00"/>
    <x v="2"/>
    <x v="4"/>
    <n v="8"/>
    <n v="4.0999999999999996"/>
    <s v="Pocas Unidades"/>
    <n v="4.0999999999999996"/>
    <s v="False"/>
    <m/>
    <n v="0"/>
    <n v="75.84"/>
    <x v="0"/>
    <n v="0"/>
  </r>
  <r>
    <s v="FB001431"/>
    <x v="5"/>
    <x v="3"/>
    <x v="1"/>
    <s v="M"/>
    <x v="6"/>
    <x v="8"/>
    <n v="68.510000000000005"/>
    <x v="0"/>
    <n v="0"/>
    <n v="68.510000000000005"/>
    <n v="0"/>
    <d v="2025-08-06T00:00:00"/>
    <x v="1"/>
    <x v="1"/>
    <n v="1"/>
    <n v="2.6"/>
    <s v="Pocas Unidades"/>
    <n v="2.6"/>
    <s v="False"/>
    <m/>
    <n v="0"/>
    <n v="68.510000000000005"/>
    <x v="0"/>
    <n v="0"/>
  </r>
  <r>
    <s v="FB001432"/>
    <x v="2"/>
    <x v="3"/>
    <x v="3"/>
    <m/>
    <x v="2"/>
    <x v="9"/>
    <n v="25.49"/>
    <x v="0"/>
    <n v="0"/>
    <n v="25.49"/>
    <n v="0"/>
    <d v="2025-08-06T00:00:00"/>
    <x v="1"/>
    <x v="1"/>
    <n v="35"/>
    <n v="2.2000000000000002"/>
    <s v="Ok"/>
    <n v="2.2000000000000002"/>
    <s v="True"/>
    <s v="Size Issue"/>
    <n v="1"/>
    <n v="0"/>
    <x v="2"/>
    <n v="0"/>
  </r>
  <r>
    <s v="FB001433"/>
    <x v="1"/>
    <x v="5"/>
    <x v="2"/>
    <s v="XS"/>
    <x v="5"/>
    <x v="0"/>
    <n v="70.88"/>
    <x v="0"/>
    <n v="0"/>
    <n v="70.88"/>
    <n v="0"/>
    <d v="2025-08-06T00:00:00"/>
    <x v="1"/>
    <x v="1"/>
    <n v="5"/>
    <n v="2.2999999999999998"/>
    <s v="Pocas Unidades"/>
    <n v="2.2999999999999998"/>
    <s v="False"/>
    <m/>
    <n v="0"/>
    <n v="70.88"/>
    <x v="0"/>
    <n v="0"/>
  </r>
  <r>
    <s v="FB001434"/>
    <x v="3"/>
    <x v="4"/>
    <x v="3"/>
    <s v="XS"/>
    <x v="5"/>
    <x v="3"/>
    <n v="176.64"/>
    <x v="83"/>
    <n v="8.8000000000000009E-2"/>
    <n v="161.1"/>
    <n v="15.539999999999992"/>
    <d v="2025-08-06T00:00:00"/>
    <x v="1"/>
    <x v="1"/>
    <n v="1"/>
    <n v="1.7"/>
    <s v="Pocas Unidades"/>
    <n v="1.7"/>
    <s v="False"/>
    <m/>
    <n v="0"/>
    <n v="161.1"/>
    <x v="0"/>
    <n v="0"/>
  </r>
  <r>
    <s v="FB001435"/>
    <x v="5"/>
    <x v="5"/>
    <x v="1"/>
    <s v="L"/>
    <x v="1"/>
    <x v="0"/>
    <n v="50.76"/>
    <x v="0"/>
    <n v="0"/>
    <n v="50.76"/>
    <n v="0"/>
    <d v="2025-08-06T00:00:00"/>
    <x v="1"/>
    <x v="1"/>
    <n v="45"/>
    <n v="4.3"/>
    <s v="Ok"/>
    <n v="4.3"/>
    <s v="False"/>
    <m/>
    <n v="0"/>
    <n v="50.76"/>
    <x v="0"/>
    <n v="0"/>
  </r>
  <r>
    <s v="FB001436"/>
    <x v="3"/>
    <x v="3"/>
    <x v="2"/>
    <s v="XL"/>
    <x v="0"/>
    <x v="1"/>
    <n v="155.85"/>
    <x v="0"/>
    <n v="0"/>
    <n v="155.85"/>
    <n v="0"/>
    <d v="2025-08-06T00:00:00"/>
    <x v="1"/>
    <x v="1"/>
    <n v="1"/>
    <n v="3.5"/>
    <s v="Pocas Unidades"/>
    <n v="3.5"/>
    <s v="False"/>
    <m/>
    <n v="0"/>
    <n v="155.85"/>
    <x v="0"/>
    <n v="0"/>
  </r>
  <r>
    <s v="FB001437"/>
    <x v="5"/>
    <x v="2"/>
    <x v="0"/>
    <s v="XL"/>
    <x v="0"/>
    <x v="5"/>
    <n v="48.04"/>
    <x v="0"/>
    <n v="0"/>
    <n v="48.04"/>
    <n v="0"/>
    <d v="2025-05-01T00:00:00"/>
    <x v="5"/>
    <x v="8"/>
    <n v="20"/>
    <n v="3.2"/>
    <s v="Ok"/>
    <n v="3.2"/>
    <s v="False"/>
    <m/>
    <n v="0"/>
    <n v="48.04"/>
    <x v="0"/>
    <n v="0"/>
  </r>
  <r>
    <s v="FB001438"/>
    <x v="1"/>
    <x v="7"/>
    <x v="0"/>
    <s v="XS"/>
    <x v="5"/>
    <x v="8"/>
    <n v="44.79"/>
    <x v="0"/>
    <n v="0"/>
    <n v="44.79"/>
    <n v="0"/>
    <d v="2025-01-19T00:00:00"/>
    <x v="6"/>
    <x v="5"/>
    <n v="7"/>
    <n v="3.6"/>
    <s v="Pocas Unidades"/>
    <n v="3.6"/>
    <s v="False"/>
    <m/>
    <n v="0"/>
    <n v="44.79"/>
    <x v="0"/>
    <n v="0"/>
  </r>
  <r>
    <s v="FB001439"/>
    <x v="1"/>
    <x v="1"/>
    <x v="0"/>
    <s v="XS"/>
    <x v="5"/>
    <x v="5"/>
    <n v="76.95"/>
    <x v="0"/>
    <n v="0"/>
    <n v="76.95"/>
    <n v="0"/>
    <d v="2025-01-12T00:00:00"/>
    <x v="6"/>
    <x v="5"/>
    <n v="9"/>
    <n v="2.5"/>
    <s v="Pocas Unidades"/>
    <n v="2.5"/>
    <s v="False"/>
    <m/>
    <n v="0"/>
    <n v="76.95"/>
    <x v="0"/>
    <n v="0"/>
  </r>
  <r>
    <s v="FB001440"/>
    <x v="2"/>
    <x v="6"/>
    <x v="3"/>
    <m/>
    <x v="2"/>
    <x v="4"/>
    <n v="35.93"/>
    <x v="372"/>
    <n v="0.499"/>
    <n v="18"/>
    <n v="17.93"/>
    <d v="2025-08-06T00:00:00"/>
    <x v="1"/>
    <x v="1"/>
    <n v="26"/>
    <n v="4"/>
    <s v="Ok"/>
    <n v="4"/>
    <s v="False"/>
    <m/>
    <n v="0"/>
    <n v="18"/>
    <x v="0"/>
    <n v="0"/>
  </r>
  <r>
    <s v="FB001441"/>
    <x v="4"/>
    <x v="2"/>
    <x v="2"/>
    <s v="XL"/>
    <x v="0"/>
    <x v="0"/>
    <n v="49.97"/>
    <x v="0"/>
    <n v="0"/>
    <n v="49.97"/>
    <n v="0"/>
    <d v="2025-08-06T00:00:00"/>
    <x v="1"/>
    <x v="1"/>
    <n v="11"/>
    <n v="3.5"/>
    <s v="Ok"/>
    <n v="3.5"/>
    <s v="True"/>
    <s v="Quality Issue"/>
    <n v="1"/>
    <n v="0"/>
    <x v="4"/>
    <n v="0"/>
  </r>
  <r>
    <s v="FB001442"/>
    <x v="0"/>
    <x v="4"/>
    <x v="3"/>
    <m/>
    <x v="7"/>
    <x v="2"/>
    <n v="169.69"/>
    <x v="0"/>
    <n v="0"/>
    <n v="169.69"/>
    <n v="0"/>
    <d v="2025-08-06T00:00:00"/>
    <x v="1"/>
    <x v="1"/>
    <n v="29"/>
    <n v="1.9"/>
    <s v="Ok"/>
    <n v="1.9"/>
    <s v="False"/>
    <m/>
    <n v="0"/>
    <n v="169.69"/>
    <x v="0"/>
    <n v="0"/>
  </r>
  <r>
    <s v="FB001443"/>
    <x v="0"/>
    <x v="5"/>
    <x v="0"/>
    <m/>
    <x v="7"/>
    <x v="3"/>
    <n v="209.3"/>
    <x v="14"/>
    <n v="0.14199999999999999"/>
    <n v="179.58"/>
    <n v="29.72"/>
    <d v="2025-03-05T00:00:00"/>
    <x v="1"/>
    <x v="3"/>
    <n v="29"/>
    <m/>
    <s v="Ok"/>
    <s v="No valorado"/>
    <s v="False"/>
    <m/>
    <n v="0"/>
    <n v="179.58"/>
    <x v="0"/>
    <n v="0"/>
  </r>
  <r>
    <s v="FB001444"/>
    <x v="1"/>
    <x v="6"/>
    <x v="3"/>
    <s v="XXL"/>
    <x v="4"/>
    <x v="1"/>
    <n v="110.81"/>
    <x v="0"/>
    <n v="0"/>
    <n v="110.81"/>
    <n v="0"/>
    <d v="2025-08-06T00:00:00"/>
    <x v="1"/>
    <x v="1"/>
    <n v="24"/>
    <n v="2.4"/>
    <s v="Ok"/>
    <n v="2.4"/>
    <s v="False"/>
    <m/>
    <n v="0"/>
    <n v="110.81"/>
    <x v="0"/>
    <n v="0"/>
  </r>
  <r>
    <s v="FB001445"/>
    <x v="2"/>
    <x v="1"/>
    <x v="2"/>
    <m/>
    <x v="2"/>
    <x v="2"/>
    <n v="61.84"/>
    <x v="0"/>
    <n v="0"/>
    <n v="61.84"/>
    <n v="0"/>
    <d v="2025-08-06T00:00:00"/>
    <x v="1"/>
    <x v="1"/>
    <n v="0"/>
    <n v="4.7"/>
    <s v="Agotado"/>
    <n v="4.7"/>
    <s v="True"/>
    <s v="Wrong Item"/>
    <n v="1"/>
    <n v="0"/>
    <x v="6"/>
    <n v="0"/>
  </r>
  <r>
    <s v="FB001446"/>
    <x v="0"/>
    <x v="0"/>
    <x v="0"/>
    <s v="S"/>
    <x v="3"/>
    <x v="10"/>
    <n v="190.03"/>
    <x v="373"/>
    <n v="0.14899999999999999"/>
    <n v="161.72"/>
    <n v="28.310000000000002"/>
    <d v="2025-07-24T00:00:00"/>
    <x v="5"/>
    <x v="0"/>
    <n v="35"/>
    <n v="4.0999999999999996"/>
    <s v="Ok"/>
    <n v="4.0999999999999996"/>
    <s v="False"/>
    <m/>
    <n v="0"/>
    <n v="161.72"/>
    <x v="0"/>
    <n v="0"/>
  </r>
  <r>
    <s v="FB001447"/>
    <x v="4"/>
    <x v="2"/>
    <x v="2"/>
    <s v="XS"/>
    <x v="5"/>
    <x v="0"/>
    <n v="74.27"/>
    <x v="0"/>
    <n v="0"/>
    <n v="74.27"/>
    <n v="0"/>
    <d v="2025-08-06T00:00:00"/>
    <x v="1"/>
    <x v="1"/>
    <n v="6"/>
    <n v="1.3"/>
    <s v="Pocas Unidades"/>
    <n v="1.3"/>
    <s v="False"/>
    <m/>
    <n v="0"/>
    <n v="74.27"/>
    <x v="0"/>
    <n v="0"/>
  </r>
  <r>
    <s v="FB001448"/>
    <x v="0"/>
    <x v="0"/>
    <x v="2"/>
    <s v="XL"/>
    <x v="0"/>
    <x v="7"/>
    <n v="163.77000000000001"/>
    <x v="374"/>
    <n v="0.30499999999999999"/>
    <n v="113.82"/>
    <n v="49.950000000000017"/>
    <d v="2025-08-06T00:00:00"/>
    <x v="1"/>
    <x v="1"/>
    <n v="10"/>
    <m/>
    <s v="Ok"/>
    <s v="No valorado"/>
    <s v="False"/>
    <m/>
    <n v="0"/>
    <n v="113.82"/>
    <x v="0"/>
    <n v="0"/>
  </r>
  <r>
    <s v="FB001449"/>
    <x v="2"/>
    <x v="3"/>
    <x v="1"/>
    <m/>
    <x v="2"/>
    <x v="9"/>
    <n v="42.28"/>
    <x v="0"/>
    <n v="0"/>
    <n v="42.28"/>
    <n v="0"/>
    <d v="2025-08-06T00:00:00"/>
    <x v="1"/>
    <x v="1"/>
    <n v="22"/>
    <n v="1.9"/>
    <s v="Ok"/>
    <n v="1.9"/>
    <s v="False"/>
    <m/>
    <n v="0"/>
    <n v="42.28"/>
    <x v="0"/>
    <n v="0"/>
  </r>
  <r>
    <s v="FB001450"/>
    <x v="4"/>
    <x v="4"/>
    <x v="3"/>
    <s v="XS"/>
    <x v="5"/>
    <x v="8"/>
    <n v="52.92"/>
    <x v="0"/>
    <n v="0"/>
    <n v="52.92"/>
    <n v="0"/>
    <d v="2025-08-06T00:00:00"/>
    <x v="1"/>
    <x v="1"/>
    <n v="9"/>
    <m/>
    <s v="Pocas Unidades"/>
    <s v="No valorado"/>
    <s v="False"/>
    <m/>
    <n v="0"/>
    <n v="52.92"/>
    <x v="0"/>
    <n v="0"/>
  </r>
  <r>
    <s v="FB001451"/>
    <x v="2"/>
    <x v="5"/>
    <x v="0"/>
    <m/>
    <x v="2"/>
    <x v="2"/>
    <n v="40.549999999999997"/>
    <x v="375"/>
    <n v="6.2E-2"/>
    <n v="38.04"/>
    <n v="2.509999999999998"/>
    <d v="2024-09-09T00:00:00"/>
    <x v="2"/>
    <x v="6"/>
    <n v="26"/>
    <n v="3.7"/>
    <s v="Ok"/>
    <n v="3.7"/>
    <s v="True"/>
    <s v="Wrong Item"/>
    <n v="1"/>
    <n v="0"/>
    <x v="6"/>
    <n v="0"/>
  </r>
  <r>
    <s v="FB001452"/>
    <x v="3"/>
    <x v="3"/>
    <x v="3"/>
    <s v="XXL"/>
    <x v="4"/>
    <x v="2"/>
    <n v="129.76"/>
    <x v="0"/>
    <n v="0"/>
    <n v="129.76"/>
    <n v="0"/>
    <d v="2025-08-06T00:00:00"/>
    <x v="1"/>
    <x v="1"/>
    <n v="39"/>
    <n v="2.9"/>
    <s v="Ok"/>
    <n v="2.9"/>
    <s v="False"/>
    <m/>
    <n v="0"/>
    <n v="129.76"/>
    <x v="0"/>
    <n v="0"/>
  </r>
  <r>
    <s v="FB001453"/>
    <x v="1"/>
    <x v="5"/>
    <x v="2"/>
    <s v="XL"/>
    <x v="0"/>
    <x v="9"/>
    <n v="63.39"/>
    <x v="0"/>
    <n v="0"/>
    <n v="63.39"/>
    <n v="0"/>
    <d v="2025-08-06T00:00:00"/>
    <x v="1"/>
    <x v="1"/>
    <n v="50"/>
    <n v="2.5"/>
    <s v="Ok"/>
    <n v="2.5"/>
    <s v="False"/>
    <m/>
    <n v="0"/>
    <n v="63.39"/>
    <x v="0"/>
    <n v="0"/>
  </r>
  <r>
    <s v="FB001454"/>
    <x v="3"/>
    <x v="4"/>
    <x v="2"/>
    <s v="S"/>
    <x v="3"/>
    <x v="8"/>
    <n v="191.94"/>
    <x v="376"/>
    <n v="1.3000000000000001E-2"/>
    <n v="189.44"/>
    <n v="2.5"/>
    <d v="2025-08-06T00:00:00"/>
    <x v="1"/>
    <x v="1"/>
    <n v="39"/>
    <n v="1.2"/>
    <s v="Ok"/>
    <n v="1.2"/>
    <s v="False"/>
    <m/>
    <n v="0"/>
    <n v="189.44"/>
    <x v="0"/>
    <n v="0"/>
  </r>
  <r>
    <s v="FB001455"/>
    <x v="2"/>
    <x v="1"/>
    <x v="0"/>
    <m/>
    <x v="2"/>
    <x v="9"/>
    <n v="63.42"/>
    <x v="0"/>
    <n v="0"/>
    <n v="63.42"/>
    <n v="0"/>
    <d v="2024-11-12T00:00:00"/>
    <x v="3"/>
    <x v="11"/>
    <n v="19"/>
    <n v="2.9"/>
    <s v="Ok"/>
    <n v="2.9"/>
    <s v="True"/>
    <s v="Color Mismatch"/>
    <n v="1"/>
    <n v="0"/>
    <x v="1"/>
    <n v="0"/>
  </r>
  <r>
    <s v="FB001456"/>
    <x v="1"/>
    <x v="5"/>
    <x v="1"/>
    <s v="XXL"/>
    <x v="4"/>
    <x v="7"/>
    <n v="35.26"/>
    <x v="0"/>
    <n v="0"/>
    <n v="35.26"/>
    <n v="0"/>
    <d v="2025-08-06T00:00:00"/>
    <x v="1"/>
    <x v="1"/>
    <n v="47"/>
    <n v="2.2999999999999998"/>
    <s v="Ok"/>
    <n v="2.2999999999999998"/>
    <s v="False"/>
    <m/>
    <n v="0"/>
    <n v="35.26"/>
    <x v="0"/>
    <n v="0"/>
  </r>
  <r>
    <s v="FB001457"/>
    <x v="2"/>
    <x v="6"/>
    <x v="0"/>
    <m/>
    <x v="2"/>
    <x v="6"/>
    <n v="44.5"/>
    <x v="0"/>
    <n v="0"/>
    <n v="44.5"/>
    <n v="0"/>
    <d v="2025-06-13T00:00:00"/>
    <x v="4"/>
    <x v="7"/>
    <n v="36"/>
    <n v="3.6"/>
    <s v="Ok"/>
    <n v="3.6"/>
    <s v="False"/>
    <m/>
    <n v="0"/>
    <n v="44.5"/>
    <x v="0"/>
    <n v="0"/>
  </r>
  <r>
    <s v="FB001458"/>
    <x v="3"/>
    <x v="0"/>
    <x v="0"/>
    <s v="XS"/>
    <x v="5"/>
    <x v="3"/>
    <n v="186.78"/>
    <x v="377"/>
    <n v="0.434"/>
    <n v="105.72"/>
    <n v="81.06"/>
    <d v="2024-10-03T00:00:00"/>
    <x v="5"/>
    <x v="2"/>
    <n v="42"/>
    <n v="2.5"/>
    <s v="Ok"/>
    <n v="2.5"/>
    <s v="True"/>
    <s v="Damaged"/>
    <n v="1"/>
    <n v="0"/>
    <x v="3"/>
    <n v="0"/>
  </r>
  <r>
    <s v="FB001459"/>
    <x v="1"/>
    <x v="4"/>
    <x v="3"/>
    <s v="L"/>
    <x v="1"/>
    <x v="2"/>
    <n v="116.71"/>
    <x v="300"/>
    <n v="0.55399999999999994"/>
    <n v="52.05"/>
    <n v="64.66"/>
    <d v="2025-08-06T00:00:00"/>
    <x v="1"/>
    <x v="1"/>
    <n v="15"/>
    <m/>
    <s v="Ok"/>
    <s v="No valorado"/>
    <s v="False"/>
    <m/>
    <n v="0"/>
    <n v="52.05"/>
    <x v="0"/>
    <n v="0"/>
  </r>
  <r>
    <s v="FB001460"/>
    <x v="2"/>
    <x v="4"/>
    <x v="1"/>
    <m/>
    <x v="2"/>
    <x v="2"/>
    <n v="24.5"/>
    <x v="0"/>
    <n v="0"/>
    <n v="24.5"/>
    <n v="0"/>
    <d v="2025-08-06T00:00:00"/>
    <x v="1"/>
    <x v="1"/>
    <n v="7"/>
    <m/>
    <s v="Pocas Unidades"/>
    <s v="No valorado"/>
    <s v="False"/>
    <m/>
    <n v="0"/>
    <n v="24.5"/>
    <x v="0"/>
    <n v="0"/>
  </r>
  <r>
    <s v="FB001461"/>
    <x v="2"/>
    <x v="6"/>
    <x v="1"/>
    <m/>
    <x v="2"/>
    <x v="8"/>
    <n v="23.2"/>
    <x v="0"/>
    <n v="0"/>
    <n v="23.2"/>
    <n v="0"/>
    <d v="2025-08-06T00:00:00"/>
    <x v="1"/>
    <x v="1"/>
    <n v="17"/>
    <n v="2.1"/>
    <s v="Ok"/>
    <n v="2.1"/>
    <s v="False"/>
    <m/>
    <n v="0"/>
    <n v="23.2"/>
    <x v="0"/>
    <n v="0"/>
  </r>
  <r>
    <s v="FB001462"/>
    <x v="4"/>
    <x v="7"/>
    <x v="1"/>
    <s v="XL"/>
    <x v="0"/>
    <x v="6"/>
    <n v="73.8"/>
    <x v="0"/>
    <n v="0"/>
    <n v="73.8"/>
    <n v="0"/>
    <d v="2025-08-06T00:00:00"/>
    <x v="1"/>
    <x v="1"/>
    <n v="42"/>
    <m/>
    <s v="Ok"/>
    <s v="No valorado"/>
    <s v="False"/>
    <m/>
    <n v="0"/>
    <n v="73.8"/>
    <x v="0"/>
    <n v="0"/>
  </r>
  <r>
    <s v="FB001463"/>
    <x v="2"/>
    <x v="0"/>
    <x v="3"/>
    <m/>
    <x v="2"/>
    <x v="2"/>
    <n v="51.33"/>
    <x v="0"/>
    <n v="0"/>
    <n v="51.33"/>
    <n v="0"/>
    <d v="2025-08-06T00:00:00"/>
    <x v="1"/>
    <x v="1"/>
    <n v="25"/>
    <n v="1.2"/>
    <s v="Ok"/>
    <n v="1.2"/>
    <s v="False"/>
    <m/>
    <n v="0"/>
    <n v="51.33"/>
    <x v="0"/>
    <n v="0"/>
  </r>
  <r>
    <s v="FB001464"/>
    <x v="4"/>
    <x v="4"/>
    <x v="1"/>
    <s v="XXL"/>
    <x v="4"/>
    <x v="6"/>
    <n v="80.209999999999994"/>
    <x v="0"/>
    <n v="0"/>
    <n v="80.209999999999994"/>
    <n v="0"/>
    <d v="2025-08-06T00:00:00"/>
    <x v="1"/>
    <x v="1"/>
    <n v="17"/>
    <m/>
    <s v="Ok"/>
    <s v="No valorado"/>
    <s v="False"/>
    <m/>
    <n v="0"/>
    <n v="80.209999999999994"/>
    <x v="0"/>
    <n v="0"/>
  </r>
  <r>
    <s v="FB001465"/>
    <x v="0"/>
    <x v="1"/>
    <x v="2"/>
    <s v="L"/>
    <x v="1"/>
    <x v="10"/>
    <n v="237.65"/>
    <x v="0"/>
    <n v="0"/>
    <n v="237.65"/>
    <n v="0"/>
    <d v="2025-08-06T00:00:00"/>
    <x v="1"/>
    <x v="1"/>
    <n v="3"/>
    <n v="3.4"/>
    <s v="Pocas Unidades"/>
    <n v="3.4"/>
    <s v="False"/>
    <m/>
    <n v="0"/>
    <n v="237.65"/>
    <x v="0"/>
    <n v="0"/>
  </r>
  <r>
    <s v="FB001466"/>
    <x v="4"/>
    <x v="2"/>
    <x v="0"/>
    <s v="S"/>
    <x v="3"/>
    <x v="10"/>
    <n v="96.35"/>
    <x v="0"/>
    <n v="0"/>
    <n v="96.35"/>
    <n v="0"/>
    <d v="2024-12-12T00:00:00"/>
    <x v="5"/>
    <x v="10"/>
    <n v="34"/>
    <n v="3.7"/>
    <s v="Ok"/>
    <n v="3.7"/>
    <s v="False"/>
    <m/>
    <n v="0"/>
    <n v="96.35"/>
    <x v="0"/>
    <n v="0"/>
  </r>
  <r>
    <s v="FB001467"/>
    <x v="4"/>
    <x v="2"/>
    <x v="1"/>
    <s v="XL"/>
    <x v="0"/>
    <x v="3"/>
    <n v="91.92"/>
    <x v="0"/>
    <n v="0"/>
    <n v="91.92"/>
    <n v="0"/>
    <d v="2025-08-06T00:00:00"/>
    <x v="1"/>
    <x v="1"/>
    <n v="29"/>
    <m/>
    <s v="Ok"/>
    <s v="No valorado"/>
    <s v="False"/>
    <m/>
    <n v="0"/>
    <n v="91.92"/>
    <x v="0"/>
    <n v="0"/>
  </r>
  <r>
    <s v="FB001468"/>
    <x v="3"/>
    <x v="2"/>
    <x v="2"/>
    <s v="XXL"/>
    <x v="4"/>
    <x v="8"/>
    <n v="194.05"/>
    <x v="0"/>
    <n v="0"/>
    <n v="194.05"/>
    <n v="0"/>
    <d v="2025-08-06T00:00:00"/>
    <x v="1"/>
    <x v="1"/>
    <n v="7"/>
    <n v="1.3"/>
    <s v="Pocas Unidades"/>
    <n v="1.3"/>
    <s v="False"/>
    <m/>
    <n v="0"/>
    <n v="194.05"/>
    <x v="0"/>
    <n v="0"/>
  </r>
  <r>
    <s v="FB001469"/>
    <x v="0"/>
    <x v="6"/>
    <x v="3"/>
    <s v="S"/>
    <x v="3"/>
    <x v="0"/>
    <n v="166.88"/>
    <x v="0"/>
    <n v="0"/>
    <n v="166.88"/>
    <n v="0"/>
    <d v="2025-08-06T00:00:00"/>
    <x v="1"/>
    <x v="1"/>
    <n v="10"/>
    <n v="1.6"/>
    <s v="Ok"/>
    <n v="1.6"/>
    <s v="False"/>
    <m/>
    <n v="0"/>
    <n v="166.88"/>
    <x v="0"/>
    <n v="0"/>
  </r>
  <r>
    <s v="FB001470"/>
    <x v="4"/>
    <x v="4"/>
    <x v="1"/>
    <s v="S"/>
    <x v="3"/>
    <x v="0"/>
    <n v="47.01"/>
    <x v="0"/>
    <n v="0"/>
    <n v="47.01"/>
    <n v="0"/>
    <d v="2025-08-06T00:00:00"/>
    <x v="1"/>
    <x v="1"/>
    <n v="17"/>
    <n v="1.6"/>
    <s v="Ok"/>
    <n v="1.6"/>
    <s v="False"/>
    <m/>
    <n v="0"/>
    <n v="47.01"/>
    <x v="0"/>
    <n v="0"/>
  </r>
  <r>
    <s v="FB001471"/>
    <x v="3"/>
    <x v="2"/>
    <x v="1"/>
    <s v="XXL"/>
    <x v="4"/>
    <x v="1"/>
    <n v="119.91"/>
    <x v="378"/>
    <n v="0.20300000000000001"/>
    <n v="95.57"/>
    <n v="24.340000000000003"/>
    <d v="2025-08-06T00:00:00"/>
    <x v="1"/>
    <x v="1"/>
    <n v="15"/>
    <n v="3.8"/>
    <s v="Ok"/>
    <n v="3.8"/>
    <s v="False"/>
    <m/>
    <n v="0"/>
    <n v="95.57"/>
    <x v="0"/>
    <n v="0"/>
  </r>
  <r>
    <s v="FB001472"/>
    <x v="2"/>
    <x v="4"/>
    <x v="2"/>
    <m/>
    <x v="2"/>
    <x v="0"/>
    <n v="73.73"/>
    <x v="314"/>
    <n v="0.54200000000000004"/>
    <n v="33.770000000000003"/>
    <n v="39.96"/>
    <d v="2025-08-06T00:00:00"/>
    <x v="1"/>
    <x v="1"/>
    <n v="37"/>
    <n v="4.0999999999999996"/>
    <s v="Ok"/>
    <n v="4.0999999999999996"/>
    <s v="False"/>
    <m/>
    <n v="0"/>
    <n v="33.770000000000003"/>
    <x v="0"/>
    <n v="0"/>
  </r>
  <r>
    <s v="FB001473"/>
    <x v="4"/>
    <x v="0"/>
    <x v="2"/>
    <s v="L"/>
    <x v="1"/>
    <x v="2"/>
    <n v="108.65"/>
    <x v="0"/>
    <n v="0"/>
    <n v="108.65"/>
    <n v="0"/>
    <d v="2025-08-06T00:00:00"/>
    <x v="1"/>
    <x v="1"/>
    <n v="26"/>
    <n v="2.4"/>
    <s v="Ok"/>
    <n v="2.4"/>
    <s v="False"/>
    <m/>
    <n v="0"/>
    <n v="108.65"/>
    <x v="0"/>
    <n v="0"/>
  </r>
  <r>
    <s v="FB001474"/>
    <x v="3"/>
    <x v="3"/>
    <x v="3"/>
    <s v="L"/>
    <x v="1"/>
    <x v="0"/>
    <n v="186.53"/>
    <x v="0"/>
    <n v="0"/>
    <n v="186.53"/>
    <n v="0"/>
    <d v="2025-08-06T00:00:00"/>
    <x v="1"/>
    <x v="1"/>
    <n v="31"/>
    <n v="2.6"/>
    <s v="Ok"/>
    <n v="2.6"/>
    <s v="False"/>
    <m/>
    <n v="0"/>
    <n v="186.53"/>
    <x v="0"/>
    <n v="0"/>
  </r>
  <r>
    <s v="FB001475"/>
    <x v="2"/>
    <x v="0"/>
    <x v="3"/>
    <m/>
    <x v="2"/>
    <x v="0"/>
    <n v="60.34"/>
    <x v="0"/>
    <n v="0"/>
    <n v="60.34"/>
    <n v="0"/>
    <d v="2025-08-06T00:00:00"/>
    <x v="1"/>
    <x v="1"/>
    <n v="13"/>
    <m/>
    <s v="Ok"/>
    <s v="No valorado"/>
    <s v="False"/>
    <m/>
    <n v="0"/>
    <n v="60.34"/>
    <x v="0"/>
    <n v="0"/>
  </r>
  <r>
    <s v="FB001476"/>
    <x v="2"/>
    <x v="3"/>
    <x v="1"/>
    <m/>
    <x v="2"/>
    <x v="8"/>
    <n v="61.16"/>
    <x v="0"/>
    <n v="0"/>
    <n v="61.16"/>
    <n v="0"/>
    <d v="2025-08-06T00:00:00"/>
    <x v="1"/>
    <x v="1"/>
    <n v="28"/>
    <n v="2.2999999999999998"/>
    <s v="Ok"/>
    <n v="2.2999999999999998"/>
    <s v="False"/>
    <m/>
    <n v="0"/>
    <n v="61.16"/>
    <x v="0"/>
    <n v="0"/>
  </r>
  <r>
    <s v="FB001477"/>
    <x v="3"/>
    <x v="7"/>
    <x v="1"/>
    <s v="XL"/>
    <x v="0"/>
    <x v="6"/>
    <n v="168.85"/>
    <x v="233"/>
    <n v="0.35299999999999998"/>
    <n v="109.25"/>
    <n v="59.599999999999994"/>
    <d v="2025-08-06T00:00:00"/>
    <x v="1"/>
    <x v="1"/>
    <n v="10"/>
    <n v="3.3"/>
    <s v="Ok"/>
    <n v="3.3"/>
    <s v="False"/>
    <m/>
    <n v="0"/>
    <n v="109.25"/>
    <x v="0"/>
    <n v="0"/>
  </r>
  <r>
    <s v="FB001478"/>
    <x v="1"/>
    <x v="5"/>
    <x v="1"/>
    <s v="L"/>
    <x v="1"/>
    <x v="8"/>
    <n v="60.08"/>
    <x v="0"/>
    <n v="0"/>
    <n v="60.08"/>
    <n v="0"/>
    <d v="2025-08-06T00:00:00"/>
    <x v="1"/>
    <x v="1"/>
    <n v="26"/>
    <m/>
    <s v="Ok"/>
    <s v="No valorado"/>
    <s v="False"/>
    <m/>
    <n v="0"/>
    <n v="60.08"/>
    <x v="0"/>
    <n v="0"/>
  </r>
  <r>
    <s v="FB001479"/>
    <x v="2"/>
    <x v="6"/>
    <x v="3"/>
    <m/>
    <x v="2"/>
    <x v="10"/>
    <n v="39.39"/>
    <x v="379"/>
    <n v="0.29799999999999999"/>
    <n v="27.65"/>
    <n v="11.740000000000002"/>
    <d v="2025-08-06T00:00:00"/>
    <x v="1"/>
    <x v="1"/>
    <n v="13"/>
    <n v="4.7"/>
    <s v="Ok"/>
    <n v="4.7"/>
    <s v="False"/>
    <m/>
    <n v="0"/>
    <n v="27.65"/>
    <x v="0"/>
    <n v="0"/>
  </r>
  <r>
    <s v="FB001480"/>
    <x v="1"/>
    <x v="6"/>
    <x v="2"/>
    <s v="M"/>
    <x v="6"/>
    <x v="1"/>
    <n v="111.09"/>
    <x v="0"/>
    <n v="0"/>
    <n v="111.09"/>
    <n v="0"/>
    <d v="2025-08-06T00:00:00"/>
    <x v="1"/>
    <x v="1"/>
    <n v="24"/>
    <n v="2.2000000000000002"/>
    <s v="Ok"/>
    <n v="2.2000000000000002"/>
    <s v="False"/>
    <m/>
    <n v="0"/>
    <n v="111.09"/>
    <x v="0"/>
    <n v="0"/>
  </r>
  <r>
    <s v="FB001481"/>
    <x v="5"/>
    <x v="2"/>
    <x v="3"/>
    <s v="M"/>
    <x v="6"/>
    <x v="6"/>
    <n v="133.51"/>
    <x v="0"/>
    <n v="0"/>
    <n v="133.51"/>
    <n v="0"/>
    <d v="2025-08-06T00:00:00"/>
    <x v="1"/>
    <x v="1"/>
    <n v="5"/>
    <n v="1.7"/>
    <s v="Pocas Unidades"/>
    <n v="1.7"/>
    <s v="True"/>
    <s v="Quality Issue"/>
    <n v="1"/>
    <n v="0"/>
    <x v="4"/>
    <n v="0"/>
  </r>
  <r>
    <s v="FB001482"/>
    <x v="5"/>
    <x v="7"/>
    <x v="3"/>
    <s v="XS"/>
    <x v="5"/>
    <x v="1"/>
    <n v="158.9"/>
    <x v="380"/>
    <n v="0.435"/>
    <n v="89.78"/>
    <n v="69.12"/>
    <d v="2025-08-06T00:00:00"/>
    <x v="1"/>
    <x v="1"/>
    <n v="46"/>
    <m/>
    <s v="Ok"/>
    <s v="No valorado"/>
    <s v="False"/>
    <m/>
    <n v="0"/>
    <n v="89.78"/>
    <x v="0"/>
    <n v="0"/>
  </r>
  <r>
    <s v="FB001483"/>
    <x v="1"/>
    <x v="6"/>
    <x v="0"/>
    <s v="XS"/>
    <x v="5"/>
    <x v="10"/>
    <n v="65.27"/>
    <x v="282"/>
    <n v="0.19"/>
    <n v="52.87"/>
    <n v="12.399999999999999"/>
    <d v="2024-08-29T00:00:00"/>
    <x v="5"/>
    <x v="1"/>
    <n v="48"/>
    <n v="3"/>
    <s v="Ok"/>
    <n v="3"/>
    <s v="False"/>
    <m/>
    <n v="0"/>
    <n v="52.87"/>
    <x v="0"/>
    <n v="0"/>
  </r>
  <r>
    <s v="FB001484"/>
    <x v="2"/>
    <x v="0"/>
    <x v="2"/>
    <m/>
    <x v="2"/>
    <x v="6"/>
    <n v="72.37"/>
    <x v="0"/>
    <n v="0"/>
    <n v="72.37"/>
    <n v="0"/>
    <d v="2025-08-06T00:00:00"/>
    <x v="1"/>
    <x v="1"/>
    <n v="24"/>
    <n v="2.9"/>
    <s v="Ok"/>
    <n v="2.9"/>
    <s v="False"/>
    <m/>
    <n v="0"/>
    <n v="72.37"/>
    <x v="0"/>
    <n v="0"/>
  </r>
  <r>
    <s v="FB001485"/>
    <x v="5"/>
    <x v="2"/>
    <x v="2"/>
    <s v="XL"/>
    <x v="0"/>
    <x v="3"/>
    <n v="133.88"/>
    <x v="53"/>
    <n v="0.215"/>
    <n v="105.1"/>
    <n v="28.78"/>
    <d v="2025-08-06T00:00:00"/>
    <x v="1"/>
    <x v="1"/>
    <n v="42"/>
    <n v="3.1"/>
    <s v="Ok"/>
    <n v="3.1"/>
    <s v="False"/>
    <m/>
    <n v="0"/>
    <n v="105.1"/>
    <x v="0"/>
    <n v="0"/>
  </r>
  <r>
    <s v="FB001486"/>
    <x v="1"/>
    <x v="0"/>
    <x v="0"/>
    <s v="XXL"/>
    <x v="4"/>
    <x v="9"/>
    <n v="74.3"/>
    <x v="0"/>
    <n v="0"/>
    <n v="74.3"/>
    <n v="0"/>
    <d v="2024-12-07T00:00:00"/>
    <x v="0"/>
    <x v="10"/>
    <n v="24"/>
    <n v="4.4000000000000004"/>
    <s v="Ok"/>
    <n v="4.4000000000000004"/>
    <s v="False"/>
    <m/>
    <n v="0"/>
    <n v="74.3"/>
    <x v="0"/>
    <n v="0"/>
  </r>
  <r>
    <s v="FB001487"/>
    <x v="3"/>
    <x v="2"/>
    <x v="3"/>
    <s v="XL"/>
    <x v="0"/>
    <x v="7"/>
    <n v="192.74"/>
    <x v="297"/>
    <n v="0.47499999999999998"/>
    <n v="101.19"/>
    <n v="91.550000000000011"/>
    <d v="2025-08-06T00:00:00"/>
    <x v="1"/>
    <x v="1"/>
    <n v="40"/>
    <n v="2.8"/>
    <s v="Ok"/>
    <n v="2.8"/>
    <s v="False"/>
    <m/>
    <n v="0"/>
    <n v="101.19"/>
    <x v="0"/>
    <n v="0"/>
  </r>
  <r>
    <s v="FB001488"/>
    <x v="2"/>
    <x v="1"/>
    <x v="3"/>
    <m/>
    <x v="2"/>
    <x v="0"/>
    <n v="79.02"/>
    <x v="381"/>
    <n v="2.5000000000000001E-2"/>
    <n v="77.040000000000006"/>
    <n v="1.9799999999999898"/>
    <d v="2025-08-06T00:00:00"/>
    <x v="1"/>
    <x v="1"/>
    <n v="16"/>
    <n v="2.8"/>
    <s v="Ok"/>
    <n v="2.8"/>
    <s v="False"/>
    <m/>
    <n v="0"/>
    <n v="77.040000000000006"/>
    <x v="0"/>
    <n v="0"/>
  </r>
  <r>
    <s v="FB001489"/>
    <x v="3"/>
    <x v="0"/>
    <x v="1"/>
    <s v="S"/>
    <x v="3"/>
    <x v="3"/>
    <n v="158.29"/>
    <x v="0"/>
    <n v="0"/>
    <n v="158.29"/>
    <n v="0"/>
    <d v="2025-08-06T00:00:00"/>
    <x v="1"/>
    <x v="1"/>
    <n v="5"/>
    <n v="1.6"/>
    <s v="Pocas Unidades"/>
    <n v="1.6"/>
    <s v="False"/>
    <m/>
    <n v="0"/>
    <n v="158.29"/>
    <x v="0"/>
    <n v="0"/>
  </r>
  <r>
    <s v="FB001490"/>
    <x v="1"/>
    <x v="5"/>
    <x v="1"/>
    <s v="L"/>
    <x v="1"/>
    <x v="3"/>
    <n v="69.33"/>
    <x v="0"/>
    <n v="0"/>
    <n v="69.33"/>
    <n v="0"/>
    <d v="2025-08-06T00:00:00"/>
    <x v="1"/>
    <x v="1"/>
    <n v="26"/>
    <n v="4.9000000000000004"/>
    <s v="Ok"/>
    <n v="4.9000000000000004"/>
    <s v="False"/>
    <m/>
    <n v="0"/>
    <n v="69.33"/>
    <x v="0"/>
    <n v="0"/>
  </r>
  <r>
    <s v="FB001491"/>
    <x v="3"/>
    <x v="6"/>
    <x v="1"/>
    <s v="XS"/>
    <x v="5"/>
    <x v="10"/>
    <n v="86.89"/>
    <x v="45"/>
    <n v="0.19500000000000001"/>
    <n v="69.95"/>
    <n v="16.939999999999998"/>
    <d v="2025-08-06T00:00:00"/>
    <x v="1"/>
    <x v="1"/>
    <n v="49"/>
    <n v="1.3"/>
    <s v="Ok"/>
    <n v="1.3"/>
    <s v="False"/>
    <m/>
    <n v="0"/>
    <n v="69.95"/>
    <x v="0"/>
    <n v="0"/>
  </r>
  <r>
    <s v="FB001492"/>
    <x v="0"/>
    <x v="1"/>
    <x v="2"/>
    <s v="L"/>
    <x v="1"/>
    <x v="6"/>
    <n v="162.75"/>
    <x v="0"/>
    <n v="0"/>
    <n v="162.75"/>
    <n v="0"/>
    <d v="2025-08-06T00:00:00"/>
    <x v="1"/>
    <x v="1"/>
    <n v="13"/>
    <n v="4.8"/>
    <s v="Ok"/>
    <n v="4.8"/>
    <s v="False"/>
    <m/>
    <n v="0"/>
    <n v="162.75"/>
    <x v="0"/>
    <n v="0"/>
  </r>
  <r>
    <s v="FB001493"/>
    <x v="3"/>
    <x v="4"/>
    <x v="3"/>
    <s v="M"/>
    <x v="6"/>
    <x v="5"/>
    <n v="70.28"/>
    <x v="0"/>
    <n v="0"/>
    <n v="70.28"/>
    <n v="0"/>
    <d v="2025-08-06T00:00:00"/>
    <x v="1"/>
    <x v="1"/>
    <n v="27"/>
    <n v="4.7"/>
    <s v="Ok"/>
    <n v="4.7"/>
    <s v="False"/>
    <m/>
    <n v="0"/>
    <n v="70.28"/>
    <x v="0"/>
    <n v="0"/>
  </r>
  <r>
    <s v="FB001494"/>
    <x v="4"/>
    <x v="3"/>
    <x v="0"/>
    <s v="S"/>
    <x v="3"/>
    <x v="3"/>
    <n v="111.91"/>
    <x v="0"/>
    <n v="0"/>
    <n v="111.91"/>
    <n v="0"/>
    <d v="2025-07-22T00:00:00"/>
    <x v="3"/>
    <x v="0"/>
    <n v="28"/>
    <n v="1.8"/>
    <s v="Ok"/>
    <n v="1.8"/>
    <s v="False"/>
    <m/>
    <n v="0"/>
    <n v="111.91"/>
    <x v="0"/>
    <n v="0"/>
  </r>
  <r>
    <s v="FB001495"/>
    <x v="0"/>
    <x v="5"/>
    <x v="2"/>
    <s v="S"/>
    <x v="3"/>
    <x v="9"/>
    <n v="143.76"/>
    <x v="0"/>
    <n v="0"/>
    <n v="143.76"/>
    <n v="0"/>
    <d v="2025-08-06T00:00:00"/>
    <x v="1"/>
    <x v="1"/>
    <n v="7"/>
    <n v="2"/>
    <s v="Pocas Unidades"/>
    <n v="2"/>
    <s v="False"/>
    <m/>
    <n v="0"/>
    <n v="143.76"/>
    <x v="0"/>
    <n v="0"/>
  </r>
  <r>
    <s v="FB001496"/>
    <x v="5"/>
    <x v="4"/>
    <x v="3"/>
    <s v="S"/>
    <x v="3"/>
    <x v="9"/>
    <n v="169.89"/>
    <x v="0"/>
    <n v="0"/>
    <n v="169.89"/>
    <n v="0"/>
    <d v="2025-08-06T00:00:00"/>
    <x v="1"/>
    <x v="1"/>
    <n v="17"/>
    <n v="1.3"/>
    <s v="Ok"/>
    <n v="1.3"/>
    <s v="False"/>
    <m/>
    <n v="0"/>
    <n v="169.89"/>
    <x v="0"/>
    <n v="0"/>
  </r>
  <r>
    <s v="FB001497"/>
    <x v="3"/>
    <x v="0"/>
    <x v="1"/>
    <s v="XL"/>
    <x v="0"/>
    <x v="3"/>
    <n v="72.290000000000006"/>
    <x v="0"/>
    <n v="0"/>
    <n v="72.290000000000006"/>
    <n v="0"/>
    <d v="2025-08-06T00:00:00"/>
    <x v="1"/>
    <x v="1"/>
    <n v="0"/>
    <m/>
    <s v="Agotado"/>
    <s v="No valorado"/>
    <s v="False"/>
    <m/>
    <n v="0"/>
    <n v="72.290000000000006"/>
    <x v="0"/>
    <n v="0"/>
  </r>
  <r>
    <s v="FB001498"/>
    <x v="0"/>
    <x v="7"/>
    <x v="1"/>
    <s v="XS"/>
    <x v="5"/>
    <x v="9"/>
    <n v="136.19999999999999"/>
    <x v="102"/>
    <n v="0.10199999999999999"/>
    <n v="122.31"/>
    <n v="13.889999999999986"/>
    <d v="2025-08-06T00:00:00"/>
    <x v="1"/>
    <x v="1"/>
    <n v="10"/>
    <n v="3.6"/>
    <s v="Ok"/>
    <n v="3.6"/>
    <s v="False"/>
    <m/>
    <n v="0"/>
    <n v="122.31"/>
    <x v="0"/>
    <n v="0"/>
  </r>
  <r>
    <s v="FB001499"/>
    <x v="1"/>
    <x v="7"/>
    <x v="3"/>
    <s v="S"/>
    <x v="3"/>
    <x v="0"/>
    <n v="92.5"/>
    <x v="0"/>
    <n v="0"/>
    <n v="92.5"/>
    <n v="0"/>
    <d v="2025-08-06T00:00:00"/>
    <x v="1"/>
    <x v="1"/>
    <n v="15"/>
    <n v="2.7"/>
    <s v="Ok"/>
    <n v="2.7"/>
    <s v="False"/>
    <m/>
    <n v="0"/>
    <n v="92.5"/>
    <x v="0"/>
    <n v="0"/>
  </r>
  <r>
    <s v="FB001500"/>
    <x v="3"/>
    <x v="2"/>
    <x v="1"/>
    <s v="L"/>
    <x v="1"/>
    <x v="9"/>
    <n v="89.5"/>
    <x v="0"/>
    <n v="0"/>
    <n v="89.5"/>
    <n v="0"/>
    <d v="2025-08-06T00:00:00"/>
    <x v="1"/>
    <x v="1"/>
    <n v="5"/>
    <n v="4.5"/>
    <s v="Pocas Unidades"/>
    <n v="4.5"/>
    <s v="False"/>
    <m/>
    <n v="0"/>
    <n v="89.5"/>
    <x v="0"/>
    <n v="0"/>
  </r>
  <r>
    <s v="FB001501"/>
    <x v="0"/>
    <x v="4"/>
    <x v="0"/>
    <s v="L"/>
    <x v="1"/>
    <x v="7"/>
    <n v="161.51"/>
    <x v="0"/>
    <n v="0"/>
    <n v="161.51"/>
    <n v="0"/>
    <d v="2024-11-02T00:00:00"/>
    <x v="0"/>
    <x v="11"/>
    <n v="22"/>
    <n v="4.7"/>
    <s v="Ok"/>
    <n v="4.7"/>
    <s v="False"/>
    <m/>
    <n v="0"/>
    <n v="161.51"/>
    <x v="0"/>
    <n v="0"/>
  </r>
  <r>
    <s v="FB001502"/>
    <x v="2"/>
    <x v="0"/>
    <x v="1"/>
    <m/>
    <x v="2"/>
    <x v="10"/>
    <n v="38.119999999999997"/>
    <x v="0"/>
    <n v="0"/>
    <n v="38.119999999999997"/>
    <n v="0"/>
    <d v="2025-08-06T00:00:00"/>
    <x v="1"/>
    <x v="1"/>
    <n v="18"/>
    <n v="4.4000000000000004"/>
    <s v="Ok"/>
    <n v="4.4000000000000004"/>
    <s v="True"/>
    <s v="Damaged"/>
    <n v="1"/>
    <n v="0"/>
    <x v="3"/>
    <n v="0"/>
  </r>
  <r>
    <s v="FB001503"/>
    <x v="5"/>
    <x v="4"/>
    <x v="3"/>
    <s v="XS"/>
    <x v="5"/>
    <x v="9"/>
    <n v="100.08"/>
    <x v="0"/>
    <n v="0"/>
    <n v="100.08"/>
    <n v="0"/>
    <d v="2025-08-06T00:00:00"/>
    <x v="1"/>
    <x v="1"/>
    <n v="23"/>
    <n v="4.8"/>
    <s v="Ok"/>
    <n v="4.8"/>
    <s v="False"/>
    <m/>
    <n v="0"/>
    <n v="100.08"/>
    <x v="0"/>
    <n v="0"/>
  </r>
  <r>
    <s v="FB001504"/>
    <x v="5"/>
    <x v="1"/>
    <x v="2"/>
    <s v="L"/>
    <x v="1"/>
    <x v="3"/>
    <n v="161.79"/>
    <x v="0"/>
    <n v="0"/>
    <n v="161.79"/>
    <n v="0"/>
    <d v="2025-08-06T00:00:00"/>
    <x v="1"/>
    <x v="1"/>
    <n v="44"/>
    <n v="3.9"/>
    <s v="Ok"/>
    <n v="3.9"/>
    <s v="False"/>
    <m/>
    <n v="0"/>
    <n v="161.79"/>
    <x v="0"/>
    <n v="0"/>
  </r>
  <r>
    <s v="FB001505"/>
    <x v="4"/>
    <x v="5"/>
    <x v="2"/>
    <s v="XL"/>
    <x v="0"/>
    <x v="2"/>
    <n v="46.42"/>
    <x v="0"/>
    <n v="0"/>
    <n v="46.42"/>
    <n v="0"/>
    <d v="2025-08-06T00:00:00"/>
    <x v="1"/>
    <x v="1"/>
    <n v="2"/>
    <n v="3.7"/>
    <s v="Pocas Unidades"/>
    <n v="3.7"/>
    <s v="True"/>
    <s v="Changed Mind"/>
    <n v="1"/>
    <n v="0"/>
    <x v="5"/>
    <n v="0"/>
  </r>
  <r>
    <s v="FB001506"/>
    <x v="3"/>
    <x v="1"/>
    <x v="0"/>
    <s v="L"/>
    <x v="1"/>
    <x v="10"/>
    <n v="199.33"/>
    <x v="258"/>
    <n v="0.44299999999999995"/>
    <n v="111.03"/>
    <n v="88.300000000000011"/>
    <d v="2024-11-20T00:00:00"/>
    <x v="1"/>
    <x v="11"/>
    <n v="19"/>
    <n v="1.8"/>
    <s v="Ok"/>
    <n v="1.8"/>
    <s v="False"/>
    <m/>
    <n v="0"/>
    <n v="111.03"/>
    <x v="0"/>
    <n v="0"/>
  </r>
  <r>
    <s v="FB001507"/>
    <x v="4"/>
    <x v="7"/>
    <x v="3"/>
    <s v="XXL"/>
    <x v="4"/>
    <x v="2"/>
    <n v="25.77"/>
    <x v="0"/>
    <n v="0"/>
    <n v="25.77"/>
    <n v="0"/>
    <d v="2025-08-06T00:00:00"/>
    <x v="1"/>
    <x v="1"/>
    <n v="5"/>
    <n v="3.1"/>
    <s v="Pocas Unidades"/>
    <n v="3.1"/>
    <s v="False"/>
    <m/>
    <n v="0"/>
    <n v="25.77"/>
    <x v="0"/>
    <n v="0"/>
  </r>
  <r>
    <s v="FB001508"/>
    <x v="3"/>
    <x v="7"/>
    <x v="1"/>
    <s v="M"/>
    <x v="6"/>
    <x v="8"/>
    <n v="180.67"/>
    <x v="0"/>
    <n v="0"/>
    <n v="180.67"/>
    <n v="0"/>
    <d v="2025-08-06T00:00:00"/>
    <x v="1"/>
    <x v="1"/>
    <n v="31"/>
    <n v="4.4000000000000004"/>
    <s v="Ok"/>
    <n v="4.4000000000000004"/>
    <s v="False"/>
    <m/>
    <n v="0"/>
    <n v="180.67"/>
    <x v="0"/>
    <n v="0"/>
  </r>
  <r>
    <s v="FB001509"/>
    <x v="3"/>
    <x v="7"/>
    <x v="0"/>
    <s v="L"/>
    <x v="1"/>
    <x v="6"/>
    <n v="198.13"/>
    <x v="382"/>
    <n v="0.46100000000000002"/>
    <n v="106.79"/>
    <n v="91.339999999999989"/>
    <d v="2025-05-19T00:00:00"/>
    <x v="2"/>
    <x v="8"/>
    <n v="8"/>
    <n v="3.2"/>
    <s v="Pocas Unidades"/>
    <n v="3.2"/>
    <s v="False"/>
    <m/>
    <n v="0"/>
    <n v="106.79"/>
    <x v="0"/>
    <n v="0"/>
  </r>
  <r>
    <s v="FB001510"/>
    <x v="5"/>
    <x v="1"/>
    <x v="3"/>
    <m/>
    <x v="7"/>
    <x v="8"/>
    <n v="161.53"/>
    <x v="383"/>
    <n v="5.2999999999999999E-2"/>
    <n v="152.97"/>
    <n v="8.5600000000000023"/>
    <d v="2025-08-06T00:00:00"/>
    <x v="1"/>
    <x v="1"/>
    <n v="33"/>
    <n v="3.7"/>
    <s v="Ok"/>
    <n v="3.7"/>
    <s v="False"/>
    <m/>
    <n v="0"/>
    <n v="152.97"/>
    <x v="0"/>
    <n v="0"/>
  </r>
  <r>
    <s v="FB001511"/>
    <x v="4"/>
    <x v="0"/>
    <x v="0"/>
    <s v="M"/>
    <x v="6"/>
    <x v="4"/>
    <n v="25.97"/>
    <x v="0"/>
    <n v="0"/>
    <n v="25.97"/>
    <n v="0"/>
    <d v="2024-11-28T00:00:00"/>
    <x v="5"/>
    <x v="11"/>
    <n v="31"/>
    <n v="1.2"/>
    <s v="Ok"/>
    <n v="1.2"/>
    <s v="False"/>
    <m/>
    <n v="0"/>
    <n v="25.97"/>
    <x v="0"/>
    <n v="0"/>
  </r>
  <r>
    <s v="FB001512"/>
    <x v="1"/>
    <x v="7"/>
    <x v="3"/>
    <s v="L"/>
    <x v="1"/>
    <x v="7"/>
    <n v="85"/>
    <x v="384"/>
    <n v="0.39899999999999997"/>
    <n v="51.09"/>
    <n v="33.909999999999997"/>
    <d v="2025-08-06T00:00:00"/>
    <x v="1"/>
    <x v="1"/>
    <n v="44"/>
    <n v="3"/>
    <s v="Ok"/>
    <n v="3"/>
    <s v="False"/>
    <m/>
    <n v="0"/>
    <n v="51.09"/>
    <x v="0"/>
    <n v="0"/>
  </r>
  <r>
    <s v="FB001513"/>
    <x v="2"/>
    <x v="1"/>
    <x v="3"/>
    <m/>
    <x v="2"/>
    <x v="1"/>
    <n v="75.03"/>
    <x v="5"/>
    <n v="0.109"/>
    <n v="66.849999999999994"/>
    <n v="8.1800000000000068"/>
    <d v="2025-08-06T00:00:00"/>
    <x v="1"/>
    <x v="1"/>
    <n v="12"/>
    <n v="1.2"/>
    <s v="Ok"/>
    <n v="1.2"/>
    <s v="False"/>
    <m/>
    <n v="0"/>
    <n v="66.849999999999994"/>
    <x v="0"/>
    <n v="0"/>
  </r>
  <r>
    <s v="FB001514"/>
    <x v="2"/>
    <x v="5"/>
    <x v="1"/>
    <m/>
    <x v="2"/>
    <x v="7"/>
    <n v="33.880000000000003"/>
    <x v="0"/>
    <n v="0"/>
    <n v="33.880000000000003"/>
    <n v="0"/>
    <d v="2025-08-06T00:00:00"/>
    <x v="1"/>
    <x v="1"/>
    <n v="9"/>
    <m/>
    <s v="Pocas Unidades"/>
    <s v="No valorado"/>
    <s v="False"/>
    <m/>
    <n v="0"/>
    <n v="33.880000000000003"/>
    <x v="0"/>
    <n v="0"/>
  </r>
  <r>
    <s v="FB001515"/>
    <x v="3"/>
    <x v="2"/>
    <x v="3"/>
    <s v="XS"/>
    <x v="5"/>
    <x v="9"/>
    <n v="142"/>
    <x v="73"/>
    <n v="0.12300000000000001"/>
    <n v="124.53"/>
    <n v="17.47"/>
    <d v="2025-08-06T00:00:00"/>
    <x v="1"/>
    <x v="1"/>
    <n v="39"/>
    <n v="3.3"/>
    <s v="Ok"/>
    <n v="3.3"/>
    <s v="False"/>
    <m/>
    <n v="0"/>
    <n v="124.53"/>
    <x v="0"/>
    <n v="0"/>
  </r>
  <r>
    <s v="FB001516"/>
    <x v="5"/>
    <x v="4"/>
    <x v="2"/>
    <s v="XL"/>
    <x v="0"/>
    <x v="6"/>
    <n v="125.46"/>
    <x v="0"/>
    <n v="0"/>
    <n v="125.46"/>
    <n v="0"/>
    <d v="2025-08-06T00:00:00"/>
    <x v="1"/>
    <x v="1"/>
    <n v="26"/>
    <n v="1.1000000000000001"/>
    <s v="Ok"/>
    <n v="1.1000000000000001"/>
    <s v="False"/>
    <m/>
    <n v="0"/>
    <n v="125.46"/>
    <x v="0"/>
    <n v="0"/>
  </r>
  <r>
    <s v="FB001517"/>
    <x v="3"/>
    <x v="4"/>
    <x v="1"/>
    <s v="L"/>
    <x v="1"/>
    <x v="5"/>
    <n v="138.79"/>
    <x v="0"/>
    <n v="0"/>
    <n v="138.79"/>
    <n v="0"/>
    <d v="2025-08-06T00:00:00"/>
    <x v="1"/>
    <x v="1"/>
    <n v="16"/>
    <m/>
    <s v="Ok"/>
    <s v="No valorado"/>
    <s v="True"/>
    <s v="Size Issue"/>
    <n v="1"/>
    <n v="0"/>
    <x v="2"/>
    <n v="0"/>
  </r>
  <r>
    <s v="FB001518"/>
    <x v="4"/>
    <x v="5"/>
    <x v="0"/>
    <s v="XL"/>
    <x v="0"/>
    <x v="1"/>
    <n v="81.81"/>
    <x v="385"/>
    <n v="0.379"/>
    <n v="50.8"/>
    <n v="31.010000000000005"/>
    <d v="2025-02-16T00:00:00"/>
    <x v="6"/>
    <x v="9"/>
    <n v="44"/>
    <m/>
    <s v="Ok"/>
    <s v="No valorado"/>
    <s v="False"/>
    <m/>
    <n v="0"/>
    <n v="50.8"/>
    <x v="0"/>
    <n v="0"/>
  </r>
  <r>
    <s v="FB001519"/>
    <x v="2"/>
    <x v="1"/>
    <x v="2"/>
    <m/>
    <x v="2"/>
    <x v="10"/>
    <n v="78.260000000000005"/>
    <x v="386"/>
    <n v="0.47299999999999998"/>
    <n v="41.24"/>
    <n v="37.020000000000003"/>
    <d v="2025-08-06T00:00:00"/>
    <x v="1"/>
    <x v="1"/>
    <n v="20"/>
    <n v="4"/>
    <s v="Ok"/>
    <n v="4"/>
    <s v="False"/>
    <m/>
    <n v="0"/>
    <n v="41.24"/>
    <x v="0"/>
    <n v="0"/>
  </r>
  <r>
    <s v="FB001520"/>
    <x v="4"/>
    <x v="2"/>
    <x v="0"/>
    <s v="XL"/>
    <x v="0"/>
    <x v="8"/>
    <n v="119.33"/>
    <x v="268"/>
    <n v="0.16"/>
    <n v="100.24"/>
    <n v="19.090000000000003"/>
    <d v="2024-08-16T00:00:00"/>
    <x v="4"/>
    <x v="1"/>
    <n v="35"/>
    <m/>
    <s v="Ok"/>
    <s v="No valorado"/>
    <s v="False"/>
    <m/>
    <n v="0"/>
    <n v="100.24"/>
    <x v="0"/>
    <n v="0"/>
  </r>
  <r>
    <s v="FB001521"/>
    <x v="2"/>
    <x v="5"/>
    <x v="0"/>
    <m/>
    <x v="2"/>
    <x v="2"/>
    <n v="52.97"/>
    <x v="0"/>
    <n v="0"/>
    <n v="52.97"/>
    <n v="0"/>
    <d v="2025-07-26T00:00:00"/>
    <x v="0"/>
    <x v="0"/>
    <n v="36"/>
    <n v="4.5999999999999996"/>
    <s v="Ok"/>
    <n v="4.5999999999999996"/>
    <s v="False"/>
    <m/>
    <n v="0"/>
    <n v="52.97"/>
    <x v="0"/>
    <n v="0"/>
  </r>
  <r>
    <s v="FB001522"/>
    <x v="2"/>
    <x v="3"/>
    <x v="1"/>
    <m/>
    <x v="2"/>
    <x v="5"/>
    <n v="69.48"/>
    <x v="0"/>
    <n v="0"/>
    <n v="69.48"/>
    <n v="0"/>
    <d v="2025-08-06T00:00:00"/>
    <x v="1"/>
    <x v="1"/>
    <n v="17"/>
    <n v="3.4"/>
    <s v="Ok"/>
    <n v="3.4"/>
    <s v="False"/>
    <m/>
    <n v="0"/>
    <n v="69.48"/>
    <x v="0"/>
    <n v="0"/>
  </r>
  <r>
    <s v="FB001523"/>
    <x v="0"/>
    <x v="2"/>
    <x v="3"/>
    <s v="L"/>
    <x v="1"/>
    <x v="4"/>
    <n v="177.82"/>
    <x v="0"/>
    <n v="0"/>
    <n v="177.82"/>
    <n v="0"/>
    <d v="2025-08-06T00:00:00"/>
    <x v="1"/>
    <x v="1"/>
    <n v="9"/>
    <n v="1.1000000000000001"/>
    <s v="Pocas Unidades"/>
    <n v="1.1000000000000001"/>
    <s v="False"/>
    <m/>
    <n v="0"/>
    <n v="177.82"/>
    <x v="0"/>
    <n v="0"/>
  </r>
  <r>
    <s v="FB001524"/>
    <x v="3"/>
    <x v="2"/>
    <x v="1"/>
    <s v="L"/>
    <x v="1"/>
    <x v="1"/>
    <n v="142.71"/>
    <x v="0"/>
    <n v="0"/>
    <n v="142.71"/>
    <n v="0"/>
    <d v="2025-08-06T00:00:00"/>
    <x v="1"/>
    <x v="1"/>
    <n v="28"/>
    <n v="1"/>
    <s v="Ok"/>
    <n v="1"/>
    <s v="False"/>
    <m/>
    <n v="0"/>
    <n v="142.71"/>
    <x v="0"/>
    <n v="0"/>
  </r>
  <r>
    <s v="FB001525"/>
    <x v="4"/>
    <x v="0"/>
    <x v="0"/>
    <s v="XS"/>
    <x v="5"/>
    <x v="5"/>
    <n v="105.21"/>
    <x v="0"/>
    <n v="0"/>
    <n v="105.21"/>
    <n v="0"/>
    <d v="2024-11-02T00:00:00"/>
    <x v="0"/>
    <x v="11"/>
    <n v="41"/>
    <n v="4.9000000000000004"/>
    <s v="Ok"/>
    <n v="4.9000000000000004"/>
    <s v="False"/>
    <m/>
    <n v="0"/>
    <n v="105.21"/>
    <x v="0"/>
    <n v="0"/>
  </r>
  <r>
    <s v="FB001526"/>
    <x v="2"/>
    <x v="7"/>
    <x v="2"/>
    <m/>
    <x v="2"/>
    <x v="4"/>
    <n v="65.09"/>
    <x v="355"/>
    <n v="0.498"/>
    <n v="32.68"/>
    <n v="32.410000000000004"/>
    <d v="2025-08-06T00:00:00"/>
    <x v="1"/>
    <x v="1"/>
    <n v="32"/>
    <n v="4.9000000000000004"/>
    <s v="Ok"/>
    <n v="4.9000000000000004"/>
    <s v="False"/>
    <m/>
    <n v="0"/>
    <n v="32.68"/>
    <x v="0"/>
    <n v="0"/>
  </r>
  <r>
    <s v="FB001527"/>
    <x v="0"/>
    <x v="1"/>
    <x v="1"/>
    <s v="M"/>
    <x v="6"/>
    <x v="8"/>
    <n v="167.39"/>
    <x v="0"/>
    <n v="0"/>
    <n v="167.39"/>
    <n v="0"/>
    <d v="2025-08-06T00:00:00"/>
    <x v="1"/>
    <x v="1"/>
    <n v="43"/>
    <n v="1.8"/>
    <s v="Ok"/>
    <n v="1.8"/>
    <s v="False"/>
    <m/>
    <n v="0"/>
    <n v="167.39"/>
    <x v="0"/>
    <n v="0"/>
  </r>
  <r>
    <s v="FB001528"/>
    <x v="2"/>
    <x v="1"/>
    <x v="1"/>
    <m/>
    <x v="2"/>
    <x v="0"/>
    <n v="49.89"/>
    <x v="0"/>
    <n v="0"/>
    <n v="49.89"/>
    <n v="0"/>
    <d v="2025-08-06T00:00:00"/>
    <x v="1"/>
    <x v="1"/>
    <n v="32"/>
    <n v="2.4"/>
    <s v="Ok"/>
    <n v="2.4"/>
    <s v="False"/>
    <m/>
    <n v="0"/>
    <n v="49.89"/>
    <x v="0"/>
    <n v="0"/>
  </r>
  <r>
    <s v="FB001529"/>
    <x v="0"/>
    <x v="2"/>
    <x v="2"/>
    <s v="S"/>
    <x v="3"/>
    <x v="3"/>
    <n v="218.06"/>
    <x v="0"/>
    <n v="0"/>
    <n v="218.06"/>
    <n v="0"/>
    <d v="2025-08-06T00:00:00"/>
    <x v="1"/>
    <x v="1"/>
    <n v="32"/>
    <n v="4"/>
    <s v="Ok"/>
    <n v="4"/>
    <s v="False"/>
    <m/>
    <n v="0"/>
    <n v="218.06"/>
    <x v="0"/>
    <n v="0"/>
  </r>
  <r>
    <s v="FB001530"/>
    <x v="4"/>
    <x v="6"/>
    <x v="3"/>
    <s v="XS"/>
    <x v="5"/>
    <x v="3"/>
    <n v="66.64"/>
    <x v="7"/>
    <n v="0.218"/>
    <n v="52.11"/>
    <n v="14.530000000000001"/>
    <d v="2025-08-06T00:00:00"/>
    <x v="1"/>
    <x v="1"/>
    <n v="25"/>
    <n v="3.5"/>
    <s v="Ok"/>
    <n v="3.5"/>
    <s v="True"/>
    <s v="Changed Mind"/>
    <n v="1"/>
    <n v="0"/>
    <x v="5"/>
    <n v="0"/>
  </r>
  <r>
    <s v="FB001531"/>
    <x v="0"/>
    <x v="5"/>
    <x v="2"/>
    <s v="S"/>
    <x v="3"/>
    <x v="4"/>
    <n v="124.69"/>
    <x v="319"/>
    <n v="0.40899999999999997"/>
    <n v="73.69"/>
    <n v="51"/>
    <d v="2025-08-06T00:00:00"/>
    <x v="1"/>
    <x v="1"/>
    <n v="9"/>
    <n v="4.0999999999999996"/>
    <s v="Pocas Unidades"/>
    <n v="4.0999999999999996"/>
    <s v="False"/>
    <m/>
    <n v="0"/>
    <n v="73.69"/>
    <x v="0"/>
    <n v="0"/>
  </r>
  <r>
    <s v="FB001532"/>
    <x v="1"/>
    <x v="3"/>
    <x v="3"/>
    <s v="S"/>
    <x v="3"/>
    <x v="1"/>
    <n v="28.24"/>
    <x v="175"/>
    <n v="0.48200000000000004"/>
    <n v="14.63"/>
    <n v="13.609999999999998"/>
    <d v="2025-08-06T00:00:00"/>
    <x v="1"/>
    <x v="1"/>
    <n v="20"/>
    <n v="4.5"/>
    <s v="Ok"/>
    <n v="4.5"/>
    <s v="False"/>
    <m/>
    <n v="0"/>
    <n v="14.63"/>
    <x v="0"/>
    <n v="0"/>
  </r>
  <r>
    <s v="FB001533"/>
    <x v="2"/>
    <x v="0"/>
    <x v="3"/>
    <m/>
    <x v="2"/>
    <x v="9"/>
    <n v="76.39"/>
    <x v="17"/>
    <n v="0.53900000000000003"/>
    <n v="35.22"/>
    <n v="41.17"/>
    <d v="2025-08-06T00:00:00"/>
    <x v="1"/>
    <x v="1"/>
    <n v="15"/>
    <n v="1.5"/>
    <s v="Ok"/>
    <n v="1.5"/>
    <s v="False"/>
    <m/>
    <n v="0"/>
    <n v="35.22"/>
    <x v="0"/>
    <n v="0"/>
  </r>
  <r>
    <s v="FB001534"/>
    <x v="4"/>
    <x v="0"/>
    <x v="1"/>
    <s v="M"/>
    <x v="6"/>
    <x v="5"/>
    <n v="96.82"/>
    <x v="0"/>
    <n v="0"/>
    <n v="96.82"/>
    <n v="0"/>
    <d v="2025-08-06T00:00:00"/>
    <x v="1"/>
    <x v="1"/>
    <n v="0"/>
    <n v="1.1000000000000001"/>
    <s v="Agotado"/>
    <n v="1.1000000000000001"/>
    <s v="False"/>
    <m/>
    <n v="0"/>
    <n v="96.82"/>
    <x v="0"/>
    <n v="0"/>
  </r>
  <r>
    <s v="FB001535"/>
    <x v="3"/>
    <x v="2"/>
    <x v="2"/>
    <s v="XS"/>
    <x v="5"/>
    <x v="8"/>
    <n v="159.25"/>
    <x v="387"/>
    <n v="0.28199999999999997"/>
    <n v="114.34"/>
    <n v="44.91"/>
    <d v="2025-08-06T00:00:00"/>
    <x v="1"/>
    <x v="1"/>
    <n v="1"/>
    <m/>
    <s v="Pocas Unidades"/>
    <s v="No valorado"/>
    <s v="True"/>
    <s v="Wrong Item"/>
    <n v="1"/>
    <n v="0"/>
    <x v="6"/>
    <n v="0"/>
  </r>
  <r>
    <s v="FB001536"/>
    <x v="5"/>
    <x v="0"/>
    <x v="3"/>
    <s v="XXL"/>
    <x v="4"/>
    <x v="8"/>
    <n v="171.93"/>
    <x v="388"/>
    <n v="0.52300000000000002"/>
    <n v="82.01"/>
    <n v="89.92"/>
    <d v="2025-08-06T00:00:00"/>
    <x v="1"/>
    <x v="1"/>
    <n v="28"/>
    <n v="2.2000000000000002"/>
    <s v="Ok"/>
    <n v="2.2000000000000002"/>
    <s v="False"/>
    <m/>
    <n v="0"/>
    <n v="82.01"/>
    <x v="0"/>
    <n v="0"/>
  </r>
  <r>
    <s v="FB001537"/>
    <x v="1"/>
    <x v="0"/>
    <x v="3"/>
    <s v="XS"/>
    <x v="5"/>
    <x v="10"/>
    <n v="85.25"/>
    <x v="0"/>
    <n v="0"/>
    <n v="85.25"/>
    <n v="0"/>
    <d v="2025-08-06T00:00:00"/>
    <x v="1"/>
    <x v="1"/>
    <n v="11"/>
    <m/>
    <s v="Ok"/>
    <s v="No valorado"/>
    <s v="False"/>
    <m/>
    <n v="0"/>
    <n v="85.25"/>
    <x v="0"/>
    <n v="0"/>
  </r>
  <r>
    <s v="FB001538"/>
    <x v="1"/>
    <x v="2"/>
    <x v="0"/>
    <s v="XXL"/>
    <x v="4"/>
    <x v="1"/>
    <n v="70.48"/>
    <x v="0"/>
    <n v="0"/>
    <n v="70.48"/>
    <n v="0"/>
    <d v="2024-11-27T00:00:00"/>
    <x v="1"/>
    <x v="11"/>
    <n v="22"/>
    <n v="1.2"/>
    <s v="Ok"/>
    <n v="1.2"/>
    <s v="False"/>
    <m/>
    <n v="0"/>
    <n v="70.48"/>
    <x v="0"/>
    <n v="0"/>
  </r>
  <r>
    <s v="FB001539"/>
    <x v="0"/>
    <x v="2"/>
    <x v="0"/>
    <s v="S"/>
    <x v="3"/>
    <x v="10"/>
    <n v="203.02"/>
    <x v="0"/>
    <n v="0"/>
    <n v="203.02"/>
    <n v="0"/>
    <d v="2025-05-17T00:00:00"/>
    <x v="0"/>
    <x v="8"/>
    <n v="23"/>
    <n v="3.5"/>
    <s v="Ok"/>
    <n v="3.5"/>
    <s v="True"/>
    <s v="Quality Issue"/>
    <n v="1"/>
    <n v="0"/>
    <x v="4"/>
    <n v="0"/>
  </r>
  <r>
    <s v="FB001540"/>
    <x v="5"/>
    <x v="5"/>
    <x v="2"/>
    <s v="XXL"/>
    <x v="4"/>
    <x v="1"/>
    <n v="115.39"/>
    <x v="305"/>
    <n v="0.11199999999999999"/>
    <n v="102.47"/>
    <n v="12.920000000000002"/>
    <d v="2025-08-06T00:00:00"/>
    <x v="1"/>
    <x v="1"/>
    <n v="4"/>
    <n v="3.8"/>
    <s v="Pocas Unidades"/>
    <n v="3.8"/>
    <s v="False"/>
    <m/>
    <n v="0"/>
    <n v="102.47"/>
    <x v="0"/>
    <n v="0"/>
  </r>
  <r>
    <s v="FB001541"/>
    <x v="2"/>
    <x v="3"/>
    <x v="0"/>
    <m/>
    <x v="2"/>
    <x v="1"/>
    <n v="27.91"/>
    <x v="355"/>
    <n v="0.498"/>
    <n v="14.01"/>
    <n v="13.9"/>
    <d v="2025-02-13T00:00:00"/>
    <x v="5"/>
    <x v="9"/>
    <n v="12"/>
    <n v="2.6"/>
    <s v="Ok"/>
    <n v="2.6"/>
    <s v="False"/>
    <m/>
    <n v="0"/>
    <n v="14.01"/>
    <x v="0"/>
    <n v="0"/>
  </r>
  <r>
    <s v="FB001542"/>
    <x v="2"/>
    <x v="4"/>
    <x v="1"/>
    <m/>
    <x v="2"/>
    <x v="8"/>
    <n v="79.69"/>
    <x v="0"/>
    <n v="0"/>
    <n v="79.69"/>
    <n v="0"/>
    <d v="2025-08-06T00:00:00"/>
    <x v="1"/>
    <x v="1"/>
    <n v="44"/>
    <n v="1.6"/>
    <s v="Ok"/>
    <n v="1.6"/>
    <s v="False"/>
    <m/>
    <n v="0"/>
    <n v="79.69"/>
    <x v="0"/>
    <n v="0"/>
  </r>
  <r>
    <s v="FB001543"/>
    <x v="4"/>
    <x v="7"/>
    <x v="2"/>
    <s v="S"/>
    <x v="3"/>
    <x v="10"/>
    <n v="47.22"/>
    <x v="0"/>
    <n v="0"/>
    <n v="47.22"/>
    <n v="0"/>
    <d v="2025-08-06T00:00:00"/>
    <x v="1"/>
    <x v="1"/>
    <n v="19"/>
    <n v="1.9"/>
    <s v="Ok"/>
    <n v="1.9"/>
    <s v="False"/>
    <m/>
    <n v="0"/>
    <n v="47.22"/>
    <x v="0"/>
    <n v="0"/>
  </r>
  <r>
    <s v="FB001544"/>
    <x v="3"/>
    <x v="4"/>
    <x v="2"/>
    <m/>
    <x v="7"/>
    <x v="10"/>
    <n v="172.27"/>
    <x v="373"/>
    <n v="0.14899999999999999"/>
    <n v="146.6"/>
    <n v="25.670000000000016"/>
    <d v="2025-08-06T00:00:00"/>
    <x v="1"/>
    <x v="1"/>
    <n v="8"/>
    <n v="3.7"/>
    <s v="Pocas Unidades"/>
    <n v="3.7"/>
    <s v="False"/>
    <m/>
    <n v="0"/>
    <n v="146.6"/>
    <x v="0"/>
    <n v="0"/>
  </r>
  <r>
    <s v="FB001545"/>
    <x v="2"/>
    <x v="0"/>
    <x v="1"/>
    <m/>
    <x v="2"/>
    <x v="2"/>
    <n v="27.9"/>
    <x v="0"/>
    <n v="0"/>
    <n v="27.9"/>
    <n v="0"/>
    <d v="2025-08-06T00:00:00"/>
    <x v="1"/>
    <x v="1"/>
    <n v="27"/>
    <n v="3"/>
    <s v="Ok"/>
    <n v="3"/>
    <s v="True"/>
    <s v="Changed Mind"/>
    <n v="1"/>
    <n v="0"/>
    <x v="5"/>
    <n v="0"/>
  </r>
  <r>
    <s v="FB001546"/>
    <x v="5"/>
    <x v="0"/>
    <x v="0"/>
    <s v="S"/>
    <x v="3"/>
    <x v="7"/>
    <n v="139.26"/>
    <x v="0"/>
    <n v="0"/>
    <n v="139.26"/>
    <n v="0"/>
    <d v="2025-01-02T00:00:00"/>
    <x v="5"/>
    <x v="5"/>
    <n v="32"/>
    <n v="3.4"/>
    <s v="Ok"/>
    <n v="3.4"/>
    <s v="False"/>
    <m/>
    <n v="0"/>
    <n v="139.26"/>
    <x v="0"/>
    <n v="0"/>
  </r>
  <r>
    <s v="FB001547"/>
    <x v="2"/>
    <x v="5"/>
    <x v="3"/>
    <m/>
    <x v="2"/>
    <x v="4"/>
    <n v="30.47"/>
    <x v="0"/>
    <n v="0"/>
    <n v="30.47"/>
    <n v="0"/>
    <d v="2025-08-06T00:00:00"/>
    <x v="1"/>
    <x v="1"/>
    <n v="34"/>
    <n v="4.2"/>
    <s v="Ok"/>
    <n v="4.2"/>
    <s v="False"/>
    <m/>
    <n v="0"/>
    <n v="30.47"/>
    <x v="0"/>
    <n v="0"/>
  </r>
  <r>
    <s v="FB001548"/>
    <x v="0"/>
    <x v="6"/>
    <x v="2"/>
    <s v="M"/>
    <x v="6"/>
    <x v="9"/>
    <n v="141.53"/>
    <x v="69"/>
    <n v="0.39799999999999996"/>
    <n v="85.2"/>
    <n v="56.33"/>
    <d v="2025-08-06T00:00:00"/>
    <x v="1"/>
    <x v="1"/>
    <n v="47"/>
    <n v="3.5"/>
    <s v="Ok"/>
    <n v="3.5"/>
    <s v="False"/>
    <m/>
    <n v="0"/>
    <n v="85.2"/>
    <x v="0"/>
    <n v="0"/>
  </r>
  <r>
    <s v="FB001549"/>
    <x v="5"/>
    <x v="6"/>
    <x v="0"/>
    <s v="XL"/>
    <x v="0"/>
    <x v="4"/>
    <n v="47.45"/>
    <x v="11"/>
    <n v="0.24399999999999999"/>
    <n v="35.869999999999997"/>
    <n v="11.580000000000005"/>
    <d v="2025-06-15T00:00:00"/>
    <x v="6"/>
    <x v="7"/>
    <n v="42"/>
    <n v="2.8"/>
    <s v="Ok"/>
    <n v="2.8"/>
    <s v="False"/>
    <m/>
    <n v="0"/>
    <n v="35.869999999999997"/>
    <x v="0"/>
    <n v="0"/>
  </r>
  <r>
    <s v="FB001550"/>
    <x v="4"/>
    <x v="6"/>
    <x v="1"/>
    <s v="XS"/>
    <x v="5"/>
    <x v="8"/>
    <n v="51.39"/>
    <x v="165"/>
    <n v="6.3E-2"/>
    <n v="48.15"/>
    <n v="3.240000000000002"/>
    <d v="2025-08-06T00:00:00"/>
    <x v="1"/>
    <x v="1"/>
    <n v="46"/>
    <m/>
    <s v="Ok"/>
    <s v="No valorado"/>
    <s v="False"/>
    <m/>
    <n v="0"/>
    <n v="48.15"/>
    <x v="0"/>
    <n v="0"/>
  </r>
  <r>
    <s v="FB001551"/>
    <x v="1"/>
    <x v="6"/>
    <x v="0"/>
    <m/>
    <x v="7"/>
    <x v="3"/>
    <n v="74.13"/>
    <x v="0"/>
    <n v="0"/>
    <n v="74.13"/>
    <n v="0"/>
    <d v="2024-11-13T00:00:00"/>
    <x v="1"/>
    <x v="11"/>
    <n v="23"/>
    <m/>
    <s v="Ok"/>
    <s v="No valorado"/>
    <s v="False"/>
    <m/>
    <n v="0"/>
    <n v="74.13"/>
    <x v="0"/>
    <n v="0"/>
  </r>
  <r>
    <s v="FB001552"/>
    <x v="5"/>
    <x v="0"/>
    <x v="2"/>
    <s v="XL"/>
    <x v="0"/>
    <x v="9"/>
    <n v="156.13999999999999"/>
    <x v="389"/>
    <n v="0.05"/>
    <n v="148.33000000000001"/>
    <n v="7.8099999999999739"/>
    <d v="2025-08-06T00:00:00"/>
    <x v="1"/>
    <x v="1"/>
    <n v="39"/>
    <m/>
    <s v="Ok"/>
    <s v="No valorado"/>
    <s v="False"/>
    <m/>
    <n v="0"/>
    <n v="148.33000000000001"/>
    <x v="0"/>
    <n v="0"/>
  </r>
  <r>
    <s v="FB001553"/>
    <x v="0"/>
    <x v="2"/>
    <x v="3"/>
    <s v="XS"/>
    <x v="5"/>
    <x v="6"/>
    <n v="105.3"/>
    <x v="0"/>
    <n v="0"/>
    <n v="105.3"/>
    <n v="0"/>
    <d v="2025-08-06T00:00:00"/>
    <x v="1"/>
    <x v="1"/>
    <n v="1"/>
    <n v="3"/>
    <s v="Pocas Unidades"/>
    <n v="3"/>
    <s v="False"/>
    <m/>
    <n v="0"/>
    <n v="105.3"/>
    <x v="0"/>
    <n v="0"/>
  </r>
  <r>
    <s v="FB001554"/>
    <x v="5"/>
    <x v="4"/>
    <x v="1"/>
    <s v="S"/>
    <x v="3"/>
    <x v="8"/>
    <n v="126.76"/>
    <x v="0"/>
    <n v="0"/>
    <n v="126.76"/>
    <n v="0"/>
    <d v="2025-08-06T00:00:00"/>
    <x v="1"/>
    <x v="1"/>
    <n v="24"/>
    <n v="2.2000000000000002"/>
    <s v="Ok"/>
    <n v="2.2000000000000002"/>
    <s v="False"/>
    <m/>
    <n v="0"/>
    <n v="126.76"/>
    <x v="0"/>
    <n v="0"/>
  </r>
  <r>
    <s v="FB001555"/>
    <x v="1"/>
    <x v="6"/>
    <x v="1"/>
    <s v="L"/>
    <x v="1"/>
    <x v="8"/>
    <n v="35.409999999999997"/>
    <x v="0"/>
    <n v="0"/>
    <n v="35.409999999999997"/>
    <n v="0"/>
    <d v="2025-08-06T00:00:00"/>
    <x v="1"/>
    <x v="1"/>
    <n v="48"/>
    <n v="4.3"/>
    <s v="Ok"/>
    <n v="4.3"/>
    <s v="True"/>
    <s v="Damaged"/>
    <n v="1"/>
    <n v="0"/>
    <x v="3"/>
    <n v="0"/>
  </r>
  <r>
    <s v="FB001556"/>
    <x v="0"/>
    <x v="5"/>
    <x v="1"/>
    <s v="M"/>
    <x v="6"/>
    <x v="3"/>
    <n v="80.040000000000006"/>
    <x v="0"/>
    <n v="0"/>
    <n v="80.040000000000006"/>
    <n v="0"/>
    <d v="2025-08-06T00:00:00"/>
    <x v="1"/>
    <x v="1"/>
    <n v="13"/>
    <n v="2.2999999999999998"/>
    <s v="Ok"/>
    <n v="2.2999999999999998"/>
    <s v="False"/>
    <m/>
    <n v="0"/>
    <n v="80.040000000000006"/>
    <x v="0"/>
    <n v="0"/>
  </r>
  <r>
    <s v="FB001557"/>
    <x v="4"/>
    <x v="6"/>
    <x v="2"/>
    <m/>
    <x v="7"/>
    <x v="8"/>
    <n v="68.16"/>
    <x v="0"/>
    <n v="0"/>
    <n v="68.16"/>
    <n v="0"/>
    <d v="2025-08-06T00:00:00"/>
    <x v="1"/>
    <x v="1"/>
    <n v="34"/>
    <n v="2.7"/>
    <s v="Ok"/>
    <n v="2.7"/>
    <s v="False"/>
    <m/>
    <n v="0"/>
    <n v="68.16"/>
    <x v="0"/>
    <n v="0"/>
  </r>
  <r>
    <s v="FB001558"/>
    <x v="5"/>
    <x v="5"/>
    <x v="2"/>
    <s v="XL"/>
    <x v="0"/>
    <x v="3"/>
    <n v="60.87"/>
    <x v="0"/>
    <n v="0"/>
    <n v="60.87"/>
    <n v="0"/>
    <d v="2025-08-06T00:00:00"/>
    <x v="1"/>
    <x v="1"/>
    <n v="35"/>
    <m/>
    <s v="Ok"/>
    <s v="No valorado"/>
    <s v="False"/>
    <m/>
    <n v="0"/>
    <n v="60.87"/>
    <x v="0"/>
    <n v="0"/>
  </r>
  <r>
    <s v="FB001559"/>
    <x v="1"/>
    <x v="4"/>
    <x v="0"/>
    <s v="L"/>
    <x v="1"/>
    <x v="10"/>
    <n v="59.8"/>
    <x v="0"/>
    <n v="0"/>
    <n v="59.8"/>
    <n v="0"/>
    <d v="2025-04-06T00:00:00"/>
    <x v="6"/>
    <x v="4"/>
    <n v="50"/>
    <n v="2.2000000000000002"/>
    <s v="Ok"/>
    <n v="2.2000000000000002"/>
    <s v="True"/>
    <s v="Size Issue"/>
    <n v="1"/>
    <n v="0"/>
    <x v="2"/>
    <n v="0"/>
  </r>
  <r>
    <s v="FB001560"/>
    <x v="2"/>
    <x v="6"/>
    <x v="2"/>
    <m/>
    <x v="2"/>
    <x v="2"/>
    <n v="75.83"/>
    <x v="0"/>
    <n v="0"/>
    <n v="75.83"/>
    <n v="0"/>
    <d v="2025-08-06T00:00:00"/>
    <x v="1"/>
    <x v="1"/>
    <n v="8"/>
    <n v="2"/>
    <s v="Pocas Unidades"/>
    <n v="2"/>
    <s v="False"/>
    <m/>
    <n v="0"/>
    <n v="75.83"/>
    <x v="0"/>
    <n v="0"/>
  </r>
  <r>
    <s v="FB001561"/>
    <x v="1"/>
    <x v="4"/>
    <x v="3"/>
    <s v="L"/>
    <x v="1"/>
    <x v="7"/>
    <n v="55.97"/>
    <x v="0"/>
    <n v="0"/>
    <n v="55.97"/>
    <n v="0"/>
    <d v="2025-08-06T00:00:00"/>
    <x v="1"/>
    <x v="1"/>
    <n v="30"/>
    <m/>
    <s v="Ok"/>
    <s v="No valorado"/>
    <s v="False"/>
    <m/>
    <n v="0"/>
    <n v="55.97"/>
    <x v="0"/>
    <n v="0"/>
  </r>
  <r>
    <s v="FB001562"/>
    <x v="3"/>
    <x v="6"/>
    <x v="1"/>
    <s v="XL"/>
    <x v="0"/>
    <x v="7"/>
    <n v="190.52"/>
    <x v="200"/>
    <n v="0.45200000000000001"/>
    <n v="104.4"/>
    <n v="86.12"/>
    <d v="2025-08-06T00:00:00"/>
    <x v="1"/>
    <x v="1"/>
    <n v="2"/>
    <n v="1.1000000000000001"/>
    <s v="Pocas Unidades"/>
    <n v="1.1000000000000001"/>
    <s v="False"/>
    <m/>
    <n v="0"/>
    <n v="104.4"/>
    <x v="0"/>
    <n v="0"/>
  </r>
  <r>
    <s v="FB001563"/>
    <x v="4"/>
    <x v="0"/>
    <x v="3"/>
    <s v="M"/>
    <x v="6"/>
    <x v="1"/>
    <n v="89.19"/>
    <x v="390"/>
    <n v="0.10300000000000001"/>
    <n v="80"/>
    <n v="9.1899999999999977"/>
    <d v="2025-08-06T00:00:00"/>
    <x v="1"/>
    <x v="1"/>
    <n v="4"/>
    <m/>
    <s v="Pocas Unidades"/>
    <s v="No valorado"/>
    <s v="False"/>
    <m/>
    <n v="0"/>
    <n v="80"/>
    <x v="0"/>
    <n v="0"/>
  </r>
  <r>
    <s v="FB001564"/>
    <x v="3"/>
    <x v="2"/>
    <x v="3"/>
    <m/>
    <x v="7"/>
    <x v="3"/>
    <n v="79.59"/>
    <x v="391"/>
    <n v="8.900000000000001E-2"/>
    <n v="72.510000000000005"/>
    <n v="7.0799999999999983"/>
    <d v="2025-08-06T00:00:00"/>
    <x v="1"/>
    <x v="1"/>
    <n v="16"/>
    <n v="4.5999999999999996"/>
    <s v="Ok"/>
    <n v="4.5999999999999996"/>
    <s v="True"/>
    <s v="Wrong Item"/>
    <n v="1"/>
    <n v="0"/>
    <x v="6"/>
    <n v="0"/>
  </r>
  <r>
    <s v="FB001565"/>
    <x v="4"/>
    <x v="3"/>
    <x v="0"/>
    <s v="XXL"/>
    <x v="4"/>
    <x v="4"/>
    <n v="84.8"/>
    <x v="0"/>
    <n v="0"/>
    <n v="84.8"/>
    <n v="0"/>
    <d v="2025-07-08T00:00:00"/>
    <x v="3"/>
    <x v="0"/>
    <n v="46"/>
    <n v="4.5999999999999996"/>
    <s v="Ok"/>
    <n v="4.5999999999999996"/>
    <s v="False"/>
    <m/>
    <n v="0"/>
    <n v="84.8"/>
    <x v="0"/>
    <n v="0"/>
  </r>
  <r>
    <s v="FB001566"/>
    <x v="4"/>
    <x v="7"/>
    <x v="2"/>
    <s v="M"/>
    <x v="6"/>
    <x v="2"/>
    <n v="69.209999999999994"/>
    <x v="0"/>
    <n v="0"/>
    <n v="69.209999999999994"/>
    <n v="0"/>
    <d v="2025-08-06T00:00:00"/>
    <x v="1"/>
    <x v="1"/>
    <n v="41"/>
    <m/>
    <s v="Ok"/>
    <s v="No valorado"/>
    <s v="False"/>
    <m/>
    <n v="0"/>
    <n v="69.209999999999994"/>
    <x v="0"/>
    <n v="0"/>
  </r>
  <r>
    <s v="FB001567"/>
    <x v="0"/>
    <x v="2"/>
    <x v="0"/>
    <s v="XS"/>
    <x v="5"/>
    <x v="8"/>
    <n v="229.17"/>
    <x v="0"/>
    <n v="0"/>
    <n v="229.17"/>
    <n v="0"/>
    <d v="2025-07-17T00:00:00"/>
    <x v="5"/>
    <x v="0"/>
    <n v="37"/>
    <n v="2"/>
    <s v="Ok"/>
    <n v="2"/>
    <s v="False"/>
    <m/>
    <n v="0"/>
    <n v="229.17"/>
    <x v="0"/>
    <n v="0"/>
  </r>
  <r>
    <s v="FB001568"/>
    <x v="5"/>
    <x v="2"/>
    <x v="1"/>
    <s v="L"/>
    <x v="1"/>
    <x v="3"/>
    <n v="103.9"/>
    <x v="0"/>
    <n v="0"/>
    <n v="103.9"/>
    <n v="0"/>
    <d v="2025-08-06T00:00:00"/>
    <x v="1"/>
    <x v="1"/>
    <n v="40"/>
    <n v="4.4000000000000004"/>
    <s v="Ok"/>
    <n v="4.4000000000000004"/>
    <s v="False"/>
    <m/>
    <n v="0"/>
    <n v="103.9"/>
    <x v="0"/>
    <n v="0"/>
  </r>
  <r>
    <s v="FB001569"/>
    <x v="0"/>
    <x v="0"/>
    <x v="0"/>
    <s v="XS"/>
    <x v="5"/>
    <x v="7"/>
    <n v="228.46"/>
    <x v="0"/>
    <n v="0"/>
    <n v="228.46"/>
    <n v="0"/>
    <d v="2025-02-07T00:00:00"/>
    <x v="4"/>
    <x v="9"/>
    <n v="7"/>
    <n v="2.5"/>
    <s v="Pocas Unidades"/>
    <n v="2.5"/>
    <s v="True"/>
    <s v="Quality Issue"/>
    <n v="1"/>
    <n v="0"/>
    <x v="4"/>
    <n v="0"/>
  </r>
  <r>
    <s v="FB001570"/>
    <x v="2"/>
    <x v="0"/>
    <x v="3"/>
    <m/>
    <x v="2"/>
    <x v="3"/>
    <n v="44.35"/>
    <x v="128"/>
    <n v="0.29199999999999998"/>
    <n v="31.4"/>
    <n v="12.950000000000003"/>
    <d v="2025-08-06T00:00:00"/>
    <x v="1"/>
    <x v="1"/>
    <n v="20"/>
    <n v="4.9000000000000004"/>
    <s v="Ok"/>
    <n v="4.9000000000000004"/>
    <s v="False"/>
    <m/>
    <n v="0"/>
    <n v="31.4"/>
    <x v="0"/>
    <n v="0"/>
  </r>
  <r>
    <s v="FB001571"/>
    <x v="4"/>
    <x v="1"/>
    <x v="0"/>
    <m/>
    <x v="7"/>
    <x v="4"/>
    <n v="28.76"/>
    <x v="392"/>
    <n v="0.54700000000000004"/>
    <n v="13.03"/>
    <n v="15.730000000000002"/>
    <d v="2025-05-14T00:00:00"/>
    <x v="1"/>
    <x v="8"/>
    <n v="2"/>
    <n v="4.4000000000000004"/>
    <s v="Pocas Unidades"/>
    <n v="4.4000000000000004"/>
    <s v="True"/>
    <s v="Color Mismatch"/>
    <n v="1"/>
    <n v="0"/>
    <x v="1"/>
    <n v="0"/>
  </r>
  <r>
    <s v="FB001572"/>
    <x v="0"/>
    <x v="3"/>
    <x v="0"/>
    <s v="XXL"/>
    <x v="4"/>
    <x v="0"/>
    <n v="158.34"/>
    <x v="240"/>
    <n v="0.36599999999999999"/>
    <n v="100.39"/>
    <n v="57.95"/>
    <d v="2025-01-27T00:00:00"/>
    <x v="2"/>
    <x v="5"/>
    <n v="11"/>
    <n v="4.5"/>
    <s v="Ok"/>
    <n v="4.5"/>
    <s v="False"/>
    <m/>
    <n v="0"/>
    <n v="100.39"/>
    <x v="0"/>
    <n v="0"/>
  </r>
  <r>
    <s v="FB001573"/>
    <x v="2"/>
    <x v="0"/>
    <x v="0"/>
    <m/>
    <x v="2"/>
    <x v="10"/>
    <n v="39.049999999999997"/>
    <x v="393"/>
    <n v="0.12"/>
    <n v="34.36"/>
    <n v="4.6899999999999977"/>
    <d v="2024-09-30T00:00:00"/>
    <x v="2"/>
    <x v="6"/>
    <n v="0"/>
    <n v="3.1"/>
    <s v="Agotado"/>
    <n v="3.1"/>
    <s v="False"/>
    <m/>
    <n v="0"/>
    <n v="34.36"/>
    <x v="0"/>
    <n v="0"/>
  </r>
  <r>
    <s v="FB001574"/>
    <x v="1"/>
    <x v="5"/>
    <x v="0"/>
    <s v="S"/>
    <x v="3"/>
    <x v="5"/>
    <n v="52.46"/>
    <x v="267"/>
    <n v="0.122"/>
    <n v="46.06"/>
    <n v="6.3999999999999986"/>
    <d v="2024-12-19T00:00:00"/>
    <x v="5"/>
    <x v="10"/>
    <n v="39"/>
    <n v="2.2999999999999998"/>
    <s v="Ok"/>
    <n v="2.2999999999999998"/>
    <s v="False"/>
    <m/>
    <n v="0"/>
    <n v="46.06"/>
    <x v="0"/>
    <n v="0"/>
  </r>
  <r>
    <s v="FB001575"/>
    <x v="4"/>
    <x v="6"/>
    <x v="0"/>
    <s v="S"/>
    <x v="3"/>
    <x v="0"/>
    <n v="70.31"/>
    <x v="394"/>
    <n v="0.34399999999999997"/>
    <n v="46.12"/>
    <n v="24.190000000000005"/>
    <d v="2025-01-24T00:00:00"/>
    <x v="4"/>
    <x v="5"/>
    <n v="28"/>
    <n v="3.1"/>
    <s v="Ok"/>
    <n v="3.1"/>
    <s v="False"/>
    <m/>
    <n v="0"/>
    <n v="46.12"/>
    <x v="0"/>
    <n v="0"/>
  </r>
  <r>
    <s v="FB001576"/>
    <x v="0"/>
    <x v="7"/>
    <x v="3"/>
    <s v="S"/>
    <x v="3"/>
    <x v="7"/>
    <n v="123.27"/>
    <x v="0"/>
    <n v="0"/>
    <n v="123.27"/>
    <n v="0"/>
    <d v="2025-08-06T00:00:00"/>
    <x v="1"/>
    <x v="1"/>
    <n v="13"/>
    <n v="2.8"/>
    <s v="Ok"/>
    <n v="2.8"/>
    <s v="False"/>
    <m/>
    <n v="0"/>
    <n v="123.27"/>
    <x v="0"/>
    <n v="0"/>
  </r>
  <r>
    <s v="FB001577"/>
    <x v="0"/>
    <x v="3"/>
    <x v="3"/>
    <s v="L"/>
    <x v="1"/>
    <x v="8"/>
    <n v="215.82"/>
    <x v="303"/>
    <n v="0.16500000000000001"/>
    <n v="180.21"/>
    <n v="35.609999999999985"/>
    <d v="2025-08-06T00:00:00"/>
    <x v="1"/>
    <x v="1"/>
    <n v="9"/>
    <n v="2.4"/>
    <s v="Pocas Unidades"/>
    <n v="2.4"/>
    <s v="False"/>
    <m/>
    <n v="0"/>
    <n v="180.21"/>
    <x v="0"/>
    <n v="0"/>
  </r>
  <r>
    <s v="FB001578"/>
    <x v="0"/>
    <x v="6"/>
    <x v="3"/>
    <s v="XS"/>
    <x v="5"/>
    <x v="5"/>
    <n v="82.91"/>
    <x v="395"/>
    <n v="6.9999999999999993E-3"/>
    <n v="82.33"/>
    <n v="0.57999999999999829"/>
    <d v="2025-08-06T00:00:00"/>
    <x v="1"/>
    <x v="1"/>
    <n v="24"/>
    <m/>
    <s v="Ok"/>
    <s v="No valorado"/>
    <s v="True"/>
    <s v="Damaged"/>
    <n v="1"/>
    <n v="0"/>
    <x v="3"/>
    <n v="0"/>
  </r>
  <r>
    <s v="FB001579"/>
    <x v="1"/>
    <x v="6"/>
    <x v="1"/>
    <s v="XL"/>
    <x v="0"/>
    <x v="9"/>
    <n v="33.46"/>
    <x v="0"/>
    <n v="0"/>
    <n v="33.46"/>
    <n v="0"/>
    <d v="2025-08-06T00:00:00"/>
    <x v="1"/>
    <x v="1"/>
    <n v="36"/>
    <n v="3.6"/>
    <s v="Ok"/>
    <n v="3.6"/>
    <s v="False"/>
    <m/>
    <n v="0"/>
    <n v="33.46"/>
    <x v="0"/>
    <n v="0"/>
  </r>
  <r>
    <s v="FB001580"/>
    <x v="4"/>
    <x v="2"/>
    <x v="0"/>
    <s v="L"/>
    <x v="1"/>
    <x v="4"/>
    <n v="37.21"/>
    <x v="17"/>
    <n v="0.53900000000000003"/>
    <n v="17.149999999999999"/>
    <n v="20.060000000000002"/>
    <d v="2025-06-27T00:00:00"/>
    <x v="4"/>
    <x v="7"/>
    <n v="48"/>
    <n v="3.8"/>
    <s v="Ok"/>
    <n v="3.8"/>
    <s v="False"/>
    <m/>
    <n v="0"/>
    <n v="17.149999999999999"/>
    <x v="0"/>
    <n v="0"/>
  </r>
  <r>
    <s v="FB001581"/>
    <x v="4"/>
    <x v="3"/>
    <x v="1"/>
    <m/>
    <x v="7"/>
    <x v="0"/>
    <n v="76.86"/>
    <x v="396"/>
    <n v="0.48899999999999999"/>
    <n v="39.28"/>
    <n v="37.58"/>
    <d v="2025-08-06T00:00:00"/>
    <x v="1"/>
    <x v="1"/>
    <n v="5"/>
    <n v="1.2"/>
    <s v="Pocas Unidades"/>
    <n v="1.2"/>
    <s v="False"/>
    <m/>
    <n v="0"/>
    <n v="39.28"/>
    <x v="0"/>
    <n v="0"/>
  </r>
  <r>
    <s v="FB001582"/>
    <x v="0"/>
    <x v="4"/>
    <x v="1"/>
    <s v="S"/>
    <x v="3"/>
    <x v="7"/>
    <n v="208.57"/>
    <x v="0"/>
    <n v="0"/>
    <n v="208.57"/>
    <n v="0"/>
    <d v="2025-08-06T00:00:00"/>
    <x v="1"/>
    <x v="1"/>
    <n v="24"/>
    <n v="3.6"/>
    <s v="Ok"/>
    <n v="3.6"/>
    <s v="False"/>
    <m/>
    <n v="0"/>
    <n v="208.57"/>
    <x v="0"/>
    <n v="0"/>
  </r>
  <r>
    <s v="FB001583"/>
    <x v="5"/>
    <x v="6"/>
    <x v="0"/>
    <s v="XL"/>
    <x v="0"/>
    <x v="0"/>
    <n v="131.69999999999999"/>
    <x v="57"/>
    <n v="0.158"/>
    <n v="110.89"/>
    <n v="20.809999999999988"/>
    <d v="2024-08-12T00:00:00"/>
    <x v="2"/>
    <x v="1"/>
    <n v="49"/>
    <n v="1.4"/>
    <s v="Ok"/>
    <n v="1.4"/>
    <s v="True"/>
    <s v="Damaged"/>
    <n v="1"/>
    <n v="0"/>
    <x v="3"/>
    <n v="0"/>
  </r>
  <r>
    <s v="FB001584"/>
    <x v="4"/>
    <x v="3"/>
    <x v="3"/>
    <s v="XXL"/>
    <x v="4"/>
    <x v="5"/>
    <n v="117.21"/>
    <x v="0"/>
    <n v="0"/>
    <n v="117.21"/>
    <n v="0"/>
    <d v="2025-08-06T00:00:00"/>
    <x v="1"/>
    <x v="1"/>
    <n v="14"/>
    <n v="3.2"/>
    <s v="Ok"/>
    <n v="3.2"/>
    <s v="False"/>
    <m/>
    <n v="0"/>
    <n v="117.21"/>
    <x v="0"/>
    <n v="0"/>
  </r>
  <r>
    <s v="FB001585"/>
    <x v="2"/>
    <x v="3"/>
    <x v="3"/>
    <m/>
    <x v="2"/>
    <x v="6"/>
    <n v="23.01"/>
    <x v="95"/>
    <n v="0.48799999999999999"/>
    <n v="11.78"/>
    <n v="11.230000000000002"/>
    <d v="2025-08-06T00:00:00"/>
    <x v="1"/>
    <x v="1"/>
    <n v="13"/>
    <n v="3.6"/>
    <s v="Ok"/>
    <n v="3.6"/>
    <s v="False"/>
    <m/>
    <n v="0"/>
    <n v="11.78"/>
    <x v="0"/>
    <n v="0"/>
  </r>
  <r>
    <s v="FB001586"/>
    <x v="2"/>
    <x v="7"/>
    <x v="3"/>
    <m/>
    <x v="2"/>
    <x v="0"/>
    <n v="47.6"/>
    <x v="0"/>
    <n v="0"/>
    <n v="47.6"/>
    <n v="0"/>
    <d v="2025-08-06T00:00:00"/>
    <x v="1"/>
    <x v="1"/>
    <n v="24"/>
    <n v="4.4000000000000004"/>
    <s v="Ok"/>
    <n v="4.4000000000000004"/>
    <s v="True"/>
    <s v="Wrong Item"/>
    <n v="1"/>
    <n v="0"/>
    <x v="6"/>
    <n v="0"/>
  </r>
  <r>
    <s v="FB001587"/>
    <x v="4"/>
    <x v="0"/>
    <x v="2"/>
    <s v="L"/>
    <x v="1"/>
    <x v="1"/>
    <n v="33.22"/>
    <x v="397"/>
    <n v="0.38400000000000001"/>
    <n v="20.46"/>
    <n v="12.759999999999998"/>
    <d v="2025-08-06T00:00:00"/>
    <x v="1"/>
    <x v="1"/>
    <n v="11"/>
    <n v="2.9"/>
    <s v="Ok"/>
    <n v="2.9"/>
    <s v="False"/>
    <m/>
    <n v="0"/>
    <n v="20.46"/>
    <x v="0"/>
    <n v="0"/>
  </r>
  <r>
    <s v="FB001588"/>
    <x v="2"/>
    <x v="1"/>
    <x v="1"/>
    <m/>
    <x v="2"/>
    <x v="8"/>
    <n v="65.97"/>
    <x v="317"/>
    <n v="6.8000000000000005E-2"/>
    <n v="61.48"/>
    <n v="4.490000000000002"/>
    <d v="2025-08-06T00:00:00"/>
    <x v="1"/>
    <x v="1"/>
    <n v="41"/>
    <n v="4.3"/>
    <s v="Ok"/>
    <n v="4.3"/>
    <s v="False"/>
    <m/>
    <n v="0"/>
    <n v="61.48"/>
    <x v="0"/>
    <n v="0"/>
  </r>
  <r>
    <s v="FB001589"/>
    <x v="1"/>
    <x v="4"/>
    <x v="0"/>
    <s v="L"/>
    <x v="1"/>
    <x v="6"/>
    <n v="47.25"/>
    <x v="294"/>
    <n v="0.28999999999999998"/>
    <n v="33.549999999999997"/>
    <n v="13.700000000000003"/>
    <d v="2025-06-20T00:00:00"/>
    <x v="4"/>
    <x v="7"/>
    <n v="38"/>
    <n v="5"/>
    <s v="Ok"/>
    <n v="5"/>
    <s v="False"/>
    <m/>
    <n v="0"/>
    <n v="33.549999999999997"/>
    <x v="0"/>
    <n v="0"/>
  </r>
  <r>
    <s v="FB001590"/>
    <x v="1"/>
    <x v="7"/>
    <x v="0"/>
    <s v="XS"/>
    <x v="5"/>
    <x v="6"/>
    <n v="93.74"/>
    <x v="0"/>
    <n v="0"/>
    <n v="93.74"/>
    <n v="0"/>
    <d v="2024-12-27T00:00:00"/>
    <x v="4"/>
    <x v="10"/>
    <n v="39"/>
    <n v="4"/>
    <s v="Ok"/>
    <n v="4"/>
    <s v="False"/>
    <m/>
    <n v="0"/>
    <n v="93.74"/>
    <x v="0"/>
    <n v="0"/>
  </r>
  <r>
    <s v="FB001591"/>
    <x v="4"/>
    <x v="7"/>
    <x v="3"/>
    <s v="XXL"/>
    <x v="4"/>
    <x v="3"/>
    <n v="31.57"/>
    <x v="0"/>
    <n v="0"/>
    <n v="31.57"/>
    <n v="0"/>
    <d v="2025-08-06T00:00:00"/>
    <x v="1"/>
    <x v="1"/>
    <n v="2"/>
    <m/>
    <s v="Pocas Unidades"/>
    <s v="No valorado"/>
    <s v="False"/>
    <m/>
    <n v="0"/>
    <n v="31.57"/>
    <x v="0"/>
    <n v="0"/>
  </r>
  <r>
    <s v="FB001592"/>
    <x v="4"/>
    <x v="2"/>
    <x v="1"/>
    <s v="XXL"/>
    <x v="4"/>
    <x v="10"/>
    <n v="64.209999999999994"/>
    <x v="0"/>
    <n v="0"/>
    <n v="64.209999999999994"/>
    <n v="0"/>
    <d v="2025-08-06T00:00:00"/>
    <x v="1"/>
    <x v="1"/>
    <n v="3"/>
    <n v="2.8"/>
    <s v="Pocas Unidades"/>
    <n v="2.8"/>
    <s v="False"/>
    <m/>
    <n v="0"/>
    <n v="64.209999999999994"/>
    <x v="0"/>
    <n v="0"/>
  </r>
  <r>
    <s v="FB001593"/>
    <x v="2"/>
    <x v="2"/>
    <x v="1"/>
    <m/>
    <x v="2"/>
    <x v="6"/>
    <n v="56.13"/>
    <x v="302"/>
    <n v="8.1000000000000003E-2"/>
    <n v="51.58"/>
    <n v="4.5500000000000043"/>
    <d v="2025-08-06T00:00:00"/>
    <x v="1"/>
    <x v="1"/>
    <n v="12"/>
    <n v="3.8"/>
    <s v="Ok"/>
    <n v="3.8"/>
    <s v="False"/>
    <m/>
    <n v="0"/>
    <n v="51.58"/>
    <x v="0"/>
    <n v="0"/>
  </r>
  <r>
    <s v="FB001594"/>
    <x v="1"/>
    <x v="1"/>
    <x v="3"/>
    <s v="XXL"/>
    <x v="4"/>
    <x v="7"/>
    <n v="70.89"/>
    <x v="0"/>
    <n v="0"/>
    <n v="70.89"/>
    <n v="0"/>
    <d v="2025-08-06T00:00:00"/>
    <x v="1"/>
    <x v="1"/>
    <n v="14"/>
    <n v="4.7"/>
    <s v="Ok"/>
    <n v="4.7"/>
    <s v="True"/>
    <s v="Size Issue"/>
    <n v="1"/>
    <n v="0"/>
    <x v="2"/>
    <n v="0"/>
  </r>
  <r>
    <s v="FB001595"/>
    <x v="3"/>
    <x v="2"/>
    <x v="1"/>
    <s v="M"/>
    <x v="6"/>
    <x v="9"/>
    <n v="149.65"/>
    <x v="0"/>
    <n v="0"/>
    <n v="149.65"/>
    <n v="0"/>
    <d v="2025-08-06T00:00:00"/>
    <x v="1"/>
    <x v="1"/>
    <n v="26"/>
    <n v="3.8"/>
    <s v="Ok"/>
    <n v="3.8"/>
    <s v="False"/>
    <m/>
    <n v="0"/>
    <n v="149.65"/>
    <x v="0"/>
    <n v="0"/>
  </r>
  <r>
    <s v="FB001596"/>
    <x v="3"/>
    <x v="0"/>
    <x v="0"/>
    <s v="S"/>
    <x v="3"/>
    <x v="3"/>
    <n v="83.17"/>
    <x v="0"/>
    <n v="0"/>
    <n v="83.17"/>
    <n v="0"/>
    <d v="2024-09-03T00:00:00"/>
    <x v="3"/>
    <x v="6"/>
    <n v="48"/>
    <n v="3.2"/>
    <s v="Ok"/>
    <n v="3.2"/>
    <s v="False"/>
    <m/>
    <n v="0"/>
    <n v="83.17"/>
    <x v="0"/>
    <n v="0"/>
  </r>
  <r>
    <s v="FB001597"/>
    <x v="0"/>
    <x v="4"/>
    <x v="2"/>
    <s v="XL"/>
    <x v="0"/>
    <x v="5"/>
    <n v="121.56"/>
    <x v="0"/>
    <n v="0"/>
    <n v="121.56"/>
    <n v="0"/>
    <d v="2025-08-06T00:00:00"/>
    <x v="1"/>
    <x v="1"/>
    <n v="18"/>
    <n v="3.3"/>
    <s v="Ok"/>
    <n v="3.3"/>
    <s v="False"/>
    <m/>
    <n v="0"/>
    <n v="121.56"/>
    <x v="0"/>
    <n v="0"/>
  </r>
  <r>
    <s v="FB001598"/>
    <x v="4"/>
    <x v="0"/>
    <x v="1"/>
    <s v="M"/>
    <x v="6"/>
    <x v="9"/>
    <n v="48.62"/>
    <x v="0"/>
    <n v="0"/>
    <n v="48.62"/>
    <n v="0"/>
    <d v="2025-08-06T00:00:00"/>
    <x v="1"/>
    <x v="1"/>
    <n v="3"/>
    <m/>
    <s v="Pocas Unidades"/>
    <s v="No valorado"/>
    <s v="True"/>
    <s v="Damaged"/>
    <n v="1"/>
    <n v="0"/>
    <x v="3"/>
    <n v="0"/>
  </r>
  <r>
    <s v="FB001599"/>
    <x v="5"/>
    <x v="5"/>
    <x v="1"/>
    <s v="M"/>
    <x v="6"/>
    <x v="5"/>
    <n v="79.040000000000006"/>
    <x v="0"/>
    <n v="0"/>
    <n v="79.040000000000006"/>
    <n v="0"/>
    <d v="2025-08-06T00:00:00"/>
    <x v="1"/>
    <x v="1"/>
    <n v="4"/>
    <n v="4.0999999999999996"/>
    <s v="Pocas Unidades"/>
    <n v="4.0999999999999996"/>
    <s v="False"/>
    <m/>
    <n v="0"/>
    <n v="79.040000000000006"/>
    <x v="0"/>
    <n v="0"/>
  </r>
  <r>
    <s v="FB001600"/>
    <x v="0"/>
    <x v="3"/>
    <x v="0"/>
    <s v="XS"/>
    <x v="5"/>
    <x v="4"/>
    <n v="198.58"/>
    <x v="0"/>
    <n v="0"/>
    <n v="198.58"/>
    <n v="0"/>
    <d v="2025-01-24T00:00:00"/>
    <x v="4"/>
    <x v="5"/>
    <n v="46"/>
    <m/>
    <s v="Ok"/>
    <s v="No valorado"/>
    <s v="False"/>
    <m/>
    <n v="0"/>
    <n v="198.58"/>
    <x v="0"/>
    <n v="0"/>
  </r>
  <r>
    <s v="FB001601"/>
    <x v="0"/>
    <x v="2"/>
    <x v="3"/>
    <s v="M"/>
    <x v="6"/>
    <x v="6"/>
    <n v="109.82"/>
    <x v="0"/>
    <n v="0"/>
    <n v="109.82"/>
    <n v="0"/>
    <d v="2025-08-06T00:00:00"/>
    <x v="1"/>
    <x v="1"/>
    <n v="32"/>
    <n v="2.2999999999999998"/>
    <s v="Ok"/>
    <n v="2.2999999999999998"/>
    <s v="False"/>
    <m/>
    <n v="0"/>
    <n v="109.82"/>
    <x v="0"/>
    <n v="0"/>
  </r>
  <r>
    <s v="FB001602"/>
    <x v="2"/>
    <x v="2"/>
    <x v="3"/>
    <m/>
    <x v="2"/>
    <x v="0"/>
    <n v="34.42"/>
    <x v="41"/>
    <n v="0.495"/>
    <n v="17.38"/>
    <n v="17.040000000000003"/>
    <d v="2025-08-06T00:00:00"/>
    <x v="1"/>
    <x v="1"/>
    <n v="26"/>
    <n v="2.2000000000000002"/>
    <s v="Ok"/>
    <n v="2.2000000000000002"/>
    <s v="False"/>
    <m/>
    <n v="0"/>
    <n v="17.38"/>
    <x v="0"/>
    <n v="0"/>
  </r>
  <r>
    <s v="FB001603"/>
    <x v="3"/>
    <x v="0"/>
    <x v="1"/>
    <m/>
    <x v="7"/>
    <x v="4"/>
    <n v="112.1"/>
    <x v="0"/>
    <n v="0"/>
    <n v="112.1"/>
    <n v="0"/>
    <d v="2025-08-06T00:00:00"/>
    <x v="1"/>
    <x v="1"/>
    <n v="5"/>
    <n v="2"/>
    <s v="Pocas Unidades"/>
    <n v="2"/>
    <s v="True"/>
    <s v="Color Mismatch"/>
    <n v="1"/>
    <n v="0"/>
    <x v="1"/>
    <n v="0"/>
  </r>
  <r>
    <s v="FB001604"/>
    <x v="4"/>
    <x v="6"/>
    <x v="2"/>
    <s v="XS"/>
    <x v="5"/>
    <x v="3"/>
    <n v="25.07"/>
    <x v="0"/>
    <n v="0"/>
    <n v="25.07"/>
    <n v="0"/>
    <d v="2025-08-06T00:00:00"/>
    <x v="1"/>
    <x v="1"/>
    <n v="9"/>
    <n v="2.5"/>
    <s v="Pocas Unidades"/>
    <n v="2.5"/>
    <s v="False"/>
    <m/>
    <n v="0"/>
    <n v="25.07"/>
    <x v="0"/>
    <n v="0"/>
  </r>
  <r>
    <s v="FB001605"/>
    <x v="5"/>
    <x v="1"/>
    <x v="0"/>
    <s v="XL"/>
    <x v="0"/>
    <x v="6"/>
    <n v="170.38"/>
    <x v="0"/>
    <n v="0"/>
    <n v="170.38"/>
    <n v="0"/>
    <d v="2024-09-05T00:00:00"/>
    <x v="5"/>
    <x v="6"/>
    <n v="23"/>
    <n v="4.3"/>
    <s v="Ok"/>
    <n v="4.3"/>
    <s v="False"/>
    <m/>
    <n v="0"/>
    <n v="170.38"/>
    <x v="0"/>
    <n v="0"/>
  </r>
  <r>
    <s v="FB001606"/>
    <x v="5"/>
    <x v="3"/>
    <x v="1"/>
    <s v="XXL"/>
    <x v="4"/>
    <x v="6"/>
    <n v="77.319999999999993"/>
    <x v="0"/>
    <n v="0"/>
    <n v="77.319999999999993"/>
    <n v="0"/>
    <d v="2025-08-06T00:00:00"/>
    <x v="1"/>
    <x v="1"/>
    <n v="30"/>
    <n v="2.2000000000000002"/>
    <s v="Ok"/>
    <n v="2.2000000000000002"/>
    <s v="True"/>
    <s v="Color Mismatch"/>
    <n v="1"/>
    <n v="0"/>
    <x v="1"/>
    <n v="0"/>
  </r>
  <r>
    <s v="FB001607"/>
    <x v="3"/>
    <x v="3"/>
    <x v="1"/>
    <s v="XS"/>
    <x v="5"/>
    <x v="2"/>
    <n v="111.88"/>
    <x v="0"/>
    <n v="0"/>
    <n v="111.88"/>
    <n v="0"/>
    <d v="2025-08-06T00:00:00"/>
    <x v="1"/>
    <x v="1"/>
    <n v="17"/>
    <n v="4.5999999999999996"/>
    <s v="Ok"/>
    <n v="4.5999999999999996"/>
    <s v="False"/>
    <m/>
    <n v="0"/>
    <n v="111.88"/>
    <x v="0"/>
    <n v="0"/>
  </r>
  <r>
    <s v="FB001608"/>
    <x v="2"/>
    <x v="7"/>
    <x v="2"/>
    <m/>
    <x v="2"/>
    <x v="2"/>
    <n v="24.71"/>
    <x v="0"/>
    <n v="0"/>
    <n v="24.71"/>
    <n v="0"/>
    <d v="2025-08-06T00:00:00"/>
    <x v="1"/>
    <x v="1"/>
    <n v="37"/>
    <m/>
    <s v="Ok"/>
    <s v="No valorado"/>
    <s v="False"/>
    <m/>
    <n v="0"/>
    <n v="24.71"/>
    <x v="0"/>
    <n v="0"/>
  </r>
  <r>
    <s v="FB001609"/>
    <x v="1"/>
    <x v="1"/>
    <x v="0"/>
    <s v="XL"/>
    <x v="0"/>
    <x v="0"/>
    <n v="61.42"/>
    <x v="0"/>
    <n v="0"/>
    <n v="61.42"/>
    <n v="0"/>
    <d v="2024-08-22T00:00:00"/>
    <x v="5"/>
    <x v="1"/>
    <n v="41"/>
    <n v="3.5"/>
    <s v="Ok"/>
    <n v="3.5"/>
    <s v="False"/>
    <m/>
    <n v="0"/>
    <n v="61.42"/>
    <x v="0"/>
    <n v="0"/>
  </r>
  <r>
    <s v="FB001610"/>
    <x v="2"/>
    <x v="6"/>
    <x v="2"/>
    <m/>
    <x v="2"/>
    <x v="5"/>
    <n v="60.48"/>
    <x v="398"/>
    <n v="7.2999999999999995E-2"/>
    <n v="56.06"/>
    <n v="4.4199999999999946"/>
    <d v="2025-08-06T00:00:00"/>
    <x v="1"/>
    <x v="1"/>
    <n v="46"/>
    <n v="3.6"/>
    <s v="Ok"/>
    <n v="3.6"/>
    <s v="False"/>
    <m/>
    <n v="0"/>
    <n v="56.06"/>
    <x v="0"/>
    <n v="0"/>
  </r>
  <r>
    <s v="FB001611"/>
    <x v="2"/>
    <x v="3"/>
    <x v="2"/>
    <m/>
    <x v="2"/>
    <x v="9"/>
    <n v="34.94"/>
    <x v="399"/>
    <n v="5.2000000000000005E-2"/>
    <n v="33.119999999999997"/>
    <n v="1.8200000000000003"/>
    <d v="2025-08-06T00:00:00"/>
    <x v="1"/>
    <x v="1"/>
    <n v="18"/>
    <m/>
    <s v="Ok"/>
    <s v="No valorado"/>
    <s v="False"/>
    <m/>
    <n v="0"/>
    <n v="33.119999999999997"/>
    <x v="0"/>
    <n v="0"/>
  </r>
  <r>
    <s v="FB001612"/>
    <x v="4"/>
    <x v="2"/>
    <x v="0"/>
    <s v="XL"/>
    <x v="0"/>
    <x v="0"/>
    <n v="30.51"/>
    <x v="0"/>
    <n v="0"/>
    <n v="30.51"/>
    <n v="0"/>
    <d v="2025-01-14T00:00:00"/>
    <x v="3"/>
    <x v="5"/>
    <n v="17"/>
    <n v="1.2"/>
    <s v="Ok"/>
    <n v="1.2"/>
    <s v="False"/>
    <m/>
    <n v="0"/>
    <n v="30.51"/>
    <x v="0"/>
    <n v="0"/>
  </r>
  <r>
    <s v="FB001613"/>
    <x v="5"/>
    <x v="2"/>
    <x v="1"/>
    <s v="XXL"/>
    <x v="4"/>
    <x v="8"/>
    <n v="65.540000000000006"/>
    <x v="400"/>
    <n v="0.40299999999999997"/>
    <n v="39.130000000000003"/>
    <n v="26.410000000000004"/>
    <d v="2025-08-06T00:00:00"/>
    <x v="1"/>
    <x v="1"/>
    <n v="27"/>
    <n v="1.2"/>
    <s v="Ok"/>
    <n v="1.2"/>
    <s v="False"/>
    <m/>
    <n v="0"/>
    <n v="39.130000000000003"/>
    <x v="0"/>
    <n v="0"/>
  </r>
  <r>
    <s v="FB001614"/>
    <x v="3"/>
    <x v="7"/>
    <x v="3"/>
    <s v="S"/>
    <x v="3"/>
    <x v="7"/>
    <n v="114.37"/>
    <x v="401"/>
    <n v="0.43200000000000005"/>
    <n v="64.959999999999994"/>
    <n v="49.410000000000011"/>
    <d v="2025-08-06T00:00:00"/>
    <x v="1"/>
    <x v="1"/>
    <n v="16"/>
    <n v="1.4"/>
    <s v="Ok"/>
    <n v="1.4"/>
    <s v="False"/>
    <m/>
    <n v="0"/>
    <n v="64.959999999999994"/>
    <x v="0"/>
    <n v="0"/>
  </r>
  <r>
    <s v="FB001615"/>
    <x v="5"/>
    <x v="3"/>
    <x v="0"/>
    <s v="S"/>
    <x v="3"/>
    <x v="3"/>
    <n v="145.80000000000001"/>
    <x v="0"/>
    <n v="0"/>
    <n v="145.80000000000001"/>
    <n v="0"/>
    <d v="2024-09-27T00:00:00"/>
    <x v="4"/>
    <x v="6"/>
    <n v="13"/>
    <n v="4"/>
    <s v="Ok"/>
    <n v="4"/>
    <s v="False"/>
    <m/>
    <n v="0"/>
    <n v="145.80000000000001"/>
    <x v="0"/>
    <n v="0"/>
  </r>
  <r>
    <s v="FB001616"/>
    <x v="3"/>
    <x v="0"/>
    <x v="3"/>
    <s v="S"/>
    <x v="3"/>
    <x v="0"/>
    <n v="121.43"/>
    <x v="256"/>
    <n v="0.441"/>
    <n v="67.88"/>
    <n v="53.550000000000011"/>
    <d v="2025-08-06T00:00:00"/>
    <x v="1"/>
    <x v="1"/>
    <n v="2"/>
    <n v="4.4000000000000004"/>
    <s v="Pocas Unidades"/>
    <n v="4.4000000000000004"/>
    <s v="False"/>
    <m/>
    <n v="0"/>
    <n v="67.88"/>
    <x v="0"/>
    <n v="0"/>
  </r>
  <r>
    <s v="FB001617"/>
    <x v="3"/>
    <x v="7"/>
    <x v="3"/>
    <s v="XXL"/>
    <x v="4"/>
    <x v="6"/>
    <n v="94.49"/>
    <x v="0"/>
    <n v="0"/>
    <n v="94.49"/>
    <n v="0"/>
    <d v="2025-08-06T00:00:00"/>
    <x v="1"/>
    <x v="1"/>
    <n v="30"/>
    <n v="1.5"/>
    <s v="Ok"/>
    <n v="1.5"/>
    <s v="False"/>
    <m/>
    <n v="0"/>
    <n v="94.49"/>
    <x v="0"/>
    <n v="0"/>
  </r>
  <r>
    <s v="FB001618"/>
    <x v="0"/>
    <x v="7"/>
    <x v="2"/>
    <s v="M"/>
    <x v="6"/>
    <x v="9"/>
    <n v="218.64"/>
    <x v="0"/>
    <n v="0"/>
    <n v="218.64"/>
    <n v="0"/>
    <d v="2025-08-06T00:00:00"/>
    <x v="1"/>
    <x v="1"/>
    <n v="5"/>
    <m/>
    <s v="Pocas Unidades"/>
    <s v="No valorado"/>
    <s v="False"/>
    <m/>
    <n v="0"/>
    <n v="218.64"/>
    <x v="0"/>
    <n v="0"/>
  </r>
  <r>
    <s v="FB001619"/>
    <x v="0"/>
    <x v="1"/>
    <x v="2"/>
    <s v="S"/>
    <x v="3"/>
    <x v="2"/>
    <n v="80.41"/>
    <x v="37"/>
    <n v="0.11900000000000001"/>
    <n v="70.84"/>
    <n v="9.5699999999999932"/>
    <d v="2025-08-06T00:00:00"/>
    <x v="1"/>
    <x v="1"/>
    <n v="35"/>
    <n v="1.5"/>
    <s v="Ok"/>
    <n v="1.5"/>
    <s v="False"/>
    <m/>
    <n v="0"/>
    <n v="70.84"/>
    <x v="0"/>
    <n v="0"/>
  </r>
  <r>
    <s v="FB001620"/>
    <x v="3"/>
    <x v="6"/>
    <x v="1"/>
    <s v="XL"/>
    <x v="0"/>
    <x v="7"/>
    <n v="183.3"/>
    <x v="0"/>
    <n v="0"/>
    <n v="183.3"/>
    <n v="0"/>
    <d v="2025-08-06T00:00:00"/>
    <x v="1"/>
    <x v="1"/>
    <n v="7"/>
    <n v="2"/>
    <s v="Pocas Unidades"/>
    <n v="2"/>
    <s v="False"/>
    <m/>
    <n v="0"/>
    <n v="183.3"/>
    <x v="0"/>
    <n v="0"/>
  </r>
  <r>
    <s v="FB001621"/>
    <x v="0"/>
    <x v="1"/>
    <x v="2"/>
    <s v="XS"/>
    <x v="5"/>
    <x v="3"/>
    <n v="241.81"/>
    <x v="0"/>
    <n v="0"/>
    <n v="241.81"/>
    <n v="0"/>
    <d v="2025-08-06T00:00:00"/>
    <x v="1"/>
    <x v="1"/>
    <n v="38"/>
    <n v="3.5"/>
    <s v="Ok"/>
    <n v="3.5"/>
    <s v="False"/>
    <m/>
    <n v="0"/>
    <n v="241.81"/>
    <x v="0"/>
    <n v="0"/>
  </r>
  <r>
    <s v="FB001622"/>
    <x v="0"/>
    <x v="3"/>
    <x v="0"/>
    <s v="XS"/>
    <x v="5"/>
    <x v="3"/>
    <n v="216.46"/>
    <x v="289"/>
    <n v="0.28800000000000003"/>
    <n v="154.12"/>
    <n v="62.34"/>
    <d v="2024-08-12T00:00:00"/>
    <x v="2"/>
    <x v="1"/>
    <n v="43"/>
    <n v="1.3"/>
    <s v="Ok"/>
    <n v="1.3"/>
    <s v="False"/>
    <m/>
    <n v="0"/>
    <n v="154.12"/>
    <x v="0"/>
    <n v="0"/>
  </r>
  <r>
    <s v="FB001623"/>
    <x v="5"/>
    <x v="1"/>
    <x v="0"/>
    <s v="S"/>
    <x v="3"/>
    <x v="1"/>
    <n v="63.07"/>
    <x v="402"/>
    <n v="0.53600000000000003"/>
    <n v="29.26"/>
    <n v="33.81"/>
    <d v="2025-05-20T00:00:00"/>
    <x v="3"/>
    <x v="8"/>
    <n v="4"/>
    <n v="1.5"/>
    <s v="Pocas Unidades"/>
    <n v="1.5"/>
    <s v="True"/>
    <s v="Color Mismatch"/>
    <n v="1"/>
    <n v="0"/>
    <x v="1"/>
    <n v="0"/>
  </r>
  <r>
    <s v="FB001624"/>
    <x v="2"/>
    <x v="2"/>
    <x v="0"/>
    <m/>
    <x v="2"/>
    <x v="6"/>
    <n v="44.7"/>
    <x v="0"/>
    <n v="0"/>
    <n v="44.7"/>
    <n v="0"/>
    <d v="2025-03-17T00:00:00"/>
    <x v="2"/>
    <x v="3"/>
    <n v="29"/>
    <n v="3.2"/>
    <s v="Ok"/>
    <n v="3.2"/>
    <s v="False"/>
    <m/>
    <n v="0"/>
    <n v="44.7"/>
    <x v="0"/>
    <n v="0"/>
  </r>
  <r>
    <s v="FB001625"/>
    <x v="1"/>
    <x v="0"/>
    <x v="2"/>
    <s v="XXL"/>
    <x v="4"/>
    <x v="3"/>
    <n v="28.23"/>
    <x v="400"/>
    <n v="0.40299999999999997"/>
    <n v="16.850000000000001"/>
    <n v="11.379999999999999"/>
    <d v="2025-08-06T00:00:00"/>
    <x v="1"/>
    <x v="1"/>
    <n v="21"/>
    <n v="2.7"/>
    <s v="Ok"/>
    <n v="2.7"/>
    <s v="False"/>
    <m/>
    <n v="0"/>
    <n v="16.850000000000001"/>
    <x v="0"/>
    <n v="0"/>
  </r>
  <r>
    <s v="FB001626"/>
    <x v="3"/>
    <x v="5"/>
    <x v="2"/>
    <s v="XXL"/>
    <x v="4"/>
    <x v="6"/>
    <n v="131.94"/>
    <x v="230"/>
    <n v="0.27300000000000002"/>
    <n v="95.92"/>
    <n v="36.019999999999996"/>
    <d v="2025-08-06T00:00:00"/>
    <x v="1"/>
    <x v="1"/>
    <n v="6"/>
    <n v="2.8"/>
    <s v="Pocas Unidades"/>
    <n v="2.8"/>
    <s v="True"/>
    <s v="Damaged"/>
    <n v="1"/>
    <n v="0"/>
    <x v="3"/>
    <n v="0"/>
  </r>
  <r>
    <s v="FB001627"/>
    <x v="0"/>
    <x v="7"/>
    <x v="2"/>
    <s v="M"/>
    <x v="6"/>
    <x v="5"/>
    <n v="166.85"/>
    <x v="352"/>
    <n v="0.309"/>
    <n v="115.29"/>
    <n v="51.559999999999988"/>
    <d v="2025-08-06T00:00:00"/>
    <x v="1"/>
    <x v="1"/>
    <n v="14"/>
    <n v="4.2"/>
    <s v="Ok"/>
    <n v="4.2"/>
    <s v="True"/>
    <s v="Changed Mind"/>
    <n v="1"/>
    <n v="0"/>
    <x v="5"/>
    <n v="0"/>
  </r>
  <r>
    <s v="FB001628"/>
    <x v="1"/>
    <x v="2"/>
    <x v="1"/>
    <s v="S"/>
    <x v="3"/>
    <x v="8"/>
    <n v="39.58"/>
    <x v="352"/>
    <n v="0.309"/>
    <n v="27.35"/>
    <n v="12.229999999999997"/>
    <d v="2025-08-06T00:00:00"/>
    <x v="1"/>
    <x v="1"/>
    <n v="17"/>
    <n v="2.5"/>
    <s v="Ok"/>
    <n v="2.5"/>
    <s v="False"/>
    <m/>
    <n v="0"/>
    <n v="27.35"/>
    <x v="0"/>
    <n v="0"/>
  </r>
  <r>
    <s v="FB001629"/>
    <x v="0"/>
    <x v="1"/>
    <x v="3"/>
    <s v="M"/>
    <x v="6"/>
    <x v="5"/>
    <n v="89.55"/>
    <x v="342"/>
    <n v="0.57999999999999996"/>
    <n v="37.61"/>
    <n v="51.94"/>
    <d v="2025-08-06T00:00:00"/>
    <x v="1"/>
    <x v="1"/>
    <n v="21"/>
    <n v="2.6"/>
    <s v="Ok"/>
    <n v="2.6"/>
    <s v="False"/>
    <m/>
    <n v="0"/>
    <n v="37.61"/>
    <x v="0"/>
    <n v="0"/>
  </r>
  <r>
    <s v="FB001630"/>
    <x v="0"/>
    <x v="3"/>
    <x v="2"/>
    <s v="M"/>
    <x v="6"/>
    <x v="9"/>
    <n v="138.55000000000001"/>
    <x v="0"/>
    <n v="0"/>
    <n v="138.55000000000001"/>
    <n v="0"/>
    <d v="2025-08-06T00:00:00"/>
    <x v="1"/>
    <x v="1"/>
    <n v="25"/>
    <n v="2"/>
    <s v="Ok"/>
    <n v="2"/>
    <s v="False"/>
    <m/>
    <n v="0"/>
    <n v="138.55000000000001"/>
    <x v="0"/>
    <n v="0"/>
  </r>
  <r>
    <s v="FB001631"/>
    <x v="2"/>
    <x v="1"/>
    <x v="2"/>
    <m/>
    <x v="2"/>
    <x v="7"/>
    <n v="43.84"/>
    <x v="0"/>
    <n v="0"/>
    <n v="43.84"/>
    <n v="0"/>
    <d v="2025-08-06T00:00:00"/>
    <x v="1"/>
    <x v="1"/>
    <n v="28"/>
    <n v="2.8"/>
    <s v="Ok"/>
    <n v="2.8"/>
    <s v="False"/>
    <m/>
    <n v="0"/>
    <n v="43.84"/>
    <x v="0"/>
    <n v="0"/>
  </r>
  <r>
    <s v="FB001632"/>
    <x v="1"/>
    <x v="7"/>
    <x v="2"/>
    <s v="XL"/>
    <x v="0"/>
    <x v="10"/>
    <n v="63.72"/>
    <x v="96"/>
    <n v="0.17800000000000002"/>
    <n v="52.38"/>
    <n v="11.339999999999996"/>
    <d v="2025-08-06T00:00:00"/>
    <x v="1"/>
    <x v="1"/>
    <n v="45"/>
    <n v="2.4"/>
    <s v="Ok"/>
    <n v="2.4"/>
    <s v="False"/>
    <m/>
    <n v="0"/>
    <n v="52.38"/>
    <x v="0"/>
    <n v="0"/>
  </r>
  <r>
    <s v="FB001633"/>
    <x v="2"/>
    <x v="0"/>
    <x v="0"/>
    <m/>
    <x v="2"/>
    <x v="0"/>
    <n v="74.61"/>
    <x v="0"/>
    <n v="0"/>
    <n v="74.61"/>
    <n v="0"/>
    <d v="2025-04-28T00:00:00"/>
    <x v="2"/>
    <x v="4"/>
    <n v="38"/>
    <n v="2.8"/>
    <s v="Ok"/>
    <n v="2.8"/>
    <s v="False"/>
    <m/>
    <n v="0"/>
    <n v="74.61"/>
    <x v="0"/>
    <n v="0"/>
  </r>
  <r>
    <s v="FB001634"/>
    <x v="3"/>
    <x v="1"/>
    <x v="0"/>
    <s v="S"/>
    <x v="3"/>
    <x v="4"/>
    <n v="148.24"/>
    <x v="5"/>
    <n v="0.109"/>
    <n v="132.08000000000001"/>
    <n v="16.159999999999997"/>
    <d v="2024-08-27T00:00:00"/>
    <x v="3"/>
    <x v="1"/>
    <n v="44"/>
    <n v="1.3"/>
    <s v="Ok"/>
    <n v="1.3"/>
    <s v="False"/>
    <m/>
    <n v="0"/>
    <n v="132.08000000000001"/>
    <x v="0"/>
    <n v="0"/>
  </r>
  <r>
    <s v="FB001635"/>
    <x v="1"/>
    <x v="6"/>
    <x v="0"/>
    <s v="XL"/>
    <x v="0"/>
    <x v="4"/>
    <n v="93.46"/>
    <x v="0"/>
    <n v="0"/>
    <n v="93.46"/>
    <n v="0"/>
    <d v="2025-02-12T00:00:00"/>
    <x v="1"/>
    <x v="9"/>
    <n v="20"/>
    <n v="2.2000000000000002"/>
    <s v="Ok"/>
    <n v="2.2000000000000002"/>
    <s v="False"/>
    <m/>
    <n v="0"/>
    <n v="93.46"/>
    <x v="0"/>
    <n v="0"/>
  </r>
  <r>
    <s v="FB001636"/>
    <x v="0"/>
    <x v="1"/>
    <x v="3"/>
    <s v="XXL"/>
    <x v="4"/>
    <x v="0"/>
    <n v="245.31"/>
    <x v="256"/>
    <n v="0.441"/>
    <n v="137.13"/>
    <n v="108.18"/>
    <d v="2025-08-06T00:00:00"/>
    <x v="1"/>
    <x v="1"/>
    <n v="44"/>
    <m/>
    <s v="Ok"/>
    <s v="No valorado"/>
    <s v="False"/>
    <m/>
    <n v="0"/>
    <n v="137.13"/>
    <x v="0"/>
    <n v="0"/>
  </r>
  <r>
    <s v="FB001637"/>
    <x v="1"/>
    <x v="2"/>
    <x v="0"/>
    <s v="XXL"/>
    <x v="4"/>
    <x v="0"/>
    <n v="43.38"/>
    <x v="51"/>
    <n v="0.45899999999999996"/>
    <n v="23.47"/>
    <n v="19.910000000000004"/>
    <d v="2024-12-03T00:00:00"/>
    <x v="3"/>
    <x v="10"/>
    <n v="47"/>
    <n v="3.7"/>
    <s v="Ok"/>
    <n v="3.7"/>
    <s v="True"/>
    <s v="Changed Mind"/>
    <n v="1"/>
    <n v="0"/>
    <x v="5"/>
    <n v="0"/>
  </r>
  <r>
    <s v="FB001638"/>
    <x v="2"/>
    <x v="5"/>
    <x v="2"/>
    <m/>
    <x v="2"/>
    <x v="2"/>
    <n v="40.04"/>
    <x v="231"/>
    <n v="0.45500000000000002"/>
    <n v="21.82"/>
    <n v="18.22"/>
    <d v="2025-08-06T00:00:00"/>
    <x v="1"/>
    <x v="1"/>
    <n v="50"/>
    <n v="2.2000000000000002"/>
    <s v="Ok"/>
    <n v="2.2000000000000002"/>
    <s v="False"/>
    <m/>
    <n v="0"/>
    <n v="21.82"/>
    <x v="0"/>
    <n v="0"/>
  </r>
  <r>
    <s v="FB001639"/>
    <x v="0"/>
    <x v="4"/>
    <x v="2"/>
    <s v="M"/>
    <x v="6"/>
    <x v="7"/>
    <n v="209.68"/>
    <x v="403"/>
    <n v="3.6000000000000004E-2"/>
    <n v="202.13"/>
    <n v="7.5500000000000114"/>
    <d v="2025-08-06T00:00:00"/>
    <x v="1"/>
    <x v="1"/>
    <n v="18"/>
    <n v="4.0999999999999996"/>
    <s v="Ok"/>
    <n v="4.0999999999999996"/>
    <s v="False"/>
    <m/>
    <n v="0"/>
    <n v="202.13"/>
    <x v="0"/>
    <n v="0"/>
  </r>
  <r>
    <s v="FB001640"/>
    <x v="2"/>
    <x v="3"/>
    <x v="1"/>
    <m/>
    <x v="2"/>
    <x v="10"/>
    <n v="38.08"/>
    <x v="0"/>
    <n v="0"/>
    <n v="38.08"/>
    <n v="0"/>
    <d v="2025-08-06T00:00:00"/>
    <x v="1"/>
    <x v="1"/>
    <n v="0"/>
    <n v="1.6"/>
    <s v="Agotado"/>
    <n v="1.6"/>
    <s v="False"/>
    <m/>
    <n v="0"/>
    <n v="38.08"/>
    <x v="0"/>
    <n v="0"/>
  </r>
  <r>
    <s v="FB001641"/>
    <x v="0"/>
    <x v="5"/>
    <x v="0"/>
    <s v="XXL"/>
    <x v="4"/>
    <x v="7"/>
    <n v="123.04"/>
    <x v="0"/>
    <n v="0"/>
    <n v="123.04"/>
    <n v="0"/>
    <d v="2025-04-05T00:00:00"/>
    <x v="0"/>
    <x v="4"/>
    <n v="13"/>
    <n v="1.2"/>
    <s v="Ok"/>
    <n v="1.2"/>
    <s v="False"/>
    <m/>
    <n v="0"/>
    <n v="123.04"/>
    <x v="0"/>
    <n v="0"/>
  </r>
  <r>
    <s v="FB001642"/>
    <x v="2"/>
    <x v="1"/>
    <x v="3"/>
    <m/>
    <x v="2"/>
    <x v="1"/>
    <n v="39.94"/>
    <x v="0"/>
    <n v="0"/>
    <n v="39.94"/>
    <n v="0"/>
    <d v="2025-08-06T00:00:00"/>
    <x v="1"/>
    <x v="1"/>
    <n v="32"/>
    <n v="3.1"/>
    <s v="Ok"/>
    <n v="3.1"/>
    <s v="False"/>
    <m/>
    <n v="0"/>
    <n v="39.94"/>
    <x v="0"/>
    <n v="0"/>
  </r>
  <r>
    <s v="FB001643"/>
    <x v="5"/>
    <x v="4"/>
    <x v="3"/>
    <s v="M"/>
    <x v="6"/>
    <x v="4"/>
    <n v="80.19"/>
    <x v="0"/>
    <n v="0"/>
    <n v="80.19"/>
    <n v="0"/>
    <d v="2025-08-06T00:00:00"/>
    <x v="1"/>
    <x v="1"/>
    <n v="43"/>
    <n v="3.8"/>
    <s v="Ok"/>
    <n v="3.8"/>
    <s v="False"/>
    <m/>
    <n v="0"/>
    <n v="80.19"/>
    <x v="0"/>
    <n v="0"/>
  </r>
  <r>
    <s v="FB001644"/>
    <x v="1"/>
    <x v="1"/>
    <x v="0"/>
    <s v="XXL"/>
    <x v="4"/>
    <x v="9"/>
    <n v="35.03"/>
    <x v="308"/>
    <n v="0.10099999999999999"/>
    <n v="31.49"/>
    <n v="3.5400000000000027"/>
    <d v="2025-05-30T00:00:00"/>
    <x v="4"/>
    <x v="8"/>
    <n v="5"/>
    <n v="3.8"/>
    <s v="Pocas Unidades"/>
    <n v="3.8"/>
    <s v="False"/>
    <m/>
    <n v="0"/>
    <n v="31.49"/>
    <x v="0"/>
    <n v="0"/>
  </r>
  <r>
    <s v="FB001645"/>
    <x v="1"/>
    <x v="4"/>
    <x v="3"/>
    <s v="M"/>
    <x v="6"/>
    <x v="2"/>
    <n v="27.64"/>
    <x v="294"/>
    <n v="0.28999999999999998"/>
    <n v="19.62"/>
    <n v="8.02"/>
    <d v="2025-08-06T00:00:00"/>
    <x v="1"/>
    <x v="1"/>
    <n v="19"/>
    <n v="1"/>
    <s v="Ok"/>
    <n v="1"/>
    <s v="False"/>
    <m/>
    <n v="0"/>
    <n v="19.62"/>
    <x v="0"/>
    <n v="0"/>
  </r>
  <r>
    <s v="FB001646"/>
    <x v="0"/>
    <x v="3"/>
    <x v="0"/>
    <s v="M"/>
    <x v="6"/>
    <x v="8"/>
    <n v="187.63"/>
    <x v="0"/>
    <n v="0"/>
    <n v="187.63"/>
    <n v="0"/>
    <d v="2025-04-25T00:00:00"/>
    <x v="4"/>
    <x v="4"/>
    <n v="25"/>
    <n v="1.8"/>
    <s v="Ok"/>
    <n v="1.8"/>
    <s v="False"/>
    <m/>
    <n v="0"/>
    <n v="187.63"/>
    <x v="0"/>
    <n v="0"/>
  </r>
  <r>
    <s v="FB001647"/>
    <x v="0"/>
    <x v="4"/>
    <x v="1"/>
    <s v="XXL"/>
    <x v="4"/>
    <x v="2"/>
    <n v="193.17"/>
    <x v="295"/>
    <n v="0.34600000000000003"/>
    <n v="126.33"/>
    <n v="66.839999999999989"/>
    <d v="2025-08-06T00:00:00"/>
    <x v="1"/>
    <x v="1"/>
    <n v="26"/>
    <m/>
    <s v="Ok"/>
    <s v="No valorado"/>
    <s v="False"/>
    <m/>
    <n v="0"/>
    <n v="126.33"/>
    <x v="0"/>
    <n v="0"/>
  </r>
  <r>
    <s v="FB001648"/>
    <x v="3"/>
    <x v="2"/>
    <x v="0"/>
    <s v="M"/>
    <x v="6"/>
    <x v="2"/>
    <n v="157.78"/>
    <x v="291"/>
    <n v="0.40200000000000002"/>
    <n v="94.35"/>
    <n v="63.430000000000007"/>
    <d v="2025-08-02T00:00:00"/>
    <x v="0"/>
    <x v="1"/>
    <n v="23"/>
    <n v="3.1"/>
    <s v="Ok"/>
    <n v="3.1"/>
    <s v="False"/>
    <m/>
    <n v="0"/>
    <n v="94.35"/>
    <x v="0"/>
    <n v="0"/>
  </r>
  <r>
    <s v="FB001649"/>
    <x v="3"/>
    <x v="0"/>
    <x v="1"/>
    <s v="L"/>
    <x v="1"/>
    <x v="2"/>
    <n v="119.14"/>
    <x v="404"/>
    <n v="7.8E-2"/>
    <n v="109.85"/>
    <n v="9.2900000000000063"/>
    <d v="2025-08-06T00:00:00"/>
    <x v="1"/>
    <x v="1"/>
    <n v="20"/>
    <n v="3.1"/>
    <s v="Ok"/>
    <n v="3.1"/>
    <s v="False"/>
    <m/>
    <n v="0"/>
    <n v="109.85"/>
    <x v="0"/>
    <n v="0"/>
  </r>
  <r>
    <s v="FB001650"/>
    <x v="5"/>
    <x v="7"/>
    <x v="1"/>
    <s v="M"/>
    <x v="6"/>
    <x v="3"/>
    <n v="150.08000000000001"/>
    <x v="405"/>
    <n v="4.8000000000000001E-2"/>
    <n v="142.88"/>
    <n v="7.2000000000000171"/>
    <d v="2025-08-06T00:00:00"/>
    <x v="1"/>
    <x v="1"/>
    <n v="24"/>
    <n v="1.7"/>
    <s v="Ok"/>
    <n v="1.7"/>
    <s v="False"/>
    <m/>
    <n v="0"/>
    <n v="142.88"/>
    <x v="0"/>
    <n v="0"/>
  </r>
  <r>
    <s v="FB001651"/>
    <x v="5"/>
    <x v="1"/>
    <x v="3"/>
    <s v="L"/>
    <x v="1"/>
    <x v="5"/>
    <n v="153.18"/>
    <x v="0"/>
    <n v="0"/>
    <n v="153.18"/>
    <n v="0"/>
    <d v="2025-08-06T00:00:00"/>
    <x v="1"/>
    <x v="1"/>
    <n v="26"/>
    <n v="1.1000000000000001"/>
    <s v="Ok"/>
    <n v="1.1000000000000001"/>
    <s v="False"/>
    <m/>
    <n v="0"/>
    <n v="153.18"/>
    <x v="0"/>
    <n v="0"/>
  </r>
  <r>
    <s v="FB001652"/>
    <x v="1"/>
    <x v="2"/>
    <x v="1"/>
    <s v="S"/>
    <x v="3"/>
    <x v="1"/>
    <n v="118.69"/>
    <x v="292"/>
    <n v="0.47700000000000004"/>
    <n v="62.07"/>
    <n v="56.62"/>
    <d v="2025-08-06T00:00:00"/>
    <x v="1"/>
    <x v="1"/>
    <n v="11"/>
    <n v="2.8"/>
    <s v="Ok"/>
    <n v="2.8"/>
    <s v="False"/>
    <m/>
    <n v="0"/>
    <n v="62.07"/>
    <x v="0"/>
    <n v="0"/>
  </r>
  <r>
    <s v="FB001653"/>
    <x v="2"/>
    <x v="4"/>
    <x v="0"/>
    <m/>
    <x v="2"/>
    <x v="8"/>
    <n v="50.12"/>
    <x v="0"/>
    <n v="0"/>
    <n v="50.12"/>
    <n v="0"/>
    <d v="2025-03-09T00:00:00"/>
    <x v="6"/>
    <x v="3"/>
    <n v="27"/>
    <n v="2.4"/>
    <s v="Ok"/>
    <n v="2.4"/>
    <s v="False"/>
    <m/>
    <n v="0"/>
    <n v="50.12"/>
    <x v="0"/>
    <n v="0"/>
  </r>
  <r>
    <s v="FB001654"/>
    <x v="5"/>
    <x v="6"/>
    <x v="0"/>
    <s v="XS"/>
    <x v="5"/>
    <x v="5"/>
    <n v="93.68"/>
    <x v="47"/>
    <n v="0.59499999999999997"/>
    <n v="37.94"/>
    <n v="55.740000000000009"/>
    <d v="2025-04-24T00:00:00"/>
    <x v="5"/>
    <x v="4"/>
    <n v="21"/>
    <m/>
    <s v="Ok"/>
    <s v="No valorado"/>
    <s v="False"/>
    <m/>
    <n v="0"/>
    <n v="37.94"/>
    <x v="0"/>
    <n v="0"/>
  </r>
  <r>
    <s v="FB001655"/>
    <x v="1"/>
    <x v="1"/>
    <x v="3"/>
    <s v="S"/>
    <x v="3"/>
    <x v="0"/>
    <n v="50.49"/>
    <x v="0"/>
    <n v="0"/>
    <n v="50.49"/>
    <n v="0"/>
    <d v="2025-08-06T00:00:00"/>
    <x v="1"/>
    <x v="1"/>
    <n v="30"/>
    <n v="4.0999999999999996"/>
    <s v="Ok"/>
    <n v="4.0999999999999996"/>
    <s v="False"/>
    <m/>
    <n v="0"/>
    <n v="50.49"/>
    <x v="0"/>
    <n v="0"/>
  </r>
  <r>
    <s v="FB001656"/>
    <x v="3"/>
    <x v="3"/>
    <x v="3"/>
    <s v="XS"/>
    <x v="5"/>
    <x v="3"/>
    <n v="97.9"/>
    <x v="0"/>
    <n v="0"/>
    <n v="97.9"/>
    <n v="0"/>
    <d v="2025-08-06T00:00:00"/>
    <x v="1"/>
    <x v="1"/>
    <n v="29"/>
    <n v="1.3"/>
    <s v="Ok"/>
    <n v="1.3"/>
    <s v="False"/>
    <m/>
    <n v="0"/>
    <n v="97.9"/>
    <x v="0"/>
    <n v="0"/>
  </r>
  <r>
    <s v="FB001657"/>
    <x v="1"/>
    <x v="1"/>
    <x v="3"/>
    <s v="S"/>
    <x v="3"/>
    <x v="4"/>
    <n v="69"/>
    <x v="0"/>
    <n v="0"/>
    <n v="69"/>
    <n v="0"/>
    <d v="2025-08-06T00:00:00"/>
    <x v="1"/>
    <x v="1"/>
    <n v="32"/>
    <n v="4.5"/>
    <s v="Ok"/>
    <n v="4.5"/>
    <s v="False"/>
    <m/>
    <n v="0"/>
    <n v="69"/>
    <x v="0"/>
    <n v="0"/>
  </r>
  <r>
    <s v="FB001658"/>
    <x v="2"/>
    <x v="3"/>
    <x v="2"/>
    <m/>
    <x v="2"/>
    <x v="9"/>
    <n v="30.2"/>
    <x v="406"/>
    <n v="0.27100000000000002"/>
    <n v="22.02"/>
    <n v="8.18"/>
    <d v="2025-08-06T00:00:00"/>
    <x v="1"/>
    <x v="1"/>
    <n v="15"/>
    <m/>
    <s v="Ok"/>
    <s v="No valorado"/>
    <s v="False"/>
    <m/>
    <n v="0"/>
    <n v="22.02"/>
    <x v="0"/>
    <n v="0"/>
  </r>
  <r>
    <s v="FB001659"/>
    <x v="1"/>
    <x v="2"/>
    <x v="1"/>
    <s v="L"/>
    <x v="1"/>
    <x v="7"/>
    <n v="84.92"/>
    <x v="276"/>
    <n v="0.59099999999999997"/>
    <n v="34.729999999999997"/>
    <n v="50.190000000000005"/>
    <d v="2025-08-06T00:00:00"/>
    <x v="1"/>
    <x v="1"/>
    <n v="42"/>
    <m/>
    <s v="Ok"/>
    <s v="No valorado"/>
    <s v="False"/>
    <m/>
    <n v="0"/>
    <n v="34.729999999999997"/>
    <x v="0"/>
    <n v="0"/>
  </r>
  <r>
    <s v="FB001660"/>
    <x v="1"/>
    <x v="7"/>
    <x v="2"/>
    <s v="XS"/>
    <x v="5"/>
    <x v="3"/>
    <n v="116.48"/>
    <x v="0"/>
    <n v="0"/>
    <n v="116.48"/>
    <n v="0"/>
    <d v="2025-08-06T00:00:00"/>
    <x v="1"/>
    <x v="1"/>
    <n v="3"/>
    <n v="1.5"/>
    <s v="Pocas Unidades"/>
    <n v="1.5"/>
    <s v="False"/>
    <m/>
    <n v="0"/>
    <n v="116.48"/>
    <x v="0"/>
    <n v="0"/>
  </r>
  <r>
    <s v="FB001661"/>
    <x v="1"/>
    <x v="4"/>
    <x v="3"/>
    <s v="XL"/>
    <x v="0"/>
    <x v="8"/>
    <n v="40.68"/>
    <x v="0"/>
    <n v="0"/>
    <n v="40.68"/>
    <n v="0"/>
    <d v="2025-08-06T00:00:00"/>
    <x v="1"/>
    <x v="1"/>
    <n v="41"/>
    <n v="1.1000000000000001"/>
    <s v="Ok"/>
    <n v="1.1000000000000001"/>
    <s v="True"/>
    <s v="Changed Mind"/>
    <n v="1"/>
    <n v="0"/>
    <x v="5"/>
    <n v="0"/>
  </r>
  <r>
    <s v="FB001662"/>
    <x v="0"/>
    <x v="5"/>
    <x v="3"/>
    <s v="XL"/>
    <x v="0"/>
    <x v="2"/>
    <n v="118.92"/>
    <x v="0"/>
    <n v="0"/>
    <n v="118.92"/>
    <n v="0"/>
    <d v="2025-08-06T00:00:00"/>
    <x v="1"/>
    <x v="1"/>
    <n v="36"/>
    <n v="1.8"/>
    <s v="Ok"/>
    <n v="1.8"/>
    <s v="True"/>
    <s v="Wrong Item"/>
    <n v="1"/>
    <n v="0"/>
    <x v="6"/>
    <n v="0"/>
  </r>
  <r>
    <s v="FB001663"/>
    <x v="4"/>
    <x v="5"/>
    <x v="3"/>
    <s v="XXL"/>
    <x v="4"/>
    <x v="2"/>
    <n v="26.86"/>
    <x v="0"/>
    <n v="0"/>
    <n v="26.86"/>
    <n v="0"/>
    <d v="2025-08-06T00:00:00"/>
    <x v="1"/>
    <x v="1"/>
    <n v="18"/>
    <n v="3.2"/>
    <s v="Ok"/>
    <n v="3.2"/>
    <s v="False"/>
    <m/>
    <n v="0"/>
    <n v="26.86"/>
    <x v="0"/>
    <n v="0"/>
  </r>
  <r>
    <s v="FB001664"/>
    <x v="5"/>
    <x v="2"/>
    <x v="2"/>
    <s v="S"/>
    <x v="3"/>
    <x v="6"/>
    <n v="113.34"/>
    <x v="0"/>
    <n v="0"/>
    <n v="113.34"/>
    <n v="0"/>
    <d v="2025-08-06T00:00:00"/>
    <x v="1"/>
    <x v="1"/>
    <n v="13"/>
    <m/>
    <s v="Ok"/>
    <s v="No valorado"/>
    <s v="False"/>
    <m/>
    <n v="0"/>
    <n v="113.34"/>
    <x v="0"/>
    <n v="0"/>
  </r>
  <r>
    <s v="FB001665"/>
    <x v="1"/>
    <x v="6"/>
    <x v="3"/>
    <s v="L"/>
    <x v="1"/>
    <x v="2"/>
    <n v="40.520000000000003"/>
    <x v="391"/>
    <n v="8.900000000000001E-2"/>
    <n v="36.909999999999997"/>
    <n v="3.6100000000000065"/>
    <d v="2025-08-06T00:00:00"/>
    <x v="1"/>
    <x v="1"/>
    <n v="13"/>
    <n v="2.5"/>
    <s v="Ok"/>
    <n v="2.5"/>
    <s v="False"/>
    <m/>
    <n v="0"/>
    <n v="36.909999999999997"/>
    <x v="0"/>
    <n v="0"/>
  </r>
  <r>
    <s v="FB001666"/>
    <x v="4"/>
    <x v="7"/>
    <x v="3"/>
    <s v="L"/>
    <x v="1"/>
    <x v="1"/>
    <n v="98.41"/>
    <x v="0"/>
    <n v="0"/>
    <n v="98.41"/>
    <n v="0"/>
    <d v="2025-08-06T00:00:00"/>
    <x v="1"/>
    <x v="1"/>
    <n v="7"/>
    <n v="4.5999999999999996"/>
    <s v="Pocas Unidades"/>
    <n v="4.5999999999999996"/>
    <s v="False"/>
    <m/>
    <n v="0"/>
    <n v="98.41"/>
    <x v="0"/>
    <n v="0"/>
  </r>
  <r>
    <s v="FB001667"/>
    <x v="4"/>
    <x v="7"/>
    <x v="1"/>
    <s v="XS"/>
    <x v="5"/>
    <x v="0"/>
    <n v="83.18"/>
    <x v="0"/>
    <n v="0"/>
    <n v="83.18"/>
    <n v="0"/>
    <d v="2025-08-06T00:00:00"/>
    <x v="1"/>
    <x v="1"/>
    <n v="17"/>
    <n v="1.7"/>
    <s v="Ok"/>
    <n v="1.7"/>
    <s v="True"/>
    <s v="Size Issue"/>
    <n v="1"/>
    <n v="0"/>
    <x v="2"/>
    <n v="0"/>
  </r>
  <r>
    <s v="FB001668"/>
    <x v="3"/>
    <x v="4"/>
    <x v="0"/>
    <s v="XXL"/>
    <x v="4"/>
    <x v="9"/>
    <n v="179.31"/>
    <x v="407"/>
    <n v="0.24100000000000002"/>
    <n v="136.1"/>
    <n v="43.210000000000008"/>
    <d v="2025-07-13T00:00:00"/>
    <x v="6"/>
    <x v="0"/>
    <n v="0"/>
    <n v="3.1"/>
    <s v="Agotado"/>
    <n v="3.1"/>
    <s v="False"/>
    <m/>
    <n v="0"/>
    <n v="136.1"/>
    <x v="0"/>
    <n v="0"/>
  </r>
  <r>
    <s v="FB001669"/>
    <x v="1"/>
    <x v="0"/>
    <x v="0"/>
    <s v="XXL"/>
    <x v="4"/>
    <x v="6"/>
    <n v="47.88"/>
    <x v="0"/>
    <n v="0"/>
    <n v="47.88"/>
    <n v="0"/>
    <d v="2024-12-21T00:00:00"/>
    <x v="0"/>
    <x v="10"/>
    <n v="44"/>
    <n v="1.9"/>
    <s v="Ok"/>
    <n v="1.9"/>
    <s v="False"/>
    <m/>
    <n v="0"/>
    <n v="47.88"/>
    <x v="0"/>
    <n v="0"/>
  </r>
  <r>
    <s v="FB001670"/>
    <x v="0"/>
    <x v="3"/>
    <x v="1"/>
    <s v="XL"/>
    <x v="0"/>
    <x v="8"/>
    <n v="89.26"/>
    <x v="0"/>
    <n v="0"/>
    <n v="89.26"/>
    <n v="0"/>
    <d v="2025-08-06T00:00:00"/>
    <x v="1"/>
    <x v="1"/>
    <n v="43"/>
    <n v="3.8"/>
    <s v="Ok"/>
    <n v="3.8"/>
    <s v="False"/>
    <m/>
    <n v="0"/>
    <n v="89.26"/>
    <x v="0"/>
    <n v="0"/>
  </r>
  <r>
    <s v="FB001671"/>
    <x v="5"/>
    <x v="6"/>
    <x v="3"/>
    <s v="XXL"/>
    <x v="4"/>
    <x v="2"/>
    <n v="114.2"/>
    <x v="0"/>
    <n v="0"/>
    <n v="114.2"/>
    <n v="0"/>
    <d v="2025-08-06T00:00:00"/>
    <x v="1"/>
    <x v="1"/>
    <n v="15"/>
    <m/>
    <s v="Ok"/>
    <s v="No valorado"/>
    <s v="False"/>
    <m/>
    <n v="0"/>
    <n v="114.2"/>
    <x v="0"/>
    <n v="0"/>
  </r>
  <r>
    <s v="FB001672"/>
    <x v="3"/>
    <x v="6"/>
    <x v="3"/>
    <s v="L"/>
    <x v="1"/>
    <x v="6"/>
    <n v="169.5"/>
    <x v="408"/>
    <n v="0.59699999999999998"/>
    <n v="68.31"/>
    <n v="101.19"/>
    <d v="2025-08-06T00:00:00"/>
    <x v="1"/>
    <x v="1"/>
    <n v="16"/>
    <n v="1.8"/>
    <s v="Ok"/>
    <n v="1.8"/>
    <s v="False"/>
    <m/>
    <n v="0"/>
    <n v="68.31"/>
    <x v="0"/>
    <n v="0"/>
  </r>
  <r>
    <s v="FB001673"/>
    <x v="1"/>
    <x v="4"/>
    <x v="2"/>
    <s v="XS"/>
    <x v="5"/>
    <x v="3"/>
    <n v="77.989999999999995"/>
    <x v="0"/>
    <n v="0"/>
    <n v="77.989999999999995"/>
    <n v="0"/>
    <d v="2025-08-06T00:00:00"/>
    <x v="1"/>
    <x v="1"/>
    <n v="42"/>
    <m/>
    <s v="Ok"/>
    <s v="No valorado"/>
    <s v="False"/>
    <m/>
    <n v="0"/>
    <n v="77.989999999999995"/>
    <x v="0"/>
    <n v="0"/>
  </r>
  <r>
    <s v="FB001674"/>
    <x v="4"/>
    <x v="5"/>
    <x v="2"/>
    <m/>
    <x v="7"/>
    <x v="1"/>
    <n v="103.77"/>
    <x v="0"/>
    <n v="0"/>
    <n v="103.77"/>
    <n v="0"/>
    <d v="2025-08-06T00:00:00"/>
    <x v="1"/>
    <x v="1"/>
    <n v="12"/>
    <n v="4.4000000000000004"/>
    <s v="Ok"/>
    <n v="4.4000000000000004"/>
    <s v="False"/>
    <m/>
    <n v="0"/>
    <n v="103.77"/>
    <x v="0"/>
    <n v="0"/>
  </r>
  <r>
    <s v="FB001675"/>
    <x v="2"/>
    <x v="7"/>
    <x v="2"/>
    <m/>
    <x v="2"/>
    <x v="2"/>
    <n v="42.96"/>
    <x v="0"/>
    <n v="0"/>
    <n v="42.96"/>
    <n v="0"/>
    <d v="2025-08-06T00:00:00"/>
    <x v="1"/>
    <x v="1"/>
    <n v="36"/>
    <n v="1.1000000000000001"/>
    <s v="Ok"/>
    <n v="1.1000000000000001"/>
    <s v="False"/>
    <m/>
    <n v="0"/>
    <n v="42.96"/>
    <x v="0"/>
    <n v="0"/>
  </r>
  <r>
    <s v="FB001676"/>
    <x v="5"/>
    <x v="2"/>
    <x v="2"/>
    <m/>
    <x v="7"/>
    <x v="10"/>
    <n v="126.11"/>
    <x v="0"/>
    <n v="0"/>
    <n v="126.11"/>
    <n v="0"/>
    <d v="2025-08-06T00:00:00"/>
    <x v="1"/>
    <x v="1"/>
    <n v="16"/>
    <n v="3.5"/>
    <s v="Ok"/>
    <n v="3.5"/>
    <s v="False"/>
    <m/>
    <n v="0"/>
    <n v="126.11"/>
    <x v="0"/>
    <n v="0"/>
  </r>
  <r>
    <s v="FB001677"/>
    <x v="2"/>
    <x v="2"/>
    <x v="3"/>
    <m/>
    <x v="2"/>
    <x v="7"/>
    <n v="43.83"/>
    <x v="0"/>
    <n v="0"/>
    <n v="43.83"/>
    <n v="0"/>
    <d v="2025-08-06T00:00:00"/>
    <x v="1"/>
    <x v="1"/>
    <n v="31"/>
    <n v="2.5"/>
    <s v="Ok"/>
    <n v="2.5"/>
    <s v="False"/>
    <m/>
    <n v="0"/>
    <n v="43.83"/>
    <x v="0"/>
    <n v="0"/>
  </r>
  <r>
    <s v="FB001678"/>
    <x v="3"/>
    <x v="2"/>
    <x v="2"/>
    <s v="S"/>
    <x v="3"/>
    <x v="7"/>
    <n v="94.1"/>
    <x v="0"/>
    <n v="0"/>
    <n v="94.1"/>
    <n v="0"/>
    <d v="2025-08-06T00:00:00"/>
    <x v="1"/>
    <x v="1"/>
    <n v="24"/>
    <n v="1.4"/>
    <s v="Ok"/>
    <n v="1.4"/>
    <s v="False"/>
    <m/>
    <n v="0"/>
    <n v="94.1"/>
    <x v="0"/>
    <n v="0"/>
  </r>
  <r>
    <s v="FB001679"/>
    <x v="3"/>
    <x v="0"/>
    <x v="2"/>
    <s v="M"/>
    <x v="6"/>
    <x v="0"/>
    <n v="151.27000000000001"/>
    <x v="0"/>
    <n v="0"/>
    <n v="151.27000000000001"/>
    <n v="0"/>
    <d v="2025-08-06T00:00:00"/>
    <x v="1"/>
    <x v="1"/>
    <n v="39"/>
    <n v="4"/>
    <s v="Ok"/>
    <n v="4"/>
    <s v="True"/>
    <s v="Damaged"/>
    <n v="1"/>
    <n v="0"/>
    <x v="3"/>
    <n v="0"/>
  </r>
  <r>
    <s v="FB001680"/>
    <x v="2"/>
    <x v="6"/>
    <x v="0"/>
    <m/>
    <x v="2"/>
    <x v="8"/>
    <n v="61.47"/>
    <x v="0"/>
    <n v="0"/>
    <n v="61.47"/>
    <n v="0"/>
    <d v="2024-08-25T00:00:00"/>
    <x v="6"/>
    <x v="1"/>
    <n v="44"/>
    <m/>
    <s v="Ok"/>
    <s v="No valorado"/>
    <s v="False"/>
    <m/>
    <n v="0"/>
    <n v="61.47"/>
    <x v="0"/>
    <n v="0"/>
  </r>
  <r>
    <s v="FB001681"/>
    <x v="3"/>
    <x v="3"/>
    <x v="3"/>
    <s v="M"/>
    <x v="6"/>
    <x v="8"/>
    <n v="185.96"/>
    <x v="0"/>
    <n v="0"/>
    <n v="185.96"/>
    <n v="0"/>
    <d v="2025-08-06T00:00:00"/>
    <x v="1"/>
    <x v="1"/>
    <n v="35"/>
    <n v="1.3"/>
    <s v="Ok"/>
    <n v="1.3"/>
    <s v="False"/>
    <m/>
    <n v="0"/>
    <n v="185.96"/>
    <x v="0"/>
    <n v="0"/>
  </r>
  <r>
    <s v="FB001682"/>
    <x v="5"/>
    <x v="6"/>
    <x v="2"/>
    <s v="M"/>
    <x v="6"/>
    <x v="0"/>
    <n v="113.05"/>
    <x v="0"/>
    <n v="0"/>
    <n v="113.05"/>
    <n v="0"/>
    <d v="2025-08-06T00:00:00"/>
    <x v="1"/>
    <x v="1"/>
    <n v="47"/>
    <n v="2"/>
    <s v="Ok"/>
    <n v="2"/>
    <s v="False"/>
    <m/>
    <n v="0"/>
    <n v="113.05"/>
    <x v="0"/>
    <n v="0"/>
  </r>
  <r>
    <s v="FB001683"/>
    <x v="1"/>
    <x v="2"/>
    <x v="3"/>
    <s v="L"/>
    <x v="1"/>
    <x v="10"/>
    <n v="110.9"/>
    <x v="409"/>
    <n v="0.34700000000000003"/>
    <n v="72.42"/>
    <n v="38.480000000000004"/>
    <d v="2025-08-06T00:00:00"/>
    <x v="1"/>
    <x v="1"/>
    <n v="2"/>
    <n v="2.5"/>
    <s v="Pocas Unidades"/>
    <n v="2.5"/>
    <s v="False"/>
    <m/>
    <n v="0"/>
    <n v="72.42"/>
    <x v="0"/>
    <n v="0"/>
  </r>
  <r>
    <s v="FB001684"/>
    <x v="1"/>
    <x v="1"/>
    <x v="3"/>
    <s v="XXL"/>
    <x v="4"/>
    <x v="3"/>
    <n v="29.04"/>
    <x v="0"/>
    <n v="0"/>
    <n v="29.04"/>
    <n v="0"/>
    <d v="2025-08-06T00:00:00"/>
    <x v="1"/>
    <x v="1"/>
    <n v="4"/>
    <n v="5"/>
    <s v="Pocas Unidades"/>
    <n v="5"/>
    <s v="False"/>
    <m/>
    <n v="0"/>
    <n v="29.04"/>
    <x v="0"/>
    <n v="0"/>
  </r>
  <r>
    <s v="FB001685"/>
    <x v="3"/>
    <x v="7"/>
    <x v="0"/>
    <s v="XL"/>
    <x v="0"/>
    <x v="4"/>
    <n v="164.48"/>
    <x v="52"/>
    <n v="0.51500000000000001"/>
    <n v="79.77"/>
    <n v="84.71"/>
    <d v="2024-09-07T00:00:00"/>
    <x v="0"/>
    <x v="6"/>
    <n v="27"/>
    <n v="3.4"/>
    <s v="Ok"/>
    <n v="3.4"/>
    <s v="False"/>
    <m/>
    <n v="0"/>
    <n v="79.77"/>
    <x v="0"/>
    <n v="0"/>
  </r>
  <r>
    <s v="FB001686"/>
    <x v="4"/>
    <x v="2"/>
    <x v="1"/>
    <s v="L"/>
    <x v="1"/>
    <x v="3"/>
    <n v="52.51"/>
    <x v="179"/>
    <n v="0.49399999999999999"/>
    <n v="26.57"/>
    <n v="25.939999999999998"/>
    <d v="2025-08-06T00:00:00"/>
    <x v="1"/>
    <x v="1"/>
    <n v="37"/>
    <n v="3.5"/>
    <s v="Ok"/>
    <n v="3.5"/>
    <s v="True"/>
    <s v="Changed Mind"/>
    <n v="1"/>
    <n v="0"/>
    <x v="5"/>
    <n v="0"/>
  </r>
  <r>
    <s v="FB001687"/>
    <x v="5"/>
    <x v="5"/>
    <x v="1"/>
    <s v="XXL"/>
    <x v="4"/>
    <x v="4"/>
    <n v="175.74"/>
    <x v="139"/>
    <n v="0.42899999999999999"/>
    <n v="100.35"/>
    <n v="75.390000000000015"/>
    <d v="2025-08-06T00:00:00"/>
    <x v="1"/>
    <x v="1"/>
    <n v="48"/>
    <m/>
    <s v="Ok"/>
    <s v="No valorado"/>
    <s v="True"/>
    <s v="Changed Mind"/>
    <n v="1"/>
    <n v="0"/>
    <x v="5"/>
    <n v="0"/>
  </r>
  <r>
    <s v="FB001688"/>
    <x v="1"/>
    <x v="5"/>
    <x v="0"/>
    <s v="XS"/>
    <x v="5"/>
    <x v="7"/>
    <n v="57.06"/>
    <x v="410"/>
    <n v="0.27500000000000002"/>
    <n v="41.37"/>
    <n v="15.690000000000005"/>
    <d v="2024-12-25T00:00:00"/>
    <x v="1"/>
    <x v="10"/>
    <n v="43"/>
    <n v="1.8"/>
    <s v="Ok"/>
    <n v="1.8"/>
    <s v="False"/>
    <m/>
    <n v="0"/>
    <n v="41.37"/>
    <x v="0"/>
    <n v="0"/>
  </r>
  <r>
    <s v="FB001689"/>
    <x v="5"/>
    <x v="5"/>
    <x v="1"/>
    <s v="L"/>
    <x v="1"/>
    <x v="2"/>
    <n v="158.24"/>
    <x v="0"/>
    <n v="0"/>
    <n v="158.24"/>
    <n v="0"/>
    <d v="2025-08-06T00:00:00"/>
    <x v="1"/>
    <x v="1"/>
    <n v="41"/>
    <n v="3.1"/>
    <s v="Ok"/>
    <n v="3.1"/>
    <s v="False"/>
    <m/>
    <n v="0"/>
    <n v="158.24"/>
    <x v="0"/>
    <n v="0"/>
  </r>
  <r>
    <s v="FB001690"/>
    <x v="0"/>
    <x v="3"/>
    <x v="2"/>
    <m/>
    <x v="7"/>
    <x v="1"/>
    <n v="153.46"/>
    <x v="0"/>
    <n v="0"/>
    <n v="153.46"/>
    <n v="0"/>
    <d v="2025-08-06T00:00:00"/>
    <x v="1"/>
    <x v="1"/>
    <n v="27"/>
    <n v="1.7"/>
    <s v="Ok"/>
    <n v="1.7"/>
    <s v="False"/>
    <m/>
    <n v="0"/>
    <n v="153.46"/>
    <x v="0"/>
    <n v="0"/>
  </r>
  <r>
    <s v="FB001691"/>
    <x v="2"/>
    <x v="0"/>
    <x v="0"/>
    <m/>
    <x v="2"/>
    <x v="10"/>
    <n v="54.92"/>
    <x v="0"/>
    <n v="0"/>
    <n v="54.92"/>
    <n v="0"/>
    <d v="2025-04-12T00:00:00"/>
    <x v="0"/>
    <x v="4"/>
    <n v="44"/>
    <n v="3.1"/>
    <s v="Ok"/>
    <n v="3.1"/>
    <s v="False"/>
    <m/>
    <n v="0"/>
    <n v="54.92"/>
    <x v="0"/>
    <n v="0"/>
  </r>
  <r>
    <s v="FB001692"/>
    <x v="2"/>
    <x v="1"/>
    <x v="0"/>
    <m/>
    <x v="2"/>
    <x v="9"/>
    <n v="32.200000000000003"/>
    <x v="347"/>
    <n v="0.192"/>
    <n v="26.02"/>
    <n v="6.1800000000000033"/>
    <d v="2025-07-27T00:00:00"/>
    <x v="6"/>
    <x v="0"/>
    <n v="8"/>
    <n v="4.3"/>
    <s v="Pocas Unidades"/>
    <n v="4.3"/>
    <s v="False"/>
    <m/>
    <n v="0"/>
    <n v="26.02"/>
    <x v="0"/>
    <n v="0"/>
  </r>
  <r>
    <s v="FB001693"/>
    <x v="2"/>
    <x v="3"/>
    <x v="2"/>
    <m/>
    <x v="2"/>
    <x v="10"/>
    <n v="66.489999999999995"/>
    <x v="8"/>
    <n v="0.29100000000000004"/>
    <n v="47.14"/>
    <n v="19.349999999999994"/>
    <d v="2025-08-06T00:00:00"/>
    <x v="1"/>
    <x v="1"/>
    <n v="37"/>
    <n v="1.3"/>
    <s v="Ok"/>
    <n v="1.3"/>
    <s v="False"/>
    <m/>
    <n v="0"/>
    <n v="47.14"/>
    <x v="0"/>
    <n v="0"/>
  </r>
  <r>
    <s v="FB001694"/>
    <x v="2"/>
    <x v="3"/>
    <x v="1"/>
    <m/>
    <x v="2"/>
    <x v="5"/>
    <n v="32.950000000000003"/>
    <x v="118"/>
    <n v="0.502"/>
    <n v="16.41"/>
    <n v="16.540000000000003"/>
    <d v="2025-08-06T00:00:00"/>
    <x v="1"/>
    <x v="1"/>
    <n v="46"/>
    <m/>
    <s v="Ok"/>
    <s v="No valorado"/>
    <s v="False"/>
    <m/>
    <n v="0"/>
    <n v="16.41"/>
    <x v="0"/>
    <n v="0"/>
  </r>
  <r>
    <s v="FB001695"/>
    <x v="2"/>
    <x v="4"/>
    <x v="2"/>
    <m/>
    <x v="2"/>
    <x v="4"/>
    <n v="54.31"/>
    <x v="347"/>
    <n v="0.192"/>
    <n v="43.88"/>
    <n v="10.43"/>
    <d v="2025-08-06T00:00:00"/>
    <x v="1"/>
    <x v="1"/>
    <n v="19"/>
    <n v="1.8"/>
    <s v="Ok"/>
    <n v="1.8"/>
    <s v="False"/>
    <m/>
    <n v="0"/>
    <n v="43.88"/>
    <x v="0"/>
    <n v="0"/>
  </r>
  <r>
    <s v="FB001696"/>
    <x v="2"/>
    <x v="2"/>
    <x v="3"/>
    <m/>
    <x v="2"/>
    <x v="8"/>
    <n v="19.68"/>
    <x v="0"/>
    <n v="0"/>
    <n v="19.68"/>
    <n v="0"/>
    <d v="2025-08-06T00:00:00"/>
    <x v="1"/>
    <x v="1"/>
    <n v="29"/>
    <n v="1.5"/>
    <s v="Ok"/>
    <n v="1.5"/>
    <s v="True"/>
    <s v="Size Issue"/>
    <n v="1"/>
    <n v="0"/>
    <x v="2"/>
    <n v="0"/>
  </r>
  <r>
    <s v="FB001697"/>
    <x v="1"/>
    <x v="0"/>
    <x v="0"/>
    <s v="XS"/>
    <x v="5"/>
    <x v="4"/>
    <n v="105.19"/>
    <x v="106"/>
    <n v="0.24299999999999999"/>
    <n v="79.63"/>
    <n v="25.560000000000002"/>
    <d v="2025-06-14T00:00:00"/>
    <x v="0"/>
    <x v="7"/>
    <n v="47"/>
    <n v="5"/>
    <s v="Ok"/>
    <n v="5"/>
    <s v="False"/>
    <m/>
    <n v="0"/>
    <n v="79.63"/>
    <x v="0"/>
    <n v="0"/>
  </r>
  <r>
    <s v="FB001698"/>
    <x v="2"/>
    <x v="2"/>
    <x v="3"/>
    <m/>
    <x v="2"/>
    <x v="6"/>
    <n v="20.3"/>
    <x v="346"/>
    <n v="0.19600000000000001"/>
    <n v="16.32"/>
    <n v="3.9800000000000004"/>
    <d v="2025-08-06T00:00:00"/>
    <x v="1"/>
    <x v="1"/>
    <n v="47"/>
    <n v="2.9"/>
    <s v="Ok"/>
    <n v="2.9"/>
    <s v="True"/>
    <s v="Changed Mind"/>
    <n v="1"/>
    <n v="0"/>
    <x v="5"/>
    <n v="0"/>
  </r>
  <r>
    <s v="FB001699"/>
    <x v="4"/>
    <x v="3"/>
    <x v="3"/>
    <s v="S"/>
    <x v="3"/>
    <x v="10"/>
    <n v="105.37"/>
    <x v="346"/>
    <n v="0.19600000000000001"/>
    <n v="84.72"/>
    <n v="20.650000000000006"/>
    <d v="2025-08-06T00:00:00"/>
    <x v="1"/>
    <x v="1"/>
    <n v="39"/>
    <n v="4.3"/>
    <s v="Ok"/>
    <n v="4.3"/>
    <s v="False"/>
    <m/>
    <n v="0"/>
    <n v="84.72"/>
    <x v="0"/>
    <n v="0"/>
  </r>
  <r>
    <s v="FB001700"/>
    <x v="5"/>
    <x v="5"/>
    <x v="1"/>
    <s v="XS"/>
    <x v="5"/>
    <x v="6"/>
    <n v="156.24"/>
    <x v="0"/>
    <n v="0"/>
    <n v="156.24"/>
    <n v="0"/>
    <d v="2025-08-06T00:00:00"/>
    <x v="1"/>
    <x v="1"/>
    <n v="15"/>
    <n v="5"/>
    <s v="Ok"/>
    <n v="5"/>
    <s v="False"/>
    <m/>
    <n v="0"/>
    <n v="156.24"/>
    <x v="0"/>
    <n v="0"/>
  </r>
  <r>
    <s v="FB001701"/>
    <x v="3"/>
    <x v="3"/>
    <x v="1"/>
    <s v="XS"/>
    <x v="5"/>
    <x v="10"/>
    <n v="162.19"/>
    <x v="12"/>
    <n v="5.7000000000000002E-2"/>
    <n v="152.94999999999999"/>
    <n v="9.2400000000000091"/>
    <d v="2025-08-06T00:00:00"/>
    <x v="1"/>
    <x v="1"/>
    <n v="39"/>
    <n v="1.4"/>
    <s v="Ok"/>
    <n v="1.4"/>
    <s v="False"/>
    <m/>
    <n v="0"/>
    <n v="152.94999999999999"/>
    <x v="0"/>
    <n v="0"/>
  </r>
  <r>
    <s v="FB001702"/>
    <x v="1"/>
    <x v="4"/>
    <x v="0"/>
    <s v="M"/>
    <x v="6"/>
    <x v="7"/>
    <n v="75.790000000000006"/>
    <x v="72"/>
    <n v="7.0999999999999994E-2"/>
    <n v="70.41"/>
    <n v="5.3800000000000097"/>
    <d v="2025-03-29T00:00:00"/>
    <x v="0"/>
    <x v="3"/>
    <n v="13"/>
    <n v="3.3"/>
    <s v="Ok"/>
    <n v="3.3"/>
    <s v="False"/>
    <m/>
    <n v="0"/>
    <n v="70.41"/>
    <x v="0"/>
    <n v="0"/>
  </r>
  <r>
    <s v="FB001703"/>
    <x v="2"/>
    <x v="7"/>
    <x v="3"/>
    <m/>
    <x v="2"/>
    <x v="1"/>
    <n v="32.04"/>
    <x v="0"/>
    <n v="0"/>
    <n v="32.04"/>
    <n v="0"/>
    <d v="2025-08-06T00:00:00"/>
    <x v="1"/>
    <x v="1"/>
    <n v="41"/>
    <n v="1.8"/>
    <s v="Ok"/>
    <n v="1.8"/>
    <s v="False"/>
    <m/>
    <n v="0"/>
    <n v="32.04"/>
    <x v="0"/>
    <n v="0"/>
  </r>
  <r>
    <s v="FB001704"/>
    <x v="1"/>
    <x v="6"/>
    <x v="2"/>
    <s v="M"/>
    <x v="6"/>
    <x v="2"/>
    <n v="27.65"/>
    <x v="171"/>
    <n v="0.318"/>
    <n v="18.86"/>
    <n v="8.7899999999999991"/>
    <d v="2025-08-06T00:00:00"/>
    <x v="1"/>
    <x v="1"/>
    <n v="2"/>
    <n v="3.7"/>
    <s v="Pocas Unidades"/>
    <n v="3.7"/>
    <s v="True"/>
    <s v="Size Issue"/>
    <n v="1"/>
    <n v="0"/>
    <x v="2"/>
    <n v="0"/>
  </r>
  <r>
    <s v="FB001705"/>
    <x v="4"/>
    <x v="2"/>
    <x v="0"/>
    <s v="M"/>
    <x v="6"/>
    <x v="9"/>
    <n v="31.54"/>
    <x v="0"/>
    <n v="0"/>
    <n v="31.54"/>
    <n v="0"/>
    <d v="2025-08-03T00:00:00"/>
    <x v="6"/>
    <x v="1"/>
    <n v="45"/>
    <n v="1.3"/>
    <s v="Ok"/>
    <n v="1.3"/>
    <s v="False"/>
    <m/>
    <n v="0"/>
    <n v="31.54"/>
    <x v="0"/>
    <n v="0"/>
  </r>
  <r>
    <s v="FB001706"/>
    <x v="4"/>
    <x v="0"/>
    <x v="3"/>
    <s v="XXL"/>
    <x v="4"/>
    <x v="7"/>
    <n v="77.64"/>
    <x v="411"/>
    <n v="0.39100000000000001"/>
    <n v="47.28"/>
    <n v="30.36"/>
    <d v="2025-08-06T00:00:00"/>
    <x v="1"/>
    <x v="1"/>
    <n v="19"/>
    <n v="2.6"/>
    <s v="Ok"/>
    <n v="2.6"/>
    <s v="False"/>
    <m/>
    <n v="0"/>
    <n v="47.28"/>
    <x v="0"/>
    <n v="0"/>
  </r>
  <r>
    <s v="FB001707"/>
    <x v="5"/>
    <x v="4"/>
    <x v="1"/>
    <s v="XL"/>
    <x v="0"/>
    <x v="1"/>
    <n v="51.48"/>
    <x v="0"/>
    <n v="0"/>
    <n v="51.48"/>
    <n v="0"/>
    <d v="2025-08-06T00:00:00"/>
    <x v="1"/>
    <x v="1"/>
    <n v="10"/>
    <n v="1"/>
    <s v="Ok"/>
    <n v="1"/>
    <s v="False"/>
    <m/>
    <n v="0"/>
    <n v="51.48"/>
    <x v="0"/>
    <n v="0"/>
  </r>
  <r>
    <s v="FB001708"/>
    <x v="0"/>
    <x v="0"/>
    <x v="2"/>
    <s v="M"/>
    <x v="6"/>
    <x v="1"/>
    <n v="108.58"/>
    <x v="0"/>
    <n v="0"/>
    <n v="108.58"/>
    <n v="0"/>
    <d v="2025-08-06T00:00:00"/>
    <x v="1"/>
    <x v="1"/>
    <n v="44"/>
    <n v="2.4"/>
    <s v="Ok"/>
    <n v="2.4"/>
    <s v="False"/>
    <m/>
    <n v="0"/>
    <n v="108.58"/>
    <x v="0"/>
    <n v="0"/>
  </r>
  <r>
    <s v="FB001709"/>
    <x v="1"/>
    <x v="7"/>
    <x v="1"/>
    <s v="XXL"/>
    <x v="4"/>
    <x v="2"/>
    <n v="84.17"/>
    <x v="0"/>
    <n v="0"/>
    <n v="84.17"/>
    <n v="0"/>
    <d v="2025-08-06T00:00:00"/>
    <x v="1"/>
    <x v="1"/>
    <n v="20"/>
    <n v="3.7"/>
    <s v="Ok"/>
    <n v="3.7"/>
    <s v="False"/>
    <m/>
    <n v="0"/>
    <n v="84.17"/>
    <x v="0"/>
    <n v="0"/>
  </r>
  <r>
    <s v="FB001710"/>
    <x v="4"/>
    <x v="3"/>
    <x v="0"/>
    <s v="L"/>
    <x v="1"/>
    <x v="1"/>
    <n v="76.45"/>
    <x v="0"/>
    <n v="0"/>
    <n v="76.45"/>
    <n v="0"/>
    <d v="2025-06-10T00:00:00"/>
    <x v="3"/>
    <x v="7"/>
    <n v="16"/>
    <n v="1"/>
    <s v="Ok"/>
    <n v="1"/>
    <s v="True"/>
    <s v="Color Mismatch"/>
    <n v="1"/>
    <n v="0"/>
    <x v="1"/>
    <n v="0"/>
  </r>
  <r>
    <s v="FB001711"/>
    <x v="2"/>
    <x v="1"/>
    <x v="0"/>
    <m/>
    <x v="2"/>
    <x v="4"/>
    <n v="50.31"/>
    <x v="0"/>
    <n v="0"/>
    <n v="50.31"/>
    <n v="0"/>
    <d v="2025-04-24T00:00:00"/>
    <x v="5"/>
    <x v="4"/>
    <n v="36"/>
    <m/>
    <s v="Ok"/>
    <s v="No valorado"/>
    <s v="False"/>
    <m/>
    <n v="0"/>
    <n v="50.31"/>
    <x v="0"/>
    <n v="0"/>
  </r>
  <r>
    <s v="FB001712"/>
    <x v="1"/>
    <x v="6"/>
    <x v="0"/>
    <s v="S"/>
    <x v="3"/>
    <x v="1"/>
    <n v="43.45"/>
    <x v="0"/>
    <n v="0"/>
    <n v="43.45"/>
    <n v="0"/>
    <d v="2025-07-17T00:00:00"/>
    <x v="5"/>
    <x v="0"/>
    <n v="30"/>
    <n v="2.2999999999999998"/>
    <s v="Ok"/>
    <n v="2.2999999999999998"/>
    <s v="False"/>
    <m/>
    <n v="0"/>
    <n v="43.45"/>
    <x v="0"/>
    <n v="0"/>
  </r>
  <r>
    <s v="FB001713"/>
    <x v="5"/>
    <x v="1"/>
    <x v="2"/>
    <s v="XL"/>
    <x v="0"/>
    <x v="4"/>
    <n v="149.22"/>
    <x v="17"/>
    <n v="0.53900000000000003"/>
    <n v="68.790000000000006"/>
    <n v="80.429999999999993"/>
    <d v="2025-08-06T00:00:00"/>
    <x v="1"/>
    <x v="1"/>
    <n v="41"/>
    <n v="2.2000000000000002"/>
    <s v="Ok"/>
    <n v="2.2000000000000002"/>
    <s v="False"/>
    <m/>
    <n v="0"/>
    <n v="68.790000000000006"/>
    <x v="0"/>
    <n v="0"/>
  </r>
  <r>
    <s v="FB001714"/>
    <x v="4"/>
    <x v="6"/>
    <x v="3"/>
    <s v="XS"/>
    <x v="5"/>
    <x v="4"/>
    <n v="48.24"/>
    <x v="155"/>
    <n v="0.317"/>
    <n v="32.950000000000003"/>
    <n v="15.29"/>
    <d v="2025-08-06T00:00:00"/>
    <x v="1"/>
    <x v="1"/>
    <n v="46"/>
    <n v="3.7"/>
    <s v="Ok"/>
    <n v="3.7"/>
    <s v="False"/>
    <m/>
    <n v="0"/>
    <n v="32.950000000000003"/>
    <x v="0"/>
    <n v="0"/>
  </r>
  <r>
    <s v="FB001715"/>
    <x v="4"/>
    <x v="4"/>
    <x v="3"/>
    <s v="S"/>
    <x v="3"/>
    <x v="10"/>
    <n v="66.27"/>
    <x v="28"/>
    <n v="0.217"/>
    <n v="51.89"/>
    <n v="14.379999999999995"/>
    <d v="2025-08-06T00:00:00"/>
    <x v="1"/>
    <x v="1"/>
    <n v="28"/>
    <n v="2.5"/>
    <s v="Ok"/>
    <n v="2.5"/>
    <s v="True"/>
    <s v="Changed Mind"/>
    <n v="1"/>
    <n v="0"/>
    <x v="5"/>
    <n v="0"/>
  </r>
  <r>
    <s v="FB001716"/>
    <x v="3"/>
    <x v="4"/>
    <x v="2"/>
    <s v="XXL"/>
    <x v="4"/>
    <x v="8"/>
    <n v="82.65"/>
    <x v="0"/>
    <n v="0"/>
    <n v="82.65"/>
    <n v="0"/>
    <d v="2025-08-06T00:00:00"/>
    <x v="1"/>
    <x v="1"/>
    <n v="30"/>
    <n v="4.0999999999999996"/>
    <s v="Ok"/>
    <n v="4.0999999999999996"/>
    <s v="False"/>
    <m/>
    <n v="0"/>
    <n v="82.65"/>
    <x v="0"/>
    <n v="0"/>
  </r>
  <r>
    <s v="FB001717"/>
    <x v="4"/>
    <x v="5"/>
    <x v="1"/>
    <s v="XXL"/>
    <x v="4"/>
    <x v="2"/>
    <n v="42.36"/>
    <x v="0"/>
    <n v="0"/>
    <n v="42.36"/>
    <n v="0"/>
    <d v="2025-08-06T00:00:00"/>
    <x v="1"/>
    <x v="1"/>
    <n v="37"/>
    <n v="1.4"/>
    <s v="Ok"/>
    <n v="1.4"/>
    <s v="False"/>
    <m/>
    <n v="0"/>
    <n v="42.36"/>
    <x v="0"/>
    <n v="0"/>
  </r>
  <r>
    <s v="FB001718"/>
    <x v="4"/>
    <x v="5"/>
    <x v="3"/>
    <s v="M"/>
    <x v="6"/>
    <x v="0"/>
    <n v="109.36"/>
    <x v="0"/>
    <n v="0"/>
    <n v="109.36"/>
    <n v="0"/>
    <d v="2025-08-06T00:00:00"/>
    <x v="1"/>
    <x v="1"/>
    <n v="24"/>
    <n v="1.7"/>
    <s v="Ok"/>
    <n v="1.7"/>
    <s v="False"/>
    <m/>
    <n v="0"/>
    <n v="109.36"/>
    <x v="0"/>
    <n v="0"/>
  </r>
  <r>
    <s v="FB001719"/>
    <x v="2"/>
    <x v="5"/>
    <x v="1"/>
    <m/>
    <x v="2"/>
    <x v="7"/>
    <n v="59.98"/>
    <x v="0"/>
    <n v="0"/>
    <n v="59.98"/>
    <n v="0"/>
    <d v="2025-08-06T00:00:00"/>
    <x v="1"/>
    <x v="1"/>
    <n v="28"/>
    <n v="2.2000000000000002"/>
    <s v="Ok"/>
    <n v="2.2000000000000002"/>
    <s v="False"/>
    <m/>
    <n v="0"/>
    <n v="59.98"/>
    <x v="0"/>
    <n v="0"/>
  </r>
  <r>
    <s v="FB001720"/>
    <x v="5"/>
    <x v="6"/>
    <x v="0"/>
    <m/>
    <x v="7"/>
    <x v="9"/>
    <n v="111.81"/>
    <x v="0"/>
    <n v="0"/>
    <n v="111.81"/>
    <n v="0"/>
    <d v="2024-08-21T00:00:00"/>
    <x v="1"/>
    <x v="1"/>
    <n v="45"/>
    <n v="1.1000000000000001"/>
    <s v="Ok"/>
    <n v="1.1000000000000001"/>
    <s v="False"/>
    <m/>
    <n v="0"/>
    <n v="111.81"/>
    <x v="0"/>
    <n v="0"/>
  </r>
  <r>
    <s v="FB001721"/>
    <x v="4"/>
    <x v="2"/>
    <x v="1"/>
    <s v="XXL"/>
    <x v="4"/>
    <x v="0"/>
    <n v="70.78"/>
    <x v="0"/>
    <n v="0"/>
    <n v="70.78"/>
    <n v="0"/>
    <d v="2025-08-06T00:00:00"/>
    <x v="1"/>
    <x v="1"/>
    <n v="39"/>
    <n v="3.4"/>
    <s v="Ok"/>
    <n v="3.4"/>
    <s v="True"/>
    <s v="Color Mismatch"/>
    <n v="1"/>
    <n v="0"/>
    <x v="1"/>
    <n v="0"/>
  </r>
  <r>
    <s v="FB001722"/>
    <x v="2"/>
    <x v="3"/>
    <x v="1"/>
    <m/>
    <x v="2"/>
    <x v="1"/>
    <n v="76.13"/>
    <x v="6"/>
    <n v="0.58499999999999996"/>
    <n v="31.59"/>
    <n v="44.539999999999992"/>
    <d v="2025-08-06T00:00:00"/>
    <x v="1"/>
    <x v="1"/>
    <n v="40"/>
    <n v="1.6"/>
    <s v="Ok"/>
    <n v="1.6"/>
    <s v="False"/>
    <m/>
    <n v="0"/>
    <n v="31.59"/>
    <x v="0"/>
    <n v="0"/>
  </r>
  <r>
    <s v="FB001723"/>
    <x v="4"/>
    <x v="2"/>
    <x v="2"/>
    <s v="XS"/>
    <x v="5"/>
    <x v="1"/>
    <n v="71.09"/>
    <x v="412"/>
    <n v="0.41499999999999998"/>
    <n v="41.59"/>
    <n v="29.5"/>
    <d v="2025-08-06T00:00:00"/>
    <x v="1"/>
    <x v="1"/>
    <n v="20"/>
    <n v="3.1"/>
    <s v="Ok"/>
    <n v="3.1"/>
    <s v="False"/>
    <m/>
    <n v="0"/>
    <n v="41.59"/>
    <x v="0"/>
    <n v="0"/>
  </r>
  <r>
    <s v="FB001724"/>
    <x v="4"/>
    <x v="3"/>
    <x v="2"/>
    <m/>
    <x v="7"/>
    <x v="4"/>
    <n v="53.64"/>
    <x v="18"/>
    <n v="0.55899999999999994"/>
    <n v="23.66"/>
    <n v="29.98"/>
    <d v="2025-08-06T00:00:00"/>
    <x v="1"/>
    <x v="1"/>
    <n v="10"/>
    <n v="2.5"/>
    <s v="Ok"/>
    <n v="2.5"/>
    <s v="False"/>
    <m/>
    <n v="0"/>
    <n v="23.66"/>
    <x v="0"/>
    <n v="0"/>
  </r>
  <r>
    <s v="FB001725"/>
    <x v="3"/>
    <x v="5"/>
    <x v="2"/>
    <m/>
    <x v="7"/>
    <x v="10"/>
    <n v="110.2"/>
    <x v="408"/>
    <n v="0.59699999999999998"/>
    <n v="44.41"/>
    <n v="65.790000000000006"/>
    <d v="2025-08-06T00:00:00"/>
    <x v="1"/>
    <x v="1"/>
    <n v="13"/>
    <n v="3.5"/>
    <s v="Ok"/>
    <n v="3.5"/>
    <s v="True"/>
    <s v="Color Mismatch"/>
    <n v="1"/>
    <n v="0"/>
    <x v="1"/>
    <n v="0"/>
  </r>
  <r>
    <s v="FB001726"/>
    <x v="3"/>
    <x v="1"/>
    <x v="3"/>
    <s v="XXL"/>
    <x v="4"/>
    <x v="6"/>
    <n v="80.63"/>
    <x v="413"/>
    <n v="0.17399999999999999"/>
    <n v="66.599999999999994"/>
    <n v="14.030000000000001"/>
    <d v="2025-08-06T00:00:00"/>
    <x v="1"/>
    <x v="1"/>
    <n v="6"/>
    <m/>
    <s v="Pocas Unidades"/>
    <s v="No valorado"/>
    <s v="True"/>
    <s v="Damaged"/>
    <n v="1"/>
    <n v="0"/>
    <x v="3"/>
    <n v="0"/>
  </r>
  <r>
    <s v="FB001727"/>
    <x v="5"/>
    <x v="3"/>
    <x v="0"/>
    <s v="XL"/>
    <x v="0"/>
    <x v="6"/>
    <n v="101.09"/>
    <x v="414"/>
    <n v="0.248"/>
    <n v="76.02"/>
    <n v="25.070000000000007"/>
    <d v="2024-09-02T00:00:00"/>
    <x v="2"/>
    <x v="6"/>
    <n v="7"/>
    <n v="4.5"/>
    <s v="Pocas Unidades"/>
    <n v="4.5"/>
    <s v="True"/>
    <s v="Damaged"/>
    <n v="1"/>
    <n v="0"/>
    <x v="3"/>
    <n v="0"/>
  </r>
  <r>
    <s v="FB001728"/>
    <x v="2"/>
    <x v="0"/>
    <x v="0"/>
    <m/>
    <x v="2"/>
    <x v="8"/>
    <n v="75.48"/>
    <x v="0"/>
    <n v="0"/>
    <n v="75.48"/>
    <n v="0"/>
    <d v="2025-05-27T00:00:00"/>
    <x v="3"/>
    <x v="8"/>
    <n v="16"/>
    <n v="1.4"/>
    <s v="Ok"/>
    <n v="1.4"/>
    <s v="False"/>
    <m/>
    <n v="0"/>
    <n v="75.48"/>
    <x v="0"/>
    <n v="0"/>
  </r>
  <r>
    <s v="FB001729"/>
    <x v="3"/>
    <x v="2"/>
    <x v="3"/>
    <s v="S"/>
    <x v="3"/>
    <x v="10"/>
    <n v="159.94999999999999"/>
    <x v="40"/>
    <n v="6.4000000000000001E-2"/>
    <n v="149.71"/>
    <n v="10.239999999999981"/>
    <d v="2025-08-06T00:00:00"/>
    <x v="1"/>
    <x v="1"/>
    <n v="39"/>
    <n v="3"/>
    <s v="Ok"/>
    <n v="3"/>
    <s v="False"/>
    <m/>
    <n v="0"/>
    <n v="149.71"/>
    <x v="0"/>
    <n v="0"/>
  </r>
  <r>
    <s v="FB001730"/>
    <x v="5"/>
    <x v="6"/>
    <x v="3"/>
    <s v="L"/>
    <x v="1"/>
    <x v="2"/>
    <n v="61.9"/>
    <x v="0"/>
    <n v="0"/>
    <n v="61.9"/>
    <n v="0"/>
    <d v="2025-08-06T00:00:00"/>
    <x v="1"/>
    <x v="1"/>
    <n v="29"/>
    <n v="4.4000000000000004"/>
    <s v="Ok"/>
    <n v="4.4000000000000004"/>
    <s v="False"/>
    <m/>
    <n v="0"/>
    <n v="61.9"/>
    <x v="0"/>
    <n v="0"/>
  </r>
  <r>
    <s v="FB001731"/>
    <x v="1"/>
    <x v="2"/>
    <x v="2"/>
    <s v="XL"/>
    <x v="0"/>
    <x v="9"/>
    <n v="63.45"/>
    <x v="73"/>
    <n v="0.12300000000000001"/>
    <n v="55.65"/>
    <n v="7.8000000000000043"/>
    <d v="2025-08-06T00:00:00"/>
    <x v="1"/>
    <x v="1"/>
    <n v="23"/>
    <n v="4.9000000000000004"/>
    <s v="Ok"/>
    <n v="4.9000000000000004"/>
    <s v="False"/>
    <m/>
    <n v="0"/>
    <n v="55.65"/>
    <x v="0"/>
    <n v="0"/>
  </r>
  <r>
    <s v="FB001732"/>
    <x v="1"/>
    <x v="3"/>
    <x v="3"/>
    <s v="S"/>
    <x v="3"/>
    <x v="0"/>
    <n v="43.22"/>
    <x v="129"/>
    <n v="0.46700000000000003"/>
    <n v="23.04"/>
    <n v="20.18"/>
    <d v="2025-08-06T00:00:00"/>
    <x v="1"/>
    <x v="1"/>
    <n v="29"/>
    <n v="1.3"/>
    <s v="Ok"/>
    <n v="1.3"/>
    <s v="False"/>
    <m/>
    <n v="0"/>
    <n v="23.04"/>
    <x v="0"/>
    <n v="0"/>
  </r>
  <r>
    <s v="FB001733"/>
    <x v="3"/>
    <x v="2"/>
    <x v="1"/>
    <s v="S"/>
    <x v="3"/>
    <x v="8"/>
    <n v="64.650000000000006"/>
    <x v="316"/>
    <n v="0.26800000000000002"/>
    <n v="47.32"/>
    <n v="17.330000000000005"/>
    <d v="2025-08-06T00:00:00"/>
    <x v="1"/>
    <x v="1"/>
    <n v="28"/>
    <n v="4.7"/>
    <s v="Ok"/>
    <n v="4.7"/>
    <s v="False"/>
    <m/>
    <n v="0"/>
    <n v="47.32"/>
    <x v="0"/>
    <n v="0"/>
  </r>
  <r>
    <s v="FB001734"/>
    <x v="3"/>
    <x v="1"/>
    <x v="0"/>
    <s v="XXL"/>
    <x v="4"/>
    <x v="9"/>
    <n v="118.67"/>
    <x v="415"/>
    <n v="0.56000000000000005"/>
    <n v="52.21"/>
    <n v="66.460000000000008"/>
    <d v="2025-04-26T00:00:00"/>
    <x v="0"/>
    <x v="4"/>
    <n v="27"/>
    <n v="3.5"/>
    <s v="Ok"/>
    <n v="3.5"/>
    <s v="False"/>
    <m/>
    <n v="0"/>
    <n v="52.21"/>
    <x v="0"/>
    <n v="0"/>
  </r>
  <r>
    <s v="FB001735"/>
    <x v="5"/>
    <x v="2"/>
    <x v="0"/>
    <s v="XS"/>
    <x v="5"/>
    <x v="3"/>
    <n v="169.32"/>
    <x v="0"/>
    <n v="0"/>
    <n v="169.32"/>
    <n v="0"/>
    <d v="2024-12-17T00:00:00"/>
    <x v="3"/>
    <x v="10"/>
    <n v="19"/>
    <n v="2.2000000000000002"/>
    <s v="Ok"/>
    <n v="2.2000000000000002"/>
    <s v="False"/>
    <m/>
    <n v="0"/>
    <n v="169.32"/>
    <x v="0"/>
    <n v="0"/>
  </r>
  <r>
    <s v="FB001736"/>
    <x v="3"/>
    <x v="5"/>
    <x v="0"/>
    <s v="XS"/>
    <x v="5"/>
    <x v="4"/>
    <n v="115.77"/>
    <x v="0"/>
    <n v="0"/>
    <n v="115.77"/>
    <n v="0"/>
    <d v="2024-11-24T00:00:00"/>
    <x v="6"/>
    <x v="11"/>
    <n v="43"/>
    <m/>
    <s v="Ok"/>
    <s v="No valorado"/>
    <s v="False"/>
    <m/>
    <n v="0"/>
    <n v="115.77"/>
    <x v="0"/>
    <n v="0"/>
  </r>
  <r>
    <s v="FB001737"/>
    <x v="3"/>
    <x v="3"/>
    <x v="2"/>
    <s v="XS"/>
    <x v="5"/>
    <x v="7"/>
    <n v="139.91"/>
    <x v="0"/>
    <n v="0"/>
    <n v="139.91"/>
    <n v="0"/>
    <d v="2025-08-06T00:00:00"/>
    <x v="1"/>
    <x v="1"/>
    <n v="9"/>
    <n v="3.7"/>
    <s v="Pocas Unidades"/>
    <n v="3.7"/>
    <s v="False"/>
    <m/>
    <n v="0"/>
    <n v="139.91"/>
    <x v="0"/>
    <n v="0"/>
  </r>
  <r>
    <s v="FB001738"/>
    <x v="4"/>
    <x v="2"/>
    <x v="3"/>
    <s v="XXL"/>
    <x v="4"/>
    <x v="9"/>
    <n v="101.73"/>
    <x v="0"/>
    <n v="0"/>
    <n v="101.73"/>
    <n v="0"/>
    <d v="2025-08-06T00:00:00"/>
    <x v="1"/>
    <x v="1"/>
    <n v="14"/>
    <n v="4.7"/>
    <s v="Ok"/>
    <n v="4.7"/>
    <s v="False"/>
    <m/>
    <n v="0"/>
    <n v="101.73"/>
    <x v="0"/>
    <n v="0"/>
  </r>
  <r>
    <s v="FB001739"/>
    <x v="1"/>
    <x v="7"/>
    <x v="3"/>
    <m/>
    <x v="7"/>
    <x v="1"/>
    <n v="105.85"/>
    <x v="0"/>
    <n v="0"/>
    <n v="105.85"/>
    <n v="0"/>
    <d v="2025-08-06T00:00:00"/>
    <x v="1"/>
    <x v="1"/>
    <n v="29"/>
    <n v="2.1"/>
    <s v="Ok"/>
    <n v="2.1"/>
    <s v="False"/>
    <m/>
    <n v="0"/>
    <n v="105.85"/>
    <x v="0"/>
    <n v="0"/>
  </r>
  <r>
    <s v="FB001740"/>
    <x v="1"/>
    <x v="6"/>
    <x v="0"/>
    <s v="XL"/>
    <x v="0"/>
    <x v="4"/>
    <n v="105.37"/>
    <x v="0"/>
    <n v="0"/>
    <n v="105.37"/>
    <n v="0"/>
    <d v="2025-04-15T00:00:00"/>
    <x v="3"/>
    <x v="4"/>
    <n v="24"/>
    <n v="1.2"/>
    <s v="Ok"/>
    <n v="1.2"/>
    <s v="False"/>
    <m/>
    <n v="0"/>
    <n v="105.37"/>
    <x v="0"/>
    <n v="0"/>
  </r>
  <r>
    <s v="FB001741"/>
    <x v="1"/>
    <x v="4"/>
    <x v="3"/>
    <s v="S"/>
    <x v="3"/>
    <x v="10"/>
    <n v="44.42"/>
    <x v="0"/>
    <n v="0"/>
    <n v="44.42"/>
    <n v="0"/>
    <d v="2025-08-06T00:00:00"/>
    <x v="1"/>
    <x v="1"/>
    <n v="49"/>
    <m/>
    <s v="Ok"/>
    <s v="No valorado"/>
    <s v="False"/>
    <m/>
    <n v="0"/>
    <n v="44.42"/>
    <x v="0"/>
    <n v="0"/>
  </r>
  <r>
    <s v="FB001742"/>
    <x v="3"/>
    <x v="1"/>
    <x v="0"/>
    <s v="XS"/>
    <x v="5"/>
    <x v="4"/>
    <n v="164.86"/>
    <x v="416"/>
    <n v="0.14300000000000002"/>
    <n v="141.29"/>
    <n v="23.570000000000022"/>
    <d v="2025-03-14T00:00:00"/>
    <x v="4"/>
    <x v="3"/>
    <n v="7"/>
    <n v="2.2999999999999998"/>
    <s v="Pocas Unidades"/>
    <n v="2.2999999999999998"/>
    <s v="False"/>
    <m/>
    <n v="0"/>
    <n v="141.29"/>
    <x v="0"/>
    <n v="0"/>
  </r>
  <r>
    <s v="FB001743"/>
    <x v="3"/>
    <x v="3"/>
    <x v="2"/>
    <s v="XXL"/>
    <x v="4"/>
    <x v="2"/>
    <n v="163.88"/>
    <x v="170"/>
    <n v="5.9000000000000004E-2"/>
    <n v="154.21"/>
    <n v="9.6699999999999875"/>
    <d v="2025-08-06T00:00:00"/>
    <x v="1"/>
    <x v="1"/>
    <n v="39"/>
    <n v="2.6"/>
    <s v="Ok"/>
    <n v="2.6"/>
    <s v="False"/>
    <m/>
    <n v="0"/>
    <n v="154.21"/>
    <x v="0"/>
    <n v="0"/>
  </r>
  <r>
    <s v="FB001744"/>
    <x v="4"/>
    <x v="0"/>
    <x v="2"/>
    <s v="XS"/>
    <x v="5"/>
    <x v="6"/>
    <n v="36.54"/>
    <x v="383"/>
    <n v="5.2999999999999999E-2"/>
    <n v="34.6"/>
    <n v="1.9399999999999977"/>
    <d v="2025-08-06T00:00:00"/>
    <x v="1"/>
    <x v="1"/>
    <n v="13"/>
    <n v="2.5"/>
    <s v="Ok"/>
    <n v="2.5"/>
    <s v="False"/>
    <m/>
    <n v="0"/>
    <n v="34.6"/>
    <x v="0"/>
    <n v="0"/>
  </r>
  <r>
    <s v="FB001745"/>
    <x v="5"/>
    <x v="2"/>
    <x v="0"/>
    <s v="M"/>
    <x v="6"/>
    <x v="0"/>
    <n v="99.97"/>
    <x v="0"/>
    <n v="0"/>
    <n v="99.97"/>
    <n v="0"/>
    <d v="2024-10-16T00:00:00"/>
    <x v="1"/>
    <x v="2"/>
    <n v="38"/>
    <n v="1.4"/>
    <s v="Ok"/>
    <n v="1.4"/>
    <s v="False"/>
    <m/>
    <n v="0"/>
    <n v="99.97"/>
    <x v="0"/>
    <n v="0"/>
  </r>
  <r>
    <s v="FB001746"/>
    <x v="0"/>
    <x v="5"/>
    <x v="3"/>
    <s v="XL"/>
    <x v="0"/>
    <x v="0"/>
    <n v="194.78"/>
    <x v="0"/>
    <n v="0"/>
    <n v="194.78"/>
    <n v="0"/>
    <d v="2025-08-06T00:00:00"/>
    <x v="1"/>
    <x v="1"/>
    <n v="31"/>
    <m/>
    <s v="Ok"/>
    <s v="No valorado"/>
    <s v="False"/>
    <m/>
    <n v="0"/>
    <n v="194.78"/>
    <x v="0"/>
    <n v="0"/>
  </r>
  <r>
    <s v="FB001747"/>
    <x v="0"/>
    <x v="1"/>
    <x v="2"/>
    <s v="XS"/>
    <x v="5"/>
    <x v="5"/>
    <n v="208.93"/>
    <x v="0"/>
    <n v="0"/>
    <n v="208.93"/>
    <n v="0"/>
    <d v="2025-08-06T00:00:00"/>
    <x v="1"/>
    <x v="1"/>
    <n v="12"/>
    <n v="2.2999999999999998"/>
    <s v="Ok"/>
    <n v="2.2999999999999998"/>
    <s v="False"/>
    <m/>
    <n v="0"/>
    <n v="208.93"/>
    <x v="0"/>
    <n v="0"/>
  </r>
  <r>
    <s v="FB001748"/>
    <x v="4"/>
    <x v="5"/>
    <x v="0"/>
    <s v="XS"/>
    <x v="5"/>
    <x v="0"/>
    <n v="68.459999999999994"/>
    <x v="48"/>
    <n v="0.5"/>
    <n v="34.229999999999997"/>
    <n v="34.229999999999997"/>
    <d v="2025-01-26T00:00:00"/>
    <x v="6"/>
    <x v="5"/>
    <n v="24"/>
    <n v="1.9"/>
    <s v="Ok"/>
    <n v="1.9"/>
    <s v="False"/>
    <m/>
    <n v="0"/>
    <n v="34.229999999999997"/>
    <x v="0"/>
    <n v="0"/>
  </r>
  <r>
    <s v="FB001749"/>
    <x v="2"/>
    <x v="2"/>
    <x v="1"/>
    <m/>
    <x v="2"/>
    <x v="9"/>
    <n v="30.26"/>
    <x v="48"/>
    <n v="0.5"/>
    <n v="15.13"/>
    <n v="15.13"/>
    <d v="2025-08-06T00:00:00"/>
    <x v="1"/>
    <x v="1"/>
    <n v="23"/>
    <n v="1.4"/>
    <s v="Ok"/>
    <n v="1.4"/>
    <s v="False"/>
    <m/>
    <n v="0"/>
    <n v="15.13"/>
    <x v="0"/>
    <n v="0"/>
  </r>
  <r>
    <s v="FB001750"/>
    <x v="0"/>
    <x v="3"/>
    <x v="3"/>
    <s v="XS"/>
    <x v="5"/>
    <x v="6"/>
    <n v="186.66"/>
    <x v="352"/>
    <n v="0.309"/>
    <n v="128.97999999999999"/>
    <n v="57.680000000000007"/>
    <d v="2025-08-06T00:00:00"/>
    <x v="1"/>
    <x v="1"/>
    <n v="7"/>
    <n v="1"/>
    <s v="Pocas Unidades"/>
    <n v="1"/>
    <s v="False"/>
    <m/>
    <n v="0"/>
    <n v="128.97999999999999"/>
    <x v="0"/>
    <n v="0"/>
  </r>
  <r>
    <s v="FB001751"/>
    <x v="1"/>
    <x v="0"/>
    <x v="1"/>
    <s v="S"/>
    <x v="3"/>
    <x v="2"/>
    <n v="78.05"/>
    <x v="417"/>
    <n v="0.48100000000000004"/>
    <n v="40.51"/>
    <n v="37.54"/>
    <d v="2025-08-06T00:00:00"/>
    <x v="1"/>
    <x v="1"/>
    <n v="36"/>
    <n v="2.9"/>
    <s v="Ok"/>
    <n v="2.9"/>
    <s v="True"/>
    <s v="Changed Mind"/>
    <n v="1"/>
    <n v="0"/>
    <x v="5"/>
    <n v="0"/>
  </r>
  <r>
    <s v="FB001752"/>
    <x v="1"/>
    <x v="1"/>
    <x v="0"/>
    <s v="M"/>
    <x v="6"/>
    <x v="9"/>
    <n v="104.75"/>
    <x v="0"/>
    <n v="0"/>
    <n v="104.75"/>
    <n v="0"/>
    <d v="2024-10-26T00:00:00"/>
    <x v="0"/>
    <x v="2"/>
    <n v="11"/>
    <m/>
    <s v="Ok"/>
    <s v="No valorado"/>
    <s v="False"/>
    <m/>
    <n v="0"/>
    <n v="104.75"/>
    <x v="0"/>
    <n v="0"/>
  </r>
  <r>
    <s v="FB001753"/>
    <x v="3"/>
    <x v="1"/>
    <x v="3"/>
    <s v="M"/>
    <x v="6"/>
    <x v="10"/>
    <n v="121.33"/>
    <x v="0"/>
    <n v="0"/>
    <n v="121.33"/>
    <n v="0"/>
    <d v="2025-08-06T00:00:00"/>
    <x v="1"/>
    <x v="1"/>
    <n v="30"/>
    <n v="4.2"/>
    <s v="Ok"/>
    <n v="4.2"/>
    <s v="False"/>
    <m/>
    <n v="0"/>
    <n v="121.33"/>
    <x v="0"/>
    <n v="0"/>
  </r>
  <r>
    <s v="FB001754"/>
    <x v="5"/>
    <x v="3"/>
    <x v="2"/>
    <s v="XXL"/>
    <x v="4"/>
    <x v="6"/>
    <n v="78.09"/>
    <x v="0"/>
    <n v="0"/>
    <n v="78.09"/>
    <n v="0"/>
    <d v="2025-08-06T00:00:00"/>
    <x v="1"/>
    <x v="1"/>
    <n v="6"/>
    <n v="2"/>
    <s v="Pocas Unidades"/>
    <n v="2"/>
    <s v="False"/>
    <m/>
    <n v="0"/>
    <n v="78.09"/>
    <x v="0"/>
    <n v="0"/>
  </r>
  <r>
    <s v="FB001755"/>
    <x v="1"/>
    <x v="1"/>
    <x v="2"/>
    <s v="XXL"/>
    <x v="4"/>
    <x v="0"/>
    <n v="109.19"/>
    <x v="0"/>
    <n v="0"/>
    <n v="109.19"/>
    <n v="0"/>
    <d v="2025-08-06T00:00:00"/>
    <x v="1"/>
    <x v="1"/>
    <n v="47"/>
    <n v="4.5"/>
    <s v="Ok"/>
    <n v="4.5"/>
    <s v="False"/>
    <m/>
    <n v="0"/>
    <n v="109.19"/>
    <x v="0"/>
    <n v="0"/>
  </r>
  <r>
    <s v="FB001756"/>
    <x v="3"/>
    <x v="5"/>
    <x v="1"/>
    <s v="L"/>
    <x v="1"/>
    <x v="2"/>
    <n v="126.74"/>
    <x v="0"/>
    <n v="0"/>
    <n v="126.74"/>
    <n v="0"/>
    <d v="2025-08-06T00:00:00"/>
    <x v="1"/>
    <x v="1"/>
    <n v="2"/>
    <n v="2.9"/>
    <s v="Pocas Unidades"/>
    <n v="2.9"/>
    <s v="False"/>
    <m/>
    <n v="0"/>
    <n v="126.74"/>
    <x v="0"/>
    <n v="0"/>
  </r>
  <r>
    <s v="FB001757"/>
    <x v="3"/>
    <x v="4"/>
    <x v="0"/>
    <s v="XL"/>
    <x v="0"/>
    <x v="2"/>
    <n v="95.85"/>
    <x v="0"/>
    <n v="0"/>
    <n v="95.85"/>
    <n v="0"/>
    <d v="2025-02-15T00:00:00"/>
    <x v="0"/>
    <x v="9"/>
    <n v="45"/>
    <n v="5"/>
    <s v="Ok"/>
    <n v="5"/>
    <s v="False"/>
    <m/>
    <n v="0"/>
    <n v="95.85"/>
    <x v="0"/>
    <n v="0"/>
  </r>
  <r>
    <s v="FB001758"/>
    <x v="0"/>
    <x v="3"/>
    <x v="3"/>
    <s v="S"/>
    <x v="3"/>
    <x v="5"/>
    <n v="213.98"/>
    <x v="0"/>
    <n v="0"/>
    <n v="213.98"/>
    <n v="0"/>
    <d v="2025-08-06T00:00:00"/>
    <x v="1"/>
    <x v="1"/>
    <n v="38"/>
    <m/>
    <s v="Ok"/>
    <s v="No valorado"/>
    <s v="False"/>
    <m/>
    <n v="0"/>
    <n v="213.98"/>
    <x v="0"/>
    <n v="0"/>
  </r>
  <r>
    <s v="FB001759"/>
    <x v="3"/>
    <x v="7"/>
    <x v="0"/>
    <s v="XXL"/>
    <x v="4"/>
    <x v="7"/>
    <n v="146.22999999999999"/>
    <x v="39"/>
    <n v="0.4"/>
    <n v="87.74"/>
    <n v="58.489999999999995"/>
    <d v="2025-01-27T00:00:00"/>
    <x v="2"/>
    <x v="5"/>
    <n v="17"/>
    <n v="2.6"/>
    <s v="Ok"/>
    <n v="2.6"/>
    <s v="True"/>
    <s v="Quality Issue"/>
    <n v="1"/>
    <n v="0"/>
    <x v="4"/>
    <n v="0"/>
  </r>
  <r>
    <s v="FB001760"/>
    <x v="4"/>
    <x v="3"/>
    <x v="1"/>
    <s v="L"/>
    <x v="1"/>
    <x v="1"/>
    <n v="115.57"/>
    <x v="246"/>
    <n v="0.161"/>
    <n v="96.96"/>
    <n v="18.61"/>
    <d v="2025-08-06T00:00:00"/>
    <x v="1"/>
    <x v="1"/>
    <n v="32"/>
    <n v="3.1"/>
    <s v="Ok"/>
    <n v="3.1"/>
    <s v="True"/>
    <s v="Size Issue"/>
    <n v="1"/>
    <n v="0"/>
    <x v="2"/>
    <n v="0"/>
  </r>
  <r>
    <s v="FB001761"/>
    <x v="2"/>
    <x v="2"/>
    <x v="0"/>
    <m/>
    <x v="2"/>
    <x v="5"/>
    <n v="66.62"/>
    <x v="0"/>
    <n v="0"/>
    <n v="66.62"/>
    <n v="0"/>
    <d v="2024-10-27T00:00:00"/>
    <x v="6"/>
    <x v="2"/>
    <n v="37"/>
    <m/>
    <s v="Ok"/>
    <s v="No valorado"/>
    <s v="False"/>
    <m/>
    <n v="0"/>
    <n v="66.62"/>
    <x v="0"/>
    <n v="0"/>
  </r>
  <r>
    <s v="FB001762"/>
    <x v="5"/>
    <x v="2"/>
    <x v="0"/>
    <s v="XS"/>
    <x v="5"/>
    <x v="9"/>
    <n v="60.37"/>
    <x v="254"/>
    <n v="0.23100000000000001"/>
    <n v="46.42"/>
    <n v="13.949999999999996"/>
    <d v="2025-03-14T00:00:00"/>
    <x v="4"/>
    <x v="3"/>
    <n v="30"/>
    <n v="4.8"/>
    <s v="Ok"/>
    <n v="4.8"/>
    <s v="False"/>
    <m/>
    <n v="0"/>
    <n v="46.42"/>
    <x v="0"/>
    <n v="0"/>
  </r>
  <r>
    <s v="FB001763"/>
    <x v="3"/>
    <x v="4"/>
    <x v="1"/>
    <s v="M"/>
    <x v="6"/>
    <x v="5"/>
    <n v="83.2"/>
    <x v="19"/>
    <n v="0.57100000000000006"/>
    <n v="35.69"/>
    <n v="47.510000000000005"/>
    <d v="2025-08-06T00:00:00"/>
    <x v="1"/>
    <x v="1"/>
    <n v="10"/>
    <n v="3.3"/>
    <s v="Ok"/>
    <n v="3.3"/>
    <s v="False"/>
    <m/>
    <n v="0"/>
    <n v="35.69"/>
    <x v="0"/>
    <n v="0"/>
  </r>
  <r>
    <s v="FB001764"/>
    <x v="0"/>
    <x v="1"/>
    <x v="3"/>
    <s v="S"/>
    <x v="3"/>
    <x v="8"/>
    <n v="204.47"/>
    <x v="403"/>
    <n v="3.6000000000000004E-2"/>
    <n v="197.11"/>
    <n v="7.3599999999999852"/>
    <d v="2025-08-06T00:00:00"/>
    <x v="1"/>
    <x v="1"/>
    <n v="26"/>
    <m/>
    <s v="Ok"/>
    <s v="No valorado"/>
    <s v="False"/>
    <m/>
    <n v="0"/>
    <n v="197.11"/>
    <x v="0"/>
    <n v="0"/>
  </r>
  <r>
    <s v="FB001765"/>
    <x v="2"/>
    <x v="3"/>
    <x v="2"/>
    <m/>
    <x v="2"/>
    <x v="9"/>
    <n v="52.73"/>
    <x v="0"/>
    <n v="0"/>
    <n v="52.73"/>
    <n v="0"/>
    <d v="2025-08-06T00:00:00"/>
    <x v="1"/>
    <x v="1"/>
    <n v="42"/>
    <m/>
    <s v="Ok"/>
    <s v="No valorado"/>
    <s v="False"/>
    <m/>
    <n v="0"/>
    <n v="52.73"/>
    <x v="0"/>
    <n v="0"/>
  </r>
  <r>
    <s v="FB001766"/>
    <x v="4"/>
    <x v="7"/>
    <x v="2"/>
    <s v="XXL"/>
    <x v="4"/>
    <x v="7"/>
    <n v="61.1"/>
    <x v="0"/>
    <n v="0"/>
    <n v="61.1"/>
    <n v="0"/>
    <d v="2025-08-06T00:00:00"/>
    <x v="1"/>
    <x v="1"/>
    <n v="30"/>
    <n v="4.5999999999999996"/>
    <s v="Ok"/>
    <n v="4.5999999999999996"/>
    <s v="False"/>
    <m/>
    <n v="0"/>
    <n v="61.1"/>
    <x v="0"/>
    <n v="0"/>
  </r>
  <r>
    <s v="FB001767"/>
    <x v="0"/>
    <x v="0"/>
    <x v="3"/>
    <s v="S"/>
    <x v="3"/>
    <x v="4"/>
    <n v="227.92"/>
    <x v="0"/>
    <n v="0"/>
    <n v="227.92"/>
    <n v="0"/>
    <d v="2025-08-06T00:00:00"/>
    <x v="1"/>
    <x v="1"/>
    <n v="34"/>
    <m/>
    <s v="Ok"/>
    <s v="No valorado"/>
    <s v="False"/>
    <m/>
    <n v="0"/>
    <n v="227.92"/>
    <x v="0"/>
    <n v="0"/>
  </r>
  <r>
    <s v="FB001768"/>
    <x v="5"/>
    <x v="4"/>
    <x v="2"/>
    <s v="L"/>
    <x v="1"/>
    <x v="5"/>
    <n v="111.55"/>
    <x v="0"/>
    <n v="0"/>
    <n v="111.55"/>
    <n v="0"/>
    <d v="2025-08-06T00:00:00"/>
    <x v="1"/>
    <x v="1"/>
    <n v="14"/>
    <m/>
    <s v="Ok"/>
    <s v="No valorado"/>
    <s v="False"/>
    <m/>
    <n v="0"/>
    <n v="111.55"/>
    <x v="0"/>
    <n v="0"/>
  </r>
  <r>
    <s v="FB001769"/>
    <x v="4"/>
    <x v="7"/>
    <x v="2"/>
    <s v="XS"/>
    <x v="5"/>
    <x v="1"/>
    <n v="29.09"/>
    <x v="418"/>
    <n v="0.29600000000000004"/>
    <n v="20.48"/>
    <n v="8.61"/>
    <d v="2025-08-06T00:00:00"/>
    <x v="1"/>
    <x v="1"/>
    <n v="25"/>
    <n v="4.8"/>
    <s v="Ok"/>
    <n v="4.8"/>
    <s v="False"/>
    <m/>
    <n v="0"/>
    <n v="20.48"/>
    <x v="0"/>
    <n v="0"/>
  </r>
  <r>
    <s v="FB001770"/>
    <x v="5"/>
    <x v="4"/>
    <x v="2"/>
    <s v="M"/>
    <x v="6"/>
    <x v="1"/>
    <n v="179.71"/>
    <x v="0"/>
    <n v="0"/>
    <n v="179.71"/>
    <n v="0"/>
    <d v="2025-08-06T00:00:00"/>
    <x v="1"/>
    <x v="1"/>
    <n v="9"/>
    <n v="3.9"/>
    <s v="Pocas Unidades"/>
    <n v="3.9"/>
    <s v="False"/>
    <m/>
    <n v="0"/>
    <n v="179.71"/>
    <x v="0"/>
    <n v="0"/>
  </r>
  <r>
    <s v="FB001771"/>
    <x v="2"/>
    <x v="4"/>
    <x v="3"/>
    <m/>
    <x v="2"/>
    <x v="1"/>
    <n v="52.76"/>
    <x v="104"/>
    <n v="0.39399999999999996"/>
    <n v="31.97"/>
    <n v="20.79"/>
    <d v="2025-08-06T00:00:00"/>
    <x v="1"/>
    <x v="1"/>
    <n v="0"/>
    <n v="1.4"/>
    <s v="Agotado"/>
    <n v="1.4"/>
    <s v="False"/>
    <m/>
    <n v="0"/>
    <n v="31.97"/>
    <x v="0"/>
    <n v="0"/>
  </r>
  <r>
    <s v="FB001772"/>
    <x v="2"/>
    <x v="1"/>
    <x v="0"/>
    <m/>
    <x v="2"/>
    <x v="6"/>
    <n v="67.900000000000006"/>
    <x v="0"/>
    <n v="0"/>
    <n v="67.900000000000006"/>
    <n v="0"/>
    <d v="2024-12-31T00:00:00"/>
    <x v="3"/>
    <x v="10"/>
    <n v="1"/>
    <n v="1.3"/>
    <s v="Pocas Unidades"/>
    <n v="1.3"/>
    <s v="False"/>
    <m/>
    <n v="0"/>
    <n v="67.900000000000006"/>
    <x v="0"/>
    <n v="0"/>
  </r>
  <r>
    <s v="FB001773"/>
    <x v="2"/>
    <x v="1"/>
    <x v="2"/>
    <m/>
    <x v="2"/>
    <x v="8"/>
    <n v="46.77"/>
    <x v="140"/>
    <n v="0.40799999999999997"/>
    <n v="27.69"/>
    <n v="19.080000000000002"/>
    <d v="2025-08-06T00:00:00"/>
    <x v="1"/>
    <x v="1"/>
    <n v="25"/>
    <n v="2.6"/>
    <s v="Ok"/>
    <n v="2.6"/>
    <s v="False"/>
    <m/>
    <n v="0"/>
    <n v="27.69"/>
    <x v="0"/>
    <n v="0"/>
  </r>
  <r>
    <s v="FB001774"/>
    <x v="1"/>
    <x v="1"/>
    <x v="1"/>
    <s v="XL"/>
    <x v="0"/>
    <x v="8"/>
    <n v="91.6"/>
    <x v="0"/>
    <n v="0"/>
    <n v="91.6"/>
    <n v="0"/>
    <d v="2025-08-06T00:00:00"/>
    <x v="1"/>
    <x v="1"/>
    <n v="6"/>
    <n v="2.7"/>
    <s v="Pocas Unidades"/>
    <n v="2.7"/>
    <s v="False"/>
    <m/>
    <n v="0"/>
    <n v="91.6"/>
    <x v="0"/>
    <n v="0"/>
  </r>
  <r>
    <s v="FB001775"/>
    <x v="0"/>
    <x v="1"/>
    <x v="0"/>
    <s v="XS"/>
    <x v="5"/>
    <x v="1"/>
    <n v="230.39"/>
    <x v="127"/>
    <n v="4.2000000000000003E-2"/>
    <n v="220.71"/>
    <n v="9.6799999999999784"/>
    <d v="2024-10-15T00:00:00"/>
    <x v="3"/>
    <x v="2"/>
    <n v="34"/>
    <n v="3.5"/>
    <s v="Ok"/>
    <n v="3.5"/>
    <s v="False"/>
    <m/>
    <n v="0"/>
    <n v="220.71"/>
    <x v="0"/>
    <n v="0"/>
  </r>
  <r>
    <s v="FB001776"/>
    <x v="0"/>
    <x v="5"/>
    <x v="2"/>
    <s v="M"/>
    <x v="6"/>
    <x v="5"/>
    <n v="118.37"/>
    <x v="0"/>
    <n v="0"/>
    <n v="118.37"/>
    <n v="0"/>
    <d v="2025-08-06T00:00:00"/>
    <x v="1"/>
    <x v="1"/>
    <n v="45"/>
    <m/>
    <s v="Ok"/>
    <s v="No valorado"/>
    <s v="False"/>
    <m/>
    <n v="0"/>
    <n v="118.37"/>
    <x v="0"/>
    <n v="0"/>
  </r>
  <r>
    <s v="FB001777"/>
    <x v="3"/>
    <x v="6"/>
    <x v="1"/>
    <s v="M"/>
    <x v="6"/>
    <x v="0"/>
    <n v="81.260000000000005"/>
    <x v="185"/>
    <n v="0.32700000000000001"/>
    <n v="54.69"/>
    <n v="26.570000000000007"/>
    <d v="2025-08-06T00:00:00"/>
    <x v="1"/>
    <x v="1"/>
    <n v="2"/>
    <n v="3.3"/>
    <s v="Pocas Unidades"/>
    <n v="3.3"/>
    <s v="False"/>
    <m/>
    <n v="0"/>
    <n v="54.69"/>
    <x v="0"/>
    <n v="0"/>
  </r>
  <r>
    <s v="FB001778"/>
    <x v="2"/>
    <x v="4"/>
    <x v="2"/>
    <m/>
    <x v="2"/>
    <x v="9"/>
    <n v="57.21"/>
    <x v="26"/>
    <n v="0.18"/>
    <n v="46.91"/>
    <n v="10.300000000000004"/>
    <d v="2025-08-06T00:00:00"/>
    <x v="1"/>
    <x v="1"/>
    <n v="7"/>
    <n v="2.5"/>
    <s v="Pocas Unidades"/>
    <n v="2.5"/>
    <s v="False"/>
    <m/>
    <n v="0"/>
    <n v="46.91"/>
    <x v="0"/>
    <n v="0"/>
  </r>
  <r>
    <s v="FB001779"/>
    <x v="5"/>
    <x v="7"/>
    <x v="3"/>
    <s v="XL"/>
    <x v="0"/>
    <x v="10"/>
    <n v="74.53"/>
    <x v="0"/>
    <n v="0"/>
    <n v="74.53"/>
    <n v="0"/>
    <d v="2025-08-06T00:00:00"/>
    <x v="1"/>
    <x v="1"/>
    <n v="9"/>
    <m/>
    <s v="Pocas Unidades"/>
    <s v="No valorado"/>
    <s v="False"/>
    <m/>
    <n v="0"/>
    <n v="74.53"/>
    <x v="0"/>
    <n v="0"/>
  </r>
  <r>
    <s v="FB001780"/>
    <x v="5"/>
    <x v="2"/>
    <x v="3"/>
    <s v="M"/>
    <x v="6"/>
    <x v="0"/>
    <n v="69.540000000000006"/>
    <x v="0"/>
    <n v="0"/>
    <n v="69.540000000000006"/>
    <n v="0"/>
    <d v="2025-08-06T00:00:00"/>
    <x v="1"/>
    <x v="1"/>
    <n v="40"/>
    <n v="3.2"/>
    <s v="Ok"/>
    <n v="3.2"/>
    <s v="True"/>
    <s v="Size Issue"/>
    <n v="1"/>
    <n v="0"/>
    <x v="2"/>
    <n v="0"/>
  </r>
  <r>
    <s v="FB001781"/>
    <x v="5"/>
    <x v="5"/>
    <x v="3"/>
    <s v="XL"/>
    <x v="0"/>
    <x v="10"/>
    <n v="102.71"/>
    <x v="18"/>
    <n v="0.55899999999999994"/>
    <n v="45.3"/>
    <n v="57.41"/>
    <d v="2025-08-06T00:00:00"/>
    <x v="1"/>
    <x v="1"/>
    <n v="31"/>
    <n v="4.5999999999999996"/>
    <s v="Ok"/>
    <n v="4.5999999999999996"/>
    <s v="False"/>
    <m/>
    <n v="0"/>
    <n v="45.3"/>
    <x v="0"/>
    <n v="0"/>
  </r>
  <r>
    <s v="FB001782"/>
    <x v="3"/>
    <x v="6"/>
    <x v="3"/>
    <s v="L"/>
    <x v="1"/>
    <x v="7"/>
    <n v="117.82"/>
    <x v="0"/>
    <n v="0"/>
    <n v="117.82"/>
    <n v="0"/>
    <d v="2025-08-06T00:00:00"/>
    <x v="1"/>
    <x v="1"/>
    <n v="7"/>
    <n v="4.9000000000000004"/>
    <s v="Pocas Unidades"/>
    <n v="4.9000000000000004"/>
    <s v="False"/>
    <m/>
    <n v="0"/>
    <n v="117.82"/>
    <x v="0"/>
    <n v="0"/>
  </r>
  <r>
    <s v="FB001783"/>
    <x v="2"/>
    <x v="6"/>
    <x v="0"/>
    <m/>
    <x v="2"/>
    <x v="9"/>
    <n v="61.01"/>
    <x v="0"/>
    <n v="0"/>
    <n v="61.01"/>
    <n v="0"/>
    <d v="2025-04-25T00:00:00"/>
    <x v="4"/>
    <x v="4"/>
    <n v="30"/>
    <n v="3.4"/>
    <s v="Ok"/>
    <n v="3.4"/>
    <s v="False"/>
    <m/>
    <n v="0"/>
    <n v="61.01"/>
    <x v="0"/>
    <n v="0"/>
  </r>
  <r>
    <s v="FB001784"/>
    <x v="0"/>
    <x v="7"/>
    <x v="1"/>
    <s v="XL"/>
    <x v="0"/>
    <x v="1"/>
    <n v="222.01"/>
    <x v="0"/>
    <n v="0"/>
    <n v="222.01"/>
    <n v="0"/>
    <d v="2025-08-06T00:00:00"/>
    <x v="1"/>
    <x v="1"/>
    <n v="27"/>
    <n v="2.1"/>
    <s v="Ok"/>
    <n v="2.1"/>
    <s v="False"/>
    <m/>
    <n v="0"/>
    <n v="222.01"/>
    <x v="0"/>
    <n v="0"/>
  </r>
  <r>
    <s v="FB001785"/>
    <x v="0"/>
    <x v="4"/>
    <x v="3"/>
    <s v="L"/>
    <x v="1"/>
    <x v="10"/>
    <n v="123.55"/>
    <x v="0"/>
    <n v="0"/>
    <n v="123.55"/>
    <n v="0"/>
    <d v="2025-08-06T00:00:00"/>
    <x v="1"/>
    <x v="1"/>
    <n v="28"/>
    <n v="1.2"/>
    <s v="Ok"/>
    <n v="1.2"/>
    <s v="False"/>
    <m/>
    <n v="0"/>
    <n v="123.55"/>
    <x v="0"/>
    <n v="0"/>
  </r>
  <r>
    <s v="FB001786"/>
    <x v="2"/>
    <x v="0"/>
    <x v="2"/>
    <m/>
    <x v="2"/>
    <x v="2"/>
    <n v="24.65"/>
    <x v="0"/>
    <n v="0"/>
    <n v="24.65"/>
    <n v="0"/>
    <d v="2025-08-06T00:00:00"/>
    <x v="1"/>
    <x v="1"/>
    <n v="43"/>
    <n v="1.1000000000000001"/>
    <s v="Ok"/>
    <n v="1.1000000000000001"/>
    <s v="False"/>
    <m/>
    <n v="0"/>
    <n v="24.65"/>
    <x v="0"/>
    <n v="0"/>
  </r>
  <r>
    <s v="FB001787"/>
    <x v="0"/>
    <x v="2"/>
    <x v="2"/>
    <s v="XXL"/>
    <x v="4"/>
    <x v="8"/>
    <n v="168.8"/>
    <x v="0"/>
    <n v="0"/>
    <n v="168.8"/>
    <n v="0"/>
    <d v="2025-08-06T00:00:00"/>
    <x v="1"/>
    <x v="1"/>
    <n v="1"/>
    <n v="1"/>
    <s v="Pocas Unidades"/>
    <n v="1"/>
    <s v="False"/>
    <m/>
    <n v="0"/>
    <n v="168.8"/>
    <x v="0"/>
    <n v="0"/>
  </r>
  <r>
    <s v="FB001788"/>
    <x v="1"/>
    <x v="6"/>
    <x v="2"/>
    <s v="S"/>
    <x v="3"/>
    <x v="6"/>
    <n v="39.159999999999997"/>
    <x v="419"/>
    <n v="0.40100000000000002"/>
    <n v="23.46"/>
    <n v="15.699999999999996"/>
    <d v="2025-08-06T00:00:00"/>
    <x v="1"/>
    <x v="1"/>
    <n v="4"/>
    <n v="2.8"/>
    <s v="Pocas Unidades"/>
    <n v="2.8"/>
    <s v="False"/>
    <m/>
    <n v="0"/>
    <n v="23.46"/>
    <x v="0"/>
    <n v="0"/>
  </r>
  <r>
    <s v="FB001789"/>
    <x v="4"/>
    <x v="4"/>
    <x v="2"/>
    <m/>
    <x v="7"/>
    <x v="10"/>
    <n v="74.760000000000005"/>
    <x v="0"/>
    <n v="0"/>
    <n v="74.760000000000005"/>
    <n v="0"/>
    <d v="2025-08-06T00:00:00"/>
    <x v="1"/>
    <x v="1"/>
    <n v="50"/>
    <n v="4.4000000000000004"/>
    <s v="Ok"/>
    <n v="4.4000000000000004"/>
    <s v="True"/>
    <s v="Color Mismatch"/>
    <n v="1"/>
    <n v="0"/>
    <x v="1"/>
    <n v="0"/>
  </r>
  <r>
    <s v="FB001790"/>
    <x v="2"/>
    <x v="6"/>
    <x v="1"/>
    <m/>
    <x v="2"/>
    <x v="8"/>
    <n v="37"/>
    <x v="0"/>
    <n v="0"/>
    <n v="37"/>
    <n v="0"/>
    <d v="2025-08-06T00:00:00"/>
    <x v="1"/>
    <x v="1"/>
    <n v="5"/>
    <n v="4.9000000000000004"/>
    <s v="Pocas Unidades"/>
    <n v="4.9000000000000004"/>
    <s v="False"/>
    <m/>
    <n v="0"/>
    <n v="37"/>
    <x v="0"/>
    <n v="0"/>
  </r>
  <r>
    <s v="FB001791"/>
    <x v="2"/>
    <x v="3"/>
    <x v="1"/>
    <m/>
    <x v="2"/>
    <x v="2"/>
    <n v="67.38"/>
    <x v="0"/>
    <n v="0"/>
    <n v="67.38"/>
    <n v="0"/>
    <d v="2025-08-06T00:00:00"/>
    <x v="1"/>
    <x v="1"/>
    <n v="15"/>
    <n v="1.6"/>
    <s v="Ok"/>
    <n v="1.6"/>
    <s v="False"/>
    <m/>
    <n v="0"/>
    <n v="67.38"/>
    <x v="0"/>
    <n v="0"/>
  </r>
  <r>
    <s v="FB001792"/>
    <x v="4"/>
    <x v="4"/>
    <x v="3"/>
    <s v="XS"/>
    <x v="5"/>
    <x v="3"/>
    <n v="77.44"/>
    <x v="87"/>
    <n v="1.3999999999999999E-2"/>
    <n v="76.36"/>
    <n v="1.0799999999999983"/>
    <d v="2025-08-06T00:00:00"/>
    <x v="1"/>
    <x v="1"/>
    <n v="18"/>
    <n v="3.3"/>
    <s v="Ok"/>
    <n v="3.3"/>
    <s v="False"/>
    <m/>
    <n v="0"/>
    <n v="76.36"/>
    <x v="0"/>
    <n v="0"/>
  </r>
  <r>
    <s v="FB001793"/>
    <x v="0"/>
    <x v="4"/>
    <x v="3"/>
    <s v="XS"/>
    <x v="5"/>
    <x v="4"/>
    <n v="215.06"/>
    <x v="0"/>
    <n v="0"/>
    <n v="215.06"/>
    <n v="0"/>
    <d v="2025-08-06T00:00:00"/>
    <x v="1"/>
    <x v="1"/>
    <n v="50"/>
    <n v="1.6"/>
    <s v="Ok"/>
    <n v="1.6"/>
    <s v="False"/>
    <m/>
    <n v="0"/>
    <n v="215.06"/>
    <x v="0"/>
    <n v="0"/>
  </r>
  <r>
    <s v="FB001794"/>
    <x v="0"/>
    <x v="2"/>
    <x v="1"/>
    <s v="XS"/>
    <x v="5"/>
    <x v="4"/>
    <n v="141.44"/>
    <x v="0"/>
    <n v="0"/>
    <n v="141.44"/>
    <n v="0"/>
    <d v="2025-08-06T00:00:00"/>
    <x v="1"/>
    <x v="1"/>
    <n v="34"/>
    <n v="2.4"/>
    <s v="Ok"/>
    <n v="2.4"/>
    <s v="False"/>
    <m/>
    <n v="0"/>
    <n v="141.44"/>
    <x v="0"/>
    <n v="0"/>
  </r>
  <r>
    <s v="FB001795"/>
    <x v="5"/>
    <x v="5"/>
    <x v="0"/>
    <s v="XXL"/>
    <x v="4"/>
    <x v="3"/>
    <n v="151.83000000000001"/>
    <x v="0"/>
    <n v="0"/>
    <n v="151.83000000000001"/>
    <n v="0"/>
    <d v="2025-06-17T00:00:00"/>
    <x v="3"/>
    <x v="7"/>
    <n v="24"/>
    <n v="4.3"/>
    <s v="Ok"/>
    <n v="4.3"/>
    <s v="True"/>
    <s v="Wrong Item"/>
    <n v="1"/>
    <n v="0"/>
    <x v="6"/>
    <n v="0"/>
  </r>
  <r>
    <s v="FB001796"/>
    <x v="0"/>
    <x v="6"/>
    <x v="1"/>
    <s v="XL"/>
    <x v="0"/>
    <x v="4"/>
    <n v="140.07"/>
    <x v="0"/>
    <n v="0"/>
    <n v="140.07"/>
    <n v="0"/>
    <d v="2025-08-06T00:00:00"/>
    <x v="1"/>
    <x v="1"/>
    <n v="23"/>
    <n v="2.7"/>
    <s v="Ok"/>
    <n v="2.7"/>
    <s v="False"/>
    <m/>
    <n v="0"/>
    <n v="140.07"/>
    <x v="0"/>
    <n v="0"/>
  </r>
  <r>
    <s v="FB001797"/>
    <x v="5"/>
    <x v="3"/>
    <x v="3"/>
    <s v="XXL"/>
    <x v="4"/>
    <x v="1"/>
    <n v="94.26"/>
    <x v="420"/>
    <n v="0.28899999999999998"/>
    <n v="67.02"/>
    <n v="27.240000000000009"/>
    <d v="2025-08-06T00:00:00"/>
    <x v="1"/>
    <x v="1"/>
    <n v="44"/>
    <n v="3.6"/>
    <s v="Ok"/>
    <n v="3.6"/>
    <s v="False"/>
    <m/>
    <n v="0"/>
    <n v="67.02"/>
    <x v="0"/>
    <n v="0"/>
  </r>
  <r>
    <s v="FB001798"/>
    <x v="2"/>
    <x v="5"/>
    <x v="1"/>
    <m/>
    <x v="2"/>
    <x v="6"/>
    <n v="55.79"/>
    <x v="230"/>
    <n v="0.27300000000000002"/>
    <n v="40.56"/>
    <n v="15.229999999999997"/>
    <d v="2025-08-06T00:00:00"/>
    <x v="1"/>
    <x v="1"/>
    <n v="39"/>
    <n v="4.9000000000000004"/>
    <s v="Ok"/>
    <n v="4.9000000000000004"/>
    <s v="False"/>
    <m/>
    <n v="0"/>
    <n v="40.56"/>
    <x v="0"/>
    <n v="0"/>
  </r>
  <r>
    <s v="FB001799"/>
    <x v="2"/>
    <x v="6"/>
    <x v="1"/>
    <m/>
    <x v="2"/>
    <x v="2"/>
    <n v="58.99"/>
    <x v="0"/>
    <n v="0"/>
    <n v="58.99"/>
    <n v="0"/>
    <d v="2025-08-06T00:00:00"/>
    <x v="1"/>
    <x v="1"/>
    <n v="50"/>
    <n v="2.7"/>
    <s v="Ok"/>
    <n v="2.7"/>
    <s v="False"/>
    <m/>
    <n v="0"/>
    <n v="58.99"/>
    <x v="0"/>
    <n v="0"/>
  </r>
  <r>
    <s v="FB001800"/>
    <x v="4"/>
    <x v="7"/>
    <x v="3"/>
    <s v="XXL"/>
    <x v="4"/>
    <x v="9"/>
    <n v="61.96"/>
    <x v="0"/>
    <n v="0"/>
    <n v="61.96"/>
    <n v="0"/>
    <d v="2025-08-06T00:00:00"/>
    <x v="1"/>
    <x v="1"/>
    <n v="13"/>
    <n v="3.9"/>
    <s v="Ok"/>
    <n v="3.9"/>
    <s v="False"/>
    <m/>
    <n v="0"/>
    <n v="61.96"/>
    <x v="0"/>
    <n v="0"/>
  </r>
  <r>
    <s v="FB001801"/>
    <x v="4"/>
    <x v="0"/>
    <x v="2"/>
    <s v="L"/>
    <x v="1"/>
    <x v="10"/>
    <n v="104.25"/>
    <x v="0"/>
    <n v="0"/>
    <n v="104.25"/>
    <n v="0"/>
    <d v="2025-08-06T00:00:00"/>
    <x v="1"/>
    <x v="1"/>
    <n v="35"/>
    <n v="3.1"/>
    <s v="Ok"/>
    <n v="3.1"/>
    <s v="False"/>
    <m/>
    <n v="0"/>
    <n v="104.25"/>
    <x v="0"/>
    <n v="0"/>
  </r>
  <r>
    <s v="FB001802"/>
    <x v="0"/>
    <x v="4"/>
    <x v="1"/>
    <s v="L"/>
    <x v="1"/>
    <x v="4"/>
    <n v="102.68"/>
    <x v="0"/>
    <n v="0"/>
    <n v="102.68"/>
    <n v="0"/>
    <d v="2025-08-06T00:00:00"/>
    <x v="1"/>
    <x v="1"/>
    <n v="18"/>
    <n v="1.9"/>
    <s v="Ok"/>
    <n v="1.9"/>
    <s v="False"/>
    <m/>
    <n v="0"/>
    <n v="102.68"/>
    <x v="0"/>
    <n v="0"/>
  </r>
  <r>
    <s v="FB001803"/>
    <x v="5"/>
    <x v="6"/>
    <x v="1"/>
    <s v="XXL"/>
    <x v="4"/>
    <x v="7"/>
    <n v="131.05000000000001"/>
    <x v="180"/>
    <n v="0.32600000000000001"/>
    <n v="88.33"/>
    <n v="42.720000000000013"/>
    <d v="2025-08-06T00:00:00"/>
    <x v="1"/>
    <x v="1"/>
    <n v="9"/>
    <m/>
    <s v="Pocas Unidades"/>
    <s v="No valorado"/>
    <s v="False"/>
    <m/>
    <n v="0"/>
    <n v="88.33"/>
    <x v="0"/>
    <n v="0"/>
  </r>
  <r>
    <s v="FB001804"/>
    <x v="0"/>
    <x v="2"/>
    <x v="0"/>
    <s v="XS"/>
    <x v="5"/>
    <x v="8"/>
    <n v="139.72999999999999"/>
    <x v="159"/>
    <n v="0.54299999999999993"/>
    <n v="63.86"/>
    <n v="75.86999999999999"/>
    <d v="2025-03-27T00:00:00"/>
    <x v="5"/>
    <x v="3"/>
    <n v="38"/>
    <m/>
    <s v="Ok"/>
    <s v="No valorado"/>
    <s v="True"/>
    <s v="Changed Mind"/>
    <n v="1"/>
    <n v="0"/>
    <x v="5"/>
    <n v="0"/>
  </r>
  <r>
    <s v="FB001805"/>
    <x v="2"/>
    <x v="7"/>
    <x v="1"/>
    <m/>
    <x v="2"/>
    <x v="8"/>
    <n v="17.59"/>
    <x v="0"/>
    <n v="0"/>
    <n v="17.59"/>
    <n v="0"/>
    <d v="2025-08-06T00:00:00"/>
    <x v="1"/>
    <x v="1"/>
    <n v="14"/>
    <m/>
    <s v="Ok"/>
    <s v="No valorado"/>
    <s v="False"/>
    <m/>
    <n v="0"/>
    <n v="17.59"/>
    <x v="0"/>
    <n v="0"/>
  </r>
  <r>
    <s v="FB001806"/>
    <x v="3"/>
    <x v="0"/>
    <x v="2"/>
    <s v="L"/>
    <x v="1"/>
    <x v="0"/>
    <n v="115.09"/>
    <x v="0"/>
    <n v="0"/>
    <n v="115.09"/>
    <n v="0"/>
    <d v="2025-08-06T00:00:00"/>
    <x v="1"/>
    <x v="1"/>
    <n v="10"/>
    <n v="2.5"/>
    <s v="Ok"/>
    <n v="2.5"/>
    <s v="False"/>
    <m/>
    <n v="0"/>
    <n v="115.09"/>
    <x v="0"/>
    <n v="0"/>
  </r>
  <r>
    <s v="FB001807"/>
    <x v="2"/>
    <x v="0"/>
    <x v="3"/>
    <m/>
    <x v="2"/>
    <x v="2"/>
    <n v="73.75"/>
    <x v="0"/>
    <n v="0"/>
    <n v="73.75"/>
    <n v="0"/>
    <d v="2025-08-06T00:00:00"/>
    <x v="1"/>
    <x v="1"/>
    <n v="23"/>
    <n v="4.5"/>
    <s v="Ok"/>
    <n v="4.5"/>
    <s v="False"/>
    <m/>
    <n v="0"/>
    <n v="73.75"/>
    <x v="0"/>
    <n v="0"/>
  </r>
  <r>
    <s v="FB001808"/>
    <x v="2"/>
    <x v="5"/>
    <x v="1"/>
    <m/>
    <x v="2"/>
    <x v="8"/>
    <n v="66.77"/>
    <x v="0"/>
    <n v="0"/>
    <n v="66.77"/>
    <n v="0"/>
    <d v="2025-08-06T00:00:00"/>
    <x v="1"/>
    <x v="1"/>
    <n v="28"/>
    <n v="5"/>
    <s v="Ok"/>
    <n v="5"/>
    <s v="True"/>
    <s v="Size Issue"/>
    <n v="1"/>
    <n v="0"/>
    <x v="2"/>
    <n v="0"/>
  </r>
  <r>
    <s v="FB001809"/>
    <x v="1"/>
    <x v="4"/>
    <x v="2"/>
    <s v="L"/>
    <x v="1"/>
    <x v="3"/>
    <n v="63.92"/>
    <x v="0"/>
    <n v="0"/>
    <n v="63.92"/>
    <n v="0"/>
    <d v="2025-08-06T00:00:00"/>
    <x v="1"/>
    <x v="1"/>
    <n v="10"/>
    <n v="4.4000000000000004"/>
    <s v="Ok"/>
    <n v="4.4000000000000004"/>
    <s v="False"/>
    <m/>
    <n v="0"/>
    <n v="63.92"/>
    <x v="0"/>
    <n v="0"/>
  </r>
  <r>
    <s v="FB001810"/>
    <x v="2"/>
    <x v="4"/>
    <x v="2"/>
    <m/>
    <x v="2"/>
    <x v="6"/>
    <n v="26.26"/>
    <x v="0"/>
    <n v="0"/>
    <n v="26.26"/>
    <n v="0"/>
    <d v="2025-08-06T00:00:00"/>
    <x v="1"/>
    <x v="1"/>
    <n v="27"/>
    <m/>
    <s v="Ok"/>
    <s v="No valorado"/>
    <s v="False"/>
    <m/>
    <n v="0"/>
    <n v="26.26"/>
    <x v="0"/>
    <n v="0"/>
  </r>
  <r>
    <s v="FB001811"/>
    <x v="2"/>
    <x v="4"/>
    <x v="0"/>
    <m/>
    <x v="2"/>
    <x v="3"/>
    <n v="62.58"/>
    <x v="83"/>
    <n v="8.8000000000000009E-2"/>
    <n v="57.07"/>
    <n v="5.509999999999998"/>
    <d v="2024-11-06T00:00:00"/>
    <x v="1"/>
    <x v="11"/>
    <n v="1"/>
    <n v="1.7"/>
    <s v="Pocas Unidades"/>
    <n v="1.7"/>
    <s v="False"/>
    <m/>
    <n v="0"/>
    <n v="57.07"/>
    <x v="0"/>
    <n v="0"/>
  </r>
  <r>
    <s v="FB001812"/>
    <x v="3"/>
    <x v="2"/>
    <x v="3"/>
    <s v="S"/>
    <x v="3"/>
    <x v="6"/>
    <n v="143.88"/>
    <x v="0"/>
    <n v="0"/>
    <n v="143.88"/>
    <n v="0"/>
    <d v="2025-08-06T00:00:00"/>
    <x v="1"/>
    <x v="1"/>
    <n v="1"/>
    <n v="3.1"/>
    <s v="Pocas Unidades"/>
    <n v="3.1"/>
    <s v="False"/>
    <m/>
    <n v="0"/>
    <n v="143.88"/>
    <x v="0"/>
    <n v="0"/>
  </r>
  <r>
    <s v="FB001813"/>
    <x v="0"/>
    <x v="0"/>
    <x v="0"/>
    <s v="XL"/>
    <x v="0"/>
    <x v="5"/>
    <n v="226.24"/>
    <x v="255"/>
    <n v="1.2E-2"/>
    <n v="223.53"/>
    <n v="2.710000000000008"/>
    <d v="2025-02-20T00:00:00"/>
    <x v="5"/>
    <x v="9"/>
    <n v="24"/>
    <n v="4.5"/>
    <s v="Ok"/>
    <n v="4.5"/>
    <s v="False"/>
    <m/>
    <n v="0"/>
    <n v="223.53"/>
    <x v="0"/>
    <n v="0"/>
  </r>
  <r>
    <s v="FB001814"/>
    <x v="3"/>
    <x v="6"/>
    <x v="0"/>
    <s v="XXL"/>
    <x v="4"/>
    <x v="2"/>
    <n v="164.75"/>
    <x v="0"/>
    <n v="0"/>
    <n v="164.75"/>
    <n v="0"/>
    <d v="2025-05-02T00:00:00"/>
    <x v="4"/>
    <x v="8"/>
    <n v="8"/>
    <n v="3.7"/>
    <s v="Pocas Unidades"/>
    <n v="3.7"/>
    <s v="False"/>
    <m/>
    <n v="0"/>
    <n v="164.75"/>
    <x v="0"/>
    <n v="0"/>
  </r>
  <r>
    <s v="FB001815"/>
    <x v="4"/>
    <x v="0"/>
    <x v="3"/>
    <s v="L"/>
    <x v="1"/>
    <x v="8"/>
    <n v="56.14"/>
    <x v="0"/>
    <n v="0"/>
    <n v="56.14"/>
    <n v="0"/>
    <d v="2025-08-06T00:00:00"/>
    <x v="1"/>
    <x v="1"/>
    <n v="16"/>
    <n v="4.3"/>
    <s v="Ok"/>
    <n v="4.3"/>
    <s v="False"/>
    <m/>
    <n v="0"/>
    <n v="56.14"/>
    <x v="0"/>
    <n v="0"/>
  </r>
  <r>
    <s v="FB001816"/>
    <x v="2"/>
    <x v="4"/>
    <x v="1"/>
    <m/>
    <x v="2"/>
    <x v="0"/>
    <n v="39.96"/>
    <x v="0"/>
    <n v="0"/>
    <n v="39.96"/>
    <n v="0"/>
    <d v="2025-08-06T00:00:00"/>
    <x v="1"/>
    <x v="1"/>
    <n v="49"/>
    <m/>
    <s v="Ok"/>
    <s v="No valorado"/>
    <s v="False"/>
    <m/>
    <n v="0"/>
    <n v="39.96"/>
    <x v="0"/>
    <n v="0"/>
  </r>
  <r>
    <s v="FB001817"/>
    <x v="4"/>
    <x v="5"/>
    <x v="3"/>
    <s v="L"/>
    <x v="1"/>
    <x v="8"/>
    <n v="26.5"/>
    <x v="307"/>
    <n v="0.57899999999999996"/>
    <n v="11.16"/>
    <n v="15.34"/>
    <d v="2025-08-06T00:00:00"/>
    <x v="1"/>
    <x v="1"/>
    <n v="8"/>
    <n v="1.7"/>
    <s v="Pocas Unidades"/>
    <n v="1.7"/>
    <s v="False"/>
    <m/>
    <n v="0"/>
    <n v="11.16"/>
    <x v="0"/>
    <n v="0"/>
  </r>
  <r>
    <s v="FB001818"/>
    <x v="3"/>
    <x v="4"/>
    <x v="0"/>
    <s v="XXL"/>
    <x v="4"/>
    <x v="10"/>
    <n v="118.53"/>
    <x v="153"/>
    <n v="0.55000000000000004"/>
    <n v="53.34"/>
    <n v="65.19"/>
    <d v="2025-04-25T00:00:00"/>
    <x v="4"/>
    <x v="4"/>
    <n v="2"/>
    <n v="4.9000000000000004"/>
    <s v="Pocas Unidades"/>
    <n v="4.9000000000000004"/>
    <s v="False"/>
    <m/>
    <n v="0"/>
    <n v="53.34"/>
    <x v="0"/>
    <n v="0"/>
  </r>
  <r>
    <s v="FB001819"/>
    <x v="5"/>
    <x v="3"/>
    <x v="3"/>
    <s v="XL"/>
    <x v="0"/>
    <x v="9"/>
    <n v="58.08"/>
    <x v="0"/>
    <n v="0"/>
    <n v="58.08"/>
    <n v="0"/>
    <d v="2025-08-06T00:00:00"/>
    <x v="1"/>
    <x v="1"/>
    <n v="42"/>
    <n v="1.6"/>
    <s v="Ok"/>
    <n v="1.6"/>
    <s v="False"/>
    <m/>
    <n v="0"/>
    <n v="58.08"/>
    <x v="0"/>
    <n v="0"/>
  </r>
  <r>
    <s v="FB001820"/>
    <x v="3"/>
    <x v="4"/>
    <x v="3"/>
    <s v="S"/>
    <x v="3"/>
    <x v="8"/>
    <n v="138.85"/>
    <x v="336"/>
    <n v="0.15"/>
    <n v="118.02"/>
    <n v="20.83"/>
    <d v="2025-08-06T00:00:00"/>
    <x v="1"/>
    <x v="1"/>
    <n v="17"/>
    <m/>
    <s v="Ok"/>
    <s v="No valorado"/>
    <s v="False"/>
    <m/>
    <n v="0"/>
    <n v="118.02"/>
    <x v="0"/>
    <n v="0"/>
  </r>
  <r>
    <s v="FB001821"/>
    <x v="4"/>
    <x v="2"/>
    <x v="3"/>
    <s v="XS"/>
    <x v="5"/>
    <x v="4"/>
    <n v="73.33"/>
    <x v="0"/>
    <n v="0"/>
    <n v="73.33"/>
    <n v="0"/>
    <d v="2025-08-06T00:00:00"/>
    <x v="1"/>
    <x v="1"/>
    <n v="3"/>
    <n v="3.1"/>
    <s v="Pocas Unidades"/>
    <n v="3.1"/>
    <s v="True"/>
    <s v="Changed Mind"/>
    <n v="1"/>
    <n v="0"/>
    <x v="5"/>
    <n v="0"/>
  </r>
  <r>
    <s v="FB001822"/>
    <x v="0"/>
    <x v="7"/>
    <x v="1"/>
    <s v="S"/>
    <x v="3"/>
    <x v="6"/>
    <n v="167.73"/>
    <x v="0"/>
    <n v="0"/>
    <n v="167.73"/>
    <n v="0"/>
    <d v="2025-08-06T00:00:00"/>
    <x v="1"/>
    <x v="1"/>
    <n v="4"/>
    <n v="4.9000000000000004"/>
    <s v="Pocas Unidades"/>
    <n v="4.9000000000000004"/>
    <s v="False"/>
    <m/>
    <n v="0"/>
    <n v="167.73"/>
    <x v="0"/>
    <n v="0"/>
  </r>
  <r>
    <s v="FB001823"/>
    <x v="1"/>
    <x v="4"/>
    <x v="1"/>
    <s v="XXL"/>
    <x v="4"/>
    <x v="2"/>
    <n v="79.47"/>
    <x v="0"/>
    <n v="0"/>
    <n v="79.47"/>
    <n v="0"/>
    <d v="2025-08-06T00:00:00"/>
    <x v="1"/>
    <x v="1"/>
    <n v="31"/>
    <n v="3.7"/>
    <s v="Ok"/>
    <n v="3.7"/>
    <s v="False"/>
    <m/>
    <n v="0"/>
    <n v="79.47"/>
    <x v="0"/>
    <n v="0"/>
  </r>
  <r>
    <s v="FB001824"/>
    <x v="5"/>
    <x v="7"/>
    <x v="3"/>
    <s v="XL"/>
    <x v="0"/>
    <x v="3"/>
    <n v="69.12"/>
    <x v="179"/>
    <n v="0.49399999999999999"/>
    <n v="34.97"/>
    <n v="34.150000000000006"/>
    <d v="2025-08-06T00:00:00"/>
    <x v="1"/>
    <x v="1"/>
    <n v="45"/>
    <n v="2.2999999999999998"/>
    <s v="Ok"/>
    <n v="2.2999999999999998"/>
    <s v="False"/>
    <m/>
    <n v="0"/>
    <n v="34.97"/>
    <x v="0"/>
    <n v="0"/>
  </r>
  <r>
    <s v="FB001825"/>
    <x v="4"/>
    <x v="3"/>
    <x v="3"/>
    <s v="S"/>
    <x v="3"/>
    <x v="9"/>
    <n v="56.18"/>
    <x v="421"/>
    <n v="6.7000000000000004E-2"/>
    <n v="52.42"/>
    <n v="3.759999999999998"/>
    <d v="2025-08-06T00:00:00"/>
    <x v="1"/>
    <x v="1"/>
    <n v="35"/>
    <n v="2.6"/>
    <s v="Ok"/>
    <n v="2.6"/>
    <s v="True"/>
    <s v="Changed Mind"/>
    <n v="1"/>
    <n v="0"/>
    <x v="5"/>
    <n v="0"/>
  </r>
  <r>
    <s v="FB001826"/>
    <x v="1"/>
    <x v="6"/>
    <x v="1"/>
    <s v="XS"/>
    <x v="5"/>
    <x v="4"/>
    <n v="51.28"/>
    <x v="422"/>
    <n v="0.48299999999999998"/>
    <n v="26.51"/>
    <n v="24.77"/>
    <d v="2025-08-06T00:00:00"/>
    <x v="1"/>
    <x v="1"/>
    <n v="9"/>
    <n v="1.1000000000000001"/>
    <s v="Pocas Unidades"/>
    <n v="1.1000000000000001"/>
    <s v="True"/>
    <s v="Changed Mind"/>
    <n v="1"/>
    <n v="0"/>
    <x v="5"/>
    <n v="0"/>
  </r>
  <r>
    <s v="FB001827"/>
    <x v="0"/>
    <x v="6"/>
    <x v="0"/>
    <m/>
    <x v="7"/>
    <x v="6"/>
    <n v="111.73"/>
    <x v="257"/>
    <n v="0.16800000000000001"/>
    <n v="92.96"/>
    <n v="18.77000000000001"/>
    <d v="2025-05-29T00:00:00"/>
    <x v="5"/>
    <x v="8"/>
    <n v="41"/>
    <n v="1.2"/>
    <s v="Ok"/>
    <n v="1.2"/>
    <s v="False"/>
    <m/>
    <n v="0"/>
    <n v="92.96"/>
    <x v="0"/>
    <n v="0"/>
  </r>
  <r>
    <s v="FB001828"/>
    <x v="4"/>
    <x v="5"/>
    <x v="2"/>
    <s v="XXL"/>
    <x v="4"/>
    <x v="4"/>
    <n v="49.08"/>
    <x v="274"/>
    <n v="0.19899999999999998"/>
    <n v="39.31"/>
    <n v="9.769999999999996"/>
    <d v="2025-08-06T00:00:00"/>
    <x v="1"/>
    <x v="1"/>
    <n v="46"/>
    <n v="1"/>
    <s v="Ok"/>
    <n v="1"/>
    <s v="True"/>
    <s v="Changed Mind"/>
    <n v="1"/>
    <n v="0"/>
    <x v="5"/>
    <n v="0"/>
  </r>
  <r>
    <s v="FB001829"/>
    <x v="3"/>
    <x v="7"/>
    <x v="1"/>
    <s v="M"/>
    <x v="6"/>
    <x v="1"/>
    <n v="182.47"/>
    <x v="406"/>
    <n v="0.27100000000000002"/>
    <n v="133.02000000000001"/>
    <n v="49.449999999999989"/>
    <d v="2025-08-06T00:00:00"/>
    <x v="1"/>
    <x v="1"/>
    <n v="40"/>
    <m/>
    <s v="Ok"/>
    <s v="No valorado"/>
    <s v="False"/>
    <m/>
    <n v="0"/>
    <n v="133.02000000000001"/>
    <x v="0"/>
    <n v="0"/>
  </r>
  <r>
    <s v="FB001830"/>
    <x v="0"/>
    <x v="7"/>
    <x v="3"/>
    <s v="XS"/>
    <x v="5"/>
    <x v="9"/>
    <n v="241.22"/>
    <x v="170"/>
    <n v="5.9000000000000004E-2"/>
    <n v="226.99"/>
    <n v="14.22999999999999"/>
    <d v="2025-08-06T00:00:00"/>
    <x v="1"/>
    <x v="1"/>
    <n v="13"/>
    <n v="1.2"/>
    <s v="Ok"/>
    <n v="1.2"/>
    <s v="False"/>
    <m/>
    <n v="0"/>
    <n v="226.99"/>
    <x v="0"/>
    <n v="0"/>
  </r>
  <r>
    <s v="FB001831"/>
    <x v="5"/>
    <x v="5"/>
    <x v="0"/>
    <s v="XXL"/>
    <x v="4"/>
    <x v="5"/>
    <n v="78.3"/>
    <x v="0"/>
    <n v="0"/>
    <n v="78.3"/>
    <n v="0"/>
    <d v="2025-03-14T00:00:00"/>
    <x v="4"/>
    <x v="3"/>
    <n v="19"/>
    <n v="3"/>
    <s v="Ok"/>
    <n v="3"/>
    <s v="False"/>
    <m/>
    <n v="0"/>
    <n v="78.3"/>
    <x v="0"/>
    <n v="0"/>
  </r>
  <r>
    <s v="FB001832"/>
    <x v="3"/>
    <x v="2"/>
    <x v="1"/>
    <s v="M"/>
    <x v="6"/>
    <x v="9"/>
    <n v="73.930000000000007"/>
    <x v="0"/>
    <n v="0"/>
    <n v="73.930000000000007"/>
    <n v="0"/>
    <d v="2025-08-06T00:00:00"/>
    <x v="1"/>
    <x v="1"/>
    <n v="0"/>
    <m/>
    <s v="Agotado"/>
    <s v="No valorado"/>
    <s v="False"/>
    <m/>
    <n v="0"/>
    <n v="73.930000000000007"/>
    <x v="0"/>
    <n v="0"/>
  </r>
  <r>
    <s v="FB001833"/>
    <x v="4"/>
    <x v="4"/>
    <x v="3"/>
    <s v="XXL"/>
    <x v="4"/>
    <x v="6"/>
    <n v="97.5"/>
    <x v="0"/>
    <n v="0"/>
    <n v="97.5"/>
    <n v="0"/>
    <d v="2025-08-06T00:00:00"/>
    <x v="1"/>
    <x v="1"/>
    <n v="43"/>
    <n v="1.6"/>
    <s v="Ok"/>
    <n v="1.6"/>
    <s v="False"/>
    <m/>
    <n v="0"/>
    <n v="97.5"/>
    <x v="0"/>
    <n v="0"/>
  </r>
  <r>
    <s v="FB001834"/>
    <x v="1"/>
    <x v="5"/>
    <x v="3"/>
    <s v="XS"/>
    <x v="5"/>
    <x v="6"/>
    <n v="38.9"/>
    <x v="0"/>
    <n v="0"/>
    <n v="38.9"/>
    <n v="0"/>
    <d v="2025-08-06T00:00:00"/>
    <x v="1"/>
    <x v="1"/>
    <n v="1"/>
    <n v="5"/>
    <s v="Pocas Unidades"/>
    <n v="5"/>
    <s v="False"/>
    <m/>
    <n v="0"/>
    <n v="38.9"/>
    <x v="0"/>
    <n v="0"/>
  </r>
  <r>
    <s v="FB001835"/>
    <x v="3"/>
    <x v="2"/>
    <x v="3"/>
    <s v="S"/>
    <x v="3"/>
    <x v="5"/>
    <n v="95.52"/>
    <x v="0"/>
    <n v="0"/>
    <n v="95.52"/>
    <n v="0"/>
    <d v="2025-08-06T00:00:00"/>
    <x v="1"/>
    <x v="1"/>
    <n v="47"/>
    <n v="3.9"/>
    <s v="Ok"/>
    <n v="3.9"/>
    <s v="False"/>
    <m/>
    <n v="0"/>
    <n v="95.52"/>
    <x v="0"/>
    <n v="0"/>
  </r>
  <r>
    <s v="FB001836"/>
    <x v="0"/>
    <x v="0"/>
    <x v="2"/>
    <s v="M"/>
    <x v="6"/>
    <x v="0"/>
    <n v="158.63999999999999"/>
    <x v="118"/>
    <n v="0.502"/>
    <n v="79"/>
    <n v="79.639999999999986"/>
    <d v="2025-08-06T00:00:00"/>
    <x v="1"/>
    <x v="1"/>
    <n v="7"/>
    <n v="3"/>
    <s v="Pocas Unidades"/>
    <n v="3"/>
    <s v="True"/>
    <s v="Changed Mind"/>
    <n v="1"/>
    <n v="0"/>
    <x v="5"/>
    <n v="0"/>
  </r>
  <r>
    <s v="FB001837"/>
    <x v="1"/>
    <x v="3"/>
    <x v="2"/>
    <s v="XL"/>
    <x v="0"/>
    <x v="8"/>
    <n v="26.11"/>
    <x v="0"/>
    <n v="0"/>
    <n v="26.11"/>
    <n v="0"/>
    <d v="2025-08-06T00:00:00"/>
    <x v="1"/>
    <x v="1"/>
    <n v="41"/>
    <n v="4.3"/>
    <s v="Ok"/>
    <n v="4.3"/>
    <s v="False"/>
    <m/>
    <n v="0"/>
    <n v="26.11"/>
    <x v="0"/>
    <n v="0"/>
  </r>
  <r>
    <s v="FB001838"/>
    <x v="3"/>
    <x v="7"/>
    <x v="0"/>
    <m/>
    <x v="7"/>
    <x v="3"/>
    <n v="107.09"/>
    <x v="423"/>
    <n v="0.43099999999999999"/>
    <n v="60.93"/>
    <n v="46.160000000000004"/>
    <d v="2025-02-14T00:00:00"/>
    <x v="4"/>
    <x v="9"/>
    <n v="16"/>
    <n v="4.7"/>
    <s v="Ok"/>
    <n v="4.7"/>
    <s v="True"/>
    <s v="Changed Mind"/>
    <n v="1"/>
    <n v="0"/>
    <x v="5"/>
    <n v="0"/>
  </r>
  <r>
    <s v="FB001839"/>
    <x v="2"/>
    <x v="6"/>
    <x v="3"/>
    <m/>
    <x v="2"/>
    <x v="2"/>
    <n v="71.42"/>
    <x v="249"/>
    <n v="0.38"/>
    <n v="44.28"/>
    <n v="27.14"/>
    <d v="2025-08-06T00:00:00"/>
    <x v="1"/>
    <x v="1"/>
    <n v="49"/>
    <n v="2.8"/>
    <s v="Ok"/>
    <n v="2.8"/>
    <s v="False"/>
    <m/>
    <n v="0"/>
    <n v="44.28"/>
    <x v="0"/>
    <n v="0"/>
  </r>
  <r>
    <s v="FB001840"/>
    <x v="3"/>
    <x v="0"/>
    <x v="3"/>
    <s v="XL"/>
    <x v="0"/>
    <x v="0"/>
    <n v="124.56"/>
    <x v="0"/>
    <n v="0"/>
    <n v="124.56"/>
    <n v="0"/>
    <d v="2025-08-06T00:00:00"/>
    <x v="1"/>
    <x v="1"/>
    <n v="18"/>
    <n v="3"/>
    <s v="Ok"/>
    <n v="3"/>
    <s v="False"/>
    <m/>
    <n v="0"/>
    <n v="124.56"/>
    <x v="0"/>
    <n v="0"/>
  </r>
  <r>
    <s v="FB001841"/>
    <x v="4"/>
    <x v="1"/>
    <x v="3"/>
    <s v="L"/>
    <x v="1"/>
    <x v="9"/>
    <n v="30.91"/>
    <x v="0"/>
    <n v="0"/>
    <n v="30.91"/>
    <n v="0"/>
    <d v="2025-08-06T00:00:00"/>
    <x v="1"/>
    <x v="1"/>
    <n v="45"/>
    <n v="1.8"/>
    <s v="Ok"/>
    <n v="1.8"/>
    <s v="False"/>
    <m/>
    <n v="0"/>
    <n v="30.91"/>
    <x v="0"/>
    <n v="0"/>
  </r>
  <r>
    <s v="FB001842"/>
    <x v="1"/>
    <x v="0"/>
    <x v="1"/>
    <s v="XS"/>
    <x v="5"/>
    <x v="7"/>
    <n v="53.37"/>
    <x v="0"/>
    <n v="0"/>
    <n v="53.37"/>
    <n v="0"/>
    <d v="2025-08-06T00:00:00"/>
    <x v="1"/>
    <x v="1"/>
    <n v="15"/>
    <n v="1.1000000000000001"/>
    <s v="Ok"/>
    <n v="1.1000000000000001"/>
    <s v="False"/>
    <m/>
    <n v="0"/>
    <n v="53.37"/>
    <x v="0"/>
    <n v="0"/>
  </r>
  <r>
    <s v="FB001843"/>
    <x v="3"/>
    <x v="6"/>
    <x v="3"/>
    <s v="XL"/>
    <x v="0"/>
    <x v="6"/>
    <n v="159.16"/>
    <x v="0"/>
    <n v="0"/>
    <n v="159.16"/>
    <n v="0"/>
    <d v="2025-08-06T00:00:00"/>
    <x v="1"/>
    <x v="1"/>
    <n v="40"/>
    <m/>
    <s v="Ok"/>
    <s v="No valorado"/>
    <s v="True"/>
    <s v="Changed Mind"/>
    <n v="1"/>
    <n v="0"/>
    <x v="5"/>
    <n v="0"/>
  </r>
  <r>
    <s v="FB001844"/>
    <x v="5"/>
    <x v="3"/>
    <x v="2"/>
    <s v="S"/>
    <x v="3"/>
    <x v="1"/>
    <n v="169.64"/>
    <x v="0"/>
    <n v="0"/>
    <n v="169.64"/>
    <n v="0"/>
    <d v="2025-08-06T00:00:00"/>
    <x v="1"/>
    <x v="1"/>
    <n v="5"/>
    <n v="1.6"/>
    <s v="Pocas Unidades"/>
    <n v="1.6"/>
    <s v="False"/>
    <m/>
    <n v="0"/>
    <n v="169.64"/>
    <x v="0"/>
    <n v="0"/>
  </r>
  <r>
    <s v="FB001845"/>
    <x v="2"/>
    <x v="6"/>
    <x v="3"/>
    <m/>
    <x v="2"/>
    <x v="5"/>
    <n v="59.94"/>
    <x v="0"/>
    <n v="0"/>
    <n v="59.94"/>
    <n v="0"/>
    <d v="2025-08-06T00:00:00"/>
    <x v="1"/>
    <x v="1"/>
    <n v="7"/>
    <n v="4"/>
    <s v="Pocas Unidades"/>
    <n v="4"/>
    <s v="False"/>
    <m/>
    <n v="0"/>
    <n v="59.94"/>
    <x v="0"/>
    <n v="0"/>
  </r>
  <r>
    <s v="FB001846"/>
    <x v="5"/>
    <x v="6"/>
    <x v="2"/>
    <s v="XL"/>
    <x v="0"/>
    <x v="9"/>
    <n v="92.59"/>
    <x v="0"/>
    <n v="0"/>
    <n v="92.59"/>
    <n v="0"/>
    <d v="2025-08-06T00:00:00"/>
    <x v="1"/>
    <x v="1"/>
    <n v="29"/>
    <n v="3.5"/>
    <s v="Ok"/>
    <n v="3.5"/>
    <s v="True"/>
    <s v="Size Issue"/>
    <n v="1"/>
    <n v="0"/>
    <x v="2"/>
    <n v="0"/>
  </r>
  <r>
    <s v="FB001847"/>
    <x v="4"/>
    <x v="4"/>
    <x v="0"/>
    <s v="S"/>
    <x v="3"/>
    <x v="3"/>
    <n v="64.069999999999993"/>
    <x v="0"/>
    <n v="0"/>
    <n v="64.069999999999993"/>
    <n v="0"/>
    <d v="2025-03-18T00:00:00"/>
    <x v="3"/>
    <x v="3"/>
    <n v="10"/>
    <m/>
    <s v="Ok"/>
    <s v="No valorado"/>
    <s v="False"/>
    <m/>
    <n v="0"/>
    <n v="64.069999999999993"/>
    <x v="0"/>
    <n v="0"/>
  </r>
  <r>
    <s v="FB001848"/>
    <x v="5"/>
    <x v="7"/>
    <x v="2"/>
    <s v="XS"/>
    <x v="5"/>
    <x v="5"/>
    <n v="127.87"/>
    <x v="93"/>
    <n v="0.54600000000000004"/>
    <n v="58.05"/>
    <n v="69.820000000000007"/>
    <d v="2025-08-06T00:00:00"/>
    <x v="1"/>
    <x v="1"/>
    <n v="14"/>
    <n v="4.4000000000000004"/>
    <s v="Ok"/>
    <n v="4.4000000000000004"/>
    <s v="False"/>
    <m/>
    <n v="0"/>
    <n v="58.05"/>
    <x v="0"/>
    <n v="0"/>
  </r>
  <r>
    <s v="FB001849"/>
    <x v="4"/>
    <x v="2"/>
    <x v="2"/>
    <s v="M"/>
    <x v="6"/>
    <x v="5"/>
    <n v="32.46"/>
    <x v="278"/>
    <n v="0.129"/>
    <n v="28.27"/>
    <n v="4.1900000000000013"/>
    <d v="2025-08-06T00:00:00"/>
    <x v="1"/>
    <x v="1"/>
    <n v="9"/>
    <m/>
    <s v="Pocas Unidades"/>
    <s v="No valorado"/>
    <s v="False"/>
    <m/>
    <n v="0"/>
    <n v="28.27"/>
    <x v="0"/>
    <n v="0"/>
  </r>
  <r>
    <s v="FB001850"/>
    <x v="4"/>
    <x v="4"/>
    <x v="3"/>
    <s v="XXL"/>
    <x v="4"/>
    <x v="1"/>
    <n v="40.31"/>
    <x v="238"/>
    <n v="0.43"/>
    <n v="22.98"/>
    <n v="17.330000000000002"/>
    <d v="2025-08-06T00:00:00"/>
    <x v="1"/>
    <x v="1"/>
    <n v="30"/>
    <n v="3.5"/>
    <s v="Ok"/>
    <n v="3.5"/>
    <s v="True"/>
    <s v="Color Mismatch"/>
    <n v="1"/>
    <n v="0"/>
    <x v="1"/>
    <n v="0"/>
  </r>
  <r>
    <s v="FB001851"/>
    <x v="2"/>
    <x v="5"/>
    <x v="1"/>
    <m/>
    <x v="2"/>
    <x v="6"/>
    <n v="51.3"/>
    <x v="424"/>
    <n v="6.0999999999999999E-2"/>
    <n v="48.17"/>
    <n v="3.1299999999999955"/>
    <d v="2025-08-06T00:00:00"/>
    <x v="1"/>
    <x v="1"/>
    <n v="31"/>
    <m/>
    <s v="Ok"/>
    <s v="No valorado"/>
    <s v="False"/>
    <m/>
    <n v="0"/>
    <n v="48.17"/>
    <x v="0"/>
    <n v="0"/>
  </r>
  <r>
    <s v="FB001852"/>
    <x v="4"/>
    <x v="6"/>
    <x v="1"/>
    <s v="XS"/>
    <x v="5"/>
    <x v="1"/>
    <n v="28.62"/>
    <x v="0"/>
    <n v="0"/>
    <n v="28.62"/>
    <n v="0"/>
    <d v="2025-08-06T00:00:00"/>
    <x v="1"/>
    <x v="1"/>
    <n v="41"/>
    <n v="4"/>
    <s v="Ok"/>
    <n v="4"/>
    <s v="False"/>
    <m/>
    <n v="0"/>
    <n v="28.62"/>
    <x v="0"/>
    <n v="0"/>
  </r>
  <r>
    <s v="FB001853"/>
    <x v="2"/>
    <x v="6"/>
    <x v="2"/>
    <m/>
    <x v="2"/>
    <x v="6"/>
    <n v="59.03"/>
    <x v="40"/>
    <n v="6.4000000000000001E-2"/>
    <n v="55.25"/>
    <n v="3.7800000000000011"/>
    <d v="2025-08-06T00:00:00"/>
    <x v="1"/>
    <x v="1"/>
    <n v="45"/>
    <m/>
    <s v="Ok"/>
    <s v="No valorado"/>
    <s v="False"/>
    <m/>
    <n v="0"/>
    <n v="55.25"/>
    <x v="0"/>
    <n v="0"/>
  </r>
  <r>
    <s v="FB001854"/>
    <x v="1"/>
    <x v="5"/>
    <x v="3"/>
    <s v="S"/>
    <x v="3"/>
    <x v="10"/>
    <n v="99.65"/>
    <x v="31"/>
    <n v="7.400000000000001E-2"/>
    <n v="92.28"/>
    <n v="7.3700000000000045"/>
    <d v="2025-08-06T00:00:00"/>
    <x v="1"/>
    <x v="1"/>
    <n v="31"/>
    <n v="3.8"/>
    <s v="Ok"/>
    <n v="3.8"/>
    <s v="False"/>
    <m/>
    <n v="0"/>
    <n v="92.28"/>
    <x v="0"/>
    <n v="0"/>
  </r>
  <r>
    <s v="FB001855"/>
    <x v="5"/>
    <x v="7"/>
    <x v="1"/>
    <m/>
    <x v="7"/>
    <x v="5"/>
    <n v="128.55000000000001"/>
    <x v="0"/>
    <n v="0"/>
    <n v="128.55000000000001"/>
    <n v="0"/>
    <d v="2025-08-06T00:00:00"/>
    <x v="1"/>
    <x v="1"/>
    <n v="1"/>
    <n v="3.7"/>
    <s v="Pocas Unidades"/>
    <n v="3.7"/>
    <s v="False"/>
    <m/>
    <n v="0"/>
    <n v="128.55000000000001"/>
    <x v="0"/>
    <n v="0"/>
  </r>
  <r>
    <s v="FB001856"/>
    <x v="4"/>
    <x v="3"/>
    <x v="0"/>
    <s v="L"/>
    <x v="1"/>
    <x v="9"/>
    <n v="78.09"/>
    <x v="304"/>
    <n v="0.56299999999999994"/>
    <n v="34.130000000000003"/>
    <n v="43.96"/>
    <d v="2025-04-23T00:00:00"/>
    <x v="1"/>
    <x v="4"/>
    <n v="20"/>
    <n v="1.3"/>
    <s v="Ok"/>
    <n v="1.3"/>
    <s v="False"/>
    <m/>
    <n v="0"/>
    <n v="34.130000000000003"/>
    <x v="0"/>
    <n v="0"/>
  </r>
  <r>
    <s v="FB001857"/>
    <x v="4"/>
    <x v="3"/>
    <x v="3"/>
    <s v="XXL"/>
    <x v="4"/>
    <x v="8"/>
    <n v="108.89"/>
    <x v="0"/>
    <n v="0"/>
    <n v="108.89"/>
    <n v="0"/>
    <d v="2025-08-06T00:00:00"/>
    <x v="1"/>
    <x v="1"/>
    <n v="50"/>
    <n v="2.9"/>
    <s v="Ok"/>
    <n v="2.9"/>
    <s v="False"/>
    <m/>
    <n v="0"/>
    <n v="108.89"/>
    <x v="0"/>
    <n v="0"/>
  </r>
  <r>
    <s v="FB001858"/>
    <x v="4"/>
    <x v="5"/>
    <x v="0"/>
    <m/>
    <x v="7"/>
    <x v="4"/>
    <n v="35.21"/>
    <x v="312"/>
    <n v="0.14699999999999999"/>
    <n v="30.03"/>
    <n v="5.18"/>
    <d v="2024-12-23T00:00:00"/>
    <x v="2"/>
    <x v="10"/>
    <n v="15"/>
    <n v="3.1"/>
    <s v="Ok"/>
    <n v="3.1"/>
    <s v="True"/>
    <s v="Quality Issue"/>
    <n v="1"/>
    <n v="0"/>
    <x v="4"/>
    <n v="0"/>
  </r>
  <r>
    <s v="FB001859"/>
    <x v="5"/>
    <x v="6"/>
    <x v="3"/>
    <s v="XXL"/>
    <x v="4"/>
    <x v="10"/>
    <n v="129.16"/>
    <x v="9"/>
    <n v="0.34"/>
    <n v="85.25"/>
    <n v="43.91"/>
    <d v="2025-08-06T00:00:00"/>
    <x v="1"/>
    <x v="1"/>
    <n v="24"/>
    <n v="1.7"/>
    <s v="Ok"/>
    <n v="1.7"/>
    <s v="False"/>
    <m/>
    <n v="0"/>
    <n v="85.25"/>
    <x v="0"/>
    <n v="0"/>
  </r>
  <r>
    <s v="FB001860"/>
    <x v="5"/>
    <x v="5"/>
    <x v="3"/>
    <s v="S"/>
    <x v="3"/>
    <x v="4"/>
    <n v="142.43"/>
    <x v="0"/>
    <n v="0"/>
    <n v="142.43"/>
    <n v="0"/>
    <d v="2025-08-06T00:00:00"/>
    <x v="1"/>
    <x v="1"/>
    <n v="15"/>
    <n v="4.0999999999999996"/>
    <s v="Ok"/>
    <n v="4.0999999999999996"/>
    <s v="True"/>
    <s v="Size Issue"/>
    <n v="1"/>
    <n v="0"/>
    <x v="2"/>
    <n v="0"/>
  </r>
  <r>
    <s v="FB001861"/>
    <x v="2"/>
    <x v="7"/>
    <x v="0"/>
    <m/>
    <x v="2"/>
    <x v="8"/>
    <n v="45.19"/>
    <x v="0"/>
    <n v="0"/>
    <n v="45.19"/>
    <n v="0"/>
    <d v="2025-02-28T00:00:00"/>
    <x v="4"/>
    <x v="9"/>
    <n v="38"/>
    <n v="1.6"/>
    <s v="Ok"/>
    <n v="1.6"/>
    <s v="True"/>
    <s v="Wrong Item"/>
    <n v="1"/>
    <n v="0"/>
    <x v="6"/>
    <n v="0"/>
  </r>
  <r>
    <s v="FB001862"/>
    <x v="4"/>
    <x v="4"/>
    <x v="2"/>
    <s v="S"/>
    <x v="3"/>
    <x v="9"/>
    <n v="47.66"/>
    <x v="0"/>
    <n v="0"/>
    <n v="47.66"/>
    <n v="0"/>
    <d v="2025-08-06T00:00:00"/>
    <x v="1"/>
    <x v="1"/>
    <n v="0"/>
    <n v="4.8"/>
    <s v="Agotado"/>
    <n v="4.8"/>
    <s v="True"/>
    <s v="Size Issue"/>
    <n v="1"/>
    <n v="0"/>
    <x v="2"/>
    <n v="0"/>
  </r>
  <r>
    <s v="FB001863"/>
    <x v="4"/>
    <x v="1"/>
    <x v="3"/>
    <s v="XS"/>
    <x v="5"/>
    <x v="7"/>
    <n v="115.05"/>
    <x v="39"/>
    <n v="0.4"/>
    <n v="69.03"/>
    <n v="46.019999999999996"/>
    <d v="2025-08-06T00:00:00"/>
    <x v="1"/>
    <x v="1"/>
    <n v="48"/>
    <n v="3.1"/>
    <s v="Ok"/>
    <n v="3.1"/>
    <s v="False"/>
    <m/>
    <n v="0"/>
    <n v="69.03"/>
    <x v="0"/>
    <n v="0"/>
  </r>
  <r>
    <s v="FB001864"/>
    <x v="4"/>
    <x v="2"/>
    <x v="3"/>
    <s v="XL"/>
    <x v="0"/>
    <x v="10"/>
    <n v="87.84"/>
    <x v="0"/>
    <n v="0"/>
    <n v="87.84"/>
    <n v="0"/>
    <d v="2025-08-06T00:00:00"/>
    <x v="1"/>
    <x v="1"/>
    <n v="29"/>
    <n v="1.3"/>
    <s v="Ok"/>
    <n v="1.3"/>
    <s v="False"/>
    <m/>
    <n v="0"/>
    <n v="87.84"/>
    <x v="0"/>
    <n v="0"/>
  </r>
  <r>
    <s v="FB001865"/>
    <x v="5"/>
    <x v="7"/>
    <x v="2"/>
    <s v="S"/>
    <x v="3"/>
    <x v="5"/>
    <n v="73.42"/>
    <x v="425"/>
    <n v="0.35"/>
    <n v="47.72"/>
    <n v="25.700000000000003"/>
    <d v="2025-08-06T00:00:00"/>
    <x v="1"/>
    <x v="1"/>
    <n v="44"/>
    <m/>
    <s v="Ok"/>
    <s v="No valorado"/>
    <s v="False"/>
    <m/>
    <n v="0"/>
    <n v="47.72"/>
    <x v="0"/>
    <n v="0"/>
  </r>
  <r>
    <s v="FB001866"/>
    <x v="3"/>
    <x v="6"/>
    <x v="2"/>
    <s v="L"/>
    <x v="1"/>
    <x v="8"/>
    <n v="181.58"/>
    <x v="324"/>
    <n v="0.21600000000000003"/>
    <n v="142.36000000000001"/>
    <n v="39.22"/>
    <d v="2025-08-06T00:00:00"/>
    <x v="1"/>
    <x v="1"/>
    <n v="14"/>
    <n v="4.7"/>
    <s v="Ok"/>
    <n v="4.7"/>
    <s v="False"/>
    <m/>
    <n v="0"/>
    <n v="142.36000000000001"/>
    <x v="0"/>
    <n v="0"/>
  </r>
  <r>
    <s v="FB001867"/>
    <x v="1"/>
    <x v="4"/>
    <x v="0"/>
    <s v="L"/>
    <x v="1"/>
    <x v="2"/>
    <n v="71.680000000000007"/>
    <x v="0"/>
    <n v="0"/>
    <n v="71.680000000000007"/>
    <n v="0"/>
    <d v="2025-08-05T00:00:00"/>
    <x v="3"/>
    <x v="1"/>
    <n v="0"/>
    <n v="1.5"/>
    <s v="Agotado"/>
    <n v="1.5"/>
    <s v="False"/>
    <m/>
    <n v="0"/>
    <n v="71.680000000000007"/>
    <x v="0"/>
    <n v="0"/>
  </r>
  <r>
    <s v="FB001868"/>
    <x v="1"/>
    <x v="2"/>
    <x v="1"/>
    <s v="XXL"/>
    <x v="4"/>
    <x v="7"/>
    <n v="25.63"/>
    <x v="0"/>
    <n v="0"/>
    <n v="25.63"/>
    <n v="0"/>
    <d v="2025-08-06T00:00:00"/>
    <x v="1"/>
    <x v="1"/>
    <n v="27"/>
    <n v="1.2"/>
    <s v="Ok"/>
    <n v="1.2"/>
    <s v="False"/>
    <m/>
    <n v="0"/>
    <n v="25.63"/>
    <x v="0"/>
    <n v="0"/>
  </r>
  <r>
    <s v="FB001869"/>
    <x v="1"/>
    <x v="7"/>
    <x v="1"/>
    <m/>
    <x v="7"/>
    <x v="10"/>
    <n v="31.34"/>
    <x v="426"/>
    <n v="0.48499999999999999"/>
    <n v="16.14"/>
    <n v="15.2"/>
    <d v="2025-08-06T00:00:00"/>
    <x v="1"/>
    <x v="1"/>
    <n v="36"/>
    <n v="1.6"/>
    <s v="Ok"/>
    <n v="1.6"/>
    <s v="True"/>
    <s v="Size Issue"/>
    <n v="1"/>
    <n v="0"/>
    <x v="2"/>
    <n v="0"/>
  </r>
  <r>
    <s v="FB001870"/>
    <x v="5"/>
    <x v="4"/>
    <x v="2"/>
    <s v="L"/>
    <x v="1"/>
    <x v="7"/>
    <n v="98.91"/>
    <x v="49"/>
    <n v="0.33799999999999997"/>
    <n v="65.48"/>
    <n v="33.429999999999993"/>
    <d v="2025-08-06T00:00:00"/>
    <x v="1"/>
    <x v="1"/>
    <n v="33"/>
    <m/>
    <s v="Ok"/>
    <s v="No valorado"/>
    <s v="True"/>
    <s v="Color Mismatch"/>
    <n v="1"/>
    <n v="0"/>
    <x v="1"/>
    <n v="0"/>
  </r>
  <r>
    <s v="FB001871"/>
    <x v="2"/>
    <x v="0"/>
    <x v="1"/>
    <m/>
    <x v="2"/>
    <x v="0"/>
    <n v="43.33"/>
    <x v="404"/>
    <n v="7.8E-2"/>
    <n v="39.950000000000003"/>
    <n v="3.3799999999999955"/>
    <d v="2025-08-06T00:00:00"/>
    <x v="1"/>
    <x v="1"/>
    <n v="4"/>
    <n v="1.3"/>
    <s v="Pocas Unidades"/>
    <n v="1.3"/>
    <s v="False"/>
    <m/>
    <n v="0"/>
    <n v="39.950000000000003"/>
    <x v="0"/>
    <n v="0"/>
  </r>
  <r>
    <s v="FB001872"/>
    <x v="3"/>
    <x v="6"/>
    <x v="3"/>
    <s v="M"/>
    <x v="6"/>
    <x v="2"/>
    <n v="70.709999999999994"/>
    <x v="0"/>
    <n v="0"/>
    <n v="70.709999999999994"/>
    <n v="0"/>
    <d v="2025-08-06T00:00:00"/>
    <x v="1"/>
    <x v="1"/>
    <n v="8"/>
    <n v="2.2999999999999998"/>
    <s v="Pocas Unidades"/>
    <n v="2.2999999999999998"/>
    <s v="False"/>
    <m/>
    <n v="0"/>
    <n v="70.709999999999994"/>
    <x v="0"/>
    <n v="0"/>
  </r>
  <r>
    <s v="FB001873"/>
    <x v="0"/>
    <x v="4"/>
    <x v="1"/>
    <s v="S"/>
    <x v="3"/>
    <x v="9"/>
    <n v="215.99"/>
    <x v="169"/>
    <n v="0.38100000000000001"/>
    <n v="133.69999999999999"/>
    <n v="82.29000000000002"/>
    <d v="2025-08-06T00:00:00"/>
    <x v="1"/>
    <x v="1"/>
    <n v="14"/>
    <n v="3.9"/>
    <s v="Ok"/>
    <n v="3.9"/>
    <s v="False"/>
    <m/>
    <n v="0"/>
    <n v="133.69999999999999"/>
    <x v="0"/>
    <n v="0"/>
  </r>
  <r>
    <s v="FB001874"/>
    <x v="5"/>
    <x v="2"/>
    <x v="1"/>
    <s v="XL"/>
    <x v="0"/>
    <x v="6"/>
    <n v="145.57"/>
    <x v="320"/>
    <n v="5.0999999999999997E-2"/>
    <n v="138.15"/>
    <n v="7.4199999999999875"/>
    <d v="2025-08-06T00:00:00"/>
    <x v="1"/>
    <x v="1"/>
    <n v="8"/>
    <n v="4.4000000000000004"/>
    <s v="Pocas Unidades"/>
    <n v="4.4000000000000004"/>
    <s v="False"/>
    <m/>
    <n v="0"/>
    <n v="138.15"/>
    <x v="0"/>
    <n v="0"/>
  </r>
  <r>
    <s v="FB001875"/>
    <x v="3"/>
    <x v="2"/>
    <x v="2"/>
    <s v="XS"/>
    <x v="5"/>
    <x v="8"/>
    <n v="195.03"/>
    <x v="0"/>
    <n v="0"/>
    <n v="195.03"/>
    <n v="0"/>
    <d v="2025-08-06T00:00:00"/>
    <x v="1"/>
    <x v="1"/>
    <n v="44"/>
    <n v="4.4000000000000004"/>
    <s v="Ok"/>
    <n v="4.4000000000000004"/>
    <s v="False"/>
    <m/>
    <n v="0"/>
    <n v="195.03"/>
    <x v="0"/>
    <n v="0"/>
  </r>
  <r>
    <s v="FB001876"/>
    <x v="4"/>
    <x v="5"/>
    <x v="1"/>
    <s v="XS"/>
    <x v="5"/>
    <x v="2"/>
    <n v="74.88"/>
    <x v="427"/>
    <n v="9.6999999999999989E-2"/>
    <n v="67.62"/>
    <n v="7.2599999999999909"/>
    <d v="2025-08-06T00:00:00"/>
    <x v="1"/>
    <x v="1"/>
    <n v="23"/>
    <n v="2.6"/>
    <s v="Ok"/>
    <n v="2.6"/>
    <s v="False"/>
    <m/>
    <n v="0"/>
    <n v="67.62"/>
    <x v="0"/>
    <n v="0"/>
  </r>
  <r>
    <s v="FB001877"/>
    <x v="1"/>
    <x v="6"/>
    <x v="0"/>
    <s v="L"/>
    <x v="1"/>
    <x v="1"/>
    <n v="50.3"/>
    <x v="0"/>
    <n v="0"/>
    <n v="50.3"/>
    <n v="0"/>
    <d v="2024-08-18T00:00:00"/>
    <x v="6"/>
    <x v="1"/>
    <n v="23"/>
    <n v="1.3"/>
    <s v="Ok"/>
    <n v="1.3"/>
    <s v="False"/>
    <m/>
    <n v="0"/>
    <n v="50.3"/>
    <x v="0"/>
    <n v="0"/>
  </r>
  <r>
    <s v="FB001878"/>
    <x v="0"/>
    <x v="5"/>
    <x v="3"/>
    <s v="XXL"/>
    <x v="4"/>
    <x v="0"/>
    <n v="130.65"/>
    <x v="0"/>
    <n v="0"/>
    <n v="130.65"/>
    <n v="0"/>
    <d v="2025-08-06T00:00:00"/>
    <x v="1"/>
    <x v="1"/>
    <n v="20"/>
    <n v="2.6"/>
    <s v="Ok"/>
    <n v="2.6"/>
    <s v="False"/>
    <m/>
    <n v="0"/>
    <n v="130.65"/>
    <x v="0"/>
    <n v="0"/>
  </r>
  <r>
    <s v="FB001879"/>
    <x v="5"/>
    <x v="7"/>
    <x v="0"/>
    <s v="XXL"/>
    <x v="4"/>
    <x v="6"/>
    <n v="94.56"/>
    <x v="400"/>
    <n v="0.40299999999999997"/>
    <n v="56.45"/>
    <n v="38.11"/>
    <d v="2025-06-14T00:00:00"/>
    <x v="0"/>
    <x v="7"/>
    <n v="41"/>
    <n v="4.7"/>
    <s v="Ok"/>
    <n v="4.7"/>
    <s v="False"/>
    <m/>
    <n v="0"/>
    <n v="56.45"/>
    <x v="0"/>
    <n v="0"/>
  </r>
  <r>
    <s v="FB001880"/>
    <x v="0"/>
    <x v="1"/>
    <x v="0"/>
    <s v="S"/>
    <x v="3"/>
    <x v="10"/>
    <n v="138.97999999999999"/>
    <x v="102"/>
    <n v="0.10199999999999999"/>
    <n v="124.8"/>
    <n v="14.179999999999993"/>
    <d v="2025-07-22T00:00:00"/>
    <x v="3"/>
    <x v="0"/>
    <n v="36"/>
    <n v="1.4"/>
    <s v="Ok"/>
    <n v="1.4"/>
    <s v="False"/>
    <m/>
    <n v="0"/>
    <n v="124.8"/>
    <x v="0"/>
    <n v="0"/>
  </r>
  <r>
    <s v="FB001881"/>
    <x v="2"/>
    <x v="4"/>
    <x v="1"/>
    <m/>
    <x v="2"/>
    <x v="6"/>
    <n v="52.57"/>
    <x v="0"/>
    <n v="0"/>
    <n v="52.57"/>
    <n v="0"/>
    <d v="2025-08-06T00:00:00"/>
    <x v="1"/>
    <x v="1"/>
    <n v="50"/>
    <n v="2.5"/>
    <s v="Ok"/>
    <n v="2.5"/>
    <s v="True"/>
    <s v="Damaged"/>
    <n v="1"/>
    <n v="0"/>
    <x v="3"/>
    <n v="0"/>
  </r>
  <r>
    <s v="FB001882"/>
    <x v="0"/>
    <x v="4"/>
    <x v="0"/>
    <m/>
    <x v="7"/>
    <x v="3"/>
    <n v="151.62"/>
    <x v="0"/>
    <n v="0"/>
    <n v="151.62"/>
    <n v="0"/>
    <d v="2025-07-11T00:00:00"/>
    <x v="4"/>
    <x v="0"/>
    <n v="41"/>
    <n v="3.5"/>
    <s v="Ok"/>
    <n v="3.5"/>
    <s v="False"/>
    <m/>
    <n v="0"/>
    <n v="151.62"/>
    <x v="0"/>
    <n v="0"/>
  </r>
  <r>
    <s v="FB001883"/>
    <x v="2"/>
    <x v="1"/>
    <x v="0"/>
    <m/>
    <x v="2"/>
    <x v="5"/>
    <n v="26.7"/>
    <x v="0"/>
    <n v="0"/>
    <n v="26.7"/>
    <n v="0"/>
    <d v="2025-05-27T00:00:00"/>
    <x v="3"/>
    <x v="8"/>
    <n v="48"/>
    <n v="3.1"/>
    <s v="Ok"/>
    <n v="3.1"/>
    <s v="False"/>
    <m/>
    <n v="0"/>
    <n v="26.7"/>
    <x v="0"/>
    <n v="0"/>
  </r>
  <r>
    <s v="FB001884"/>
    <x v="0"/>
    <x v="5"/>
    <x v="3"/>
    <s v="S"/>
    <x v="3"/>
    <x v="10"/>
    <n v="147.5"/>
    <x v="0"/>
    <n v="0"/>
    <n v="147.5"/>
    <n v="0"/>
    <d v="2025-08-06T00:00:00"/>
    <x v="1"/>
    <x v="1"/>
    <n v="4"/>
    <n v="2.4"/>
    <s v="Pocas Unidades"/>
    <n v="2.4"/>
    <s v="False"/>
    <m/>
    <n v="0"/>
    <n v="147.5"/>
    <x v="0"/>
    <n v="0"/>
  </r>
  <r>
    <s v="FB001885"/>
    <x v="1"/>
    <x v="3"/>
    <x v="2"/>
    <s v="S"/>
    <x v="3"/>
    <x v="8"/>
    <n v="66"/>
    <x v="428"/>
    <n v="2.7000000000000003E-2"/>
    <n v="64.22"/>
    <n v="1.7800000000000011"/>
    <d v="2025-08-06T00:00:00"/>
    <x v="1"/>
    <x v="1"/>
    <n v="42"/>
    <n v="4.4000000000000004"/>
    <s v="Ok"/>
    <n v="4.4000000000000004"/>
    <s v="False"/>
    <m/>
    <n v="0"/>
    <n v="64.22"/>
    <x v="0"/>
    <n v="0"/>
  </r>
  <r>
    <s v="FB001886"/>
    <x v="0"/>
    <x v="0"/>
    <x v="2"/>
    <s v="XS"/>
    <x v="5"/>
    <x v="0"/>
    <n v="183.6"/>
    <x v="0"/>
    <n v="0"/>
    <n v="183.6"/>
    <n v="0"/>
    <d v="2025-08-06T00:00:00"/>
    <x v="1"/>
    <x v="1"/>
    <n v="10"/>
    <m/>
    <s v="Ok"/>
    <s v="No valorado"/>
    <s v="False"/>
    <m/>
    <n v="0"/>
    <n v="183.6"/>
    <x v="0"/>
    <n v="0"/>
  </r>
  <r>
    <s v="FB001887"/>
    <x v="3"/>
    <x v="1"/>
    <x v="3"/>
    <s v="L"/>
    <x v="1"/>
    <x v="5"/>
    <n v="195.83"/>
    <x v="0"/>
    <n v="0"/>
    <n v="195.83"/>
    <n v="0"/>
    <d v="2025-08-06T00:00:00"/>
    <x v="1"/>
    <x v="1"/>
    <n v="14"/>
    <n v="2.1"/>
    <s v="Ok"/>
    <n v="2.1"/>
    <s v="False"/>
    <m/>
    <n v="0"/>
    <n v="195.83"/>
    <x v="0"/>
    <n v="0"/>
  </r>
  <r>
    <s v="FB001888"/>
    <x v="4"/>
    <x v="5"/>
    <x v="1"/>
    <s v="S"/>
    <x v="3"/>
    <x v="7"/>
    <n v="75.53"/>
    <x v="429"/>
    <n v="0.58099999999999996"/>
    <n v="31.65"/>
    <n v="43.88"/>
    <d v="2025-08-06T00:00:00"/>
    <x v="1"/>
    <x v="1"/>
    <n v="33"/>
    <n v="4"/>
    <s v="Ok"/>
    <n v="4"/>
    <s v="False"/>
    <m/>
    <n v="0"/>
    <n v="31.65"/>
    <x v="0"/>
    <n v="0"/>
  </r>
  <r>
    <s v="FB001889"/>
    <x v="1"/>
    <x v="3"/>
    <x v="0"/>
    <s v="XL"/>
    <x v="0"/>
    <x v="7"/>
    <n v="30.78"/>
    <x v="0"/>
    <n v="0"/>
    <n v="30.78"/>
    <n v="0"/>
    <d v="2025-06-13T00:00:00"/>
    <x v="4"/>
    <x v="7"/>
    <n v="28"/>
    <n v="3.9"/>
    <s v="Ok"/>
    <n v="3.9"/>
    <s v="False"/>
    <m/>
    <n v="0"/>
    <n v="30.78"/>
    <x v="0"/>
    <n v="0"/>
  </r>
  <r>
    <s v="FB001890"/>
    <x v="3"/>
    <x v="2"/>
    <x v="1"/>
    <s v="L"/>
    <x v="1"/>
    <x v="3"/>
    <n v="150.96"/>
    <x v="0"/>
    <n v="0"/>
    <n v="150.96"/>
    <n v="0"/>
    <d v="2025-08-06T00:00:00"/>
    <x v="1"/>
    <x v="1"/>
    <n v="18"/>
    <n v="4.5999999999999996"/>
    <s v="Ok"/>
    <n v="4.5999999999999996"/>
    <s v="False"/>
    <m/>
    <n v="0"/>
    <n v="150.96"/>
    <x v="0"/>
    <n v="0"/>
  </r>
  <r>
    <s v="FB001891"/>
    <x v="4"/>
    <x v="7"/>
    <x v="3"/>
    <s v="L"/>
    <x v="1"/>
    <x v="2"/>
    <n v="58.98"/>
    <x v="306"/>
    <n v="0.18100000000000002"/>
    <n v="48.3"/>
    <n v="10.68"/>
    <d v="2025-08-06T00:00:00"/>
    <x v="1"/>
    <x v="1"/>
    <n v="23"/>
    <n v="2.8"/>
    <s v="Ok"/>
    <n v="2.8"/>
    <s v="False"/>
    <m/>
    <n v="0"/>
    <n v="48.3"/>
    <x v="0"/>
    <n v="0"/>
  </r>
  <r>
    <s v="FB001892"/>
    <x v="0"/>
    <x v="7"/>
    <x v="0"/>
    <s v="L"/>
    <x v="1"/>
    <x v="9"/>
    <n v="224.91"/>
    <x v="183"/>
    <n v="0.18899999999999997"/>
    <n v="182.4"/>
    <n v="42.509999999999991"/>
    <d v="2024-09-19T00:00:00"/>
    <x v="5"/>
    <x v="6"/>
    <n v="50"/>
    <m/>
    <s v="Ok"/>
    <s v="No valorado"/>
    <s v="False"/>
    <m/>
    <n v="0"/>
    <n v="182.4"/>
    <x v="0"/>
    <n v="0"/>
  </r>
  <r>
    <s v="FB001893"/>
    <x v="0"/>
    <x v="2"/>
    <x v="0"/>
    <s v="XL"/>
    <x v="0"/>
    <x v="10"/>
    <n v="155.75"/>
    <x v="0"/>
    <n v="0"/>
    <n v="155.75"/>
    <n v="0"/>
    <d v="2025-03-25T00:00:00"/>
    <x v="3"/>
    <x v="3"/>
    <n v="0"/>
    <n v="2.4"/>
    <s v="Agotado"/>
    <n v="2.4"/>
    <s v="False"/>
    <m/>
    <n v="0"/>
    <n v="155.75"/>
    <x v="0"/>
    <n v="0"/>
  </r>
  <r>
    <s v="FB001894"/>
    <x v="3"/>
    <x v="4"/>
    <x v="1"/>
    <s v="XL"/>
    <x v="0"/>
    <x v="5"/>
    <n v="194.4"/>
    <x v="115"/>
    <n v="0.16200000000000001"/>
    <n v="162.91"/>
    <n v="31.490000000000009"/>
    <d v="2025-08-06T00:00:00"/>
    <x v="1"/>
    <x v="1"/>
    <n v="36"/>
    <n v="1.5"/>
    <s v="Ok"/>
    <n v="1.5"/>
    <s v="False"/>
    <m/>
    <n v="0"/>
    <n v="162.91"/>
    <x v="0"/>
    <n v="0"/>
  </r>
  <r>
    <s v="FB001895"/>
    <x v="3"/>
    <x v="2"/>
    <x v="2"/>
    <s v="L"/>
    <x v="1"/>
    <x v="0"/>
    <n v="169.77"/>
    <x v="0"/>
    <n v="0"/>
    <n v="169.77"/>
    <n v="0"/>
    <d v="2025-08-06T00:00:00"/>
    <x v="1"/>
    <x v="1"/>
    <n v="39"/>
    <n v="4.4000000000000004"/>
    <s v="Ok"/>
    <n v="4.4000000000000004"/>
    <s v="False"/>
    <m/>
    <n v="0"/>
    <n v="169.77"/>
    <x v="0"/>
    <n v="0"/>
  </r>
  <r>
    <s v="FB001896"/>
    <x v="2"/>
    <x v="1"/>
    <x v="1"/>
    <m/>
    <x v="2"/>
    <x v="5"/>
    <n v="41.52"/>
    <x v="230"/>
    <n v="0.27300000000000002"/>
    <n v="30.19"/>
    <n v="11.330000000000002"/>
    <d v="2025-08-06T00:00:00"/>
    <x v="1"/>
    <x v="1"/>
    <n v="48"/>
    <n v="3.4"/>
    <s v="Ok"/>
    <n v="3.4"/>
    <s v="False"/>
    <m/>
    <n v="0"/>
    <n v="30.19"/>
    <x v="0"/>
    <n v="0"/>
  </r>
  <r>
    <s v="FB001897"/>
    <x v="4"/>
    <x v="1"/>
    <x v="1"/>
    <s v="S"/>
    <x v="3"/>
    <x v="6"/>
    <n v="29.5"/>
    <x v="0"/>
    <n v="0"/>
    <n v="29.5"/>
    <n v="0"/>
    <d v="2025-08-06T00:00:00"/>
    <x v="1"/>
    <x v="1"/>
    <n v="36"/>
    <n v="2.6"/>
    <s v="Ok"/>
    <n v="2.6"/>
    <s v="False"/>
    <m/>
    <n v="0"/>
    <n v="29.5"/>
    <x v="0"/>
    <n v="0"/>
  </r>
  <r>
    <s v="FB001898"/>
    <x v="0"/>
    <x v="2"/>
    <x v="0"/>
    <s v="S"/>
    <x v="3"/>
    <x v="4"/>
    <n v="224.47"/>
    <x v="428"/>
    <n v="2.7000000000000003E-2"/>
    <n v="218.41"/>
    <n v="6.0600000000000023"/>
    <d v="2025-01-27T00:00:00"/>
    <x v="2"/>
    <x v="5"/>
    <n v="15"/>
    <n v="3.5"/>
    <s v="Ok"/>
    <n v="3.5"/>
    <s v="False"/>
    <m/>
    <n v="0"/>
    <n v="218.41"/>
    <x v="0"/>
    <n v="0"/>
  </r>
  <r>
    <s v="FB001899"/>
    <x v="4"/>
    <x v="7"/>
    <x v="3"/>
    <s v="S"/>
    <x v="3"/>
    <x v="4"/>
    <n v="101.45"/>
    <x v="404"/>
    <n v="7.8E-2"/>
    <n v="93.54"/>
    <n v="7.9099999999999966"/>
    <d v="2025-08-06T00:00:00"/>
    <x v="1"/>
    <x v="1"/>
    <n v="4"/>
    <n v="1.1000000000000001"/>
    <s v="Pocas Unidades"/>
    <n v="1.1000000000000001"/>
    <s v="False"/>
    <m/>
    <n v="0"/>
    <n v="93.54"/>
    <x v="0"/>
    <n v="0"/>
  </r>
  <r>
    <s v="FB001900"/>
    <x v="3"/>
    <x v="2"/>
    <x v="0"/>
    <s v="XXL"/>
    <x v="4"/>
    <x v="0"/>
    <n v="84.65"/>
    <x v="0"/>
    <n v="0"/>
    <n v="84.65"/>
    <n v="0"/>
    <d v="2025-07-26T00:00:00"/>
    <x v="0"/>
    <x v="0"/>
    <n v="49"/>
    <n v="3.6"/>
    <s v="Ok"/>
    <n v="3.6"/>
    <s v="False"/>
    <m/>
    <n v="0"/>
    <n v="84.65"/>
    <x v="0"/>
    <n v="0"/>
  </r>
  <r>
    <s v="FB001901"/>
    <x v="0"/>
    <x v="5"/>
    <x v="3"/>
    <s v="S"/>
    <x v="3"/>
    <x v="7"/>
    <n v="155.85"/>
    <x v="0"/>
    <n v="0"/>
    <n v="155.85"/>
    <n v="0"/>
    <d v="2025-08-06T00:00:00"/>
    <x v="1"/>
    <x v="1"/>
    <n v="38"/>
    <m/>
    <s v="Ok"/>
    <s v="No valorado"/>
    <s v="False"/>
    <m/>
    <n v="0"/>
    <n v="155.85"/>
    <x v="0"/>
    <n v="0"/>
  </r>
  <r>
    <s v="FB001902"/>
    <x v="1"/>
    <x v="0"/>
    <x v="1"/>
    <s v="XL"/>
    <x v="0"/>
    <x v="5"/>
    <n v="89.62"/>
    <x v="0"/>
    <n v="0"/>
    <n v="89.62"/>
    <n v="0"/>
    <d v="2025-08-06T00:00:00"/>
    <x v="1"/>
    <x v="1"/>
    <n v="0"/>
    <n v="4.5999999999999996"/>
    <s v="Agotado"/>
    <n v="4.5999999999999996"/>
    <s v="True"/>
    <s v="Color Mismatch"/>
    <n v="1"/>
    <n v="0"/>
    <x v="1"/>
    <n v="0"/>
  </r>
  <r>
    <s v="FB001903"/>
    <x v="1"/>
    <x v="6"/>
    <x v="3"/>
    <s v="L"/>
    <x v="1"/>
    <x v="6"/>
    <n v="62.79"/>
    <x v="164"/>
    <n v="0.377"/>
    <n v="39.119999999999997"/>
    <n v="23.67"/>
    <d v="2025-08-06T00:00:00"/>
    <x v="1"/>
    <x v="1"/>
    <n v="5"/>
    <n v="2.6"/>
    <s v="Pocas Unidades"/>
    <n v="2.6"/>
    <s v="False"/>
    <m/>
    <n v="0"/>
    <n v="39.119999999999997"/>
    <x v="0"/>
    <n v="0"/>
  </r>
  <r>
    <s v="FB001904"/>
    <x v="4"/>
    <x v="6"/>
    <x v="3"/>
    <s v="XL"/>
    <x v="0"/>
    <x v="7"/>
    <n v="84.72"/>
    <x v="296"/>
    <n v="0.24199999999999999"/>
    <n v="64.22"/>
    <n v="20.5"/>
    <d v="2025-08-06T00:00:00"/>
    <x v="1"/>
    <x v="1"/>
    <n v="44"/>
    <m/>
    <s v="Ok"/>
    <s v="No valorado"/>
    <s v="True"/>
    <s v="Color Mismatch"/>
    <n v="1"/>
    <n v="0"/>
    <x v="1"/>
    <n v="0"/>
  </r>
  <r>
    <s v="FB001905"/>
    <x v="1"/>
    <x v="3"/>
    <x v="2"/>
    <s v="XL"/>
    <x v="0"/>
    <x v="1"/>
    <n v="50.9"/>
    <x v="0"/>
    <n v="0"/>
    <n v="50.9"/>
    <n v="0"/>
    <d v="2025-08-06T00:00:00"/>
    <x v="1"/>
    <x v="1"/>
    <n v="1"/>
    <n v="1.8"/>
    <s v="Pocas Unidades"/>
    <n v="1.8"/>
    <s v="False"/>
    <m/>
    <n v="0"/>
    <n v="50.9"/>
    <x v="0"/>
    <n v="0"/>
  </r>
  <r>
    <s v="FB001906"/>
    <x v="2"/>
    <x v="0"/>
    <x v="1"/>
    <m/>
    <x v="2"/>
    <x v="1"/>
    <n v="31.23"/>
    <x v="0"/>
    <n v="0"/>
    <n v="31.23"/>
    <n v="0"/>
    <d v="2025-08-06T00:00:00"/>
    <x v="1"/>
    <x v="1"/>
    <n v="25"/>
    <n v="2.8"/>
    <s v="Ok"/>
    <n v="2.8"/>
    <s v="False"/>
    <m/>
    <n v="0"/>
    <n v="31.23"/>
    <x v="0"/>
    <n v="0"/>
  </r>
  <r>
    <s v="FB001907"/>
    <x v="1"/>
    <x v="0"/>
    <x v="0"/>
    <s v="XXL"/>
    <x v="4"/>
    <x v="0"/>
    <n v="105.1"/>
    <x v="0"/>
    <n v="0"/>
    <n v="105.1"/>
    <n v="0"/>
    <d v="2024-08-28T00:00:00"/>
    <x v="1"/>
    <x v="1"/>
    <n v="39"/>
    <n v="4.4000000000000004"/>
    <s v="Ok"/>
    <n v="4.4000000000000004"/>
    <s v="False"/>
    <m/>
    <n v="0"/>
    <n v="105.1"/>
    <x v="0"/>
    <n v="0"/>
  </r>
  <r>
    <s v="FB001908"/>
    <x v="5"/>
    <x v="7"/>
    <x v="3"/>
    <s v="XS"/>
    <x v="5"/>
    <x v="10"/>
    <n v="160.38"/>
    <x v="0"/>
    <n v="0"/>
    <n v="160.38"/>
    <n v="0"/>
    <d v="2025-08-06T00:00:00"/>
    <x v="1"/>
    <x v="1"/>
    <n v="27"/>
    <n v="2.7"/>
    <s v="Ok"/>
    <n v="2.7"/>
    <s v="True"/>
    <s v="Wrong Item"/>
    <n v="1"/>
    <n v="0"/>
    <x v="6"/>
    <n v="0"/>
  </r>
  <r>
    <s v="FB001909"/>
    <x v="4"/>
    <x v="1"/>
    <x v="0"/>
    <s v="XS"/>
    <x v="5"/>
    <x v="1"/>
    <n v="96.68"/>
    <x v="430"/>
    <n v="0.26"/>
    <n v="71.540000000000006"/>
    <n v="25.14"/>
    <d v="2024-09-21T00:00:00"/>
    <x v="0"/>
    <x v="6"/>
    <n v="16"/>
    <m/>
    <s v="Ok"/>
    <s v="No valorado"/>
    <s v="False"/>
    <m/>
    <n v="0"/>
    <n v="71.540000000000006"/>
    <x v="0"/>
    <n v="0"/>
  </r>
  <r>
    <s v="FB001910"/>
    <x v="2"/>
    <x v="7"/>
    <x v="3"/>
    <m/>
    <x v="2"/>
    <x v="7"/>
    <n v="16.64"/>
    <x v="0"/>
    <n v="0"/>
    <n v="16.64"/>
    <n v="0"/>
    <d v="2025-08-06T00:00:00"/>
    <x v="1"/>
    <x v="1"/>
    <n v="8"/>
    <n v="4.8"/>
    <s v="Pocas Unidades"/>
    <n v="4.8"/>
    <s v="False"/>
    <m/>
    <n v="0"/>
    <n v="16.64"/>
    <x v="0"/>
    <n v="0"/>
  </r>
  <r>
    <s v="FB001911"/>
    <x v="0"/>
    <x v="5"/>
    <x v="2"/>
    <s v="S"/>
    <x v="3"/>
    <x v="7"/>
    <n v="160.05000000000001"/>
    <x v="253"/>
    <n v="0.53700000000000003"/>
    <n v="74.099999999999994"/>
    <n v="85.950000000000017"/>
    <d v="2025-08-06T00:00:00"/>
    <x v="1"/>
    <x v="1"/>
    <n v="2"/>
    <n v="3.2"/>
    <s v="Pocas Unidades"/>
    <n v="3.2"/>
    <s v="True"/>
    <s v="Quality Issue"/>
    <n v="1"/>
    <n v="0"/>
    <x v="4"/>
    <n v="0"/>
  </r>
  <r>
    <s v="FB001912"/>
    <x v="2"/>
    <x v="3"/>
    <x v="2"/>
    <m/>
    <x v="2"/>
    <x v="4"/>
    <n v="23.56"/>
    <x v="0"/>
    <n v="0"/>
    <n v="23.56"/>
    <n v="0"/>
    <d v="2025-08-06T00:00:00"/>
    <x v="1"/>
    <x v="1"/>
    <n v="16"/>
    <n v="4.4000000000000004"/>
    <s v="Ok"/>
    <n v="4.4000000000000004"/>
    <s v="False"/>
    <m/>
    <n v="0"/>
    <n v="23.56"/>
    <x v="0"/>
    <n v="0"/>
  </r>
  <r>
    <s v="FB001913"/>
    <x v="3"/>
    <x v="0"/>
    <x v="2"/>
    <s v="XS"/>
    <x v="5"/>
    <x v="2"/>
    <n v="68.37"/>
    <x v="296"/>
    <n v="0.24199999999999999"/>
    <n v="51.82"/>
    <n v="16.550000000000004"/>
    <d v="2025-08-06T00:00:00"/>
    <x v="1"/>
    <x v="1"/>
    <n v="8"/>
    <n v="3.7"/>
    <s v="Pocas Unidades"/>
    <n v="3.7"/>
    <s v="False"/>
    <m/>
    <n v="0"/>
    <n v="51.82"/>
    <x v="0"/>
    <n v="0"/>
  </r>
  <r>
    <s v="FB001914"/>
    <x v="0"/>
    <x v="3"/>
    <x v="2"/>
    <s v="S"/>
    <x v="3"/>
    <x v="6"/>
    <n v="184.24"/>
    <x v="0"/>
    <n v="0"/>
    <n v="184.24"/>
    <n v="0"/>
    <d v="2025-08-06T00:00:00"/>
    <x v="1"/>
    <x v="1"/>
    <n v="49"/>
    <n v="4"/>
    <s v="Ok"/>
    <n v="4"/>
    <s v="False"/>
    <m/>
    <n v="0"/>
    <n v="184.24"/>
    <x v="0"/>
    <n v="0"/>
  </r>
  <r>
    <s v="FB001915"/>
    <x v="3"/>
    <x v="2"/>
    <x v="0"/>
    <s v="XS"/>
    <x v="5"/>
    <x v="6"/>
    <n v="94.83"/>
    <x v="0"/>
    <n v="0"/>
    <n v="94.83"/>
    <n v="0"/>
    <d v="2024-09-08T00:00:00"/>
    <x v="6"/>
    <x v="6"/>
    <n v="23"/>
    <n v="2.9"/>
    <s v="Ok"/>
    <n v="2.9"/>
    <s v="False"/>
    <m/>
    <n v="0"/>
    <n v="94.83"/>
    <x v="0"/>
    <n v="0"/>
  </r>
  <r>
    <s v="FB001916"/>
    <x v="1"/>
    <x v="5"/>
    <x v="3"/>
    <s v="M"/>
    <x v="6"/>
    <x v="1"/>
    <n v="115.58"/>
    <x v="0"/>
    <n v="0"/>
    <n v="115.58"/>
    <n v="0"/>
    <d v="2025-08-06T00:00:00"/>
    <x v="1"/>
    <x v="1"/>
    <n v="37"/>
    <n v="2.2000000000000002"/>
    <s v="Ok"/>
    <n v="2.2000000000000002"/>
    <s v="False"/>
    <m/>
    <n v="0"/>
    <n v="115.58"/>
    <x v="0"/>
    <n v="0"/>
  </r>
  <r>
    <s v="FB001917"/>
    <x v="0"/>
    <x v="0"/>
    <x v="1"/>
    <s v="XXL"/>
    <x v="4"/>
    <x v="6"/>
    <n v="116.29"/>
    <x v="431"/>
    <n v="0.58700000000000008"/>
    <n v="48.03"/>
    <n v="68.260000000000005"/>
    <d v="2025-08-06T00:00:00"/>
    <x v="1"/>
    <x v="1"/>
    <n v="34"/>
    <n v="3.3"/>
    <s v="Ok"/>
    <n v="3.3"/>
    <s v="False"/>
    <m/>
    <n v="0"/>
    <n v="48.03"/>
    <x v="0"/>
    <n v="0"/>
  </r>
  <r>
    <s v="FB001918"/>
    <x v="2"/>
    <x v="2"/>
    <x v="3"/>
    <m/>
    <x v="2"/>
    <x v="6"/>
    <n v="24.55"/>
    <x v="0"/>
    <n v="0"/>
    <n v="24.55"/>
    <n v="0"/>
    <d v="2025-08-06T00:00:00"/>
    <x v="1"/>
    <x v="1"/>
    <n v="43"/>
    <n v="2.2999999999999998"/>
    <s v="Ok"/>
    <n v="2.2999999999999998"/>
    <s v="False"/>
    <m/>
    <n v="0"/>
    <n v="24.55"/>
    <x v="0"/>
    <n v="0"/>
  </r>
  <r>
    <s v="FB001919"/>
    <x v="5"/>
    <x v="0"/>
    <x v="0"/>
    <m/>
    <x v="7"/>
    <x v="8"/>
    <n v="81.56"/>
    <x v="0"/>
    <n v="0"/>
    <n v="81.56"/>
    <n v="0"/>
    <d v="2025-01-09T00:00:00"/>
    <x v="5"/>
    <x v="5"/>
    <n v="28"/>
    <n v="3"/>
    <s v="Ok"/>
    <n v="3"/>
    <s v="False"/>
    <m/>
    <n v="0"/>
    <n v="81.56"/>
    <x v="0"/>
    <n v="0"/>
  </r>
  <r>
    <s v="FB001920"/>
    <x v="0"/>
    <x v="2"/>
    <x v="0"/>
    <s v="M"/>
    <x v="6"/>
    <x v="3"/>
    <n v="234.63"/>
    <x v="0"/>
    <n v="0"/>
    <n v="234.63"/>
    <n v="0"/>
    <d v="2025-02-07T00:00:00"/>
    <x v="4"/>
    <x v="9"/>
    <n v="30"/>
    <n v="4.3"/>
    <s v="Ok"/>
    <n v="4.3"/>
    <s v="False"/>
    <m/>
    <n v="0"/>
    <n v="234.63"/>
    <x v="0"/>
    <n v="0"/>
  </r>
  <r>
    <s v="FB001921"/>
    <x v="2"/>
    <x v="0"/>
    <x v="2"/>
    <m/>
    <x v="2"/>
    <x v="3"/>
    <n v="27.6"/>
    <x v="0"/>
    <n v="0"/>
    <n v="27.6"/>
    <n v="0"/>
    <d v="2025-08-06T00:00:00"/>
    <x v="1"/>
    <x v="1"/>
    <n v="33"/>
    <n v="2.8"/>
    <s v="Ok"/>
    <n v="2.8"/>
    <s v="False"/>
    <m/>
    <n v="0"/>
    <n v="27.6"/>
    <x v="0"/>
    <n v="0"/>
  </r>
  <r>
    <s v="FB001922"/>
    <x v="1"/>
    <x v="5"/>
    <x v="2"/>
    <s v="XS"/>
    <x v="5"/>
    <x v="4"/>
    <n v="114.76"/>
    <x v="106"/>
    <n v="0.24299999999999999"/>
    <n v="86.87"/>
    <n v="27.89"/>
    <d v="2025-08-06T00:00:00"/>
    <x v="1"/>
    <x v="1"/>
    <n v="10"/>
    <n v="3.4"/>
    <s v="Ok"/>
    <n v="3.4"/>
    <s v="False"/>
    <m/>
    <n v="0"/>
    <n v="86.87"/>
    <x v="0"/>
    <n v="0"/>
  </r>
  <r>
    <s v="FB001923"/>
    <x v="3"/>
    <x v="0"/>
    <x v="0"/>
    <s v="S"/>
    <x v="3"/>
    <x v="6"/>
    <n v="133.52000000000001"/>
    <x v="0"/>
    <n v="0"/>
    <n v="133.52000000000001"/>
    <n v="0"/>
    <d v="2024-10-04T00:00:00"/>
    <x v="4"/>
    <x v="2"/>
    <n v="32"/>
    <m/>
    <s v="Ok"/>
    <s v="No valorado"/>
    <s v="False"/>
    <m/>
    <n v="0"/>
    <n v="133.52000000000001"/>
    <x v="0"/>
    <n v="0"/>
  </r>
  <r>
    <s v="FB001924"/>
    <x v="1"/>
    <x v="2"/>
    <x v="1"/>
    <s v="XS"/>
    <x v="5"/>
    <x v="5"/>
    <n v="64.34"/>
    <x v="432"/>
    <n v="0.59299999999999997"/>
    <n v="26.19"/>
    <n v="38.150000000000006"/>
    <d v="2025-08-06T00:00:00"/>
    <x v="1"/>
    <x v="1"/>
    <n v="34"/>
    <n v="1.2"/>
    <s v="Ok"/>
    <n v="1.2"/>
    <s v="False"/>
    <m/>
    <n v="0"/>
    <n v="26.19"/>
    <x v="0"/>
    <n v="0"/>
  </r>
  <r>
    <s v="FB001925"/>
    <x v="4"/>
    <x v="7"/>
    <x v="2"/>
    <s v="L"/>
    <x v="1"/>
    <x v="9"/>
    <n v="117.81"/>
    <x v="0"/>
    <n v="0"/>
    <n v="117.81"/>
    <n v="0"/>
    <d v="2025-08-06T00:00:00"/>
    <x v="1"/>
    <x v="1"/>
    <n v="22"/>
    <n v="4.9000000000000004"/>
    <s v="Ok"/>
    <n v="4.9000000000000004"/>
    <s v="False"/>
    <m/>
    <n v="0"/>
    <n v="117.81"/>
    <x v="0"/>
    <n v="0"/>
  </r>
  <r>
    <s v="FB001926"/>
    <x v="2"/>
    <x v="5"/>
    <x v="0"/>
    <m/>
    <x v="2"/>
    <x v="5"/>
    <n v="29.19"/>
    <x v="0"/>
    <n v="0"/>
    <n v="29.19"/>
    <n v="0"/>
    <d v="2025-03-15T00:00:00"/>
    <x v="0"/>
    <x v="3"/>
    <n v="20"/>
    <n v="1.9"/>
    <s v="Ok"/>
    <n v="1.9"/>
    <s v="False"/>
    <m/>
    <n v="0"/>
    <n v="29.19"/>
    <x v="0"/>
    <n v="0"/>
  </r>
  <r>
    <s v="FB001927"/>
    <x v="1"/>
    <x v="1"/>
    <x v="2"/>
    <s v="M"/>
    <x v="6"/>
    <x v="9"/>
    <n v="34.72"/>
    <x v="0"/>
    <n v="0"/>
    <n v="34.72"/>
    <n v="0"/>
    <d v="2025-08-06T00:00:00"/>
    <x v="1"/>
    <x v="1"/>
    <n v="7"/>
    <m/>
    <s v="Pocas Unidades"/>
    <s v="No valorado"/>
    <s v="False"/>
    <m/>
    <n v="0"/>
    <n v="34.72"/>
    <x v="0"/>
    <n v="0"/>
  </r>
  <r>
    <s v="FB001928"/>
    <x v="5"/>
    <x v="6"/>
    <x v="2"/>
    <s v="XL"/>
    <x v="0"/>
    <x v="4"/>
    <n v="107.49"/>
    <x v="0"/>
    <n v="0"/>
    <n v="107.49"/>
    <n v="0"/>
    <d v="2025-08-06T00:00:00"/>
    <x v="1"/>
    <x v="1"/>
    <n v="49"/>
    <n v="3.3"/>
    <s v="Ok"/>
    <n v="3.3"/>
    <s v="False"/>
    <m/>
    <n v="0"/>
    <n v="107.49"/>
    <x v="0"/>
    <n v="0"/>
  </r>
  <r>
    <s v="FB001929"/>
    <x v="4"/>
    <x v="1"/>
    <x v="1"/>
    <s v="XXL"/>
    <x v="4"/>
    <x v="5"/>
    <n v="38.700000000000003"/>
    <x v="0"/>
    <n v="0"/>
    <n v="38.700000000000003"/>
    <n v="0"/>
    <d v="2025-08-06T00:00:00"/>
    <x v="1"/>
    <x v="1"/>
    <n v="11"/>
    <n v="4"/>
    <s v="Ok"/>
    <n v="4"/>
    <s v="False"/>
    <m/>
    <n v="0"/>
    <n v="38.700000000000003"/>
    <x v="0"/>
    <n v="0"/>
  </r>
  <r>
    <s v="FB001930"/>
    <x v="0"/>
    <x v="5"/>
    <x v="0"/>
    <s v="XS"/>
    <x v="5"/>
    <x v="10"/>
    <n v="152.63999999999999"/>
    <x v="0"/>
    <n v="0"/>
    <n v="152.63999999999999"/>
    <n v="0"/>
    <d v="2025-04-05T00:00:00"/>
    <x v="0"/>
    <x v="4"/>
    <n v="19"/>
    <n v="4.0999999999999996"/>
    <s v="Ok"/>
    <n v="4.0999999999999996"/>
    <s v="False"/>
    <m/>
    <n v="0"/>
    <n v="152.63999999999999"/>
    <x v="0"/>
    <n v="0"/>
  </r>
  <r>
    <s v="FB001931"/>
    <x v="0"/>
    <x v="3"/>
    <x v="2"/>
    <s v="XS"/>
    <x v="5"/>
    <x v="9"/>
    <n v="181.66"/>
    <x v="43"/>
    <n v="0.56399999999999995"/>
    <n v="79.2"/>
    <n v="102.46"/>
    <d v="2025-08-06T00:00:00"/>
    <x v="1"/>
    <x v="1"/>
    <n v="43"/>
    <n v="1.2"/>
    <s v="Ok"/>
    <n v="1.2"/>
    <s v="False"/>
    <m/>
    <n v="0"/>
    <n v="79.2"/>
    <x v="0"/>
    <n v="0"/>
  </r>
  <r>
    <s v="FB001932"/>
    <x v="1"/>
    <x v="1"/>
    <x v="0"/>
    <s v="XL"/>
    <x v="0"/>
    <x v="6"/>
    <n v="114.8"/>
    <x v="413"/>
    <n v="0.17399999999999999"/>
    <n v="94.82"/>
    <n v="19.980000000000004"/>
    <d v="2025-05-17T00:00:00"/>
    <x v="0"/>
    <x v="8"/>
    <n v="4"/>
    <n v="1.8"/>
    <s v="Pocas Unidades"/>
    <n v="1.8"/>
    <s v="False"/>
    <m/>
    <n v="0"/>
    <n v="94.82"/>
    <x v="0"/>
    <n v="0"/>
  </r>
  <r>
    <s v="FB001933"/>
    <x v="3"/>
    <x v="1"/>
    <x v="1"/>
    <s v="XXL"/>
    <x v="4"/>
    <x v="6"/>
    <n v="102.95"/>
    <x v="0"/>
    <n v="0"/>
    <n v="102.95"/>
    <n v="0"/>
    <d v="2025-08-06T00:00:00"/>
    <x v="1"/>
    <x v="1"/>
    <n v="38"/>
    <n v="3.8"/>
    <s v="Ok"/>
    <n v="3.8"/>
    <s v="False"/>
    <m/>
    <n v="0"/>
    <n v="102.95"/>
    <x v="0"/>
    <n v="0"/>
  </r>
  <r>
    <s v="FB001934"/>
    <x v="1"/>
    <x v="7"/>
    <x v="1"/>
    <s v="XXL"/>
    <x v="4"/>
    <x v="6"/>
    <n v="86.82"/>
    <x v="0"/>
    <n v="0"/>
    <n v="86.82"/>
    <n v="0"/>
    <d v="2025-08-06T00:00:00"/>
    <x v="1"/>
    <x v="1"/>
    <n v="0"/>
    <n v="4.8"/>
    <s v="Agotado"/>
    <n v="4.8"/>
    <s v="False"/>
    <m/>
    <n v="0"/>
    <n v="86.82"/>
    <x v="0"/>
    <n v="0"/>
  </r>
  <r>
    <s v="FB001935"/>
    <x v="0"/>
    <x v="4"/>
    <x v="3"/>
    <s v="L"/>
    <x v="1"/>
    <x v="0"/>
    <n v="83.68"/>
    <x v="433"/>
    <n v="0.28100000000000003"/>
    <n v="60.17"/>
    <n v="23.510000000000005"/>
    <d v="2025-08-06T00:00:00"/>
    <x v="1"/>
    <x v="1"/>
    <n v="46"/>
    <m/>
    <s v="Ok"/>
    <s v="No valorado"/>
    <s v="True"/>
    <s v="Quality Issue"/>
    <n v="1"/>
    <n v="0"/>
    <x v="4"/>
    <n v="0"/>
  </r>
  <r>
    <s v="FB001936"/>
    <x v="0"/>
    <x v="2"/>
    <x v="2"/>
    <s v="S"/>
    <x v="3"/>
    <x v="1"/>
    <n v="167.31"/>
    <x v="232"/>
    <n v="0.50700000000000001"/>
    <n v="82.48"/>
    <n v="84.83"/>
    <d v="2025-08-06T00:00:00"/>
    <x v="1"/>
    <x v="1"/>
    <n v="9"/>
    <n v="3.2"/>
    <s v="Pocas Unidades"/>
    <n v="3.2"/>
    <s v="False"/>
    <m/>
    <n v="0"/>
    <n v="82.48"/>
    <x v="0"/>
    <n v="0"/>
  </r>
  <r>
    <s v="FB001937"/>
    <x v="4"/>
    <x v="4"/>
    <x v="2"/>
    <s v="XS"/>
    <x v="5"/>
    <x v="4"/>
    <n v="114.64"/>
    <x v="320"/>
    <n v="5.0999999999999997E-2"/>
    <n v="108.79"/>
    <n v="5.8499999999999943"/>
    <d v="2025-08-06T00:00:00"/>
    <x v="1"/>
    <x v="1"/>
    <n v="21"/>
    <n v="2"/>
    <s v="Ok"/>
    <n v="2"/>
    <s v="False"/>
    <m/>
    <n v="0"/>
    <n v="108.79"/>
    <x v="0"/>
    <n v="0"/>
  </r>
  <r>
    <s v="FB001938"/>
    <x v="0"/>
    <x v="4"/>
    <x v="0"/>
    <s v="XXL"/>
    <x v="4"/>
    <x v="3"/>
    <n v="109.53"/>
    <x v="434"/>
    <n v="0.29299999999999998"/>
    <n v="77.44"/>
    <n v="32.090000000000003"/>
    <d v="2024-11-02T00:00:00"/>
    <x v="0"/>
    <x v="11"/>
    <n v="35"/>
    <n v="1.3"/>
    <s v="Ok"/>
    <n v="1.3"/>
    <s v="False"/>
    <m/>
    <n v="0"/>
    <n v="77.44"/>
    <x v="0"/>
    <n v="0"/>
  </r>
  <r>
    <s v="FB001939"/>
    <x v="2"/>
    <x v="5"/>
    <x v="3"/>
    <m/>
    <x v="2"/>
    <x v="7"/>
    <n v="51.02"/>
    <x v="307"/>
    <n v="0.57899999999999996"/>
    <n v="21.48"/>
    <n v="29.540000000000003"/>
    <d v="2025-08-06T00:00:00"/>
    <x v="1"/>
    <x v="1"/>
    <n v="36"/>
    <m/>
    <s v="Ok"/>
    <s v="No valorado"/>
    <s v="False"/>
    <m/>
    <n v="0"/>
    <n v="21.48"/>
    <x v="0"/>
    <n v="0"/>
  </r>
  <r>
    <s v="FB001940"/>
    <x v="3"/>
    <x v="4"/>
    <x v="2"/>
    <s v="M"/>
    <x v="6"/>
    <x v="6"/>
    <n v="77.45"/>
    <x v="229"/>
    <n v="0.52800000000000002"/>
    <n v="36.56"/>
    <n v="40.89"/>
    <d v="2025-08-06T00:00:00"/>
    <x v="1"/>
    <x v="1"/>
    <n v="6"/>
    <n v="2.7"/>
    <s v="Pocas Unidades"/>
    <n v="2.7"/>
    <s v="False"/>
    <m/>
    <n v="0"/>
    <n v="36.56"/>
    <x v="0"/>
    <n v="0"/>
  </r>
  <r>
    <s v="FB001941"/>
    <x v="3"/>
    <x v="5"/>
    <x v="2"/>
    <s v="XS"/>
    <x v="5"/>
    <x v="3"/>
    <n v="142.87"/>
    <x v="214"/>
    <n v="0.45399999999999996"/>
    <n v="78.010000000000005"/>
    <n v="64.86"/>
    <d v="2025-08-06T00:00:00"/>
    <x v="1"/>
    <x v="1"/>
    <n v="20"/>
    <n v="1.7"/>
    <s v="Ok"/>
    <n v="1.7"/>
    <s v="False"/>
    <m/>
    <n v="0"/>
    <n v="78.010000000000005"/>
    <x v="0"/>
    <n v="0"/>
  </r>
  <r>
    <s v="FB001942"/>
    <x v="0"/>
    <x v="2"/>
    <x v="1"/>
    <s v="XS"/>
    <x v="5"/>
    <x v="3"/>
    <n v="138.87"/>
    <x v="0"/>
    <n v="0"/>
    <n v="138.87"/>
    <n v="0"/>
    <d v="2025-08-06T00:00:00"/>
    <x v="1"/>
    <x v="1"/>
    <n v="37"/>
    <n v="3.2"/>
    <s v="Ok"/>
    <n v="3.2"/>
    <s v="False"/>
    <m/>
    <n v="0"/>
    <n v="138.87"/>
    <x v="0"/>
    <n v="0"/>
  </r>
  <r>
    <s v="FB001943"/>
    <x v="3"/>
    <x v="5"/>
    <x v="0"/>
    <s v="S"/>
    <x v="3"/>
    <x v="0"/>
    <n v="132.82"/>
    <x v="0"/>
    <n v="0"/>
    <n v="132.82"/>
    <n v="0"/>
    <d v="2025-03-17T00:00:00"/>
    <x v="2"/>
    <x v="3"/>
    <n v="40"/>
    <m/>
    <s v="Ok"/>
    <s v="No valorado"/>
    <s v="True"/>
    <s v="Changed Mind"/>
    <n v="1"/>
    <n v="0"/>
    <x v="5"/>
    <n v="0"/>
  </r>
  <r>
    <s v="FB001944"/>
    <x v="3"/>
    <x v="4"/>
    <x v="3"/>
    <s v="L"/>
    <x v="1"/>
    <x v="8"/>
    <n v="110.54"/>
    <x v="0"/>
    <n v="0"/>
    <n v="110.54"/>
    <n v="0"/>
    <d v="2025-08-06T00:00:00"/>
    <x v="1"/>
    <x v="1"/>
    <n v="24"/>
    <m/>
    <s v="Ok"/>
    <s v="No valorado"/>
    <s v="True"/>
    <s v="Size Issue"/>
    <n v="1"/>
    <n v="0"/>
    <x v="2"/>
    <n v="0"/>
  </r>
  <r>
    <s v="FB001945"/>
    <x v="4"/>
    <x v="0"/>
    <x v="3"/>
    <s v="XL"/>
    <x v="0"/>
    <x v="7"/>
    <n v="29.07"/>
    <x v="0"/>
    <n v="0"/>
    <n v="29.07"/>
    <n v="0"/>
    <d v="2025-08-06T00:00:00"/>
    <x v="1"/>
    <x v="1"/>
    <n v="41"/>
    <n v="2.8"/>
    <s v="Ok"/>
    <n v="2.8"/>
    <s v="False"/>
    <m/>
    <n v="0"/>
    <n v="29.07"/>
    <x v="0"/>
    <n v="0"/>
  </r>
  <r>
    <s v="FB001946"/>
    <x v="0"/>
    <x v="6"/>
    <x v="3"/>
    <s v="S"/>
    <x v="3"/>
    <x v="8"/>
    <n v="141.91999999999999"/>
    <x v="0"/>
    <n v="0"/>
    <n v="141.91999999999999"/>
    <n v="0"/>
    <d v="2025-08-06T00:00:00"/>
    <x v="1"/>
    <x v="1"/>
    <n v="37"/>
    <n v="1.7"/>
    <s v="Ok"/>
    <n v="1.7"/>
    <s v="False"/>
    <m/>
    <n v="0"/>
    <n v="141.91999999999999"/>
    <x v="0"/>
    <n v="0"/>
  </r>
  <r>
    <s v="FB001947"/>
    <x v="3"/>
    <x v="2"/>
    <x v="3"/>
    <s v="XL"/>
    <x v="0"/>
    <x v="0"/>
    <n v="67.84"/>
    <x v="0"/>
    <n v="0"/>
    <n v="67.84"/>
    <n v="0"/>
    <d v="2025-08-06T00:00:00"/>
    <x v="1"/>
    <x v="1"/>
    <n v="24"/>
    <n v="1.2"/>
    <s v="Ok"/>
    <n v="1.2"/>
    <s v="False"/>
    <m/>
    <n v="0"/>
    <n v="67.84"/>
    <x v="0"/>
    <n v="0"/>
  </r>
  <r>
    <s v="FB001948"/>
    <x v="3"/>
    <x v="3"/>
    <x v="1"/>
    <s v="S"/>
    <x v="3"/>
    <x v="10"/>
    <n v="143.27000000000001"/>
    <x v="0"/>
    <n v="0"/>
    <n v="143.27000000000001"/>
    <n v="0"/>
    <d v="2025-08-06T00:00:00"/>
    <x v="1"/>
    <x v="1"/>
    <n v="0"/>
    <m/>
    <s v="Agotado"/>
    <s v="No valorado"/>
    <s v="False"/>
    <m/>
    <n v="0"/>
    <n v="143.27000000000001"/>
    <x v="0"/>
    <n v="0"/>
  </r>
  <r>
    <s v="FB001949"/>
    <x v="2"/>
    <x v="2"/>
    <x v="1"/>
    <m/>
    <x v="2"/>
    <x v="10"/>
    <n v="20.97"/>
    <x v="0"/>
    <n v="0"/>
    <n v="20.97"/>
    <n v="0"/>
    <d v="2025-08-06T00:00:00"/>
    <x v="1"/>
    <x v="1"/>
    <n v="44"/>
    <n v="4.5999999999999996"/>
    <s v="Ok"/>
    <n v="4.5999999999999996"/>
    <s v="False"/>
    <m/>
    <n v="0"/>
    <n v="20.97"/>
    <x v="0"/>
    <n v="0"/>
  </r>
  <r>
    <s v="FB001950"/>
    <x v="5"/>
    <x v="0"/>
    <x v="3"/>
    <s v="XL"/>
    <x v="0"/>
    <x v="9"/>
    <n v="105.5"/>
    <x v="322"/>
    <n v="0.59799999999999998"/>
    <n v="42.41"/>
    <n v="63.09"/>
    <d v="2025-08-06T00:00:00"/>
    <x v="1"/>
    <x v="1"/>
    <n v="34"/>
    <m/>
    <s v="Ok"/>
    <s v="No valorado"/>
    <s v="False"/>
    <m/>
    <n v="0"/>
    <n v="42.41"/>
    <x v="0"/>
    <n v="0"/>
  </r>
  <r>
    <s v="FB001951"/>
    <x v="3"/>
    <x v="2"/>
    <x v="0"/>
    <s v="XXL"/>
    <x v="4"/>
    <x v="6"/>
    <n v="184.7"/>
    <x v="0"/>
    <n v="0"/>
    <n v="184.7"/>
    <n v="0"/>
    <d v="2024-09-19T00:00:00"/>
    <x v="5"/>
    <x v="6"/>
    <n v="39"/>
    <n v="2.1"/>
    <s v="Ok"/>
    <n v="2.1"/>
    <s v="True"/>
    <s v="Size Issue"/>
    <n v="1"/>
    <n v="0"/>
    <x v="2"/>
    <n v="0"/>
  </r>
  <r>
    <s v="FB001952"/>
    <x v="3"/>
    <x v="4"/>
    <x v="0"/>
    <s v="XS"/>
    <x v="5"/>
    <x v="5"/>
    <n v="81.47"/>
    <x v="147"/>
    <n v="0.32"/>
    <n v="55.4"/>
    <n v="26.07"/>
    <d v="2024-09-01T00:00:00"/>
    <x v="6"/>
    <x v="6"/>
    <n v="2"/>
    <n v="1.1000000000000001"/>
    <s v="Pocas Unidades"/>
    <n v="1.1000000000000001"/>
    <s v="False"/>
    <m/>
    <n v="0"/>
    <n v="55.4"/>
    <x v="0"/>
    <n v="0"/>
  </r>
  <r>
    <s v="FB001953"/>
    <x v="0"/>
    <x v="2"/>
    <x v="1"/>
    <s v="L"/>
    <x v="1"/>
    <x v="5"/>
    <n v="107.67"/>
    <x v="378"/>
    <n v="0.20300000000000001"/>
    <n v="85.81"/>
    <n v="21.86"/>
    <d v="2025-08-06T00:00:00"/>
    <x v="1"/>
    <x v="1"/>
    <n v="16"/>
    <n v="4.3"/>
    <s v="Ok"/>
    <n v="4.3"/>
    <s v="False"/>
    <m/>
    <n v="0"/>
    <n v="85.81"/>
    <x v="0"/>
    <n v="0"/>
  </r>
  <r>
    <s v="FB001954"/>
    <x v="1"/>
    <x v="2"/>
    <x v="3"/>
    <s v="XL"/>
    <x v="0"/>
    <x v="9"/>
    <n v="88.64"/>
    <x v="0"/>
    <n v="0"/>
    <n v="88.64"/>
    <n v="0"/>
    <d v="2025-08-06T00:00:00"/>
    <x v="1"/>
    <x v="1"/>
    <n v="33"/>
    <m/>
    <s v="Ok"/>
    <s v="No valorado"/>
    <s v="False"/>
    <m/>
    <n v="0"/>
    <n v="88.64"/>
    <x v="0"/>
    <n v="0"/>
  </r>
  <r>
    <s v="FB001955"/>
    <x v="2"/>
    <x v="0"/>
    <x v="1"/>
    <m/>
    <x v="2"/>
    <x v="0"/>
    <n v="17.5"/>
    <x v="435"/>
    <n v="0.14400000000000002"/>
    <n v="14.98"/>
    <n v="2.5199999999999996"/>
    <d v="2025-08-06T00:00:00"/>
    <x v="1"/>
    <x v="1"/>
    <n v="16"/>
    <n v="3.1"/>
    <s v="Ok"/>
    <n v="3.1"/>
    <s v="False"/>
    <m/>
    <n v="0"/>
    <n v="14.98"/>
    <x v="0"/>
    <n v="0"/>
  </r>
  <r>
    <s v="FB001956"/>
    <x v="0"/>
    <x v="4"/>
    <x v="1"/>
    <s v="XL"/>
    <x v="0"/>
    <x v="4"/>
    <n v="205.37"/>
    <x v="0"/>
    <n v="0"/>
    <n v="205.37"/>
    <n v="0"/>
    <d v="2025-08-06T00:00:00"/>
    <x v="1"/>
    <x v="1"/>
    <n v="25"/>
    <n v="2"/>
    <s v="Ok"/>
    <n v="2"/>
    <s v="True"/>
    <s v="Damaged"/>
    <n v="1"/>
    <n v="0"/>
    <x v="3"/>
    <n v="0"/>
  </r>
  <r>
    <s v="FB001957"/>
    <x v="5"/>
    <x v="3"/>
    <x v="1"/>
    <s v="XS"/>
    <x v="5"/>
    <x v="7"/>
    <n v="111.66"/>
    <x v="0"/>
    <n v="0"/>
    <n v="111.66"/>
    <n v="0"/>
    <d v="2025-08-06T00:00:00"/>
    <x v="1"/>
    <x v="1"/>
    <n v="26"/>
    <n v="1.4"/>
    <s v="Ok"/>
    <n v="1.4"/>
    <s v="False"/>
    <m/>
    <n v="0"/>
    <n v="111.66"/>
    <x v="0"/>
    <n v="0"/>
  </r>
  <r>
    <s v="FB001958"/>
    <x v="3"/>
    <x v="3"/>
    <x v="3"/>
    <s v="S"/>
    <x v="3"/>
    <x v="1"/>
    <n v="184.87"/>
    <x v="43"/>
    <n v="0.56399999999999995"/>
    <n v="80.599999999999994"/>
    <n v="104.27000000000001"/>
    <d v="2025-08-06T00:00:00"/>
    <x v="1"/>
    <x v="1"/>
    <n v="10"/>
    <n v="3.7"/>
    <s v="Ok"/>
    <n v="3.7"/>
    <s v="False"/>
    <m/>
    <n v="0"/>
    <n v="80.599999999999994"/>
    <x v="0"/>
    <n v="0"/>
  </r>
  <r>
    <s v="FB001959"/>
    <x v="4"/>
    <x v="0"/>
    <x v="0"/>
    <s v="L"/>
    <x v="1"/>
    <x v="6"/>
    <n v="84.58"/>
    <x v="0"/>
    <n v="0"/>
    <n v="84.58"/>
    <n v="0"/>
    <d v="2025-01-17T00:00:00"/>
    <x v="4"/>
    <x v="5"/>
    <n v="33"/>
    <n v="4.5"/>
    <s v="Ok"/>
    <n v="4.5"/>
    <s v="False"/>
    <m/>
    <n v="0"/>
    <n v="84.58"/>
    <x v="0"/>
    <n v="0"/>
  </r>
  <r>
    <s v="FB001960"/>
    <x v="4"/>
    <x v="7"/>
    <x v="3"/>
    <s v="XXL"/>
    <x v="4"/>
    <x v="3"/>
    <n v="66.739999999999995"/>
    <x v="0"/>
    <n v="0"/>
    <n v="66.739999999999995"/>
    <n v="0"/>
    <d v="2025-08-06T00:00:00"/>
    <x v="1"/>
    <x v="1"/>
    <n v="26"/>
    <n v="4.5999999999999996"/>
    <s v="Ok"/>
    <n v="4.5999999999999996"/>
    <s v="False"/>
    <m/>
    <n v="0"/>
    <n v="66.739999999999995"/>
    <x v="0"/>
    <n v="0"/>
  </r>
  <r>
    <s v="FB001961"/>
    <x v="3"/>
    <x v="4"/>
    <x v="3"/>
    <s v="M"/>
    <x v="6"/>
    <x v="6"/>
    <n v="104.19"/>
    <x v="0"/>
    <n v="0"/>
    <n v="104.19"/>
    <n v="0"/>
    <d v="2025-08-06T00:00:00"/>
    <x v="1"/>
    <x v="1"/>
    <n v="4"/>
    <n v="4.7"/>
    <s v="Pocas Unidades"/>
    <n v="4.7"/>
    <s v="False"/>
    <m/>
    <n v="0"/>
    <n v="104.19"/>
    <x v="0"/>
    <n v="0"/>
  </r>
  <r>
    <s v="FB001962"/>
    <x v="0"/>
    <x v="1"/>
    <x v="3"/>
    <s v="M"/>
    <x v="6"/>
    <x v="6"/>
    <n v="216.73"/>
    <x v="0"/>
    <n v="0"/>
    <n v="216.73"/>
    <n v="0"/>
    <d v="2025-08-06T00:00:00"/>
    <x v="1"/>
    <x v="1"/>
    <n v="5"/>
    <n v="2.7"/>
    <s v="Pocas Unidades"/>
    <n v="2.7"/>
    <s v="True"/>
    <s v="Wrong Item"/>
    <n v="1"/>
    <n v="0"/>
    <x v="6"/>
    <n v="0"/>
  </r>
  <r>
    <s v="FB001963"/>
    <x v="5"/>
    <x v="3"/>
    <x v="3"/>
    <s v="XXL"/>
    <x v="4"/>
    <x v="7"/>
    <n v="87.82"/>
    <x v="0"/>
    <n v="0"/>
    <n v="87.82"/>
    <n v="0"/>
    <d v="2025-08-06T00:00:00"/>
    <x v="1"/>
    <x v="1"/>
    <n v="24"/>
    <n v="4.2"/>
    <s v="Ok"/>
    <n v="4.2"/>
    <s v="False"/>
    <m/>
    <n v="0"/>
    <n v="87.82"/>
    <x v="0"/>
    <n v="0"/>
  </r>
  <r>
    <s v="FB001964"/>
    <x v="3"/>
    <x v="0"/>
    <x v="3"/>
    <s v="L"/>
    <x v="1"/>
    <x v="6"/>
    <n v="81.59"/>
    <x v="0"/>
    <n v="0"/>
    <n v="81.59"/>
    <n v="0"/>
    <d v="2025-08-06T00:00:00"/>
    <x v="1"/>
    <x v="1"/>
    <n v="5"/>
    <n v="2.5"/>
    <s v="Pocas Unidades"/>
    <n v="2.5"/>
    <s v="False"/>
    <m/>
    <n v="0"/>
    <n v="81.59"/>
    <x v="0"/>
    <n v="0"/>
  </r>
  <r>
    <s v="FB001965"/>
    <x v="0"/>
    <x v="6"/>
    <x v="3"/>
    <m/>
    <x v="7"/>
    <x v="5"/>
    <n v="93.14"/>
    <x v="436"/>
    <n v="0.32799999999999996"/>
    <n v="62.59"/>
    <n v="30.549999999999997"/>
    <d v="2025-08-06T00:00:00"/>
    <x v="1"/>
    <x v="1"/>
    <n v="45"/>
    <n v="4.5"/>
    <s v="Ok"/>
    <n v="4.5"/>
    <s v="False"/>
    <m/>
    <n v="0"/>
    <n v="62.59"/>
    <x v="0"/>
    <n v="0"/>
  </r>
  <r>
    <s v="FB001966"/>
    <x v="4"/>
    <x v="6"/>
    <x v="0"/>
    <s v="XS"/>
    <x v="5"/>
    <x v="4"/>
    <n v="96.73"/>
    <x v="0"/>
    <n v="0"/>
    <n v="96.73"/>
    <n v="0"/>
    <d v="2024-11-09T00:00:00"/>
    <x v="0"/>
    <x v="11"/>
    <n v="18"/>
    <n v="4.8"/>
    <s v="Ok"/>
    <n v="4.8"/>
    <s v="False"/>
    <m/>
    <n v="0"/>
    <n v="96.73"/>
    <x v="0"/>
    <n v="0"/>
  </r>
  <r>
    <s v="FB001967"/>
    <x v="2"/>
    <x v="7"/>
    <x v="1"/>
    <m/>
    <x v="2"/>
    <x v="5"/>
    <n v="19.34"/>
    <x v="0"/>
    <n v="0"/>
    <n v="19.34"/>
    <n v="0"/>
    <d v="2025-08-06T00:00:00"/>
    <x v="1"/>
    <x v="1"/>
    <n v="19"/>
    <m/>
    <s v="Ok"/>
    <s v="No valorado"/>
    <s v="False"/>
    <m/>
    <n v="0"/>
    <n v="19.34"/>
    <x v="0"/>
    <n v="0"/>
  </r>
  <r>
    <s v="FB001968"/>
    <x v="3"/>
    <x v="0"/>
    <x v="0"/>
    <s v="S"/>
    <x v="3"/>
    <x v="0"/>
    <n v="113.88"/>
    <x v="437"/>
    <n v="0.311"/>
    <n v="78.459999999999994"/>
    <n v="35.42"/>
    <d v="2025-06-10T00:00:00"/>
    <x v="3"/>
    <x v="7"/>
    <n v="22"/>
    <n v="3.1"/>
    <s v="Ok"/>
    <n v="3.1"/>
    <s v="False"/>
    <m/>
    <n v="0"/>
    <n v="78.459999999999994"/>
    <x v="0"/>
    <n v="0"/>
  </r>
  <r>
    <s v="FB001969"/>
    <x v="5"/>
    <x v="0"/>
    <x v="0"/>
    <s v="XL"/>
    <x v="0"/>
    <x v="8"/>
    <n v="90.32"/>
    <x v="0"/>
    <n v="0"/>
    <n v="90.32"/>
    <n v="0"/>
    <d v="2025-03-26T00:00:00"/>
    <x v="1"/>
    <x v="3"/>
    <n v="41"/>
    <n v="2.8"/>
    <s v="Ok"/>
    <n v="2.8"/>
    <s v="False"/>
    <m/>
    <n v="0"/>
    <n v="90.32"/>
    <x v="0"/>
    <n v="0"/>
  </r>
  <r>
    <s v="FB001970"/>
    <x v="1"/>
    <x v="2"/>
    <x v="3"/>
    <s v="L"/>
    <x v="1"/>
    <x v="4"/>
    <n v="38.119999999999997"/>
    <x v="0"/>
    <n v="0"/>
    <n v="38.119999999999997"/>
    <n v="0"/>
    <d v="2025-08-06T00:00:00"/>
    <x v="1"/>
    <x v="1"/>
    <n v="44"/>
    <m/>
    <s v="Ok"/>
    <s v="No valorado"/>
    <s v="False"/>
    <m/>
    <n v="0"/>
    <n v="38.119999999999997"/>
    <x v="0"/>
    <n v="0"/>
  </r>
  <r>
    <s v="FB001971"/>
    <x v="3"/>
    <x v="2"/>
    <x v="3"/>
    <s v="S"/>
    <x v="3"/>
    <x v="5"/>
    <n v="175.31"/>
    <x v="0"/>
    <n v="0"/>
    <n v="175.31"/>
    <n v="0"/>
    <d v="2025-08-06T00:00:00"/>
    <x v="1"/>
    <x v="1"/>
    <n v="13"/>
    <m/>
    <s v="Ok"/>
    <s v="No valorado"/>
    <s v="False"/>
    <m/>
    <n v="0"/>
    <n v="175.31"/>
    <x v="0"/>
    <n v="0"/>
  </r>
  <r>
    <s v="FB001972"/>
    <x v="5"/>
    <x v="0"/>
    <x v="0"/>
    <s v="L"/>
    <x v="1"/>
    <x v="0"/>
    <n v="171.92"/>
    <x v="0"/>
    <n v="0"/>
    <n v="171.92"/>
    <n v="0"/>
    <d v="2025-06-08T00:00:00"/>
    <x v="6"/>
    <x v="7"/>
    <n v="12"/>
    <n v="1.3"/>
    <s v="Ok"/>
    <n v="1.3"/>
    <s v="False"/>
    <m/>
    <n v="0"/>
    <n v="171.92"/>
    <x v="0"/>
    <n v="0"/>
  </r>
  <r>
    <s v="FB001973"/>
    <x v="2"/>
    <x v="6"/>
    <x v="3"/>
    <m/>
    <x v="2"/>
    <x v="5"/>
    <n v="35.6"/>
    <x v="0"/>
    <n v="0"/>
    <n v="35.6"/>
    <n v="0"/>
    <d v="2025-08-06T00:00:00"/>
    <x v="1"/>
    <x v="1"/>
    <n v="24"/>
    <n v="3.1"/>
    <s v="Ok"/>
    <n v="3.1"/>
    <s v="False"/>
    <m/>
    <n v="0"/>
    <n v="35.6"/>
    <x v="0"/>
    <n v="0"/>
  </r>
  <r>
    <s v="FB001974"/>
    <x v="4"/>
    <x v="4"/>
    <x v="3"/>
    <s v="M"/>
    <x v="6"/>
    <x v="8"/>
    <n v="81.7"/>
    <x v="0"/>
    <n v="0"/>
    <n v="81.7"/>
    <n v="0"/>
    <d v="2025-08-06T00:00:00"/>
    <x v="1"/>
    <x v="1"/>
    <n v="33"/>
    <m/>
    <s v="Ok"/>
    <s v="No valorado"/>
    <s v="True"/>
    <s v="Wrong Item"/>
    <n v="1"/>
    <n v="0"/>
    <x v="6"/>
    <n v="0"/>
  </r>
  <r>
    <s v="FB001975"/>
    <x v="4"/>
    <x v="2"/>
    <x v="3"/>
    <m/>
    <x v="7"/>
    <x v="9"/>
    <n v="29.7"/>
    <x v="0"/>
    <n v="0"/>
    <n v="29.7"/>
    <n v="0"/>
    <d v="2025-08-06T00:00:00"/>
    <x v="1"/>
    <x v="1"/>
    <n v="16"/>
    <n v="2.7"/>
    <s v="Ok"/>
    <n v="2.7"/>
    <s v="False"/>
    <m/>
    <n v="0"/>
    <n v="29.7"/>
    <x v="0"/>
    <n v="0"/>
  </r>
  <r>
    <s v="FB001976"/>
    <x v="0"/>
    <x v="3"/>
    <x v="1"/>
    <s v="S"/>
    <x v="3"/>
    <x v="10"/>
    <n v="239.65"/>
    <x v="0"/>
    <n v="0"/>
    <n v="239.65"/>
    <n v="0"/>
    <d v="2025-08-06T00:00:00"/>
    <x v="1"/>
    <x v="1"/>
    <n v="27"/>
    <n v="2.9"/>
    <s v="Ok"/>
    <n v="2.9"/>
    <s v="False"/>
    <m/>
    <n v="0"/>
    <n v="239.65"/>
    <x v="0"/>
    <n v="0"/>
  </r>
  <r>
    <s v="FB001977"/>
    <x v="1"/>
    <x v="4"/>
    <x v="2"/>
    <s v="M"/>
    <x v="6"/>
    <x v="0"/>
    <n v="90.41"/>
    <x v="0"/>
    <n v="0"/>
    <n v="90.41"/>
    <n v="0"/>
    <d v="2025-08-06T00:00:00"/>
    <x v="1"/>
    <x v="1"/>
    <n v="11"/>
    <m/>
    <s v="Ok"/>
    <s v="No valorado"/>
    <s v="False"/>
    <m/>
    <n v="0"/>
    <n v="90.41"/>
    <x v="0"/>
    <n v="0"/>
  </r>
  <r>
    <s v="FB001978"/>
    <x v="5"/>
    <x v="5"/>
    <x v="1"/>
    <s v="XL"/>
    <x v="0"/>
    <x v="3"/>
    <n v="81.78"/>
    <x v="438"/>
    <n v="0.1"/>
    <n v="73.599999999999994"/>
    <n v="8.1800000000000068"/>
    <d v="2025-08-06T00:00:00"/>
    <x v="1"/>
    <x v="1"/>
    <n v="24"/>
    <n v="1.2"/>
    <s v="Ok"/>
    <n v="1.2"/>
    <s v="False"/>
    <m/>
    <n v="0"/>
    <n v="73.599999999999994"/>
    <x v="0"/>
    <n v="0"/>
  </r>
  <r>
    <s v="FB001979"/>
    <x v="0"/>
    <x v="7"/>
    <x v="1"/>
    <s v="L"/>
    <x v="1"/>
    <x v="2"/>
    <n v="142.55000000000001"/>
    <x v="0"/>
    <n v="0"/>
    <n v="142.55000000000001"/>
    <n v="0"/>
    <d v="2025-08-06T00:00:00"/>
    <x v="1"/>
    <x v="1"/>
    <n v="21"/>
    <n v="4.5"/>
    <s v="Ok"/>
    <n v="4.5"/>
    <s v="False"/>
    <m/>
    <n v="0"/>
    <n v="142.55000000000001"/>
    <x v="0"/>
    <n v="0"/>
  </r>
  <r>
    <s v="FB001980"/>
    <x v="5"/>
    <x v="6"/>
    <x v="2"/>
    <s v="S"/>
    <x v="3"/>
    <x v="2"/>
    <n v="53.13"/>
    <x v="0"/>
    <n v="0"/>
    <n v="53.13"/>
    <n v="0"/>
    <d v="2025-08-06T00:00:00"/>
    <x v="1"/>
    <x v="1"/>
    <n v="5"/>
    <n v="4.5999999999999996"/>
    <s v="Pocas Unidades"/>
    <n v="4.5999999999999996"/>
    <s v="False"/>
    <m/>
    <n v="0"/>
    <n v="53.13"/>
    <x v="0"/>
    <n v="0"/>
  </r>
  <r>
    <s v="FB001981"/>
    <x v="4"/>
    <x v="7"/>
    <x v="3"/>
    <s v="L"/>
    <x v="1"/>
    <x v="8"/>
    <n v="80.81"/>
    <x v="0"/>
    <n v="0"/>
    <n v="80.81"/>
    <n v="0"/>
    <d v="2025-08-06T00:00:00"/>
    <x v="1"/>
    <x v="1"/>
    <n v="15"/>
    <n v="4.5999999999999996"/>
    <s v="Ok"/>
    <n v="4.5999999999999996"/>
    <s v="False"/>
    <m/>
    <n v="0"/>
    <n v="80.81"/>
    <x v="0"/>
    <n v="0"/>
  </r>
  <r>
    <s v="FB001982"/>
    <x v="1"/>
    <x v="1"/>
    <x v="2"/>
    <s v="M"/>
    <x v="6"/>
    <x v="8"/>
    <n v="89.39"/>
    <x v="0"/>
    <n v="0"/>
    <n v="89.39"/>
    <n v="0"/>
    <d v="2025-08-06T00:00:00"/>
    <x v="1"/>
    <x v="1"/>
    <n v="33"/>
    <n v="4.2"/>
    <s v="Ok"/>
    <n v="4.2"/>
    <s v="False"/>
    <m/>
    <n v="0"/>
    <n v="89.39"/>
    <x v="0"/>
    <n v="0"/>
  </r>
  <r>
    <s v="FB001983"/>
    <x v="4"/>
    <x v="3"/>
    <x v="3"/>
    <s v="S"/>
    <x v="3"/>
    <x v="5"/>
    <n v="37.9"/>
    <x v="385"/>
    <n v="0.379"/>
    <n v="23.54"/>
    <n v="14.36"/>
    <d v="2025-08-06T00:00:00"/>
    <x v="1"/>
    <x v="1"/>
    <n v="34"/>
    <n v="1.3"/>
    <s v="Ok"/>
    <n v="1.3"/>
    <s v="False"/>
    <m/>
    <n v="0"/>
    <n v="23.54"/>
    <x v="0"/>
    <n v="0"/>
  </r>
  <r>
    <s v="FB001984"/>
    <x v="2"/>
    <x v="3"/>
    <x v="0"/>
    <m/>
    <x v="2"/>
    <x v="10"/>
    <n v="44.49"/>
    <x v="0"/>
    <n v="0"/>
    <n v="44.49"/>
    <n v="0"/>
    <d v="2025-06-27T00:00:00"/>
    <x v="4"/>
    <x v="7"/>
    <n v="34"/>
    <n v="2.1"/>
    <s v="Ok"/>
    <n v="2.1"/>
    <s v="False"/>
    <m/>
    <n v="0"/>
    <n v="44.49"/>
    <x v="0"/>
    <n v="0"/>
  </r>
  <r>
    <s v="FB001985"/>
    <x v="1"/>
    <x v="3"/>
    <x v="3"/>
    <s v="L"/>
    <x v="1"/>
    <x v="7"/>
    <n v="111.7"/>
    <x v="0"/>
    <n v="0"/>
    <n v="111.7"/>
    <n v="0"/>
    <d v="2025-08-06T00:00:00"/>
    <x v="1"/>
    <x v="1"/>
    <n v="2"/>
    <m/>
    <s v="Pocas Unidades"/>
    <s v="No valorado"/>
    <s v="True"/>
    <s v="Size Issue"/>
    <n v="1"/>
    <n v="0"/>
    <x v="2"/>
    <n v="0"/>
  </r>
  <r>
    <s v="FB001986"/>
    <x v="1"/>
    <x v="4"/>
    <x v="0"/>
    <s v="L"/>
    <x v="1"/>
    <x v="8"/>
    <n v="109.76"/>
    <x v="0"/>
    <n v="0"/>
    <n v="109.76"/>
    <n v="0"/>
    <d v="2025-01-12T00:00:00"/>
    <x v="6"/>
    <x v="5"/>
    <n v="23"/>
    <n v="2"/>
    <s v="Ok"/>
    <n v="2"/>
    <s v="True"/>
    <s v="Quality Issue"/>
    <n v="1"/>
    <n v="0"/>
    <x v="4"/>
    <n v="0"/>
  </r>
  <r>
    <s v="FB001987"/>
    <x v="2"/>
    <x v="1"/>
    <x v="2"/>
    <m/>
    <x v="2"/>
    <x v="8"/>
    <n v="33"/>
    <x v="0"/>
    <n v="0"/>
    <n v="33"/>
    <n v="0"/>
    <d v="2025-08-06T00:00:00"/>
    <x v="1"/>
    <x v="1"/>
    <n v="50"/>
    <n v="4"/>
    <s v="Ok"/>
    <n v="4"/>
    <s v="False"/>
    <m/>
    <n v="0"/>
    <n v="33"/>
    <x v="0"/>
    <n v="0"/>
  </r>
  <r>
    <s v="FB001988"/>
    <x v="3"/>
    <x v="5"/>
    <x v="1"/>
    <s v="M"/>
    <x v="6"/>
    <x v="6"/>
    <n v="150.65"/>
    <x v="391"/>
    <n v="8.900000000000001E-2"/>
    <n v="137.24"/>
    <n v="13.409999999999997"/>
    <d v="2025-08-06T00:00:00"/>
    <x v="1"/>
    <x v="1"/>
    <n v="43"/>
    <n v="3.4"/>
    <s v="Ok"/>
    <n v="3.4"/>
    <s v="False"/>
    <m/>
    <n v="0"/>
    <n v="137.24"/>
    <x v="0"/>
    <n v="0"/>
  </r>
  <r>
    <s v="FB001989"/>
    <x v="4"/>
    <x v="0"/>
    <x v="2"/>
    <s v="S"/>
    <x v="3"/>
    <x v="6"/>
    <n v="66.34"/>
    <x v="282"/>
    <n v="0.19"/>
    <n v="53.74"/>
    <n v="12.600000000000001"/>
    <d v="2025-08-06T00:00:00"/>
    <x v="1"/>
    <x v="1"/>
    <n v="42"/>
    <n v="1.9"/>
    <s v="Ok"/>
    <n v="1.9"/>
    <s v="False"/>
    <m/>
    <n v="0"/>
    <n v="53.74"/>
    <x v="0"/>
    <n v="0"/>
  </r>
  <r>
    <s v="FB001990"/>
    <x v="4"/>
    <x v="6"/>
    <x v="0"/>
    <s v="M"/>
    <x v="6"/>
    <x v="1"/>
    <n v="27.89"/>
    <x v="413"/>
    <n v="0.17399999999999999"/>
    <n v="23.04"/>
    <n v="4.8500000000000014"/>
    <d v="2024-09-06T00:00:00"/>
    <x v="4"/>
    <x v="6"/>
    <n v="43"/>
    <n v="2.1"/>
    <s v="Ok"/>
    <n v="2.1"/>
    <s v="False"/>
    <m/>
    <n v="0"/>
    <n v="23.04"/>
    <x v="0"/>
    <n v="0"/>
  </r>
  <r>
    <s v="FB001991"/>
    <x v="2"/>
    <x v="1"/>
    <x v="3"/>
    <m/>
    <x v="2"/>
    <x v="4"/>
    <n v="60.18"/>
    <x v="0"/>
    <n v="0"/>
    <n v="60.18"/>
    <n v="0"/>
    <d v="2025-08-06T00:00:00"/>
    <x v="1"/>
    <x v="1"/>
    <n v="36"/>
    <n v="1.4"/>
    <s v="Ok"/>
    <n v="1.4"/>
    <s v="False"/>
    <m/>
    <n v="0"/>
    <n v="60.18"/>
    <x v="0"/>
    <n v="0"/>
  </r>
  <r>
    <s v="FB001992"/>
    <x v="1"/>
    <x v="0"/>
    <x v="2"/>
    <s v="XL"/>
    <x v="0"/>
    <x v="0"/>
    <n v="54.26"/>
    <x v="85"/>
    <n v="0.184"/>
    <n v="44.28"/>
    <n v="9.9799999999999969"/>
    <d v="2025-08-06T00:00:00"/>
    <x v="1"/>
    <x v="1"/>
    <n v="29"/>
    <n v="2.6"/>
    <s v="Ok"/>
    <n v="2.6"/>
    <s v="False"/>
    <m/>
    <n v="0"/>
    <n v="44.28"/>
    <x v="0"/>
    <n v="0"/>
  </r>
  <r>
    <s v="FB001993"/>
    <x v="3"/>
    <x v="1"/>
    <x v="0"/>
    <s v="S"/>
    <x v="3"/>
    <x v="0"/>
    <n v="78.44"/>
    <x v="0"/>
    <n v="0"/>
    <n v="78.44"/>
    <n v="0"/>
    <d v="2024-09-20T00:00:00"/>
    <x v="4"/>
    <x v="6"/>
    <n v="42"/>
    <m/>
    <s v="Ok"/>
    <s v="No valorado"/>
    <s v="True"/>
    <s v="Quality Issue"/>
    <n v="1"/>
    <n v="0"/>
    <x v="4"/>
    <n v="0"/>
  </r>
  <r>
    <s v="FB001994"/>
    <x v="0"/>
    <x v="4"/>
    <x v="2"/>
    <s v="XS"/>
    <x v="5"/>
    <x v="2"/>
    <n v="183.05"/>
    <x v="0"/>
    <n v="0"/>
    <n v="183.05"/>
    <n v="0"/>
    <d v="2025-08-06T00:00:00"/>
    <x v="1"/>
    <x v="1"/>
    <n v="4"/>
    <n v="4.5999999999999996"/>
    <s v="Pocas Unidades"/>
    <n v="4.5999999999999996"/>
    <s v="False"/>
    <m/>
    <n v="0"/>
    <n v="183.05"/>
    <x v="0"/>
    <n v="0"/>
  </r>
  <r>
    <s v="FB001995"/>
    <x v="3"/>
    <x v="1"/>
    <x v="0"/>
    <s v="M"/>
    <x v="6"/>
    <x v="4"/>
    <n v="76.3"/>
    <x v="0"/>
    <n v="0"/>
    <n v="76.3"/>
    <n v="0"/>
    <d v="2025-07-03T00:00:00"/>
    <x v="5"/>
    <x v="0"/>
    <n v="35"/>
    <n v="2.6"/>
    <s v="Ok"/>
    <n v="2.6"/>
    <s v="False"/>
    <m/>
    <n v="0"/>
    <n v="76.3"/>
    <x v="0"/>
    <n v="0"/>
  </r>
  <r>
    <s v="FB001996"/>
    <x v="1"/>
    <x v="0"/>
    <x v="0"/>
    <s v="XS"/>
    <x v="5"/>
    <x v="9"/>
    <n v="84.21"/>
    <x v="0"/>
    <n v="0"/>
    <n v="84.21"/>
    <n v="0"/>
    <d v="2025-01-15T00:00:00"/>
    <x v="1"/>
    <x v="5"/>
    <n v="43"/>
    <n v="3.4"/>
    <s v="Ok"/>
    <n v="3.4"/>
    <s v="False"/>
    <m/>
    <n v="0"/>
    <n v="84.21"/>
    <x v="0"/>
    <n v="0"/>
  </r>
  <r>
    <s v="FB001997"/>
    <x v="2"/>
    <x v="5"/>
    <x v="0"/>
    <m/>
    <x v="2"/>
    <x v="4"/>
    <n v="77.34"/>
    <x v="0"/>
    <n v="0"/>
    <n v="77.34"/>
    <n v="0"/>
    <d v="2025-01-10T00:00:00"/>
    <x v="4"/>
    <x v="5"/>
    <n v="27"/>
    <m/>
    <s v="Ok"/>
    <s v="No valorado"/>
    <s v="False"/>
    <m/>
    <n v="0"/>
    <n v="77.34"/>
    <x v="0"/>
    <n v="0"/>
  </r>
  <r>
    <s v="FB001998"/>
    <x v="5"/>
    <x v="0"/>
    <x v="0"/>
    <s v="S"/>
    <x v="3"/>
    <x v="8"/>
    <n v="122.82"/>
    <x v="214"/>
    <n v="0.45399999999999996"/>
    <n v="67.06"/>
    <n v="55.759999999999991"/>
    <d v="2024-08-30T00:00:00"/>
    <x v="4"/>
    <x v="1"/>
    <n v="9"/>
    <n v="3.1"/>
    <s v="Pocas Unidades"/>
    <n v="3.1"/>
    <s v="False"/>
    <m/>
    <n v="0"/>
    <n v="67.06"/>
    <x v="0"/>
    <n v="0"/>
  </r>
  <r>
    <s v="FB001999"/>
    <x v="5"/>
    <x v="3"/>
    <x v="1"/>
    <s v="XXL"/>
    <x v="4"/>
    <x v="5"/>
    <n v="103.85"/>
    <x v="0"/>
    <n v="0"/>
    <n v="103.85"/>
    <n v="0"/>
    <d v="2025-08-06T00:00:00"/>
    <x v="1"/>
    <x v="1"/>
    <n v="26"/>
    <n v="3.1"/>
    <s v="Ok"/>
    <n v="3.1"/>
    <s v="False"/>
    <m/>
    <n v="0"/>
    <n v="103.85"/>
    <x v="0"/>
    <n v="0"/>
  </r>
  <r>
    <s v="FB002000"/>
    <x v="4"/>
    <x v="4"/>
    <x v="2"/>
    <s v="XXL"/>
    <x v="4"/>
    <x v="0"/>
    <n v="117.73"/>
    <x v="301"/>
    <n v="0.41299999999999998"/>
    <n v="69.11"/>
    <n v="48.620000000000005"/>
    <d v="2025-08-06T00:00:00"/>
    <x v="1"/>
    <x v="1"/>
    <n v="8"/>
    <m/>
    <s v="Pocas Unidades"/>
    <s v="No valorado"/>
    <s v="False"/>
    <m/>
    <n v="0"/>
    <n v="69.11"/>
    <x v="0"/>
    <n v="0"/>
  </r>
  <r>
    <s v="FB002001"/>
    <x v="5"/>
    <x v="7"/>
    <x v="2"/>
    <s v="XL"/>
    <x v="0"/>
    <x v="6"/>
    <n v="115.98"/>
    <x v="0"/>
    <n v="0"/>
    <n v="115.98"/>
    <n v="0"/>
    <d v="2025-08-06T00:00:00"/>
    <x v="1"/>
    <x v="1"/>
    <n v="42"/>
    <n v="3.7"/>
    <s v="Ok"/>
    <n v="3.7"/>
    <s v="False"/>
    <m/>
    <n v="0"/>
    <n v="115.98"/>
    <x v="0"/>
    <n v="0"/>
  </r>
  <r>
    <s v="FB002002"/>
    <x v="5"/>
    <x v="0"/>
    <x v="2"/>
    <s v="L"/>
    <x v="1"/>
    <x v="8"/>
    <n v="175.43"/>
    <x v="0"/>
    <n v="0"/>
    <n v="175.43"/>
    <n v="0"/>
    <d v="2025-08-06T00:00:00"/>
    <x v="1"/>
    <x v="1"/>
    <n v="3"/>
    <n v="1.8"/>
    <s v="Pocas Unidades"/>
    <n v="1.8"/>
    <s v="True"/>
    <s v="Color Mismatch"/>
    <n v="1"/>
    <n v="0"/>
    <x v="1"/>
    <n v="0"/>
  </r>
  <r>
    <s v="FB002003"/>
    <x v="0"/>
    <x v="6"/>
    <x v="0"/>
    <s v="S"/>
    <x v="3"/>
    <x v="6"/>
    <n v="162.81"/>
    <x v="0"/>
    <n v="0"/>
    <n v="162.81"/>
    <n v="0"/>
    <d v="2025-01-10T00:00:00"/>
    <x v="4"/>
    <x v="5"/>
    <n v="40"/>
    <n v="2.1"/>
    <s v="Ok"/>
    <n v="2.1"/>
    <s v="False"/>
    <m/>
    <n v="0"/>
    <n v="162.81"/>
    <x v="0"/>
    <n v="0"/>
  </r>
  <r>
    <s v="FB002004"/>
    <x v="5"/>
    <x v="1"/>
    <x v="0"/>
    <s v="L"/>
    <x v="1"/>
    <x v="9"/>
    <n v="146.68"/>
    <x v="0"/>
    <n v="0"/>
    <n v="146.68"/>
    <n v="0"/>
    <d v="2024-08-07T00:00:00"/>
    <x v="1"/>
    <x v="1"/>
    <n v="8"/>
    <m/>
    <s v="Pocas Unidades"/>
    <s v="No valorado"/>
    <s v="False"/>
    <m/>
    <n v="0"/>
    <n v="146.68"/>
    <x v="0"/>
    <n v="0"/>
  </r>
  <r>
    <s v="FB002005"/>
    <x v="5"/>
    <x v="4"/>
    <x v="2"/>
    <s v="L"/>
    <x v="1"/>
    <x v="1"/>
    <n v="82.9"/>
    <x v="109"/>
    <n v="0.42200000000000004"/>
    <n v="47.92"/>
    <n v="34.980000000000004"/>
    <d v="2025-08-06T00:00:00"/>
    <x v="1"/>
    <x v="1"/>
    <n v="4"/>
    <n v="2.1"/>
    <s v="Pocas Unidades"/>
    <n v="2.1"/>
    <s v="False"/>
    <m/>
    <n v="0"/>
    <n v="47.92"/>
    <x v="0"/>
    <n v="0"/>
  </r>
  <r>
    <s v="FB002006"/>
    <x v="1"/>
    <x v="0"/>
    <x v="2"/>
    <s v="XS"/>
    <x v="5"/>
    <x v="3"/>
    <n v="92.9"/>
    <x v="0"/>
    <n v="0"/>
    <n v="92.9"/>
    <n v="0"/>
    <d v="2025-08-06T00:00:00"/>
    <x v="1"/>
    <x v="1"/>
    <n v="30"/>
    <m/>
    <s v="Ok"/>
    <s v="No valorado"/>
    <s v="False"/>
    <m/>
    <n v="0"/>
    <n v="92.9"/>
    <x v="0"/>
    <n v="0"/>
  </r>
  <r>
    <s v="FB002007"/>
    <x v="5"/>
    <x v="2"/>
    <x v="1"/>
    <s v="XXL"/>
    <x v="4"/>
    <x v="5"/>
    <n v="133.88999999999999"/>
    <x v="12"/>
    <n v="5.7000000000000002E-2"/>
    <n v="126.26"/>
    <n v="7.6299999999999812"/>
    <d v="2025-08-06T00:00:00"/>
    <x v="1"/>
    <x v="1"/>
    <n v="17"/>
    <n v="3.4"/>
    <s v="Ok"/>
    <n v="3.4"/>
    <s v="True"/>
    <s v="Size Issue"/>
    <n v="1"/>
    <n v="0"/>
    <x v="2"/>
    <n v="0"/>
  </r>
  <r>
    <s v="FB002008"/>
    <x v="5"/>
    <x v="5"/>
    <x v="1"/>
    <s v="XXL"/>
    <x v="4"/>
    <x v="7"/>
    <n v="89.1"/>
    <x v="0"/>
    <n v="0"/>
    <n v="89.1"/>
    <n v="0"/>
    <d v="2025-08-06T00:00:00"/>
    <x v="1"/>
    <x v="1"/>
    <n v="8"/>
    <n v="2.2000000000000002"/>
    <s v="Pocas Unidades"/>
    <n v="2.2000000000000002"/>
    <s v="False"/>
    <m/>
    <n v="0"/>
    <n v="89.1"/>
    <x v="0"/>
    <n v="0"/>
  </r>
  <r>
    <s v="FB002009"/>
    <x v="0"/>
    <x v="2"/>
    <x v="1"/>
    <s v="XL"/>
    <x v="0"/>
    <x v="7"/>
    <n v="175.62"/>
    <x v="439"/>
    <n v="3.2000000000000001E-2"/>
    <n v="170"/>
    <n v="5.6200000000000045"/>
    <d v="2025-08-06T00:00:00"/>
    <x v="1"/>
    <x v="1"/>
    <n v="46"/>
    <m/>
    <s v="Ok"/>
    <s v="No valorado"/>
    <s v="False"/>
    <m/>
    <n v="0"/>
    <n v="170"/>
    <x v="0"/>
    <n v="0"/>
  </r>
  <r>
    <s v="FB002010"/>
    <x v="5"/>
    <x v="4"/>
    <x v="3"/>
    <s v="L"/>
    <x v="1"/>
    <x v="2"/>
    <n v="154.02000000000001"/>
    <x v="0"/>
    <n v="0"/>
    <n v="154.02000000000001"/>
    <n v="0"/>
    <d v="2025-08-06T00:00:00"/>
    <x v="1"/>
    <x v="1"/>
    <n v="21"/>
    <n v="3.3"/>
    <s v="Ok"/>
    <n v="3.3"/>
    <s v="False"/>
    <m/>
    <n v="0"/>
    <n v="154.02000000000001"/>
    <x v="0"/>
    <n v="0"/>
  </r>
  <r>
    <s v="FB002011"/>
    <x v="0"/>
    <x v="0"/>
    <x v="2"/>
    <s v="S"/>
    <x v="3"/>
    <x v="7"/>
    <n v="215.1"/>
    <x v="0"/>
    <n v="0"/>
    <n v="215.1"/>
    <n v="0"/>
    <d v="2025-08-06T00:00:00"/>
    <x v="1"/>
    <x v="1"/>
    <n v="16"/>
    <n v="2.5"/>
    <s v="Ok"/>
    <n v="2.5"/>
    <s v="False"/>
    <m/>
    <n v="0"/>
    <n v="215.1"/>
    <x v="0"/>
    <n v="0"/>
  </r>
  <r>
    <s v="FB002012"/>
    <x v="1"/>
    <x v="5"/>
    <x v="2"/>
    <s v="M"/>
    <x v="6"/>
    <x v="10"/>
    <n v="40.28"/>
    <x v="0"/>
    <n v="0"/>
    <n v="40.28"/>
    <n v="0"/>
    <d v="2025-08-06T00:00:00"/>
    <x v="1"/>
    <x v="1"/>
    <n v="35"/>
    <n v="3.8"/>
    <s v="Ok"/>
    <n v="3.8"/>
    <s v="False"/>
    <m/>
    <n v="0"/>
    <n v="40.28"/>
    <x v="0"/>
    <n v="0"/>
  </r>
  <r>
    <s v="FB002013"/>
    <x v="2"/>
    <x v="7"/>
    <x v="2"/>
    <m/>
    <x v="2"/>
    <x v="4"/>
    <n v="25.95"/>
    <x v="440"/>
    <n v="0.188"/>
    <n v="21.07"/>
    <n v="4.879999999999999"/>
    <d v="2025-08-06T00:00:00"/>
    <x v="1"/>
    <x v="1"/>
    <n v="1"/>
    <n v="4"/>
    <s v="Pocas Unidades"/>
    <n v="4"/>
    <s v="False"/>
    <m/>
    <n v="0"/>
    <n v="21.07"/>
    <x v="0"/>
    <n v="0"/>
  </r>
  <r>
    <s v="FB002014"/>
    <x v="2"/>
    <x v="1"/>
    <x v="2"/>
    <m/>
    <x v="2"/>
    <x v="8"/>
    <n v="21.26"/>
    <x v="232"/>
    <n v="0.50700000000000001"/>
    <n v="10.48"/>
    <n v="10.780000000000001"/>
    <d v="2025-08-06T00:00:00"/>
    <x v="1"/>
    <x v="1"/>
    <n v="39"/>
    <n v="4.3"/>
    <s v="Ok"/>
    <n v="4.3"/>
    <s v="False"/>
    <m/>
    <n v="0"/>
    <n v="10.48"/>
    <x v="0"/>
    <n v="0"/>
  </r>
  <r>
    <s v="FB002015"/>
    <x v="5"/>
    <x v="0"/>
    <x v="0"/>
    <s v="XS"/>
    <x v="5"/>
    <x v="5"/>
    <n v="146.07"/>
    <x v="0"/>
    <n v="0"/>
    <n v="146.07"/>
    <n v="0"/>
    <d v="2025-07-09T00:00:00"/>
    <x v="1"/>
    <x v="0"/>
    <n v="33"/>
    <n v="3.7"/>
    <s v="Ok"/>
    <n v="3.7"/>
    <s v="False"/>
    <m/>
    <n v="0"/>
    <n v="146.07"/>
    <x v="0"/>
    <n v="0"/>
  </r>
  <r>
    <s v="FB002016"/>
    <x v="5"/>
    <x v="5"/>
    <x v="0"/>
    <s v="S"/>
    <x v="3"/>
    <x v="4"/>
    <n v="135.97"/>
    <x v="0"/>
    <n v="0"/>
    <n v="135.97"/>
    <n v="0"/>
    <d v="2024-09-10T00:00:00"/>
    <x v="3"/>
    <x v="6"/>
    <n v="30"/>
    <n v="1.1000000000000001"/>
    <s v="Ok"/>
    <n v="1.1000000000000001"/>
    <s v="False"/>
    <m/>
    <n v="0"/>
    <n v="135.97"/>
    <x v="0"/>
    <n v="0"/>
  </r>
  <r>
    <s v="FB002017"/>
    <x v="3"/>
    <x v="0"/>
    <x v="0"/>
    <s v="L"/>
    <x v="1"/>
    <x v="6"/>
    <n v="84.88"/>
    <x v="31"/>
    <n v="7.400000000000001E-2"/>
    <n v="78.599999999999994"/>
    <n v="6.2800000000000011"/>
    <d v="2025-03-26T00:00:00"/>
    <x v="1"/>
    <x v="3"/>
    <n v="42"/>
    <n v="3.4"/>
    <s v="Ok"/>
    <n v="3.4"/>
    <s v="False"/>
    <m/>
    <n v="0"/>
    <n v="78.599999999999994"/>
    <x v="0"/>
    <n v="0"/>
  </r>
  <r>
    <s v="FB002018"/>
    <x v="3"/>
    <x v="4"/>
    <x v="1"/>
    <s v="XS"/>
    <x v="5"/>
    <x v="7"/>
    <n v="159.25"/>
    <x v="284"/>
    <n v="5.5E-2"/>
    <n v="150.49"/>
    <n v="8.7599999999999909"/>
    <d v="2025-08-06T00:00:00"/>
    <x v="1"/>
    <x v="1"/>
    <n v="8"/>
    <m/>
    <s v="Pocas Unidades"/>
    <s v="No valorado"/>
    <s v="False"/>
    <m/>
    <n v="0"/>
    <n v="150.49"/>
    <x v="0"/>
    <n v="0"/>
  </r>
  <r>
    <s v="FB002019"/>
    <x v="4"/>
    <x v="5"/>
    <x v="1"/>
    <s v="M"/>
    <x v="6"/>
    <x v="10"/>
    <n v="84.29"/>
    <x v="0"/>
    <n v="0"/>
    <n v="84.29"/>
    <n v="0"/>
    <d v="2025-08-06T00:00:00"/>
    <x v="1"/>
    <x v="1"/>
    <n v="4"/>
    <n v="2.8"/>
    <s v="Pocas Unidades"/>
    <n v="2.8"/>
    <s v="False"/>
    <m/>
    <n v="0"/>
    <n v="84.29"/>
    <x v="0"/>
    <n v="0"/>
  </r>
  <r>
    <s v="FB002020"/>
    <x v="2"/>
    <x v="7"/>
    <x v="1"/>
    <m/>
    <x v="2"/>
    <x v="0"/>
    <n v="38.86"/>
    <x v="0"/>
    <n v="0"/>
    <n v="38.86"/>
    <n v="0"/>
    <d v="2025-08-06T00:00:00"/>
    <x v="1"/>
    <x v="1"/>
    <n v="44"/>
    <m/>
    <s v="Ok"/>
    <s v="No valorado"/>
    <s v="False"/>
    <m/>
    <n v="0"/>
    <n v="38.86"/>
    <x v="0"/>
    <n v="0"/>
  </r>
  <r>
    <s v="FB002021"/>
    <x v="1"/>
    <x v="2"/>
    <x v="3"/>
    <s v="M"/>
    <x v="6"/>
    <x v="5"/>
    <n v="38.72"/>
    <x v="0"/>
    <n v="0"/>
    <n v="38.72"/>
    <n v="0"/>
    <d v="2025-08-06T00:00:00"/>
    <x v="1"/>
    <x v="1"/>
    <n v="35"/>
    <n v="4"/>
    <s v="Ok"/>
    <n v="4"/>
    <s v="False"/>
    <m/>
    <n v="0"/>
    <n v="38.72"/>
    <x v="0"/>
    <n v="0"/>
  </r>
  <r>
    <s v="FB002022"/>
    <x v="5"/>
    <x v="0"/>
    <x v="1"/>
    <s v="XS"/>
    <x v="5"/>
    <x v="2"/>
    <n v="177.1"/>
    <x v="0"/>
    <n v="0"/>
    <n v="177.1"/>
    <n v="0"/>
    <d v="2025-08-06T00:00:00"/>
    <x v="1"/>
    <x v="1"/>
    <n v="49"/>
    <n v="1.6"/>
    <s v="Ok"/>
    <n v="1.6"/>
    <s v="False"/>
    <m/>
    <n v="0"/>
    <n v="177.1"/>
    <x v="0"/>
    <n v="0"/>
  </r>
  <r>
    <s v="FB002023"/>
    <x v="4"/>
    <x v="7"/>
    <x v="0"/>
    <s v="XS"/>
    <x v="5"/>
    <x v="4"/>
    <n v="31.49"/>
    <x v="0"/>
    <n v="0"/>
    <n v="31.49"/>
    <n v="0"/>
    <d v="2024-10-19T00:00:00"/>
    <x v="0"/>
    <x v="2"/>
    <n v="28"/>
    <m/>
    <s v="Ok"/>
    <s v="No valorado"/>
    <s v="False"/>
    <m/>
    <n v="0"/>
    <n v="31.49"/>
    <x v="0"/>
    <n v="0"/>
  </r>
  <r>
    <s v="FB002024"/>
    <x v="1"/>
    <x v="1"/>
    <x v="3"/>
    <m/>
    <x v="7"/>
    <x v="1"/>
    <n v="118.14"/>
    <x v="0"/>
    <n v="0"/>
    <n v="118.14"/>
    <n v="0"/>
    <d v="2025-08-06T00:00:00"/>
    <x v="1"/>
    <x v="1"/>
    <n v="33"/>
    <n v="2.4"/>
    <s v="Ok"/>
    <n v="2.4"/>
    <s v="False"/>
    <m/>
    <n v="0"/>
    <n v="118.14"/>
    <x v="0"/>
    <n v="0"/>
  </r>
  <r>
    <s v="FB002025"/>
    <x v="1"/>
    <x v="6"/>
    <x v="0"/>
    <s v="S"/>
    <x v="3"/>
    <x v="6"/>
    <n v="26.51"/>
    <x v="441"/>
    <n v="0.24"/>
    <n v="20.149999999999999"/>
    <n v="6.360000000000003"/>
    <d v="2025-05-24T00:00:00"/>
    <x v="0"/>
    <x v="8"/>
    <n v="1"/>
    <n v="4.7"/>
    <s v="Pocas Unidades"/>
    <n v="4.7"/>
    <s v="False"/>
    <m/>
    <n v="0"/>
    <n v="20.149999999999999"/>
    <x v="0"/>
    <n v="0"/>
  </r>
  <r>
    <s v="FB002026"/>
    <x v="1"/>
    <x v="7"/>
    <x v="2"/>
    <s v="L"/>
    <x v="1"/>
    <x v="5"/>
    <n v="29.61"/>
    <x v="0"/>
    <n v="0"/>
    <n v="29.61"/>
    <n v="0"/>
    <d v="2025-08-06T00:00:00"/>
    <x v="1"/>
    <x v="1"/>
    <n v="9"/>
    <n v="1"/>
    <s v="Pocas Unidades"/>
    <n v="1"/>
    <s v="False"/>
    <m/>
    <n v="0"/>
    <n v="29.61"/>
    <x v="0"/>
    <n v="0"/>
  </r>
  <r>
    <s v="FB002027"/>
    <x v="0"/>
    <x v="5"/>
    <x v="3"/>
    <s v="S"/>
    <x v="3"/>
    <x v="4"/>
    <n v="244.13"/>
    <x v="0"/>
    <n v="0"/>
    <n v="244.13"/>
    <n v="0"/>
    <d v="2025-08-06T00:00:00"/>
    <x v="1"/>
    <x v="1"/>
    <n v="2"/>
    <n v="3.5"/>
    <s v="Pocas Unidades"/>
    <n v="3.5"/>
    <s v="True"/>
    <s v="Size Issue"/>
    <n v="1"/>
    <n v="0"/>
    <x v="2"/>
    <n v="0"/>
  </r>
  <r>
    <s v="FB002028"/>
    <x v="2"/>
    <x v="6"/>
    <x v="0"/>
    <m/>
    <x v="2"/>
    <x v="3"/>
    <n v="16.54"/>
    <x v="0"/>
    <n v="0"/>
    <n v="16.54"/>
    <n v="0"/>
    <d v="2025-04-26T00:00:00"/>
    <x v="0"/>
    <x v="4"/>
    <n v="30"/>
    <m/>
    <s v="Ok"/>
    <s v="No valorado"/>
    <s v="False"/>
    <m/>
    <n v="0"/>
    <n v="16.54"/>
    <x v="0"/>
    <n v="0"/>
  </r>
  <r>
    <s v="FB002029"/>
    <x v="1"/>
    <x v="0"/>
    <x v="2"/>
    <s v="S"/>
    <x v="3"/>
    <x v="3"/>
    <n v="100.98"/>
    <x v="0"/>
    <n v="0"/>
    <n v="100.98"/>
    <n v="0"/>
    <d v="2025-08-06T00:00:00"/>
    <x v="1"/>
    <x v="1"/>
    <n v="41"/>
    <m/>
    <s v="Ok"/>
    <s v="No valorado"/>
    <s v="False"/>
    <m/>
    <n v="0"/>
    <n v="100.98"/>
    <x v="0"/>
    <n v="0"/>
  </r>
  <r>
    <s v="FB002030"/>
    <x v="0"/>
    <x v="1"/>
    <x v="1"/>
    <m/>
    <x v="7"/>
    <x v="4"/>
    <n v="175.42"/>
    <x v="0"/>
    <n v="0"/>
    <n v="175.42"/>
    <n v="0"/>
    <d v="2025-08-06T00:00:00"/>
    <x v="1"/>
    <x v="1"/>
    <n v="5"/>
    <n v="3.6"/>
    <s v="Pocas Unidades"/>
    <n v="3.6"/>
    <s v="False"/>
    <m/>
    <n v="0"/>
    <n v="175.42"/>
    <x v="0"/>
    <n v="0"/>
  </r>
  <r>
    <s v="FB002031"/>
    <x v="5"/>
    <x v="5"/>
    <x v="0"/>
    <s v="XXL"/>
    <x v="4"/>
    <x v="1"/>
    <n v="133.15"/>
    <x v="378"/>
    <n v="0.20300000000000001"/>
    <n v="106.12"/>
    <n v="27.03"/>
    <d v="2025-06-03T00:00:00"/>
    <x v="3"/>
    <x v="7"/>
    <n v="9"/>
    <n v="3.2"/>
    <s v="Pocas Unidades"/>
    <n v="3.2"/>
    <s v="False"/>
    <m/>
    <n v="0"/>
    <n v="106.12"/>
    <x v="0"/>
    <n v="0"/>
  </r>
  <r>
    <s v="FB002032"/>
    <x v="5"/>
    <x v="1"/>
    <x v="2"/>
    <m/>
    <x v="7"/>
    <x v="1"/>
    <n v="94.21"/>
    <x v="98"/>
    <n v="0.44700000000000001"/>
    <n v="52.1"/>
    <n v="42.109999999999992"/>
    <d v="2025-08-06T00:00:00"/>
    <x v="1"/>
    <x v="1"/>
    <n v="48"/>
    <n v="4.3"/>
    <s v="Ok"/>
    <n v="4.3"/>
    <s v="False"/>
    <m/>
    <n v="0"/>
    <n v="52.1"/>
    <x v="0"/>
    <n v="0"/>
  </r>
  <r>
    <s v="FB002033"/>
    <x v="1"/>
    <x v="7"/>
    <x v="1"/>
    <s v="M"/>
    <x v="6"/>
    <x v="1"/>
    <n v="115.44"/>
    <x v="0"/>
    <n v="0"/>
    <n v="115.44"/>
    <n v="0"/>
    <d v="2025-08-06T00:00:00"/>
    <x v="1"/>
    <x v="1"/>
    <n v="21"/>
    <n v="1.2"/>
    <s v="Ok"/>
    <n v="1.2"/>
    <s v="False"/>
    <m/>
    <n v="0"/>
    <n v="115.44"/>
    <x v="0"/>
    <n v="0"/>
  </r>
  <r>
    <s v="FB002034"/>
    <x v="0"/>
    <x v="0"/>
    <x v="0"/>
    <s v="S"/>
    <x v="3"/>
    <x v="3"/>
    <n v="194.39"/>
    <x v="442"/>
    <n v="0.26500000000000001"/>
    <n v="142.88"/>
    <n v="51.509999999999991"/>
    <d v="2025-04-15T00:00:00"/>
    <x v="3"/>
    <x v="4"/>
    <n v="12"/>
    <n v="1.2"/>
    <s v="Ok"/>
    <n v="1.2"/>
    <s v="False"/>
    <m/>
    <n v="0"/>
    <n v="142.88"/>
    <x v="0"/>
    <n v="0"/>
  </r>
  <r>
    <s v="FB002035"/>
    <x v="3"/>
    <x v="2"/>
    <x v="0"/>
    <s v="L"/>
    <x v="1"/>
    <x v="3"/>
    <n v="132.38999999999999"/>
    <x v="163"/>
    <n v="0.27600000000000002"/>
    <n v="95.85"/>
    <n v="36.539999999999992"/>
    <d v="2024-10-31T00:00:00"/>
    <x v="5"/>
    <x v="2"/>
    <n v="16"/>
    <m/>
    <s v="Ok"/>
    <s v="No valorado"/>
    <s v="False"/>
    <m/>
    <n v="0"/>
    <n v="95.85"/>
    <x v="0"/>
    <n v="0"/>
  </r>
  <r>
    <s v="FB002036"/>
    <x v="2"/>
    <x v="1"/>
    <x v="0"/>
    <m/>
    <x v="2"/>
    <x v="0"/>
    <n v="52.54"/>
    <x v="94"/>
    <n v="0.14599999999999999"/>
    <n v="44.87"/>
    <n v="7.6700000000000017"/>
    <d v="2024-09-17T00:00:00"/>
    <x v="3"/>
    <x v="6"/>
    <n v="7"/>
    <n v="1.4"/>
    <s v="Pocas Unidades"/>
    <n v="1.4"/>
    <s v="False"/>
    <m/>
    <n v="0"/>
    <n v="44.87"/>
    <x v="0"/>
    <n v="0"/>
  </r>
  <r>
    <s v="FB002037"/>
    <x v="5"/>
    <x v="1"/>
    <x v="0"/>
    <s v="XL"/>
    <x v="0"/>
    <x v="2"/>
    <n v="165.01"/>
    <x v="279"/>
    <n v="0.41200000000000003"/>
    <n v="97.03"/>
    <n v="67.97999999999999"/>
    <d v="2024-10-19T00:00:00"/>
    <x v="0"/>
    <x v="2"/>
    <n v="22"/>
    <m/>
    <s v="Ok"/>
    <s v="No valorado"/>
    <s v="False"/>
    <m/>
    <n v="0"/>
    <n v="97.03"/>
    <x v="0"/>
    <n v="0"/>
  </r>
  <r>
    <s v="FB002038"/>
    <x v="2"/>
    <x v="5"/>
    <x v="0"/>
    <m/>
    <x v="2"/>
    <x v="9"/>
    <n v="42.94"/>
    <x v="290"/>
    <n v="0.34299999999999997"/>
    <n v="28.21"/>
    <n v="14.729999999999997"/>
    <d v="2024-12-22T00:00:00"/>
    <x v="6"/>
    <x v="10"/>
    <n v="41"/>
    <m/>
    <s v="Ok"/>
    <s v="No valorado"/>
    <s v="False"/>
    <m/>
    <n v="0"/>
    <n v="28.21"/>
    <x v="0"/>
    <n v="0"/>
  </r>
  <r>
    <s v="FB002039"/>
    <x v="1"/>
    <x v="1"/>
    <x v="2"/>
    <s v="XL"/>
    <x v="0"/>
    <x v="7"/>
    <n v="72.78"/>
    <x v="0"/>
    <n v="0"/>
    <n v="72.78"/>
    <n v="0"/>
    <d v="2025-08-06T00:00:00"/>
    <x v="1"/>
    <x v="1"/>
    <n v="49"/>
    <n v="3.1"/>
    <s v="Ok"/>
    <n v="3.1"/>
    <s v="False"/>
    <m/>
    <n v="0"/>
    <n v="72.78"/>
    <x v="0"/>
    <n v="0"/>
  </r>
  <r>
    <s v="FB002040"/>
    <x v="3"/>
    <x v="1"/>
    <x v="2"/>
    <s v="S"/>
    <x v="3"/>
    <x v="0"/>
    <n v="189.32"/>
    <x v="0"/>
    <n v="0"/>
    <n v="189.32"/>
    <n v="0"/>
    <d v="2025-08-06T00:00:00"/>
    <x v="1"/>
    <x v="1"/>
    <n v="35"/>
    <n v="2.5"/>
    <s v="Ok"/>
    <n v="2.5"/>
    <s v="False"/>
    <m/>
    <n v="0"/>
    <n v="189.32"/>
    <x v="0"/>
    <n v="0"/>
  </r>
  <r>
    <s v="FB002041"/>
    <x v="5"/>
    <x v="5"/>
    <x v="3"/>
    <s v="XL"/>
    <x v="0"/>
    <x v="3"/>
    <n v="157"/>
    <x v="443"/>
    <n v="0.55700000000000005"/>
    <n v="69.55"/>
    <n v="87.45"/>
    <d v="2025-08-06T00:00:00"/>
    <x v="1"/>
    <x v="1"/>
    <n v="6"/>
    <n v="2.1"/>
    <s v="Pocas Unidades"/>
    <n v="2.1"/>
    <s v="False"/>
    <m/>
    <n v="0"/>
    <n v="69.55"/>
    <x v="0"/>
    <n v="0"/>
  </r>
  <r>
    <s v="FB002042"/>
    <x v="1"/>
    <x v="6"/>
    <x v="0"/>
    <s v="S"/>
    <x v="3"/>
    <x v="9"/>
    <n v="28.73"/>
    <x v="208"/>
    <n v="0.26400000000000001"/>
    <n v="21.15"/>
    <n v="7.5800000000000018"/>
    <d v="2024-10-10T00:00:00"/>
    <x v="5"/>
    <x v="2"/>
    <n v="47"/>
    <n v="2.2999999999999998"/>
    <s v="Ok"/>
    <n v="2.2999999999999998"/>
    <s v="True"/>
    <s v="Size Issue"/>
    <n v="1"/>
    <n v="0"/>
    <x v="2"/>
    <n v="0"/>
  </r>
  <r>
    <s v="FB002043"/>
    <x v="0"/>
    <x v="7"/>
    <x v="1"/>
    <s v="L"/>
    <x v="1"/>
    <x v="4"/>
    <n v="144.63999999999999"/>
    <x v="0"/>
    <n v="0"/>
    <n v="144.63999999999999"/>
    <n v="0"/>
    <d v="2025-08-06T00:00:00"/>
    <x v="1"/>
    <x v="1"/>
    <n v="0"/>
    <n v="4.5"/>
    <s v="Agotado"/>
    <n v="4.5"/>
    <s v="False"/>
    <m/>
    <n v="0"/>
    <n v="144.63999999999999"/>
    <x v="0"/>
    <n v="0"/>
  </r>
  <r>
    <s v="FB002044"/>
    <x v="3"/>
    <x v="2"/>
    <x v="2"/>
    <s v="L"/>
    <x v="1"/>
    <x v="5"/>
    <n v="180.99"/>
    <x v="0"/>
    <n v="0"/>
    <n v="180.99"/>
    <n v="0"/>
    <d v="2025-08-06T00:00:00"/>
    <x v="1"/>
    <x v="1"/>
    <n v="0"/>
    <n v="4.5"/>
    <s v="Agotado"/>
    <n v="4.5"/>
    <s v="False"/>
    <m/>
    <n v="0"/>
    <n v="180.99"/>
    <x v="0"/>
    <n v="0"/>
  </r>
  <r>
    <s v="FB002045"/>
    <x v="1"/>
    <x v="5"/>
    <x v="2"/>
    <s v="M"/>
    <x v="6"/>
    <x v="6"/>
    <n v="74.959999999999994"/>
    <x v="78"/>
    <n v="0.56100000000000005"/>
    <n v="32.909999999999997"/>
    <n v="42.05"/>
    <d v="2025-08-06T00:00:00"/>
    <x v="1"/>
    <x v="1"/>
    <n v="16"/>
    <m/>
    <s v="Ok"/>
    <s v="No valorado"/>
    <s v="True"/>
    <s v="Wrong Item"/>
    <n v="1"/>
    <n v="0"/>
    <x v="6"/>
    <n v="0"/>
  </r>
  <r>
    <s v="FB002046"/>
    <x v="5"/>
    <x v="5"/>
    <x v="2"/>
    <s v="XXL"/>
    <x v="4"/>
    <x v="8"/>
    <n v="63.46"/>
    <x v="0"/>
    <n v="0"/>
    <n v="63.46"/>
    <n v="0"/>
    <d v="2025-08-06T00:00:00"/>
    <x v="1"/>
    <x v="1"/>
    <n v="36"/>
    <n v="1.2"/>
    <s v="Ok"/>
    <n v="1.2"/>
    <s v="False"/>
    <m/>
    <n v="0"/>
    <n v="63.46"/>
    <x v="0"/>
    <n v="0"/>
  </r>
  <r>
    <s v="FB002047"/>
    <x v="3"/>
    <x v="3"/>
    <x v="0"/>
    <s v="S"/>
    <x v="3"/>
    <x v="2"/>
    <n v="105.95"/>
    <x v="359"/>
    <n v="0.316"/>
    <n v="72.47"/>
    <n v="33.480000000000004"/>
    <d v="2025-04-01T00:00:00"/>
    <x v="3"/>
    <x v="4"/>
    <n v="38"/>
    <n v="3.5"/>
    <s v="Ok"/>
    <n v="3.5"/>
    <s v="False"/>
    <m/>
    <n v="0"/>
    <n v="72.47"/>
    <x v="0"/>
    <n v="0"/>
  </r>
  <r>
    <s v="FB002048"/>
    <x v="5"/>
    <x v="3"/>
    <x v="3"/>
    <s v="S"/>
    <x v="3"/>
    <x v="8"/>
    <n v="86.55"/>
    <x v="444"/>
    <n v="0.245"/>
    <n v="65.349999999999994"/>
    <n v="21.200000000000003"/>
    <d v="2025-08-06T00:00:00"/>
    <x v="1"/>
    <x v="1"/>
    <n v="40"/>
    <n v="3.5"/>
    <s v="Ok"/>
    <n v="3.5"/>
    <s v="False"/>
    <m/>
    <n v="0"/>
    <n v="65.349999999999994"/>
    <x v="0"/>
    <n v="0"/>
  </r>
  <r>
    <s v="FB002049"/>
    <x v="4"/>
    <x v="6"/>
    <x v="2"/>
    <s v="M"/>
    <x v="6"/>
    <x v="8"/>
    <n v="90.97"/>
    <x v="116"/>
    <n v="0.10800000000000001"/>
    <n v="81.150000000000006"/>
    <n v="9.8199999999999932"/>
    <d v="2025-08-06T00:00:00"/>
    <x v="1"/>
    <x v="1"/>
    <n v="33"/>
    <n v="2.2000000000000002"/>
    <s v="Ok"/>
    <n v="2.2000000000000002"/>
    <s v="True"/>
    <s v="Damaged"/>
    <n v="1"/>
    <n v="0"/>
    <x v="3"/>
    <n v="0"/>
  </r>
  <r>
    <s v="FB002050"/>
    <x v="5"/>
    <x v="3"/>
    <x v="1"/>
    <s v="L"/>
    <x v="1"/>
    <x v="7"/>
    <n v="122.41"/>
    <x v="175"/>
    <n v="0.48200000000000004"/>
    <n v="63.41"/>
    <n v="59"/>
    <d v="2025-08-06T00:00:00"/>
    <x v="1"/>
    <x v="1"/>
    <n v="49"/>
    <n v="4.5"/>
    <s v="Ok"/>
    <n v="4.5"/>
    <s v="False"/>
    <m/>
    <n v="0"/>
    <n v="63.41"/>
    <x v="0"/>
    <n v="0"/>
  </r>
  <r>
    <s v="FB002051"/>
    <x v="3"/>
    <x v="2"/>
    <x v="1"/>
    <s v="XXL"/>
    <x v="4"/>
    <x v="4"/>
    <n v="198.22"/>
    <x v="0"/>
    <n v="0"/>
    <n v="198.22"/>
    <n v="0"/>
    <d v="2025-08-06T00:00:00"/>
    <x v="1"/>
    <x v="1"/>
    <n v="12"/>
    <m/>
    <s v="Ok"/>
    <s v="No valorado"/>
    <s v="False"/>
    <m/>
    <n v="0"/>
    <n v="198.22"/>
    <x v="0"/>
    <n v="0"/>
  </r>
  <r>
    <s v="FB002052"/>
    <x v="3"/>
    <x v="0"/>
    <x v="1"/>
    <s v="M"/>
    <x v="6"/>
    <x v="7"/>
    <n v="129.56"/>
    <x v="445"/>
    <n v="0.20800000000000002"/>
    <n v="102.61"/>
    <n v="26.950000000000003"/>
    <d v="2025-08-06T00:00:00"/>
    <x v="1"/>
    <x v="1"/>
    <n v="3"/>
    <n v="2.9"/>
    <s v="Pocas Unidades"/>
    <n v="2.9"/>
    <s v="False"/>
    <m/>
    <n v="0"/>
    <n v="102.61"/>
    <x v="0"/>
    <n v="0"/>
  </r>
  <r>
    <s v="FB002053"/>
    <x v="2"/>
    <x v="0"/>
    <x v="3"/>
    <m/>
    <x v="2"/>
    <x v="1"/>
    <n v="49.31"/>
    <x v="0"/>
    <n v="0"/>
    <n v="49.31"/>
    <n v="0"/>
    <d v="2025-08-06T00:00:00"/>
    <x v="1"/>
    <x v="1"/>
    <n v="49"/>
    <n v="3.4"/>
    <s v="Ok"/>
    <n v="3.4"/>
    <s v="False"/>
    <m/>
    <n v="0"/>
    <n v="49.31"/>
    <x v="0"/>
    <n v="0"/>
  </r>
  <r>
    <s v="FB002054"/>
    <x v="0"/>
    <x v="1"/>
    <x v="3"/>
    <s v="S"/>
    <x v="3"/>
    <x v="1"/>
    <n v="206.94"/>
    <x v="0"/>
    <n v="0"/>
    <n v="206.94"/>
    <n v="0"/>
    <d v="2025-08-06T00:00:00"/>
    <x v="1"/>
    <x v="1"/>
    <n v="43"/>
    <n v="3.3"/>
    <s v="Ok"/>
    <n v="3.3"/>
    <s v="False"/>
    <m/>
    <n v="0"/>
    <n v="206.94"/>
    <x v="0"/>
    <n v="0"/>
  </r>
  <r>
    <s v="FB002055"/>
    <x v="2"/>
    <x v="2"/>
    <x v="3"/>
    <m/>
    <x v="2"/>
    <x v="2"/>
    <n v="36.93"/>
    <x v="0"/>
    <n v="0"/>
    <n v="36.93"/>
    <n v="0"/>
    <d v="2025-08-06T00:00:00"/>
    <x v="1"/>
    <x v="1"/>
    <n v="18"/>
    <m/>
    <s v="Ok"/>
    <s v="No valorado"/>
    <s v="False"/>
    <m/>
    <n v="0"/>
    <n v="36.93"/>
    <x v="0"/>
    <n v="0"/>
  </r>
  <r>
    <s v="FB002056"/>
    <x v="2"/>
    <x v="1"/>
    <x v="3"/>
    <m/>
    <x v="2"/>
    <x v="6"/>
    <n v="21.85"/>
    <x v="393"/>
    <n v="0.12"/>
    <n v="19.23"/>
    <n v="2.620000000000001"/>
    <d v="2025-08-06T00:00:00"/>
    <x v="1"/>
    <x v="1"/>
    <n v="18"/>
    <n v="4.8"/>
    <s v="Ok"/>
    <n v="4.8"/>
    <s v="False"/>
    <m/>
    <n v="0"/>
    <n v="19.23"/>
    <x v="0"/>
    <n v="0"/>
  </r>
  <r>
    <s v="FB002057"/>
    <x v="3"/>
    <x v="2"/>
    <x v="1"/>
    <s v="S"/>
    <x v="3"/>
    <x v="10"/>
    <n v="174.65"/>
    <x v="174"/>
    <n v="0.43799999999999994"/>
    <n v="98.15"/>
    <n v="76.5"/>
    <d v="2025-08-06T00:00:00"/>
    <x v="1"/>
    <x v="1"/>
    <n v="28"/>
    <n v="3.3"/>
    <s v="Ok"/>
    <n v="3.3"/>
    <s v="False"/>
    <m/>
    <n v="0"/>
    <n v="98.15"/>
    <x v="0"/>
    <n v="0"/>
  </r>
  <r>
    <s v="FB002058"/>
    <x v="2"/>
    <x v="3"/>
    <x v="0"/>
    <m/>
    <x v="2"/>
    <x v="1"/>
    <n v="19.96"/>
    <x v="0"/>
    <n v="0"/>
    <n v="19.96"/>
    <n v="0"/>
    <d v="2025-06-19T00:00:00"/>
    <x v="5"/>
    <x v="7"/>
    <n v="16"/>
    <n v="1.4"/>
    <s v="Ok"/>
    <n v="1.4"/>
    <s v="False"/>
    <m/>
    <n v="0"/>
    <n v="19.96"/>
    <x v="0"/>
    <n v="0"/>
  </r>
  <r>
    <s v="FB002059"/>
    <x v="1"/>
    <x v="4"/>
    <x v="2"/>
    <s v="M"/>
    <x v="6"/>
    <x v="6"/>
    <n v="90.46"/>
    <x v="161"/>
    <n v="0.54100000000000004"/>
    <n v="41.52"/>
    <n v="48.939999999999991"/>
    <d v="2025-08-06T00:00:00"/>
    <x v="1"/>
    <x v="1"/>
    <n v="15"/>
    <n v="2.5"/>
    <s v="Ok"/>
    <n v="2.5"/>
    <s v="False"/>
    <m/>
    <n v="0"/>
    <n v="41.52"/>
    <x v="0"/>
    <n v="0"/>
  </r>
  <r>
    <s v="FB002060"/>
    <x v="3"/>
    <x v="4"/>
    <x v="2"/>
    <s v="L"/>
    <x v="1"/>
    <x v="5"/>
    <n v="189.24"/>
    <x v="0"/>
    <n v="0"/>
    <n v="189.24"/>
    <n v="0"/>
    <d v="2025-08-06T00:00:00"/>
    <x v="1"/>
    <x v="1"/>
    <n v="25"/>
    <n v="3.6"/>
    <s v="Ok"/>
    <n v="3.6"/>
    <s v="True"/>
    <s v="Color Mismatch"/>
    <n v="1"/>
    <n v="0"/>
    <x v="1"/>
    <n v="0"/>
  </r>
  <r>
    <s v="FB002061"/>
    <x v="0"/>
    <x v="2"/>
    <x v="3"/>
    <s v="XXL"/>
    <x v="4"/>
    <x v="2"/>
    <n v="231.24"/>
    <x v="146"/>
    <n v="0.44600000000000001"/>
    <n v="128.11000000000001"/>
    <n v="103.13"/>
    <d v="2025-08-06T00:00:00"/>
    <x v="1"/>
    <x v="1"/>
    <n v="15"/>
    <n v="3.7"/>
    <s v="Ok"/>
    <n v="3.7"/>
    <s v="False"/>
    <m/>
    <n v="0"/>
    <n v="128.11000000000001"/>
    <x v="0"/>
    <n v="0"/>
  </r>
  <r>
    <s v="FB002062"/>
    <x v="2"/>
    <x v="3"/>
    <x v="2"/>
    <m/>
    <x v="2"/>
    <x v="7"/>
    <n v="66.48"/>
    <x v="0"/>
    <n v="0"/>
    <n v="66.48"/>
    <n v="0"/>
    <d v="2025-08-06T00:00:00"/>
    <x v="1"/>
    <x v="1"/>
    <n v="38"/>
    <n v="1.4"/>
    <s v="Ok"/>
    <n v="1.4"/>
    <s v="False"/>
    <m/>
    <n v="0"/>
    <n v="66.48"/>
    <x v="0"/>
    <n v="0"/>
  </r>
  <r>
    <s v="FB002063"/>
    <x v="2"/>
    <x v="4"/>
    <x v="2"/>
    <m/>
    <x v="2"/>
    <x v="7"/>
    <n v="37.270000000000003"/>
    <x v="0"/>
    <n v="0"/>
    <n v="37.270000000000003"/>
    <n v="0"/>
    <d v="2025-08-06T00:00:00"/>
    <x v="1"/>
    <x v="1"/>
    <n v="15"/>
    <n v="3.8"/>
    <s v="Ok"/>
    <n v="3.8"/>
    <s v="False"/>
    <m/>
    <n v="0"/>
    <n v="37.270000000000003"/>
    <x v="0"/>
    <n v="0"/>
  </r>
  <r>
    <s v="FB002064"/>
    <x v="3"/>
    <x v="1"/>
    <x v="0"/>
    <s v="L"/>
    <x v="1"/>
    <x v="10"/>
    <n v="178.05"/>
    <x v="0"/>
    <n v="0"/>
    <n v="178.05"/>
    <n v="0"/>
    <d v="2025-03-08T00:00:00"/>
    <x v="0"/>
    <x v="3"/>
    <n v="24"/>
    <m/>
    <s v="Ok"/>
    <s v="No valorado"/>
    <s v="False"/>
    <m/>
    <n v="0"/>
    <n v="178.05"/>
    <x v="0"/>
    <n v="0"/>
  </r>
  <r>
    <s v="FB002065"/>
    <x v="1"/>
    <x v="7"/>
    <x v="0"/>
    <s v="XS"/>
    <x v="5"/>
    <x v="1"/>
    <n v="73.760000000000005"/>
    <x v="0"/>
    <n v="0"/>
    <n v="73.760000000000005"/>
    <n v="0"/>
    <d v="2024-08-19T00:00:00"/>
    <x v="2"/>
    <x v="1"/>
    <n v="25"/>
    <n v="1.3"/>
    <s v="Ok"/>
    <n v="1.3"/>
    <s v="False"/>
    <m/>
    <n v="0"/>
    <n v="73.760000000000005"/>
    <x v="0"/>
    <n v="0"/>
  </r>
  <r>
    <s v="FB002066"/>
    <x v="4"/>
    <x v="0"/>
    <x v="1"/>
    <s v="XL"/>
    <x v="0"/>
    <x v="1"/>
    <n v="36.229999999999997"/>
    <x v="0"/>
    <n v="0"/>
    <n v="36.229999999999997"/>
    <n v="0"/>
    <d v="2025-08-06T00:00:00"/>
    <x v="1"/>
    <x v="1"/>
    <n v="49"/>
    <m/>
    <s v="Ok"/>
    <s v="No valorado"/>
    <s v="False"/>
    <m/>
    <n v="0"/>
    <n v="36.229999999999997"/>
    <x v="0"/>
    <n v="0"/>
  </r>
  <r>
    <s v="FB002067"/>
    <x v="4"/>
    <x v="4"/>
    <x v="0"/>
    <s v="S"/>
    <x v="3"/>
    <x v="9"/>
    <n v="48.89"/>
    <x v="0"/>
    <n v="0"/>
    <n v="48.89"/>
    <n v="0"/>
    <d v="2024-12-10T00:00:00"/>
    <x v="3"/>
    <x v="10"/>
    <n v="9"/>
    <n v="3.1"/>
    <s v="Pocas Unidades"/>
    <n v="3.1"/>
    <s v="False"/>
    <m/>
    <n v="0"/>
    <n v="48.89"/>
    <x v="0"/>
    <n v="0"/>
  </r>
  <r>
    <s v="FB002068"/>
    <x v="1"/>
    <x v="4"/>
    <x v="1"/>
    <s v="XL"/>
    <x v="0"/>
    <x v="1"/>
    <n v="94.15"/>
    <x v="261"/>
    <n v="0.31"/>
    <n v="64.959999999999994"/>
    <n v="29.190000000000012"/>
    <d v="2025-08-06T00:00:00"/>
    <x v="1"/>
    <x v="1"/>
    <n v="25"/>
    <m/>
    <s v="Ok"/>
    <s v="No valorado"/>
    <s v="False"/>
    <m/>
    <n v="0"/>
    <n v="64.959999999999994"/>
    <x v="0"/>
    <n v="0"/>
  </r>
  <r>
    <s v="FB002069"/>
    <x v="2"/>
    <x v="7"/>
    <x v="3"/>
    <m/>
    <x v="2"/>
    <x v="10"/>
    <n v="27.7"/>
    <x v="0"/>
    <n v="0"/>
    <n v="27.7"/>
    <n v="0"/>
    <d v="2025-08-06T00:00:00"/>
    <x v="1"/>
    <x v="1"/>
    <n v="27"/>
    <n v="4.8"/>
    <s v="Ok"/>
    <n v="4.8"/>
    <s v="False"/>
    <m/>
    <n v="0"/>
    <n v="27.7"/>
    <x v="0"/>
    <n v="0"/>
  </r>
  <r>
    <s v="FB002070"/>
    <x v="3"/>
    <x v="4"/>
    <x v="0"/>
    <s v="XXL"/>
    <x v="4"/>
    <x v="4"/>
    <n v="122.55"/>
    <x v="305"/>
    <n v="0.11199999999999999"/>
    <n v="108.82"/>
    <n v="13.730000000000004"/>
    <d v="2024-10-02T00:00:00"/>
    <x v="1"/>
    <x v="2"/>
    <n v="23"/>
    <m/>
    <s v="Ok"/>
    <s v="No valorado"/>
    <s v="False"/>
    <m/>
    <n v="0"/>
    <n v="108.82"/>
    <x v="0"/>
    <n v="0"/>
  </r>
  <r>
    <s v="FB002071"/>
    <x v="5"/>
    <x v="3"/>
    <x v="0"/>
    <s v="XL"/>
    <x v="0"/>
    <x v="1"/>
    <n v="173.77"/>
    <x v="80"/>
    <n v="0.17"/>
    <n v="144.22999999999999"/>
    <n v="29.54000000000002"/>
    <d v="2024-11-20T00:00:00"/>
    <x v="1"/>
    <x v="11"/>
    <n v="5"/>
    <n v="1.9"/>
    <s v="Pocas Unidades"/>
    <n v="1.9"/>
    <s v="False"/>
    <m/>
    <n v="0"/>
    <n v="144.22999999999999"/>
    <x v="0"/>
    <n v="0"/>
  </r>
  <r>
    <s v="FB002072"/>
    <x v="2"/>
    <x v="1"/>
    <x v="3"/>
    <m/>
    <x v="2"/>
    <x v="1"/>
    <n v="77.45"/>
    <x v="0"/>
    <n v="0"/>
    <n v="77.45"/>
    <n v="0"/>
    <d v="2025-08-06T00:00:00"/>
    <x v="1"/>
    <x v="1"/>
    <n v="0"/>
    <n v="3.1"/>
    <s v="Agotado"/>
    <n v="3.1"/>
    <s v="False"/>
    <m/>
    <n v="0"/>
    <n v="77.45"/>
    <x v="0"/>
    <n v="0"/>
  </r>
  <r>
    <s v="FB002073"/>
    <x v="4"/>
    <x v="1"/>
    <x v="1"/>
    <s v="M"/>
    <x v="6"/>
    <x v="2"/>
    <n v="34.159999999999997"/>
    <x v="0"/>
    <n v="0"/>
    <n v="34.159999999999997"/>
    <n v="0"/>
    <d v="2025-08-06T00:00:00"/>
    <x v="1"/>
    <x v="1"/>
    <n v="37"/>
    <n v="1.3"/>
    <s v="Ok"/>
    <n v="1.3"/>
    <s v="False"/>
    <m/>
    <n v="0"/>
    <n v="34.159999999999997"/>
    <x v="0"/>
    <n v="0"/>
  </r>
  <r>
    <s v="FB002074"/>
    <x v="2"/>
    <x v="7"/>
    <x v="3"/>
    <m/>
    <x v="2"/>
    <x v="3"/>
    <n v="71.3"/>
    <x v="0"/>
    <n v="0"/>
    <n v="71.3"/>
    <n v="0"/>
    <d v="2025-08-06T00:00:00"/>
    <x v="1"/>
    <x v="1"/>
    <n v="21"/>
    <n v="1.6"/>
    <s v="Ok"/>
    <n v="1.6"/>
    <s v="False"/>
    <m/>
    <n v="0"/>
    <n v="71.3"/>
    <x v="0"/>
    <n v="0"/>
  </r>
  <r>
    <s v="FB002075"/>
    <x v="1"/>
    <x v="4"/>
    <x v="3"/>
    <s v="M"/>
    <x v="6"/>
    <x v="10"/>
    <n v="63.67"/>
    <x v="0"/>
    <n v="0"/>
    <n v="63.67"/>
    <n v="0"/>
    <d v="2025-08-06T00:00:00"/>
    <x v="1"/>
    <x v="1"/>
    <n v="18"/>
    <n v="1.6"/>
    <s v="Ok"/>
    <n v="1.6"/>
    <s v="False"/>
    <m/>
    <n v="0"/>
    <n v="63.67"/>
    <x v="0"/>
    <n v="0"/>
  </r>
  <r>
    <s v="FB002076"/>
    <x v="0"/>
    <x v="7"/>
    <x v="2"/>
    <s v="S"/>
    <x v="3"/>
    <x v="4"/>
    <n v="249.98"/>
    <x v="0"/>
    <n v="0"/>
    <n v="249.98"/>
    <n v="0"/>
    <d v="2025-08-06T00:00:00"/>
    <x v="1"/>
    <x v="1"/>
    <n v="46"/>
    <n v="3.6"/>
    <s v="Ok"/>
    <n v="3.6"/>
    <s v="False"/>
    <m/>
    <n v="0"/>
    <n v="249.98"/>
    <x v="0"/>
    <n v="0"/>
  </r>
  <r>
    <s v="FB002077"/>
    <x v="0"/>
    <x v="5"/>
    <x v="0"/>
    <s v="XL"/>
    <x v="0"/>
    <x v="6"/>
    <n v="103.92"/>
    <x v="0"/>
    <n v="0"/>
    <n v="103.92"/>
    <n v="0"/>
    <d v="2024-10-24T00:00:00"/>
    <x v="5"/>
    <x v="2"/>
    <n v="5"/>
    <m/>
    <s v="Pocas Unidades"/>
    <s v="No valorado"/>
    <s v="False"/>
    <m/>
    <n v="0"/>
    <n v="103.92"/>
    <x v="0"/>
    <n v="0"/>
  </r>
  <r>
    <s v="FB002078"/>
    <x v="3"/>
    <x v="1"/>
    <x v="3"/>
    <s v="XL"/>
    <x v="0"/>
    <x v="2"/>
    <n v="116.76"/>
    <x v="0"/>
    <n v="0"/>
    <n v="116.76"/>
    <n v="0"/>
    <d v="2025-08-06T00:00:00"/>
    <x v="1"/>
    <x v="1"/>
    <n v="13"/>
    <m/>
    <s v="Ok"/>
    <s v="No valorado"/>
    <s v="False"/>
    <m/>
    <n v="0"/>
    <n v="116.76"/>
    <x v="0"/>
    <n v="0"/>
  </r>
  <r>
    <s v="FB002079"/>
    <x v="3"/>
    <x v="6"/>
    <x v="1"/>
    <s v="XXL"/>
    <x v="4"/>
    <x v="3"/>
    <n v="102.61"/>
    <x v="0"/>
    <n v="0"/>
    <n v="102.61"/>
    <n v="0"/>
    <d v="2025-08-06T00:00:00"/>
    <x v="1"/>
    <x v="1"/>
    <n v="47"/>
    <n v="3.5"/>
    <s v="Ok"/>
    <n v="3.5"/>
    <s v="False"/>
    <m/>
    <n v="0"/>
    <n v="102.61"/>
    <x v="0"/>
    <n v="0"/>
  </r>
  <r>
    <s v="FB002080"/>
    <x v="2"/>
    <x v="5"/>
    <x v="0"/>
    <m/>
    <x v="2"/>
    <x v="1"/>
    <n v="43.48"/>
    <x v="0"/>
    <n v="0"/>
    <n v="43.48"/>
    <n v="0"/>
    <d v="2024-08-23T00:00:00"/>
    <x v="4"/>
    <x v="1"/>
    <n v="11"/>
    <n v="4.7"/>
    <s v="Ok"/>
    <n v="4.7"/>
    <s v="False"/>
    <m/>
    <n v="0"/>
    <n v="43.48"/>
    <x v="0"/>
    <n v="0"/>
  </r>
  <r>
    <s v="FB002081"/>
    <x v="2"/>
    <x v="7"/>
    <x v="1"/>
    <m/>
    <x v="2"/>
    <x v="1"/>
    <n v="39.9"/>
    <x v="0"/>
    <n v="0"/>
    <n v="39.9"/>
    <n v="0"/>
    <d v="2025-08-06T00:00:00"/>
    <x v="1"/>
    <x v="1"/>
    <n v="6"/>
    <n v="2.4"/>
    <s v="Pocas Unidades"/>
    <n v="2.4"/>
    <s v="True"/>
    <s v="Damaged"/>
    <n v="1"/>
    <n v="0"/>
    <x v="3"/>
    <n v="0"/>
  </r>
  <r>
    <s v="FB002082"/>
    <x v="4"/>
    <x v="0"/>
    <x v="0"/>
    <s v="S"/>
    <x v="3"/>
    <x v="1"/>
    <n v="86"/>
    <x v="176"/>
    <n v="0.36700000000000005"/>
    <n v="54.44"/>
    <n v="31.560000000000002"/>
    <d v="2025-04-23T00:00:00"/>
    <x v="1"/>
    <x v="4"/>
    <n v="18"/>
    <n v="2.4"/>
    <s v="Ok"/>
    <n v="2.4"/>
    <s v="True"/>
    <s v="Size Issue"/>
    <n v="1"/>
    <n v="0"/>
    <x v="2"/>
    <n v="0"/>
  </r>
  <r>
    <s v="FB002083"/>
    <x v="3"/>
    <x v="6"/>
    <x v="3"/>
    <s v="XXL"/>
    <x v="4"/>
    <x v="5"/>
    <n v="154.47999999999999"/>
    <x v="6"/>
    <n v="0.58499999999999996"/>
    <n v="64.11"/>
    <n v="90.36999999999999"/>
    <d v="2025-08-06T00:00:00"/>
    <x v="1"/>
    <x v="1"/>
    <n v="19"/>
    <n v="3.2"/>
    <s v="Ok"/>
    <n v="3.2"/>
    <s v="False"/>
    <m/>
    <n v="0"/>
    <n v="64.11"/>
    <x v="0"/>
    <n v="0"/>
  </r>
  <r>
    <s v="FB002084"/>
    <x v="5"/>
    <x v="6"/>
    <x v="3"/>
    <s v="S"/>
    <x v="3"/>
    <x v="0"/>
    <n v="141.97"/>
    <x v="233"/>
    <n v="0.35299999999999998"/>
    <n v="91.85"/>
    <n v="50.120000000000005"/>
    <d v="2025-08-06T00:00:00"/>
    <x v="1"/>
    <x v="1"/>
    <n v="12"/>
    <n v="2.6"/>
    <s v="Ok"/>
    <n v="2.6"/>
    <s v="False"/>
    <m/>
    <n v="0"/>
    <n v="91.85"/>
    <x v="0"/>
    <n v="0"/>
  </r>
  <r>
    <s v="FB002085"/>
    <x v="0"/>
    <x v="6"/>
    <x v="0"/>
    <s v="XS"/>
    <x v="5"/>
    <x v="0"/>
    <n v="119.36"/>
    <x v="0"/>
    <n v="0"/>
    <n v="119.36"/>
    <n v="0"/>
    <d v="2025-07-02T00:00:00"/>
    <x v="1"/>
    <x v="0"/>
    <n v="30"/>
    <n v="2.7"/>
    <s v="Ok"/>
    <n v="2.7"/>
    <s v="True"/>
    <s v="Size Issue"/>
    <n v="1"/>
    <n v="0"/>
    <x v="2"/>
    <n v="0"/>
  </r>
  <r>
    <s v="FB002086"/>
    <x v="2"/>
    <x v="7"/>
    <x v="3"/>
    <m/>
    <x v="2"/>
    <x v="8"/>
    <n v="15.71"/>
    <x v="91"/>
    <n v="0.47600000000000003"/>
    <n v="8.23"/>
    <n v="7.48"/>
    <d v="2025-08-06T00:00:00"/>
    <x v="1"/>
    <x v="1"/>
    <n v="42"/>
    <n v="2"/>
    <s v="Ok"/>
    <n v="2"/>
    <s v="False"/>
    <m/>
    <n v="0"/>
    <n v="8.23"/>
    <x v="0"/>
    <n v="0"/>
  </r>
  <r>
    <s v="FB002087"/>
    <x v="3"/>
    <x v="3"/>
    <x v="1"/>
    <s v="M"/>
    <x v="6"/>
    <x v="2"/>
    <n v="89.12"/>
    <x v="0"/>
    <n v="0"/>
    <n v="89.12"/>
    <n v="0"/>
    <d v="2025-08-06T00:00:00"/>
    <x v="1"/>
    <x v="1"/>
    <n v="27"/>
    <m/>
    <s v="Ok"/>
    <s v="No valorado"/>
    <s v="True"/>
    <s v="Damaged"/>
    <n v="1"/>
    <n v="0"/>
    <x v="3"/>
    <n v="0"/>
  </r>
  <r>
    <s v="FB002088"/>
    <x v="4"/>
    <x v="4"/>
    <x v="2"/>
    <s v="S"/>
    <x v="3"/>
    <x v="5"/>
    <n v="30.43"/>
    <x v="0"/>
    <n v="0"/>
    <n v="30.43"/>
    <n v="0"/>
    <d v="2025-08-06T00:00:00"/>
    <x v="1"/>
    <x v="1"/>
    <n v="32"/>
    <n v="3.1"/>
    <s v="Ok"/>
    <n v="3.1"/>
    <s v="False"/>
    <m/>
    <n v="0"/>
    <n v="30.43"/>
    <x v="0"/>
    <n v="0"/>
  </r>
  <r>
    <s v="FB002089"/>
    <x v="5"/>
    <x v="7"/>
    <x v="1"/>
    <s v="XS"/>
    <x v="5"/>
    <x v="1"/>
    <n v="115.4"/>
    <x v="0"/>
    <n v="0"/>
    <n v="115.4"/>
    <n v="0"/>
    <d v="2025-08-06T00:00:00"/>
    <x v="1"/>
    <x v="1"/>
    <n v="7"/>
    <n v="4.5"/>
    <s v="Pocas Unidades"/>
    <n v="4.5"/>
    <s v="False"/>
    <m/>
    <n v="0"/>
    <n v="115.4"/>
    <x v="0"/>
    <n v="0"/>
  </r>
  <r>
    <s v="FB002090"/>
    <x v="0"/>
    <x v="6"/>
    <x v="1"/>
    <s v="S"/>
    <x v="3"/>
    <x v="0"/>
    <n v="155.19999999999999"/>
    <x v="0"/>
    <n v="0"/>
    <n v="155.19999999999999"/>
    <n v="0"/>
    <d v="2025-08-06T00:00:00"/>
    <x v="1"/>
    <x v="1"/>
    <n v="5"/>
    <n v="4.8"/>
    <s v="Pocas Unidades"/>
    <n v="4.8"/>
    <s v="False"/>
    <m/>
    <n v="0"/>
    <n v="155.19999999999999"/>
    <x v="0"/>
    <n v="0"/>
  </r>
  <r>
    <s v="FB002091"/>
    <x v="4"/>
    <x v="7"/>
    <x v="2"/>
    <s v="L"/>
    <x v="1"/>
    <x v="4"/>
    <n v="104.83"/>
    <x v="0"/>
    <n v="0"/>
    <n v="104.83"/>
    <n v="0"/>
    <d v="2025-08-06T00:00:00"/>
    <x v="1"/>
    <x v="1"/>
    <n v="26"/>
    <n v="4"/>
    <s v="Ok"/>
    <n v="4"/>
    <s v="False"/>
    <m/>
    <n v="0"/>
    <n v="104.83"/>
    <x v="0"/>
    <n v="0"/>
  </r>
  <r>
    <s v="FB002092"/>
    <x v="2"/>
    <x v="6"/>
    <x v="3"/>
    <m/>
    <x v="2"/>
    <x v="4"/>
    <n v="41.62"/>
    <x v="0"/>
    <n v="0"/>
    <n v="41.62"/>
    <n v="0"/>
    <d v="2025-08-06T00:00:00"/>
    <x v="1"/>
    <x v="1"/>
    <n v="33"/>
    <m/>
    <s v="Ok"/>
    <s v="No valorado"/>
    <s v="False"/>
    <m/>
    <n v="0"/>
    <n v="41.62"/>
    <x v="0"/>
    <n v="0"/>
  </r>
  <r>
    <s v="FB002093"/>
    <x v="4"/>
    <x v="5"/>
    <x v="0"/>
    <s v="M"/>
    <x v="6"/>
    <x v="7"/>
    <n v="94.92"/>
    <x v="0"/>
    <n v="0"/>
    <n v="94.92"/>
    <n v="0"/>
    <d v="2024-09-29T00:00:00"/>
    <x v="6"/>
    <x v="6"/>
    <n v="20"/>
    <n v="2.2999999999999998"/>
    <s v="Ok"/>
    <n v="2.2999999999999998"/>
    <s v="False"/>
    <m/>
    <n v="0"/>
    <n v="94.92"/>
    <x v="0"/>
    <n v="0"/>
  </r>
  <r>
    <s v="FB002094"/>
    <x v="4"/>
    <x v="3"/>
    <x v="2"/>
    <s v="XXL"/>
    <x v="4"/>
    <x v="0"/>
    <n v="107.92"/>
    <x v="446"/>
    <n v="0.222"/>
    <n v="83.96"/>
    <n v="23.960000000000008"/>
    <d v="2025-08-06T00:00:00"/>
    <x v="1"/>
    <x v="1"/>
    <n v="35"/>
    <n v="3.7"/>
    <s v="Ok"/>
    <n v="3.7"/>
    <s v="False"/>
    <m/>
    <n v="0"/>
    <n v="83.96"/>
    <x v="0"/>
    <n v="0"/>
  </r>
  <r>
    <s v="FB002095"/>
    <x v="2"/>
    <x v="7"/>
    <x v="3"/>
    <m/>
    <x v="2"/>
    <x v="6"/>
    <n v="45.52"/>
    <x v="0"/>
    <n v="0"/>
    <n v="45.52"/>
    <n v="0"/>
    <d v="2025-08-06T00:00:00"/>
    <x v="1"/>
    <x v="1"/>
    <n v="41"/>
    <n v="1.6"/>
    <s v="Ok"/>
    <n v="1.6"/>
    <s v="False"/>
    <m/>
    <n v="0"/>
    <n v="45.52"/>
    <x v="0"/>
    <n v="0"/>
  </r>
  <r>
    <s v="FB002096"/>
    <x v="4"/>
    <x v="6"/>
    <x v="1"/>
    <s v="M"/>
    <x v="6"/>
    <x v="6"/>
    <n v="112.1"/>
    <x v="447"/>
    <n v="0.307"/>
    <n v="77.69"/>
    <n v="34.409999999999997"/>
    <d v="2025-08-06T00:00:00"/>
    <x v="1"/>
    <x v="1"/>
    <n v="10"/>
    <n v="1"/>
    <s v="Ok"/>
    <n v="1"/>
    <s v="False"/>
    <m/>
    <n v="0"/>
    <n v="77.69"/>
    <x v="0"/>
    <n v="0"/>
  </r>
  <r>
    <s v="FB002097"/>
    <x v="3"/>
    <x v="1"/>
    <x v="0"/>
    <s v="L"/>
    <x v="1"/>
    <x v="9"/>
    <n v="103.9"/>
    <x v="0"/>
    <n v="0"/>
    <n v="103.9"/>
    <n v="0"/>
    <d v="2025-07-23T00:00:00"/>
    <x v="1"/>
    <x v="0"/>
    <n v="27"/>
    <n v="2.1"/>
    <s v="Ok"/>
    <n v="2.1"/>
    <s v="False"/>
    <m/>
    <n v="0"/>
    <n v="103.9"/>
    <x v="0"/>
    <n v="0"/>
  </r>
  <r>
    <s v="FB002098"/>
    <x v="0"/>
    <x v="2"/>
    <x v="1"/>
    <s v="L"/>
    <x v="1"/>
    <x v="1"/>
    <n v="168.02"/>
    <x v="0"/>
    <n v="0"/>
    <n v="168.02"/>
    <n v="0"/>
    <d v="2025-08-06T00:00:00"/>
    <x v="1"/>
    <x v="1"/>
    <n v="30"/>
    <n v="1.6"/>
    <s v="Ok"/>
    <n v="1.6"/>
    <s v="True"/>
    <s v="Size Issue"/>
    <n v="1"/>
    <n v="0"/>
    <x v="2"/>
    <n v="0"/>
  </r>
  <r>
    <s v="FB002099"/>
    <x v="3"/>
    <x v="3"/>
    <x v="2"/>
    <s v="M"/>
    <x v="6"/>
    <x v="10"/>
    <n v="80.41"/>
    <x v="0"/>
    <n v="0"/>
    <n v="80.41"/>
    <n v="0"/>
    <d v="2025-08-06T00:00:00"/>
    <x v="1"/>
    <x v="1"/>
    <n v="46"/>
    <n v="2.8"/>
    <s v="Ok"/>
    <n v="2.8"/>
    <s v="False"/>
    <m/>
    <n v="0"/>
    <n v="80.41"/>
    <x v="0"/>
    <n v="0"/>
  </r>
  <r>
    <s v="FB002100"/>
    <x v="4"/>
    <x v="7"/>
    <x v="0"/>
    <s v="XL"/>
    <x v="0"/>
    <x v="6"/>
    <n v="102.76"/>
    <x v="0"/>
    <n v="0"/>
    <n v="102.76"/>
    <n v="0"/>
    <d v="2024-11-16T00:00:00"/>
    <x v="0"/>
    <x v="11"/>
    <n v="35"/>
    <n v="2.2000000000000002"/>
    <s v="Ok"/>
    <n v="2.2000000000000002"/>
    <s v="False"/>
    <m/>
    <n v="0"/>
    <n v="102.76"/>
    <x v="0"/>
    <n v="0"/>
  </r>
  <r>
    <s v="FB002101"/>
    <x v="1"/>
    <x v="7"/>
    <x v="2"/>
    <s v="XXL"/>
    <x v="4"/>
    <x v="2"/>
    <n v="81.2"/>
    <x v="0"/>
    <n v="0"/>
    <n v="81.2"/>
    <n v="0"/>
    <d v="2025-08-06T00:00:00"/>
    <x v="1"/>
    <x v="1"/>
    <n v="27"/>
    <n v="1.7"/>
    <s v="Ok"/>
    <n v="1.7"/>
    <s v="False"/>
    <m/>
    <n v="0"/>
    <n v="81.2"/>
    <x v="0"/>
    <n v="0"/>
  </r>
  <r>
    <s v="FB002102"/>
    <x v="2"/>
    <x v="1"/>
    <x v="2"/>
    <m/>
    <x v="2"/>
    <x v="4"/>
    <n v="68.95"/>
    <x v="0"/>
    <n v="0"/>
    <n v="68.95"/>
    <n v="0"/>
    <d v="2025-08-06T00:00:00"/>
    <x v="1"/>
    <x v="1"/>
    <n v="47"/>
    <n v="3.6"/>
    <s v="Ok"/>
    <n v="3.6"/>
    <s v="False"/>
    <m/>
    <n v="0"/>
    <n v="68.95"/>
    <x v="0"/>
    <n v="0"/>
  </r>
  <r>
    <s v="FB002103"/>
    <x v="4"/>
    <x v="0"/>
    <x v="3"/>
    <s v="XS"/>
    <x v="5"/>
    <x v="9"/>
    <n v="43.04"/>
    <x v="0"/>
    <n v="0"/>
    <n v="43.04"/>
    <n v="0"/>
    <d v="2025-08-06T00:00:00"/>
    <x v="1"/>
    <x v="1"/>
    <n v="26"/>
    <n v="4.8"/>
    <s v="Ok"/>
    <n v="4.8"/>
    <s v="True"/>
    <s v="Wrong Item"/>
    <n v="1"/>
    <n v="0"/>
    <x v="6"/>
    <n v="0"/>
  </r>
  <r>
    <s v="FB002104"/>
    <x v="1"/>
    <x v="0"/>
    <x v="0"/>
    <s v="XS"/>
    <x v="5"/>
    <x v="7"/>
    <n v="81.819999999999993"/>
    <x v="0"/>
    <n v="0"/>
    <n v="81.819999999999993"/>
    <n v="0"/>
    <d v="2025-05-09T00:00:00"/>
    <x v="4"/>
    <x v="8"/>
    <n v="1"/>
    <n v="3.5"/>
    <s v="Pocas Unidades"/>
    <n v="3.5"/>
    <s v="False"/>
    <m/>
    <n v="0"/>
    <n v="81.819999999999993"/>
    <x v="0"/>
    <n v="0"/>
  </r>
  <r>
    <s v="FB002105"/>
    <x v="2"/>
    <x v="3"/>
    <x v="3"/>
    <m/>
    <x v="2"/>
    <x v="5"/>
    <n v="53.7"/>
    <x v="0"/>
    <n v="0"/>
    <n v="53.7"/>
    <n v="0"/>
    <d v="2025-08-06T00:00:00"/>
    <x v="1"/>
    <x v="1"/>
    <n v="16"/>
    <n v="1.4"/>
    <s v="Ok"/>
    <n v="1.4"/>
    <s v="True"/>
    <s v="Damaged"/>
    <n v="1"/>
    <n v="0"/>
    <x v="3"/>
    <n v="0"/>
  </r>
  <r>
    <s v="FB002106"/>
    <x v="1"/>
    <x v="3"/>
    <x v="3"/>
    <s v="L"/>
    <x v="1"/>
    <x v="0"/>
    <n v="100.11"/>
    <x v="0"/>
    <n v="0"/>
    <n v="100.11"/>
    <n v="0"/>
    <d v="2025-08-06T00:00:00"/>
    <x v="1"/>
    <x v="1"/>
    <n v="41"/>
    <n v="4.7"/>
    <s v="Ok"/>
    <n v="4.7"/>
    <s v="False"/>
    <m/>
    <n v="0"/>
    <n v="100.11"/>
    <x v="0"/>
    <n v="0"/>
  </r>
  <r>
    <s v="FB002107"/>
    <x v="2"/>
    <x v="5"/>
    <x v="1"/>
    <m/>
    <x v="2"/>
    <x v="4"/>
    <n v="24.08"/>
    <x v="448"/>
    <n v="0.38500000000000001"/>
    <n v="14.81"/>
    <n v="9.2699999999999978"/>
    <d v="2025-08-06T00:00:00"/>
    <x v="1"/>
    <x v="1"/>
    <n v="43"/>
    <n v="4.0999999999999996"/>
    <s v="Ok"/>
    <n v="4.0999999999999996"/>
    <s v="False"/>
    <m/>
    <n v="0"/>
    <n v="14.81"/>
    <x v="0"/>
    <n v="0"/>
  </r>
  <r>
    <s v="FB002108"/>
    <x v="2"/>
    <x v="5"/>
    <x v="0"/>
    <m/>
    <x v="2"/>
    <x v="0"/>
    <n v="74.77"/>
    <x v="0"/>
    <n v="0"/>
    <n v="74.77"/>
    <n v="0"/>
    <d v="2025-03-18T00:00:00"/>
    <x v="3"/>
    <x v="3"/>
    <n v="26"/>
    <n v="2.9"/>
    <s v="Ok"/>
    <n v="2.9"/>
    <s v="False"/>
    <m/>
    <n v="0"/>
    <n v="74.77"/>
    <x v="0"/>
    <n v="0"/>
  </r>
  <r>
    <s v="FB002109"/>
    <x v="5"/>
    <x v="4"/>
    <x v="0"/>
    <s v="XL"/>
    <x v="0"/>
    <x v="8"/>
    <n v="105.98"/>
    <x v="0"/>
    <n v="0"/>
    <n v="105.98"/>
    <n v="0"/>
    <d v="2024-10-02T00:00:00"/>
    <x v="1"/>
    <x v="2"/>
    <n v="32"/>
    <n v="2.5"/>
    <s v="Ok"/>
    <n v="2.5"/>
    <s v="True"/>
    <s v="Size Issue"/>
    <n v="1"/>
    <n v="0"/>
    <x v="2"/>
    <n v="0"/>
  </r>
  <r>
    <s v="FB002110"/>
    <x v="3"/>
    <x v="0"/>
    <x v="3"/>
    <s v="L"/>
    <x v="1"/>
    <x v="3"/>
    <n v="81.650000000000006"/>
    <x v="449"/>
    <n v="7.6999999999999999E-2"/>
    <n v="75.36"/>
    <n v="6.2900000000000063"/>
    <d v="2025-08-06T00:00:00"/>
    <x v="1"/>
    <x v="1"/>
    <n v="23"/>
    <n v="2.6"/>
    <s v="Ok"/>
    <n v="2.6"/>
    <s v="False"/>
    <m/>
    <n v="0"/>
    <n v="75.36"/>
    <x v="0"/>
    <n v="0"/>
  </r>
  <r>
    <s v="FB002111"/>
    <x v="3"/>
    <x v="7"/>
    <x v="2"/>
    <s v="S"/>
    <x v="3"/>
    <x v="2"/>
    <n v="92.66"/>
    <x v="333"/>
    <n v="8.3000000000000004E-2"/>
    <n v="84.97"/>
    <n v="7.6899999999999977"/>
    <d v="2025-08-06T00:00:00"/>
    <x v="1"/>
    <x v="1"/>
    <n v="5"/>
    <n v="3.3"/>
    <s v="Pocas Unidades"/>
    <n v="3.3"/>
    <s v="False"/>
    <m/>
    <n v="0"/>
    <n v="84.97"/>
    <x v="0"/>
    <n v="0"/>
  </r>
  <r>
    <s v="FB002112"/>
    <x v="2"/>
    <x v="3"/>
    <x v="3"/>
    <m/>
    <x v="2"/>
    <x v="10"/>
    <n v="41.04"/>
    <x v="0"/>
    <n v="0"/>
    <n v="41.04"/>
    <n v="0"/>
    <d v="2025-08-06T00:00:00"/>
    <x v="1"/>
    <x v="1"/>
    <n v="43"/>
    <m/>
    <s v="Ok"/>
    <s v="No valorado"/>
    <s v="False"/>
    <m/>
    <n v="0"/>
    <n v="41.04"/>
    <x v="0"/>
    <n v="0"/>
  </r>
  <r>
    <s v="FB002113"/>
    <x v="0"/>
    <x v="7"/>
    <x v="2"/>
    <s v="M"/>
    <x v="6"/>
    <x v="1"/>
    <n v="169.98"/>
    <x v="450"/>
    <n v="5.7999999999999996E-2"/>
    <n v="160.12"/>
    <n v="9.8599999999999852"/>
    <d v="2025-08-06T00:00:00"/>
    <x v="1"/>
    <x v="1"/>
    <n v="12"/>
    <n v="2.1"/>
    <s v="Ok"/>
    <n v="2.1"/>
    <s v="False"/>
    <m/>
    <n v="0"/>
    <n v="160.12"/>
    <x v="0"/>
    <n v="0"/>
  </r>
  <r>
    <s v="FB002114"/>
    <x v="2"/>
    <x v="3"/>
    <x v="1"/>
    <m/>
    <x v="2"/>
    <x v="0"/>
    <n v="66.12"/>
    <x v="451"/>
    <n v="0.51"/>
    <n v="32.4"/>
    <n v="33.720000000000006"/>
    <d v="2025-08-06T00:00:00"/>
    <x v="1"/>
    <x v="1"/>
    <n v="17"/>
    <n v="2.2000000000000002"/>
    <s v="Ok"/>
    <n v="2.2000000000000002"/>
    <s v="False"/>
    <m/>
    <n v="0"/>
    <n v="32.4"/>
    <x v="0"/>
    <n v="0"/>
  </r>
  <r>
    <s v="FB002115"/>
    <x v="5"/>
    <x v="2"/>
    <x v="0"/>
    <s v="S"/>
    <x v="3"/>
    <x v="9"/>
    <n v="139.87"/>
    <x v="452"/>
    <n v="0.14499999999999999"/>
    <n v="119.59"/>
    <n v="20.28"/>
    <d v="2024-09-13T00:00:00"/>
    <x v="4"/>
    <x v="6"/>
    <n v="13"/>
    <n v="1.3"/>
    <s v="Ok"/>
    <n v="1.3"/>
    <s v="False"/>
    <m/>
    <n v="0"/>
    <n v="119.59"/>
    <x v="0"/>
    <n v="0"/>
  </r>
  <r>
    <s v="FB002116"/>
    <x v="2"/>
    <x v="0"/>
    <x v="1"/>
    <m/>
    <x v="2"/>
    <x v="1"/>
    <n v="70.23"/>
    <x v="372"/>
    <n v="0.499"/>
    <n v="35.19"/>
    <n v="35.040000000000006"/>
    <d v="2025-08-06T00:00:00"/>
    <x v="1"/>
    <x v="1"/>
    <n v="0"/>
    <n v="4.5999999999999996"/>
    <s v="Agotado"/>
    <n v="4.5999999999999996"/>
    <s v="True"/>
    <s v="Damaged"/>
    <n v="1"/>
    <n v="0"/>
    <x v="3"/>
    <n v="0"/>
  </r>
  <r>
    <s v="FB002117"/>
    <x v="3"/>
    <x v="0"/>
    <x v="1"/>
    <s v="XL"/>
    <x v="0"/>
    <x v="5"/>
    <n v="129.9"/>
    <x v="384"/>
    <n v="0.39899999999999997"/>
    <n v="78.069999999999993"/>
    <n v="51.830000000000013"/>
    <d v="2025-08-06T00:00:00"/>
    <x v="1"/>
    <x v="1"/>
    <n v="28"/>
    <n v="1.3"/>
    <s v="Ok"/>
    <n v="1.3"/>
    <s v="False"/>
    <m/>
    <n v="0"/>
    <n v="78.069999999999993"/>
    <x v="0"/>
    <n v="0"/>
  </r>
  <r>
    <s v="FB002118"/>
    <x v="4"/>
    <x v="0"/>
    <x v="0"/>
    <s v="L"/>
    <x v="1"/>
    <x v="7"/>
    <n v="75.78"/>
    <x v="0"/>
    <n v="0"/>
    <n v="75.78"/>
    <n v="0"/>
    <d v="2025-01-28T00:00:00"/>
    <x v="3"/>
    <x v="5"/>
    <n v="12"/>
    <n v="3.6"/>
    <s v="Ok"/>
    <n v="3.6"/>
    <s v="False"/>
    <m/>
    <n v="0"/>
    <n v="75.78"/>
    <x v="0"/>
    <n v="0"/>
  </r>
  <r>
    <s v="FB002119"/>
    <x v="4"/>
    <x v="4"/>
    <x v="1"/>
    <s v="M"/>
    <x v="6"/>
    <x v="7"/>
    <n v="93.41"/>
    <x v="0"/>
    <n v="0"/>
    <n v="93.41"/>
    <n v="0"/>
    <d v="2025-08-06T00:00:00"/>
    <x v="1"/>
    <x v="1"/>
    <n v="4"/>
    <n v="3.2"/>
    <s v="Pocas Unidades"/>
    <n v="3.2"/>
    <s v="True"/>
    <s v="Size Issue"/>
    <n v="1"/>
    <n v="0"/>
    <x v="2"/>
    <n v="0"/>
  </r>
  <r>
    <s v="FB002120"/>
    <x v="1"/>
    <x v="2"/>
    <x v="0"/>
    <s v="L"/>
    <x v="1"/>
    <x v="0"/>
    <n v="66.900000000000006"/>
    <x v="0"/>
    <n v="0"/>
    <n v="66.900000000000006"/>
    <n v="0"/>
    <d v="2025-05-07T00:00:00"/>
    <x v="1"/>
    <x v="8"/>
    <n v="1"/>
    <n v="2.8"/>
    <s v="Pocas Unidades"/>
    <n v="2.8"/>
    <s v="False"/>
    <m/>
    <n v="0"/>
    <n v="66.900000000000006"/>
    <x v="0"/>
    <n v="0"/>
  </r>
  <r>
    <s v="FB002121"/>
    <x v="1"/>
    <x v="3"/>
    <x v="2"/>
    <s v="L"/>
    <x v="1"/>
    <x v="6"/>
    <n v="110.45"/>
    <x v="24"/>
    <n v="6.6000000000000003E-2"/>
    <n v="103.16"/>
    <n v="7.2900000000000063"/>
    <d v="2025-08-06T00:00:00"/>
    <x v="1"/>
    <x v="1"/>
    <n v="6"/>
    <m/>
    <s v="Pocas Unidades"/>
    <s v="No valorado"/>
    <s v="False"/>
    <m/>
    <n v="0"/>
    <n v="103.16"/>
    <x v="0"/>
    <n v="0"/>
  </r>
  <r>
    <s v="FB002122"/>
    <x v="4"/>
    <x v="0"/>
    <x v="2"/>
    <s v="L"/>
    <x v="1"/>
    <x v="4"/>
    <n v="52.73"/>
    <x v="0"/>
    <n v="0"/>
    <n v="52.73"/>
    <n v="0"/>
    <d v="2025-08-06T00:00:00"/>
    <x v="1"/>
    <x v="1"/>
    <n v="10"/>
    <n v="4.5"/>
    <s v="Ok"/>
    <n v="4.5"/>
    <s v="False"/>
    <m/>
    <n v="0"/>
    <n v="52.73"/>
    <x v="0"/>
    <n v="0"/>
  </r>
  <r>
    <s v="FB002123"/>
    <x v="0"/>
    <x v="5"/>
    <x v="2"/>
    <s v="L"/>
    <x v="1"/>
    <x v="5"/>
    <n v="89.13"/>
    <x v="0"/>
    <n v="0"/>
    <n v="89.13"/>
    <n v="0"/>
    <d v="2025-08-06T00:00:00"/>
    <x v="1"/>
    <x v="1"/>
    <n v="17"/>
    <n v="4.0999999999999996"/>
    <s v="Ok"/>
    <n v="4.0999999999999996"/>
    <s v="False"/>
    <m/>
    <n v="0"/>
    <n v="89.13"/>
    <x v="0"/>
    <n v="0"/>
  </r>
  <r>
    <s v="FB002124"/>
    <x v="0"/>
    <x v="2"/>
    <x v="3"/>
    <s v="L"/>
    <x v="1"/>
    <x v="6"/>
    <n v="171.78"/>
    <x v="256"/>
    <n v="0.441"/>
    <n v="96.03"/>
    <n v="75.75"/>
    <d v="2025-08-06T00:00:00"/>
    <x v="1"/>
    <x v="1"/>
    <n v="25"/>
    <m/>
    <s v="Ok"/>
    <s v="No valorado"/>
    <s v="True"/>
    <s v="Color Mismatch"/>
    <n v="1"/>
    <n v="0"/>
    <x v="1"/>
    <n v="0"/>
  </r>
  <r>
    <s v="FB002125"/>
    <x v="3"/>
    <x v="6"/>
    <x v="1"/>
    <s v="M"/>
    <x v="6"/>
    <x v="1"/>
    <n v="129"/>
    <x v="0"/>
    <n v="0"/>
    <n v="129"/>
    <n v="0"/>
    <d v="2025-08-06T00:00:00"/>
    <x v="1"/>
    <x v="1"/>
    <n v="13"/>
    <n v="3.8"/>
    <s v="Ok"/>
    <n v="3.8"/>
    <s v="True"/>
    <s v="Changed Mind"/>
    <n v="1"/>
    <n v="0"/>
    <x v="5"/>
    <n v="0"/>
  </r>
  <r>
    <s v="FB002126"/>
    <x v="3"/>
    <x v="0"/>
    <x v="3"/>
    <s v="XS"/>
    <x v="5"/>
    <x v="10"/>
    <n v="160.59"/>
    <x v="0"/>
    <n v="0"/>
    <n v="160.59"/>
    <n v="0"/>
    <d v="2025-08-06T00:00:00"/>
    <x v="1"/>
    <x v="1"/>
    <n v="8"/>
    <n v="2.9"/>
    <s v="Pocas Unidades"/>
    <n v="2.9"/>
    <s v="False"/>
    <m/>
    <n v="0"/>
    <n v="160.59"/>
    <x v="0"/>
    <n v="0"/>
  </r>
  <r>
    <s v="FB002127"/>
    <x v="1"/>
    <x v="2"/>
    <x v="3"/>
    <s v="L"/>
    <x v="1"/>
    <x v="0"/>
    <n v="56.38"/>
    <x v="0"/>
    <n v="0"/>
    <n v="56.38"/>
    <n v="0"/>
    <d v="2025-08-06T00:00:00"/>
    <x v="1"/>
    <x v="1"/>
    <n v="9"/>
    <m/>
    <s v="Pocas Unidades"/>
    <s v="No valorado"/>
    <s v="False"/>
    <m/>
    <n v="0"/>
    <n v="56.38"/>
    <x v="0"/>
    <n v="0"/>
  </r>
  <r>
    <s v="FB002128"/>
    <x v="0"/>
    <x v="6"/>
    <x v="1"/>
    <s v="L"/>
    <x v="1"/>
    <x v="6"/>
    <n v="109.2"/>
    <x v="453"/>
    <n v="0.26600000000000001"/>
    <n v="80.150000000000006"/>
    <n v="29.049999999999997"/>
    <d v="2025-08-06T00:00:00"/>
    <x v="1"/>
    <x v="1"/>
    <n v="21"/>
    <n v="3.9"/>
    <s v="Ok"/>
    <n v="3.9"/>
    <s v="True"/>
    <s v="Quality Issue"/>
    <n v="1"/>
    <n v="0"/>
    <x v="4"/>
    <n v="0"/>
  </r>
  <r>
    <s v="FB002129"/>
    <x v="2"/>
    <x v="1"/>
    <x v="0"/>
    <m/>
    <x v="2"/>
    <x v="1"/>
    <n v="21.43"/>
    <x v="0"/>
    <n v="0"/>
    <n v="21.43"/>
    <n v="0"/>
    <d v="2025-02-03T00:00:00"/>
    <x v="2"/>
    <x v="9"/>
    <n v="38"/>
    <n v="1.9"/>
    <s v="Ok"/>
    <n v="1.9"/>
    <s v="False"/>
    <m/>
    <n v="0"/>
    <n v="21.43"/>
    <x v="0"/>
    <n v="0"/>
  </r>
  <r>
    <s v="FB002130"/>
    <x v="3"/>
    <x v="4"/>
    <x v="1"/>
    <s v="M"/>
    <x v="6"/>
    <x v="9"/>
    <n v="87.11"/>
    <x v="0"/>
    <n v="0"/>
    <n v="87.11"/>
    <n v="0"/>
    <d v="2025-08-06T00:00:00"/>
    <x v="1"/>
    <x v="1"/>
    <n v="36"/>
    <n v="2.2999999999999998"/>
    <s v="Ok"/>
    <n v="2.2999999999999998"/>
    <s v="False"/>
    <m/>
    <n v="0"/>
    <n v="87.11"/>
    <x v="0"/>
    <n v="0"/>
  </r>
  <r>
    <s v="FB002131"/>
    <x v="2"/>
    <x v="7"/>
    <x v="2"/>
    <m/>
    <x v="2"/>
    <x v="8"/>
    <n v="36.29"/>
    <x v="0"/>
    <n v="0"/>
    <n v="36.29"/>
    <n v="0"/>
    <d v="2025-08-06T00:00:00"/>
    <x v="1"/>
    <x v="1"/>
    <n v="47"/>
    <n v="2.8"/>
    <s v="Ok"/>
    <n v="2.8"/>
    <s v="False"/>
    <m/>
    <n v="0"/>
    <n v="36.29"/>
    <x v="0"/>
    <n v="0"/>
  </r>
  <r>
    <s v="FB002132"/>
    <x v="5"/>
    <x v="4"/>
    <x v="0"/>
    <s v="M"/>
    <x v="6"/>
    <x v="6"/>
    <n v="105.59"/>
    <x v="0"/>
    <n v="0"/>
    <n v="105.59"/>
    <n v="0"/>
    <d v="2025-06-27T00:00:00"/>
    <x v="4"/>
    <x v="7"/>
    <n v="37"/>
    <n v="4.7"/>
    <s v="Ok"/>
    <n v="4.7"/>
    <s v="False"/>
    <m/>
    <n v="0"/>
    <n v="105.59"/>
    <x v="0"/>
    <n v="0"/>
  </r>
  <r>
    <s v="FB002133"/>
    <x v="5"/>
    <x v="0"/>
    <x v="2"/>
    <s v="S"/>
    <x v="3"/>
    <x v="2"/>
    <n v="93.5"/>
    <x v="0"/>
    <n v="0"/>
    <n v="93.5"/>
    <n v="0"/>
    <d v="2025-08-06T00:00:00"/>
    <x v="1"/>
    <x v="1"/>
    <n v="4"/>
    <n v="3.7"/>
    <s v="Pocas Unidades"/>
    <n v="3.7"/>
    <s v="False"/>
    <m/>
    <n v="0"/>
    <n v="93.5"/>
    <x v="0"/>
    <n v="0"/>
  </r>
  <r>
    <s v="FB002134"/>
    <x v="2"/>
    <x v="5"/>
    <x v="1"/>
    <m/>
    <x v="2"/>
    <x v="2"/>
    <n v="41.72"/>
    <x v="29"/>
    <n v="9.5000000000000001E-2"/>
    <n v="37.76"/>
    <n v="3.9600000000000009"/>
    <d v="2025-08-06T00:00:00"/>
    <x v="1"/>
    <x v="1"/>
    <n v="9"/>
    <n v="3.9"/>
    <s v="Pocas Unidades"/>
    <n v="3.9"/>
    <s v="False"/>
    <m/>
    <n v="0"/>
    <n v="37.76"/>
    <x v="0"/>
    <n v="0"/>
  </r>
  <r>
    <s v="FB002135"/>
    <x v="2"/>
    <x v="3"/>
    <x v="3"/>
    <m/>
    <x v="2"/>
    <x v="0"/>
    <n v="74.540000000000006"/>
    <x v="429"/>
    <n v="0.58099999999999996"/>
    <n v="31.23"/>
    <n v="43.31"/>
    <d v="2025-08-06T00:00:00"/>
    <x v="1"/>
    <x v="1"/>
    <n v="35"/>
    <n v="4.8"/>
    <s v="Ok"/>
    <n v="4.8"/>
    <s v="False"/>
    <m/>
    <n v="0"/>
    <n v="31.23"/>
    <x v="0"/>
    <n v="0"/>
  </r>
  <r>
    <s v="FB002136"/>
    <x v="5"/>
    <x v="1"/>
    <x v="0"/>
    <m/>
    <x v="7"/>
    <x v="5"/>
    <n v="85.49"/>
    <x v="0"/>
    <n v="0"/>
    <n v="85.49"/>
    <n v="0"/>
    <d v="2024-12-16T00:00:00"/>
    <x v="2"/>
    <x v="10"/>
    <n v="0"/>
    <n v="3.7"/>
    <s v="Agotado"/>
    <n v="3.7"/>
    <s v="False"/>
    <m/>
    <n v="0"/>
    <n v="85.49"/>
    <x v="0"/>
    <n v="0"/>
  </r>
  <r>
    <s v="FB002137"/>
    <x v="5"/>
    <x v="0"/>
    <x v="3"/>
    <s v="M"/>
    <x v="6"/>
    <x v="6"/>
    <n v="131.05000000000001"/>
    <x v="0"/>
    <n v="0"/>
    <n v="131.05000000000001"/>
    <n v="0"/>
    <d v="2025-08-06T00:00:00"/>
    <x v="1"/>
    <x v="1"/>
    <n v="23"/>
    <n v="4.9000000000000004"/>
    <s v="Ok"/>
    <n v="4.9000000000000004"/>
    <s v="False"/>
    <m/>
    <n v="0"/>
    <n v="131.05000000000001"/>
    <x v="0"/>
    <n v="0"/>
  </r>
  <r>
    <s v="FB002138"/>
    <x v="4"/>
    <x v="7"/>
    <x v="3"/>
    <s v="XL"/>
    <x v="0"/>
    <x v="1"/>
    <n v="63.5"/>
    <x v="0"/>
    <n v="0"/>
    <n v="63.5"/>
    <n v="0"/>
    <d v="2025-08-06T00:00:00"/>
    <x v="1"/>
    <x v="1"/>
    <n v="17"/>
    <n v="2.6"/>
    <s v="Ok"/>
    <n v="2.6"/>
    <s v="False"/>
    <m/>
    <n v="0"/>
    <n v="63.5"/>
    <x v="0"/>
    <n v="0"/>
  </r>
  <r>
    <s v="FB002139"/>
    <x v="1"/>
    <x v="1"/>
    <x v="2"/>
    <s v="M"/>
    <x v="6"/>
    <x v="7"/>
    <n v="75.540000000000006"/>
    <x v="0"/>
    <n v="0"/>
    <n v="75.540000000000006"/>
    <n v="0"/>
    <d v="2025-08-06T00:00:00"/>
    <x v="1"/>
    <x v="1"/>
    <n v="7"/>
    <n v="3.3"/>
    <s v="Pocas Unidades"/>
    <n v="3.3"/>
    <s v="False"/>
    <m/>
    <n v="0"/>
    <n v="75.540000000000006"/>
    <x v="0"/>
    <n v="0"/>
  </r>
  <r>
    <s v="FB002140"/>
    <x v="1"/>
    <x v="3"/>
    <x v="2"/>
    <s v="XXL"/>
    <x v="4"/>
    <x v="7"/>
    <n v="110.77"/>
    <x v="0"/>
    <n v="0"/>
    <n v="110.77"/>
    <n v="0"/>
    <d v="2025-08-06T00:00:00"/>
    <x v="1"/>
    <x v="1"/>
    <n v="48"/>
    <n v="2.6"/>
    <s v="Ok"/>
    <n v="2.6"/>
    <s v="False"/>
    <m/>
    <n v="0"/>
    <n v="110.77"/>
    <x v="0"/>
    <n v="0"/>
  </r>
  <r>
    <s v="FB002141"/>
    <x v="3"/>
    <x v="3"/>
    <x v="3"/>
    <s v="M"/>
    <x v="6"/>
    <x v="3"/>
    <n v="190.71"/>
    <x v="165"/>
    <n v="6.3E-2"/>
    <n v="178.7"/>
    <n v="12.010000000000019"/>
    <d v="2025-08-06T00:00:00"/>
    <x v="1"/>
    <x v="1"/>
    <n v="1"/>
    <n v="2"/>
    <s v="Pocas Unidades"/>
    <n v="2"/>
    <s v="False"/>
    <m/>
    <n v="0"/>
    <n v="178.7"/>
    <x v="0"/>
    <n v="0"/>
  </r>
  <r>
    <s v="FB002142"/>
    <x v="1"/>
    <x v="3"/>
    <x v="2"/>
    <s v="L"/>
    <x v="1"/>
    <x v="3"/>
    <n v="100.56"/>
    <x v="235"/>
    <n v="0.17300000000000001"/>
    <n v="83.16"/>
    <n v="17.400000000000006"/>
    <d v="2025-08-06T00:00:00"/>
    <x v="1"/>
    <x v="1"/>
    <n v="21"/>
    <n v="3.6"/>
    <s v="Ok"/>
    <n v="3.6"/>
    <s v="False"/>
    <m/>
    <n v="0"/>
    <n v="83.16"/>
    <x v="0"/>
    <n v="0"/>
  </r>
  <r>
    <s v="FB002143"/>
    <x v="0"/>
    <x v="7"/>
    <x v="3"/>
    <s v="XXL"/>
    <x v="4"/>
    <x v="1"/>
    <n v="221.59"/>
    <x v="454"/>
    <n v="8.5999999999999993E-2"/>
    <n v="202.53"/>
    <n v="19.060000000000002"/>
    <d v="2025-08-06T00:00:00"/>
    <x v="1"/>
    <x v="1"/>
    <n v="5"/>
    <m/>
    <s v="Pocas Unidades"/>
    <s v="No valorado"/>
    <s v="False"/>
    <m/>
    <n v="0"/>
    <n v="202.53"/>
    <x v="0"/>
    <n v="0"/>
  </r>
  <r>
    <s v="FB002144"/>
    <x v="4"/>
    <x v="6"/>
    <x v="3"/>
    <s v="L"/>
    <x v="1"/>
    <x v="7"/>
    <n v="55.21"/>
    <x v="0"/>
    <n v="0"/>
    <n v="55.21"/>
    <n v="0"/>
    <d v="2025-08-06T00:00:00"/>
    <x v="1"/>
    <x v="1"/>
    <n v="21"/>
    <n v="1.8"/>
    <s v="Ok"/>
    <n v="1.8"/>
    <s v="True"/>
    <s v="Wrong Item"/>
    <n v="1"/>
    <n v="0"/>
    <x v="6"/>
    <n v="0"/>
  </r>
  <r>
    <s v="FB002145"/>
    <x v="2"/>
    <x v="1"/>
    <x v="2"/>
    <m/>
    <x v="2"/>
    <x v="2"/>
    <n v="17.87"/>
    <x v="0"/>
    <n v="0"/>
    <n v="17.87"/>
    <n v="0"/>
    <d v="2025-08-06T00:00:00"/>
    <x v="1"/>
    <x v="1"/>
    <n v="47"/>
    <m/>
    <s v="Ok"/>
    <s v="No valorado"/>
    <s v="False"/>
    <m/>
    <n v="0"/>
    <n v="17.87"/>
    <x v="0"/>
    <n v="0"/>
  </r>
  <r>
    <s v="FB002146"/>
    <x v="4"/>
    <x v="1"/>
    <x v="3"/>
    <s v="XS"/>
    <x v="5"/>
    <x v="1"/>
    <n v="56.57"/>
    <x v="0"/>
    <n v="0"/>
    <n v="56.57"/>
    <n v="0"/>
    <d v="2025-08-06T00:00:00"/>
    <x v="1"/>
    <x v="1"/>
    <n v="43"/>
    <n v="4.4000000000000004"/>
    <s v="Ok"/>
    <n v="4.4000000000000004"/>
    <s v="True"/>
    <s v="Size Issue"/>
    <n v="1"/>
    <n v="0"/>
    <x v="2"/>
    <n v="0"/>
  </r>
  <r>
    <s v="FB002147"/>
    <x v="2"/>
    <x v="6"/>
    <x v="0"/>
    <m/>
    <x v="2"/>
    <x v="9"/>
    <n v="47.74"/>
    <x v="0"/>
    <n v="0"/>
    <n v="47.74"/>
    <n v="0"/>
    <d v="2024-12-25T00:00:00"/>
    <x v="1"/>
    <x v="10"/>
    <n v="17"/>
    <n v="2.9"/>
    <s v="Ok"/>
    <n v="2.9"/>
    <s v="False"/>
    <m/>
    <n v="0"/>
    <n v="47.74"/>
    <x v="0"/>
    <n v="0"/>
  </r>
  <r>
    <s v="FB002148"/>
    <x v="5"/>
    <x v="2"/>
    <x v="2"/>
    <s v="M"/>
    <x v="6"/>
    <x v="8"/>
    <n v="152.88"/>
    <x v="391"/>
    <n v="8.900000000000001E-2"/>
    <n v="139.27000000000001"/>
    <n v="13.609999999999985"/>
    <d v="2025-08-06T00:00:00"/>
    <x v="1"/>
    <x v="1"/>
    <n v="19"/>
    <n v="2.2000000000000002"/>
    <s v="Ok"/>
    <n v="2.2000000000000002"/>
    <s v="False"/>
    <m/>
    <n v="0"/>
    <n v="139.27000000000001"/>
    <x v="0"/>
    <n v="0"/>
  </r>
  <r>
    <s v="FB002149"/>
    <x v="0"/>
    <x v="2"/>
    <x v="1"/>
    <s v="M"/>
    <x v="6"/>
    <x v="7"/>
    <n v="199.61"/>
    <x v="164"/>
    <n v="0.377"/>
    <n v="124.36"/>
    <n v="75.250000000000014"/>
    <d v="2025-08-06T00:00:00"/>
    <x v="1"/>
    <x v="1"/>
    <n v="6"/>
    <m/>
    <s v="Pocas Unidades"/>
    <s v="No valorado"/>
    <s v="False"/>
    <m/>
    <n v="0"/>
    <n v="124.36"/>
    <x v="0"/>
    <n v="0"/>
  </r>
  <r>
    <s v="FB002150"/>
    <x v="2"/>
    <x v="6"/>
    <x v="3"/>
    <m/>
    <x v="2"/>
    <x v="4"/>
    <n v="57.25"/>
    <x v="0"/>
    <n v="0"/>
    <n v="57.25"/>
    <n v="0"/>
    <d v="2025-08-06T00:00:00"/>
    <x v="1"/>
    <x v="1"/>
    <n v="22"/>
    <n v="5"/>
    <s v="Ok"/>
    <n v="5"/>
    <s v="False"/>
    <m/>
    <n v="0"/>
    <n v="57.25"/>
    <x v="0"/>
    <n v="0"/>
  </r>
  <r>
    <s v="FB002151"/>
    <x v="5"/>
    <x v="4"/>
    <x v="2"/>
    <s v="XL"/>
    <x v="0"/>
    <x v="5"/>
    <n v="134.41"/>
    <x v="38"/>
    <n v="0.55299999999999994"/>
    <n v="60.08"/>
    <n v="74.33"/>
    <d v="2025-08-06T00:00:00"/>
    <x v="1"/>
    <x v="1"/>
    <n v="12"/>
    <n v="3.2"/>
    <s v="Ok"/>
    <n v="3.2"/>
    <s v="False"/>
    <m/>
    <n v="0"/>
    <n v="60.08"/>
    <x v="0"/>
    <n v="0"/>
  </r>
  <r>
    <s v="FB002152"/>
    <x v="4"/>
    <x v="5"/>
    <x v="2"/>
    <s v="S"/>
    <x v="3"/>
    <x v="10"/>
    <n v="111.43"/>
    <x v="380"/>
    <n v="0.435"/>
    <n v="62.96"/>
    <n v="48.470000000000006"/>
    <d v="2025-08-06T00:00:00"/>
    <x v="1"/>
    <x v="1"/>
    <n v="22"/>
    <n v="4.8"/>
    <s v="Ok"/>
    <n v="4.8"/>
    <s v="False"/>
    <m/>
    <n v="0"/>
    <n v="62.96"/>
    <x v="0"/>
    <n v="0"/>
  </r>
  <r>
    <s v="FB002153"/>
    <x v="2"/>
    <x v="1"/>
    <x v="0"/>
    <m/>
    <x v="2"/>
    <x v="10"/>
    <n v="15.36"/>
    <x v="117"/>
    <n v="0.36799999999999999"/>
    <n v="9.7100000000000009"/>
    <n v="5.6499999999999986"/>
    <d v="2025-04-29T00:00:00"/>
    <x v="3"/>
    <x v="4"/>
    <n v="46"/>
    <n v="2.2999999999999998"/>
    <s v="Ok"/>
    <n v="2.2999999999999998"/>
    <s v="False"/>
    <m/>
    <n v="0"/>
    <n v="9.7100000000000009"/>
    <x v="0"/>
    <n v="0"/>
  </r>
  <r>
    <s v="FB002154"/>
    <x v="1"/>
    <x v="6"/>
    <x v="2"/>
    <s v="XL"/>
    <x v="0"/>
    <x v="2"/>
    <n v="100.03"/>
    <x v="455"/>
    <n v="0.51800000000000002"/>
    <n v="48.21"/>
    <n v="51.82"/>
    <d v="2025-08-06T00:00:00"/>
    <x v="1"/>
    <x v="1"/>
    <n v="43"/>
    <n v="5"/>
    <s v="Ok"/>
    <n v="5"/>
    <s v="False"/>
    <m/>
    <n v="0"/>
    <n v="48.21"/>
    <x v="0"/>
    <n v="0"/>
  </r>
  <r>
    <s v="FB002155"/>
    <x v="3"/>
    <x v="1"/>
    <x v="3"/>
    <s v="S"/>
    <x v="3"/>
    <x v="2"/>
    <n v="173.75"/>
    <x v="347"/>
    <n v="0.192"/>
    <n v="140.38999999999999"/>
    <n v="33.360000000000014"/>
    <d v="2025-08-06T00:00:00"/>
    <x v="1"/>
    <x v="1"/>
    <n v="38"/>
    <m/>
    <s v="Ok"/>
    <s v="No valorado"/>
    <s v="False"/>
    <m/>
    <n v="0"/>
    <n v="140.38999999999999"/>
    <x v="0"/>
    <n v="0"/>
  </r>
  <r>
    <s v="FB002156"/>
    <x v="4"/>
    <x v="6"/>
    <x v="1"/>
    <s v="XL"/>
    <x v="0"/>
    <x v="6"/>
    <n v="37.979999999999997"/>
    <x v="21"/>
    <n v="0.152"/>
    <n v="32.21"/>
    <n v="5.769999999999996"/>
    <d v="2025-08-06T00:00:00"/>
    <x v="1"/>
    <x v="1"/>
    <n v="25"/>
    <n v="3.6"/>
    <s v="Ok"/>
    <n v="3.6"/>
    <s v="False"/>
    <m/>
    <n v="0"/>
    <n v="32.21"/>
    <x v="0"/>
    <n v="0"/>
  </r>
  <r>
    <s v="FB002157"/>
    <x v="5"/>
    <x v="7"/>
    <x v="3"/>
    <s v="M"/>
    <x v="6"/>
    <x v="2"/>
    <n v="154.11000000000001"/>
    <x v="0"/>
    <n v="0"/>
    <n v="154.11000000000001"/>
    <n v="0"/>
    <d v="2025-08-06T00:00:00"/>
    <x v="1"/>
    <x v="1"/>
    <n v="50"/>
    <n v="3.1"/>
    <s v="Ok"/>
    <n v="3.1"/>
    <s v="False"/>
    <m/>
    <n v="0"/>
    <n v="154.11000000000001"/>
    <x v="0"/>
    <n v="0"/>
  </r>
  <r>
    <s v="FB002158"/>
    <x v="2"/>
    <x v="5"/>
    <x v="0"/>
    <m/>
    <x v="2"/>
    <x v="9"/>
    <n v="69.8"/>
    <x v="456"/>
    <n v="0.46899999999999997"/>
    <n v="37.06"/>
    <n v="32.739999999999995"/>
    <d v="2024-10-21T00:00:00"/>
    <x v="2"/>
    <x v="2"/>
    <n v="26"/>
    <n v="3.8"/>
    <s v="Ok"/>
    <n v="3.8"/>
    <s v="False"/>
    <m/>
    <n v="0"/>
    <n v="37.06"/>
    <x v="0"/>
    <n v="0"/>
  </r>
  <r>
    <s v="FB002159"/>
    <x v="5"/>
    <x v="6"/>
    <x v="1"/>
    <s v="XXL"/>
    <x v="4"/>
    <x v="4"/>
    <n v="171.16"/>
    <x v="0"/>
    <n v="0"/>
    <n v="171.16"/>
    <n v="0"/>
    <d v="2025-08-06T00:00:00"/>
    <x v="1"/>
    <x v="1"/>
    <n v="26"/>
    <n v="4.3"/>
    <s v="Ok"/>
    <n v="4.3"/>
    <s v="False"/>
    <m/>
    <n v="0"/>
    <n v="171.16"/>
    <x v="0"/>
    <n v="0"/>
  </r>
  <r>
    <s v="FB002160"/>
    <x v="0"/>
    <x v="0"/>
    <x v="3"/>
    <s v="XXL"/>
    <x v="4"/>
    <x v="3"/>
    <n v="118.57"/>
    <x v="0"/>
    <n v="0"/>
    <n v="118.57"/>
    <n v="0"/>
    <d v="2025-08-06T00:00:00"/>
    <x v="1"/>
    <x v="1"/>
    <n v="6"/>
    <n v="1.4"/>
    <s v="Pocas Unidades"/>
    <n v="1.4"/>
    <s v="True"/>
    <s v="Quality Issue"/>
    <n v="1"/>
    <n v="0"/>
    <x v="4"/>
    <n v="0"/>
  </r>
  <r>
    <s v="FB002161"/>
    <x v="5"/>
    <x v="3"/>
    <x v="1"/>
    <s v="XXL"/>
    <x v="4"/>
    <x v="1"/>
    <n v="118.46"/>
    <x v="0"/>
    <n v="0"/>
    <n v="118.46"/>
    <n v="0"/>
    <d v="2025-08-06T00:00:00"/>
    <x v="1"/>
    <x v="1"/>
    <n v="40"/>
    <n v="2.2999999999999998"/>
    <s v="Ok"/>
    <n v="2.2999999999999998"/>
    <s v="False"/>
    <m/>
    <n v="0"/>
    <n v="118.46"/>
    <x v="0"/>
    <n v="0"/>
  </r>
  <r>
    <s v="FB002162"/>
    <x v="3"/>
    <x v="0"/>
    <x v="3"/>
    <s v="L"/>
    <x v="1"/>
    <x v="6"/>
    <n v="122.7"/>
    <x v="0"/>
    <n v="0"/>
    <n v="122.7"/>
    <n v="0"/>
    <d v="2025-08-06T00:00:00"/>
    <x v="1"/>
    <x v="1"/>
    <n v="9"/>
    <m/>
    <s v="Pocas Unidades"/>
    <s v="No valorado"/>
    <s v="False"/>
    <m/>
    <n v="0"/>
    <n v="122.7"/>
    <x v="0"/>
    <n v="0"/>
  </r>
  <r>
    <s v="FB002163"/>
    <x v="2"/>
    <x v="6"/>
    <x v="0"/>
    <m/>
    <x v="2"/>
    <x v="2"/>
    <n v="68.2"/>
    <x v="0"/>
    <n v="0"/>
    <n v="68.2"/>
    <n v="0"/>
    <d v="2025-04-05T00:00:00"/>
    <x v="0"/>
    <x v="4"/>
    <n v="2"/>
    <n v="3.8"/>
    <s v="Pocas Unidades"/>
    <n v="3.8"/>
    <s v="False"/>
    <m/>
    <n v="0"/>
    <n v="68.2"/>
    <x v="0"/>
    <n v="0"/>
  </r>
  <r>
    <s v="FB002164"/>
    <x v="3"/>
    <x v="4"/>
    <x v="0"/>
    <s v="XL"/>
    <x v="0"/>
    <x v="3"/>
    <n v="178.56"/>
    <x v="0"/>
    <n v="0"/>
    <n v="178.56"/>
    <n v="0"/>
    <d v="2025-03-16T00:00:00"/>
    <x v="6"/>
    <x v="3"/>
    <n v="46"/>
    <n v="2.6"/>
    <s v="Ok"/>
    <n v="2.6"/>
    <s v="False"/>
    <m/>
    <n v="0"/>
    <n v="178.56"/>
    <x v="0"/>
    <n v="0"/>
  </r>
  <r>
    <s v="FB002165"/>
    <x v="2"/>
    <x v="1"/>
    <x v="3"/>
    <m/>
    <x v="2"/>
    <x v="6"/>
    <n v="30.46"/>
    <x v="457"/>
    <n v="0.314"/>
    <n v="20.9"/>
    <n v="9.5600000000000023"/>
    <d v="2025-08-06T00:00:00"/>
    <x v="1"/>
    <x v="1"/>
    <n v="40"/>
    <n v="2.4"/>
    <s v="Ok"/>
    <n v="2.4"/>
    <s v="False"/>
    <m/>
    <n v="0"/>
    <n v="20.9"/>
    <x v="0"/>
    <n v="0"/>
  </r>
  <r>
    <s v="FB002166"/>
    <x v="2"/>
    <x v="2"/>
    <x v="3"/>
    <m/>
    <x v="2"/>
    <x v="2"/>
    <n v="76.08"/>
    <x v="0"/>
    <n v="0"/>
    <n v="76.08"/>
    <n v="0"/>
    <d v="2025-08-06T00:00:00"/>
    <x v="1"/>
    <x v="1"/>
    <n v="6"/>
    <n v="4.9000000000000004"/>
    <s v="Pocas Unidades"/>
    <n v="4.9000000000000004"/>
    <s v="False"/>
    <m/>
    <n v="0"/>
    <n v="76.08"/>
    <x v="0"/>
    <n v="0"/>
  </r>
  <r>
    <s v="FB002167"/>
    <x v="3"/>
    <x v="2"/>
    <x v="1"/>
    <s v="M"/>
    <x v="6"/>
    <x v="10"/>
    <n v="116.15"/>
    <x v="303"/>
    <n v="0.16500000000000001"/>
    <n v="96.99"/>
    <n v="19.160000000000011"/>
    <d v="2025-08-06T00:00:00"/>
    <x v="1"/>
    <x v="1"/>
    <n v="11"/>
    <n v="3"/>
    <s v="Ok"/>
    <n v="3"/>
    <s v="False"/>
    <m/>
    <n v="0"/>
    <n v="96.99"/>
    <x v="0"/>
    <n v="0"/>
  </r>
  <r>
    <s v="FB002168"/>
    <x v="3"/>
    <x v="4"/>
    <x v="1"/>
    <s v="XS"/>
    <x v="5"/>
    <x v="3"/>
    <n v="98.22"/>
    <x v="0"/>
    <n v="0"/>
    <n v="98.22"/>
    <n v="0"/>
    <d v="2025-08-06T00:00:00"/>
    <x v="1"/>
    <x v="1"/>
    <n v="27"/>
    <n v="3.3"/>
    <s v="Ok"/>
    <n v="3.3"/>
    <s v="False"/>
    <m/>
    <n v="0"/>
    <n v="98.22"/>
    <x v="0"/>
    <n v="0"/>
  </r>
  <r>
    <s v="FB002169"/>
    <x v="3"/>
    <x v="5"/>
    <x v="1"/>
    <m/>
    <x v="7"/>
    <x v="7"/>
    <n v="66.58"/>
    <x v="0"/>
    <n v="0"/>
    <n v="66.58"/>
    <n v="0"/>
    <d v="2025-08-06T00:00:00"/>
    <x v="1"/>
    <x v="1"/>
    <n v="45"/>
    <n v="3.4"/>
    <s v="Ok"/>
    <n v="3.4"/>
    <s v="False"/>
    <m/>
    <n v="0"/>
    <n v="66.58"/>
    <x v="0"/>
    <n v="0"/>
  </r>
  <r>
    <s v="FB002170"/>
    <x v="2"/>
    <x v="1"/>
    <x v="0"/>
    <m/>
    <x v="2"/>
    <x v="7"/>
    <n v="69.22"/>
    <x v="0"/>
    <n v="0"/>
    <n v="69.22"/>
    <n v="0"/>
    <d v="2024-09-05T00:00:00"/>
    <x v="5"/>
    <x v="6"/>
    <n v="42"/>
    <n v="3.8"/>
    <s v="Ok"/>
    <n v="3.8"/>
    <s v="False"/>
    <m/>
    <n v="0"/>
    <n v="69.22"/>
    <x v="0"/>
    <n v="0"/>
  </r>
  <r>
    <s v="FB002171"/>
    <x v="1"/>
    <x v="1"/>
    <x v="1"/>
    <s v="XL"/>
    <x v="0"/>
    <x v="2"/>
    <n v="85.01"/>
    <x v="0"/>
    <n v="0"/>
    <n v="85.01"/>
    <n v="0"/>
    <d v="2025-08-06T00:00:00"/>
    <x v="1"/>
    <x v="1"/>
    <n v="39"/>
    <n v="4.3"/>
    <s v="Ok"/>
    <n v="4.3"/>
    <s v="False"/>
    <m/>
    <n v="0"/>
    <n v="85.01"/>
    <x v="0"/>
    <n v="0"/>
  </r>
  <r>
    <s v="FB002172"/>
    <x v="1"/>
    <x v="3"/>
    <x v="3"/>
    <s v="XL"/>
    <x v="0"/>
    <x v="2"/>
    <n v="31.41"/>
    <x v="0"/>
    <n v="0"/>
    <n v="31.41"/>
    <n v="0"/>
    <d v="2025-08-06T00:00:00"/>
    <x v="1"/>
    <x v="1"/>
    <n v="10"/>
    <n v="2.1"/>
    <s v="Ok"/>
    <n v="2.1"/>
    <s v="False"/>
    <m/>
    <n v="0"/>
    <n v="31.41"/>
    <x v="0"/>
    <n v="0"/>
  </r>
  <r>
    <s v="FB002173"/>
    <x v="5"/>
    <x v="2"/>
    <x v="1"/>
    <s v="L"/>
    <x v="1"/>
    <x v="10"/>
    <n v="50.58"/>
    <x v="0"/>
    <n v="0"/>
    <n v="50.58"/>
    <n v="0"/>
    <d v="2025-08-06T00:00:00"/>
    <x v="1"/>
    <x v="1"/>
    <n v="1"/>
    <n v="3.1"/>
    <s v="Pocas Unidades"/>
    <n v="3.1"/>
    <s v="True"/>
    <s v="Changed Mind"/>
    <n v="1"/>
    <n v="0"/>
    <x v="5"/>
    <n v="0"/>
  </r>
  <r>
    <s v="FB002174"/>
    <x v="2"/>
    <x v="2"/>
    <x v="1"/>
    <m/>
    <x v="2"/>
    <x v="7"/>
    <n v="79.37"/>
    <x v="86"/>
    <n v="0.54799999999999993"/>
    <n v="35.880000000000003"/>
    <n v="43.49"/>
    <d v="2025-08-06T00:00:00"/>
    <x v="1"/>
    <x v="1"/>
    <n v="40"/>
    <n v="2.6"/>
    <s v="Ok"/>
    <n v="2.6"/>
    <s v="False"/>
    <m/>
    <n v="0"/>
    <n v="35.880000000000003"/>
    <x v="0"/>
    <n v="0"/>
  </r>
  <r>
    <s v="FB002175"/>
    <x v="4"/>
    <x v="5"/>
    <x v="3"/>
    <s v="XL"/>
    <x v="0"/>
    <x v="1"/>
    <n v="105.52"/>
    <x v="0"/>
    <n v="0"/>
    <n v="105.52"/>
    <n v="0"/>
    <d v="2025-08-06T00:00:00"/>
    <x v="1"/>
    <x v="1"/>
    <n v="20"/>
    <n v="4.9000000000000004"/>
    <s v="Ok"/>
    <n v="4.9000000000000004"/>
    <s v="True"/>
    <s v="Size Issue"/>
    <n v="1"/>
    <n v="0"/>
    <x v="2"/>
    <n v="0"/>
  </r>
  <r>
    <s v="FB002176"/>
    <x v="3"/>
    <x v="5"/>
    <x v="3"/>
    <s v="XXL"/>
    <x v="4"/>
    <x v="3"/>
    <n v="154.02000000000001"/>
    <x v="0"/>
    <n v="0"/>
    <n v="154.02000000000001"/>
    <n v="0"/>
    <d v="2025-08-06T00:00:00"/>
    <x v="1"/>
    <x v="1"/>
    <n v="23"/>
    <n v="1.3"/>
    <s v="Ok"/>
    <n v="1.3"/>
    <s v="False"/>
    <m/>
    <n v="0"/>
    <n v="154.02000000000001"/>
    <x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3BC727-98FA-4ADE-A732-B7CEEEB583EB}" name="ventas_categoria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26:C33" firstHeaderRow="1" firstDataRow="1" firstDataCol="1"/>
  <pivotFields count="25">
    <pivotField dataField="1" showAll="0"/>
    <pivotField axis="axisRow" showAll="0">
      <items count="7">
        <item x="5"/>
        <item x="0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Ventas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B469A5-0842-480A-B2BB-A070378F26EB}" name="ventas_razóndevol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J107:K114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dataField="1" showAll="0"/>
    <pivotField showAll="0"/>
    <pivotField axis="axisRow" showAll="0" sortType="descending">
      <items count="8">
        <item x="6"/>
        <item x="2"/>
        <item x="4"/>
        <item h="1" x="0"/>
        <item x="3"/>
        <item x="1"/>
        <item x="5"/>
        <item t="default"/>
      </items>
    </pivotField>
    <pivotField showAll="0"/>
  </pivotFields>
  <rowFields count="1">
    <field x="23"/>
  </rowFields>
  <rowItems count="7">
    <i>
      <x/>
    </i>
    <i>
      <x v="1"/>
    </i>
    <i>
      <x v="2"/>
    </i>
    <i>
      <x v="4"/>
    </i>
    <i>
      <x v="5"/>
    </i>
    <i>
      <x v="6"/>
    </i>
    <i t="grand">
      <x/>
    </i>
  </rowItems>
  <colItems count="1">
    <i/>
  </colItems>
  <dataFields count="1">
    <dataField name="Número_Devoluciones" fld="21" baseField="0" baseItem="0"/>
  </dataFields>
  <chartFormats count="7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0" format="19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3C2444-54DA-43BB-9CC1-606A13A5A5CD}" name="ventas_mes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83:C96" firstHeaderRow="1" firstDataRow="1" firstDataCol="1"/>
  <pivotFields count="25">
    <pivotField dataField="1"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axis="axisRow" showAll="0">
      <items count="13">
        <item x="5"/>
        <item x="9"/>
        <item x="3"/>
        <item x="4"/>
        <item x="8"/>
        <item x="7"/>
        <item x="0"/>
        <item x="1"/>
        <item x="6"/>
        <item x="2"/>
        <item x="11"/>
        <item x="10"/>
        <item t="default"/>
      </items>
    </pivotField>
    <pivotField numFmtId="1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Venta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CFF391-CB3B-40C7-A700-DA876C33E9A1}" name="Ingresos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2:F3" firstHeaderRow="1" firstDataRow="1" firstDataCol="0"/>
  <pivotFields count="25"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dataField="1" showAll="0"/>
    <pivotField showAll="0"/>
    <pivotField showAll="0"/>
  </pivotFields>
  <rowItems count="1">
    <i/>
  </rowItems>
  <colItems count="1">
    <i/>
  </colItems>
  <dataFields count="1">
    <dataField name="Ingresos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4D4782-6017-4825-9252-2612A37971C4}" name="ventas_dia_semana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83:G91" firstHeaderRow="1" firstDataRow="1" firstDataCol="1"/>
  <pivotFields count="25">
    <pivotField dataField="1"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axis="axisRow" showAll="0">
      <items count="8">
        <item x="2"/>
        <item x="3"/>
        <item x="1"/>
        <item x="5"/>
        <item x="4"/>
        <item x="0"/>
        <item x="6"/>
        <item t="default"/>
      </items>
    </pivotField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Venta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6D43AD-AD7F-4ED3-B237-B1154125A4E3}" name="ingresos_season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F44:G49" firstHeaderRow="1" firstDataRow="1" firstDataCol="1"/>
  <pivotFields count="25">
    <pivotField showAll="0"/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Ingresos" fld="22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2912A9-7AAE-4DFD-B3D7-1EC8149D2710}" name="ventas_season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44:C49" firstHeaderRow="1" firstDataRow="1" firstDataCol="1"/>
  <pivotFields count="25">
    <pivotField dataField="1" showAll="0"/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Ventas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69648E-FFD5-48AB-BBF8-8B7EB95F1B82}" name="ingresos_categoria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F26:G33" firstHeaderRow="1" firstDataRow="1" firstDataCol="1"/>
  <pivotFields count="25">
    <pivotField showAll="0"/>
    <pivotField axis="axisRow" showAll="0">
      <items count="7">
        <item x="2"/>
        <item x="4"/>
        <item x="1"/>
        <item x="5"/>
        <item x="3"/>
        <item x="0"/>
        <item t="default"/>
      </items>
    </pivotField>
    <pivotField showAll="0"/>
    <pivotField showAll="0"/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Ingresos" fld="22" baseField="1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205689-ECBB-43C7-845F-D1ACC338B95B}" name="TablaDinámica48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J2:J3" firstHeaderRow="1" firstDataRow="1" firstDataCol="0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Items count="1">
    <i/>
  </rowItems>
  <colItems count="1">
    <i/>
  </colItems>
  <dataFields count="1">
    <dataField name="Ticket Promedio" fld="22" subtotal="average" baseField="0" baseItem="0" numFmtId="2"/>
  </dataFields>
  <formats count="1">
    <format dxfId="4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B7C9FA-0CA3-47C3-8F69-437AE0C06418}" name="ingresos_color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F60:G66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axis="axisRow" showAll="0" measureFilter="1">
      <items count="12">
        <item x="7"/>
        <item x="2"/>
        <item x="5"/>
        <item x="10"/>
        <item x="4"/>
        <item x="6"/>
        <item x="8"/>
        <item x="1"/>
        <item x="9"/>
        <item x="0"/>
        <item x="3"/>
        <item t="default"/>
      </items>
    </pivotField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dataField="1" showAll="0"/>
    <pivotField showAll="0"/>
    <pivotField showAll="0"/>
  </pivotFields>
  <rowFields count="1">
    <field x="6"/>
  </rowFields>
  <rowItems count="6">
    <i>
      <x v="1"/>
    </i>
    <i>
      <x v="5"/>
    </i>
    <i>
      <x v="7"/>
    </i>
    <i>
      <x v="9"/>
    </i>
    <i>
      <x v="10"/>
    </i>
    <i t="grand">
      <x/>
    </i>
  </rowItems>
  <colItems count="1">
    <i/>
  </colItems>
  <dataFields count="1">
    <dataField name="Ingresos" fld="22" baseField="0" baseItem="0"/>
  </dataFields>
  <formats count="1">
    <format dxfId="42">
      <pivotArea collapsedLevelsAreSubtotals="1" fieldPosition="0">
        <references count="1">
          <reference field="6" count="1">
            <x v="1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6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976B8C-BA90-432B-9336-060C8BB1AB8B}" name="marca_prom_desc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B167:C176" firstHeaderRow="1" firstDataRow="1" firstDataCol="1" rowPageCount="1" colPageCount="1"/>
  <pivotFields count="25">
    <pivotField showAll="0"/>
    <pivotField showAll="0"/>
    <pivotField axis="axisRow" showAll="0">
      <items count="9">
        <item x="5"/>
        <item x="2"/>
        <item x="7"/>
        <item x="6"/>
        <item x="4"/>
        <item x="3"/>
        <item x="1"/>
        <item x="0"/>
        <item t="default"/>
      </items>
    </pivotField>
    <pivotField showAll="0"/>
    <pivotField showAll="0"/>
    <pivotField showAll="0"/>
    <pivotField showAll="0"/>
    <pivotField numFmtId="2" showAll="0"/>
    <pivotField axis="axisPage" dataField="1" multipleItemSelectionAllowed="1" showAll="0">
      <items count="459">
        <item h="1" x="0"/>
        <item x="157"/>
        <item x="100"/>
        <item x="210"/>
        <item x="395"/>
        <item x="243"/>
        <item x="126"/>
        <item x="363"/>
        <item x="25"/>
        <item x="255"/>
        <item x="376"/>
        <item x="87"/>
        <item x="227"/>
        <item x="66"/>
        <item x="370"/>
        <item x="202"/>
        <item x="27"/>
        <item x="381"/>
        <item x="23"/>
        <item x="428"/>
        <item x="325"/>
        <item x="44"/>
        <item x="326"/>
        <item x="439"/>
        <item x="150"/>
        <item x="143"/>
        <item x="356"/>
        <item x="403"/>
        <item x="353"/>
        <item x="70"/>
        <item x="127"/>
        <item x="97"/>
        <item x="367"/>
        <item x="405"/>
        <item x="389"/>
        <item x="320"/>
        <item x="399"/>
        <item x="383"/>
        <item x="108"/>
        <item x="284"/>
        <item x="12"/>
        <item x="450"/>
        <item x="170"/>
        <item x="225"/>
        <item x="424"/>
        <item x="375"/>
        <item x="165"/>
        <item x="40"/>
        <item x="24"/>
        <item x="421"/>
        <item x="317"/>
        <item x="72"/>
        <item x="398"/>
        <item x="31"/>
        <item x="113"/>
        <item x="311"/>
        <item x="449"/>
        <item x="404"/>
        <item x="216"/>
        <item x="344"/>
        <item x="302"/>
        <item x="263"/>
        <item x="333"/>
        <item x="327"/>
        <item x="454"/>
        <item x="248"/>
        <item x="83"/>
        <item x="391"/>
        <item x="111"/>
        <item x="99"/>
        <item x="339"/>
        <item x="29"/>
        <item x="226"/>
        <item x="427"/>
        <item x="337"/>
        <item x="160"/>
        <item x="438"/>
        <item x="308"/>
        <item x="102"/>
        <item x="390"/>
        <item x="260"/>
        <item x="197"/>
        <item x="357"/>
        <item x="116"/>
        <item x="5"/>
        <item x="204"/>
        <item x="122"/>
        <item x="305"/>
        <item x="196"/>
        <item x="61"/>
        <item x="148"/>
        <item x="158"/>
        <item x="37"/>
        <item x="393"/>
        <item x="298"/>
        <item x="267"/>
        <item x="73"/>
        <item x="194"/>
        <item x="348"/>
        <item x="211"/>
        <item x="241"/>
        <item x="4"/>
        <item x="278"/>
        <item x="74"/>
        <item x="280"/>
        <item x="328"/>
        <item x="192"/>
        <item x="245"/>
        <item x="207"/>
        <item x="186"/>
        <item x="105"/>
        <item x="14"/>
        <item x="416"/>
        <item x="435"/>
        <item x="452"/>
        <item x="94"/>
        <item x="312"/>
        <item x="369"/>
        <item x="373"/>
        <item x="336"/>
        <item x="21"/>
        <item x="151"/>
        <item x="223"/>
        <item x="57"/>
        <item x="268"/>
        <item x="246"/>
        <item x="115"/>
        <item x="130"/>
        <item x="303"/>
        <item x="189"/>
        <item x="84"/>
        <item x="257"/>
        <item x="283"/>
        <item x="80"/>
        <item x="235"/>
        <item x="413"/>
        <item x="315"/>
        <item x="252"/>
        <item x="96"/>
        <item x="26"/>
        <item x="306"/>
        <item x="195"/>
        <item x="85"/>
        <item x="251"/>
        <item x="440"/>
        <item x="183"/>
        <item x="282"/>
        <item x="35"/>
        <item x="347"/>
        <item x="45"/>
        <item x="346"/>
        <item x="217"/>
        <item x="30"/>
        <item x="274"/>
        <item x="67"/>
        <item x="340"/>
        <item x="134"/>
        <item x="378"/>
        <item x="247"/>
        <item x="149"/>
        <item x="239"/>
        <item x="445"/>
        <item x="331"/>
        <item x="338"/>
        <item x="65"/>
        <item x="53"/>
        <item x="324"/>
        <item x="28"/>
        <item x="7"/>
        <item x="178"/>
        <item x="3"/>
        <item x="446"/>
        <item x="89"/>
        <item x="34"/>
        <item x="36"/>
        <item x="264"/>
        <item x="343"/>
        <item x="103"/>
        <item x="254"/>
        <item x="361"/>
        <item x="341"/>
        <item x="354"/>
        <item x="286"/>
        <item x="272"/>
        <item x="81"/>
        <item x="441"/>
        <item x="407"/>
        <item x="296"/>
        <item x="106"/>
        <item x="11"/>
        <item x="444"/>
        <item x="335"/>
        <item x="414"/>
        <item x="365"/>
        <item x="58"/>
        <item x="50"/>
        <item x="349"/>
        <item x="371"/>
        <item x="228"/>
        <item x="430"/>
        <item x="114"/>
        <item x="330"/>
        <item x="22"/>
        <item x="208"/>
        <item x="442"/>
        <item x="453"/>
        <item x="316"/>
        <item x="144"/>
        <item x="54"/>
        <item x="406"/>
        <item x="230"/>
        <item x="350"/>
        <item x="410"/>
        <item x="163"/>
        <item x="351"/>
        <item x="136"/>
        <item x="138"/>
        <item x="190"/>
        <item x="433"/>
        <item x="387"/>
        <item x="63"/>
        <item x="181"/>
        <item x="275"/>
        <item x="132"/>
        <item x="289"/>
        <item x="420"/>
        <item x="294"/>
        <item x="8"/>
        <item x="128"/>
        <item x="434"/>
        <item x="62"/>
        <item x="120"/>
        <item x="418"/>
        <item x="379"/>
        <item x="362"/>
        <item x="162"/>
        <item x="16"/>
        <item x="374"/>
        <item x="447"/>
        <item x="244"/>
        <item x="352"/>
        <item x="261"/>
        <item x="437"/>
        <item x="457"/>
        <item x="359"/>
        <item x="155"/>
        <item x="171"/>
        <item x="147"/>
        <item x="318"/>
        <item x="250"/>
        <item x="180"/>
        <item x="185"/>
        <item x="436"/>
        <item x="262"/>
        <item x="79"/>
        <item x="167"/>
        <item x="193"/>
        <item x="191"/>
        <item x="49"/>
        <item x="9"/>
        <item x="358"/>
        <item x="290"/>
        <item x="394"/>
        <item x="182"/>
        <item x="295"/>
        <item x="409"/>
        <item x="215"/>
        <item x="425"/>
        <item x="364"/>
        <item x="110"/>
        <item x="233"/>
        <item x="1"/>
        <item x="224"/>
        <item x="145"/>
        <item x="218"/>
        <item x="71"/>
        <item x="10"/>
        <item x="82"/>
        <item x="203"/>
        <item x="240"/>
        <item x="176"/>
        <item x="117"/>
        <item x="123"/>
        <item x="273"/>
        <item x="101"/>
        <item x="237"/>
        <item x="133"/>
        <item x="164"/>
        <item x="269"/>
        <item x="385"/>
        <item x="249"/>
        <item x="169"/>
        <item x="293"/>
        <item x="397"/>
        <item x="448"/>
        <item x="299"/>
        <item x="168"/>
        <item x="177"/>
        <item x="277"/>
        <item x="411"/>
        <item x="68"/>
        <item x="104"/>
        <item x="220"/>
        <item x="69"/>
        <item x="384"/>
        <item x="39"/>
        <item x="419"/>
        <item x="291"/>
        <item x="400"/>
        <item x="199"/>
        <item x="188"/>
        <item x="64"/>
        <item x="124"/>
        <item x="140"/>
        <item x="319"/>
        <item x="360"/>
        <item x="279"/>
        <item x="301"/>
        <item x="412"/>
        <item x="90"/>
        <item x="329"/>
        <item x="285"/>
        <item x="109"/>
        <item x="173"/>
        <item x="76"/>
        <item x="139"/>
        <item x="238"/>
        <item x="423"/>
        <item x="401"/>
        <item x="88"/>
        <item x="377"/>
        <item x="380"/>
        <item x="368"/>
        <item x="219"/>
        <item x="174"/>
        <item x="366"/>
        <item x="256"/>
        <item x="258"/>
        <item x="146"/>
        <item x="98"/>
        <item x="201"/>
        <item x="259"/>
        <item x="184"/>
        <item x="200"/>
        <item x="56"/>
        <item x="214"/>
        <item x="231"/>
        <item x="135"/>
        <item x="51"/>
        <item x="60"/>
        <item x="382"/>
        <item x="198"/>
        <item x="213"/>
        <item x="119"/>
        <item x="129"/>
        <item x="141"/>
        <item x="456"/>
        <item x="313"/>
        <item x="187"/>
        <item x="386"/>
        <item x="288"/>
        <item x="297"/>
        <item x="91"/>
        <item x="292"/>
        <item x="13"/>
        <item x="33"/>
        <item x="417"/>
        <item x="175"/>
        <item x="422"/>
        <item x="281"/>
        <item x="426"/>
        <item x="321"/>
        <item x="95"/>
        <item x="396"/>
        <item x="266"/>
        <item x="179"/>
        <item x="41"/>
        <item x="137"/>
        <item x="310"/>
        <item x="355"/>
        <item x="372"/>
        <item x="48"/>
        <item x="270"/>
        <item x="118"/>
        <item x="323"/>
        <item x="107"/>
        <item x="92"/>
        <item x="156"/>
        <item x="232"/>
        <item x="20"/>
        <item x="451"/>
        <item x="172"/>
        <item x="15"/>
        <item x="52"/>
        <item x="345"/>
        <item x="75"/>
        <item x="455"/>
        <item x="205"/>
        <item x="212"/>
        <item x="121"/>
        <item x="388"/>
        <item x="42"/>
        <item x="332"/>
        <item x="229"/>
        <item x="154"/>
        <item x="166"/>
        <item x="271"/>
        <item x="236"/>
        <item x="402"/>
        <item x="253"/>
        <item x="17"/>
        <item x="125"/>
        <item x="161"/>
        <item x="314"/>
        <item x="159"/>
        <item x="2"/>
        <item x="93"/>
        <item x="392"/>
        <item x="86"/>
        <item x="221"/>
        <item x="153"/>
        <item x="32"/>
        <item x="38"/>
        <item x="300"/>
        <item x="309"/>
        <item x="443"/>
        <item x="18"/>
        <item x="415"/>
        <item x="78"/>
        <item x="304"/>
        <item x="43"/>
        <item x="131"/>
        <item x="287"/>
        <item x="142"/>
        <item x="334"/>
        <item x="222"/>
        <item x="19"/>
        <item x="59"/>
        <item x="112"/>
        <item x="77"/>
        <item x="265"/>
        <item x="307"/>
        <item x="342"/>
        <item x="429"/>
        <item x="46"/>
        <item x="209"/>
        <item x="242"/>
        <item x="6"/>
        <item x="206"/>
        <item x="431"/>
        <item x="55"/>
        <item x="276"/>
        <item x="432"/>
        <item x="152"/>
        <item x="47"/>
        <item x="408"/>
        <item x="322"/>
        <item x="234"/>
        <item t="default"/>
      </items>
    </pivotField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8" hier="-1"/>
  </pageFields>
  <dataFields count="1">
    <dataField name="Promedio_Porcentaje_Descuento" fld="8" subtotal="average" baseField="2" baseItem="2" numFmtId="166"/>
  </dataFields>
  <formats count="4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collapsedLevelsAreSubtotals="1" fieldPosition="0">
        <references count="1">
          <reference field="2" count="0"/>
        </references>
      </pivotArea>
    </format>
    <format dxfId="43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4479F7-A50F-4670-8004-CF1F75F1858A}" name="marca_cantidad_desc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B127:C136" firstHeaderRow="1" firstDataRow="1" firstDataCol="1"/>
  <pivotFields count="25">
    <pivotField showAll="0"/>
    <pivotField showAll="0"/>
    <pivotField axis="axisRow" showAll="0">
      <items count="9">
        <item x="5"/>
        <item x="2"/>
        <item x="7"/>
        <item x="6"/>
        <item x="4"/>
        <item x="3"/>
        <item x="1"/>
        <item x="0"/>
        <item t="default"/>
      </items>
    </pivotField>
    <pivotField showAll="0"/>
    <pivotField showAll="0"/>
    <pivotField showAll="0"/>
    <pivotField showAll="0"/>
    <pivotField numFmtId="2" showAll="0"/>
    <pivotField showAll="0"/>
    <pivotField numFmtId="165" showAll="0"/>
    <pivotField numFmtId="2" showAll="0"/>
    <pivotField dataField="1"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a de Cantidad_Descuento" fld="11" baseField="0" baseItem="0" numFmtId="2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16299D-789B-4CAE-B9E2-FC2C8569397D}" name="Ventas_marca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B6:C15" firstHeaderRow="1" firstDataRow="1" firstDataCol="1"/>
  <pivotFields count="25">
    <pivotField dataField="1" showAll="0"/>
    <pivotField showAll="0"/>
    <pivotField axis="axisRow" showAll="0">
      <items count="9">
        <item x="5"/>
        <item x="2"/>
        <item x="7"/>
        <item x="6"/>
        <item x="4"/>
        <item x="3"/>
        <item x="1"/>
        <item x="0"/>
        <item t="default"/>
      </items>
    </pivotField>
    <pivotField showAll="0"/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Ventas" fld="0" subtotal="count" baseField="2" baseItem="1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3EACA0-CC32-4BC4-8A42-800FEF79D063}" name="Ventas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25">
    <pivotField dataField="1"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Venta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41A224-CDD0-49BF-85D4-C74A8E6AAAF2}" name="Marca_promedio_valoracion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B107:C116" firstHeaderRow="1" firstDataRow="1" firstDataCol="1"/>
  <pivotFields count="25">
    <pivotField showAll="0"/>
    <pivotField showAll="0"/>
    <pivotField axis="axisRow" showAll="0">
      <items count="9">
        <item x="5"/>
        <item x="2"/>
        <item x="7"/>
        <item x="6"/>
        <item x="4"/>
        <item x="3"/>
        <item x="1"/>
        <item x="0"/>
        <item t="default"/>
      </items>
    </pivotField>
    <pivotField showAll="0"/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dataField="1" showAll="0"/>
    <pivotField showAll="0"/>
    <pivotField numFmtId="164"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_Valoracion" fld="16" subtotal="average" baseField="2" baseItem="0" numFmtId="2"/>
  </dataFields>
  <formats count="1">
    <format dxfId="4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893014-4EF0-4719-AA49-947CC1B82219}" name="Ingresos_marca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F6:G15" firstHeaderRow="1" firstDataRow="1" firstDataCol="1"/>
  <pivotFields count="25">
    <pivotField showAll="0"/>
    <pivotField showAll="0"/>
    <pivotField axis="axisRow" showAll="0">
      <items count="9">
        <item x="5"/>
        <item x="2"/>
        <item x="7"/>
        <item x="6"/>
        <item x="4"/>
        <item x="3"/>
        <item x="1"/>
        <item x="0"/>
        <item t="default"/>
      </items>
    </pivotField>
    <pivotField showAll="0"/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Ingresos" fld="22" baseField="0" baseItem="0"/>
  </dataFields>
  <formats count="1">
    <format dxfId="48">
      <pivotArea collapsedLevelsAreSubtotals="1" fieldPosition="0">
        <references count="1">
          <reference field="2" count="1">
            <x v="7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BA8270-F594-4C74-A08F-E2902E2F37B5}" name="TablaDinámica54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2:H3" firstHeaderRow="1" firstDataRow="1" firstDataCol="0"/>
  <pivotFields count="25"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dataField="1" showAll="0"/>
    <pivotField showAll="0"/>
    <pivotField showAll="0"/>
    <pivotField showAll="0"/>
  </pivotFields>
  <rowItems count="1">
    <i/>
  </rowItems>
  <colItems count="1">
    <i/>
  </colItems>
  <dataFields count="1">
    <dataField name="Tasa de Devolución" fld="21" subtotal="average" baseField="0" baseItem="1" numFmtId="10"/>
  </dataFields>
  <formats count="1">
    <format dxfId="4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626BEA-ED99-4378-99A9-814A7BDBC15C}" name="ventas_color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B60:C66" firstHeaderRow="1" firstDataRow="1" firstDataCol="1"/>
  <pivotFields count="25">
    <pivotField dataField="1" showAll="0"/>
    <pivotField showAll="0"/>
    <pivotField showAll="0"/>
    <pivotField showAll="0"/>
    <pivotField showAll="0"/>
    <pivotField showAll="0"/>
    <pivotField axis="axisRow" showAll="0" measureFilter="1">
      <items count="12">
        <item x="7"/>
        <item x="2"/>
        <item x="5"/>
        <item x="10"/>
        <item x="4"/>
        <item x="6"/>
        <item x="8"/>
        <item x="1"/>
        <item x="9"/>
        <item x="0"/>
        <item x="3"/>
        <item t="default"/>
      </items>
    </pivotField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6">
    <i>
      <x v="1"/>
    </i>
    <i>
      <x v="5"/>
    </i>
    <i>
      <x v="7"/>
    </i>
    <i>
      <x v="9"/>
    </i>
    <i>
      <x v="10"/>
    </i>
    <i t="grand">
      <x/>
    </i>
  </rowItems>
  <colItems count="1">
    <i/>
  </colItems>
  <dataFields count="1">
    <dataField name="Ventas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6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0AABEC-9CCE-4CEE-B293-FBF32CF8D295}" name="marca_ndevoluciones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F107:G116" firstHeaderRow="1" firstDataRow="1" firstDataCol="1"/>
  <pivotFields count="25">
    <pivotField showAll="0"/>
    <pivotField showAll="0"/>
    <pivotField axis="axisRow" showAll="0">
      <items count="9">
        <item x="5"/>
        <item x="2"/>
        <item x="7"/>
        <item x="6"/>
        <item x="4"/>
        <item x="3"/>
        <item x="1"/>
        <item x="0"/>
        <item t="default"/>
      </items>
    </pivotField>
    <pivotField showAll="0"/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dataField="1" showAll="0"/>
    <pivotField showAll="0"/>
    <pivotField showAll="0"/>
    <pivotField showAll="0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Número_Devoluciones" fld="2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9FA5D1-6A34-478B-B117-74287D373375}" name="ventas_size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B147:C156" firstHeaderRow="1" firstDataRow="1" firstDataCol="1"/>
  <pivotFields count="25">
    <pivotField dataField="1" showAll="0"/>
    <pivotField showAll="0"/>
    <pivotField showAll="0"/>
    <pivotField showAll="0"/>
    <pivotField showAll="0"/>
    <pivotField axis="axisRow" showAll="0">
      <items count="9">
        <item x="5"/>
        <item x="3"/>
        <item x="6"/>
        <item x="1"/>
        <item x="0"/>
        <item x="4"/>
        <item x="2"/>
        <item x="7"/>
        <item t="default"/>
      </items>
    </pivotField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Ventas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F3D67B-6043-44D1-9DB4-2D07CCB84AA1}" name="ventas_size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B147:C156" firstHeaderRow="1" firstDataRow="1" firstDataCol="1"/>
  <pivotFields count="25">
    <pivotField dataField="1" showAll="0"/>
    <pivotField showAll="0"/>
    <pivotField showAll="0"/>
    <pivotField showAll="0"/>
    <pivotField showAll="0"/>
    <pivotField axis="axisRow" showAll="0">
      <items count="9">
        <item x="5"/>
        <item x="3"/>
        <item x="6"/>
        <item x="1"/>
        <item x="0"/>
        <item x="4"/>
        <item x="2"/>
        <item x="7"/>
        <item t="default"/>
      </items>
    </pivotField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Ventas" fld="0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6EEFCF-EA67-4561-AA6F-4348C0AB8DCC}" name="ventas_season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B44:C49" firstHeaderRow="1" firstDataRow="1" firstDataCol="1"/>
  <pivotFields count="25">
    <pivotField showAll="0"/>
    <pivotField showAll="0">
      <items count="7">
        <item x="2"/>
        <item x="4"/>
        <item x="5"/>
        <item x="0"/>
        <item x="3"/>
        <item x="1"/>
        <item t="default"/>
      </items>
    </pivotField>
    <pivotField showAll="0">
      <items count="9">
        <item x="5"/>
        <item x="2"/>
        <item x="7"/>
        <item x="6"/>
        <item x="4"/>
        <item x="3"/>
        <item x="1"/>
        <item x="0"/>
        <item t="default"/>
      </items>
    </pivotField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  <pivotField showAll="0">
      <items count="12">
        <item x="7"/>
        <item x="2"/>
        <item x="5"/>
        <item x="10"/>
        <item x="4"/>
        <item x="6"/>
        <item x="8"/>
        <item x="1"/>
        <item x="9"/>
        <item x="0"/>
        <item x="3"/>
        <item t="default"/>
      </items>
    </pivotField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Ingreso_Marca" fld="22" baseField="0" baseItem="0"/>
  </dataFields>
  <chartFormats count="2">
    <chartFormat chart="9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6CE21B-FC3A-4E64-A185-23C5749AA103}" name="marca_cantidad_descuento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127:C136" firstHeaderRow="1" firstDataRow="1" firstDataCol="1"/>
  <pivotFields count="25">
    <pivotField showAll="0"/>
    <pivotField showAll="0">
      <items count="7">
        <item x="2"/>
        <item x="4"/>
        <item x="5"/>
        <item x="0"/>
        <item x="3"/>
        <item x="1"/>
        <item t="default"/>
      </items>
    </pivotField>
    <pivotField axis="axisRow" showAll="0">
      <items count="9">
        <item x="5"/>
        <item x="2"/>
        <item x="7"/>
        <item x="6"/>
        <item x="4"/>
        <item x="3"/>
        <item x="1"/>
        <item x="0"/>
        <item t="default"/>
      </items>
    </pivotField>
    <pivotField showAll="0">
      <items count="5">
        <item x="2"/>
        <item x="0"/>
        <item x="3"/>
        <item x="1"/>
        <item t="default"/>
      </items>
    </pivotField>
    <pivotField showAll="0"/>
    <pivotField showAll="0"/>
    <pivotField showAll="0">
      <items count="12">
        <item x="7"/>
        <item x="2"/>
        <item x="5"/>
        <item x="10"/>
        <item x="4"/>
        <item x="6"/>
        <item x="8"/>
        <item x="1"/>
        <item x="9"/>
        <item x="0"/>
        <item x="3"/>
        <item t="default"/>
      </items>
    </pivotField>
    <pivotField numFmtId="2" showAll="0"/>
    <pivotField showAll="0"/>
    <pivotField numFmtId="165" showAll="0"/>
    <pivotField numFmtId="2" showAll="0"/>
    <pivotField dataField="1"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a de Cantidad_Descuento" fld="11" baseField="0" baseItem="0" numFmtId="2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8DC7B9-33A5-432B-9B3B-355C12BAD9E3}" name="marca_ndevoluciones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F107:G116" firstHeaderRow="1" firstDataRow="1" firstDataCol="1"/>
  <pivotFields count="25">
    <pivotField showAll="0"/>
    <pivotField showAll="0"/>
    <pivotField axis="axisRow" showAll="0">
      <items count="9">
        <item x="5"/>
        <item x="2"/>
        <item x="7"/>
        <item x="6"/>
        <item x="4"/>
        <item x="3"/>
        <item x="1"/>
        <item x="0"/>
        <item t="default"/>
      </items>
    </pivotField>
    <pivotField showAll="0"/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dataField="1" showAll="0"/>
    <pivotField showAll="0"/>
    <pivotField showAll="0"/>
    <pivotField showAll="0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Número_Devoluciones" fld="21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5FA3CF-FCD4-4C32-831B-75ADA8561B77}" name="Ventas_marca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6:C15" firstHeaderRow="1" firstDataRow="1" firstDataCol="1"/>
  <pivotFields count="25">
    <pivotField showAll="0"/>
    <pivotField showAll="0">
      <items count="7">
        <item x="2"/>
        <item x="4"/>
        <item x="5"/>
        <item x="0"/>
        <item x="3"/>
        <item x="1"/>
        <item t="default"/>
      </items>
    </pivotField>
    <pivotField axis="axisRow" showAll="0">
      <items count="9">
        <item x="5"/>
        <item x="2"/>
        <item x="7"/>
        <item x="6"/>
        <item x="4"/>
        <item x="3"/>
        <item x="1"/>
        <item x="0"/>
        <item t="default"/>
      </items>
    </pivotField>
    <pivotField showAll="0">
      <items count="5">
        <item x="2"/>
        <item x="0"/>
        <item x="3"/>
        <item x="1"/>
        <item t="default"/>
      </items>
    </pivotField>
    <pivotField showAll="0"/>
    <pivotField showAll="0"/>
    <pivotField showAll="0">
      <items count="12">
        <item x="7"/>
        <item x="2"/>
        <item x="5"/>
        <item x="10"/>
        <item x="4"/>
        <item x="6"/>
        <item x="8"/>
        <item x="1"/>
        <item x="9"/>
        <item x="0"/>
        <item x="3"/>
        <item t="default"/>
      </items>
    </pivotField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a de Ingreso_Marca" fld="22" baseField="0" baseItem="0"/>
  </dataFields>
  <chartFormats count="2">
    <chartFormat chart="7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413497-BC24-4D69-96AD-AE07C47F6EAC}" name="marca_prom_desc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B167:C176" firstHeaderRow="1" firstDataRow="1" firstDataCol="1" rowPageCount="1" colPageCount="1"/>
  <pivotFields count="25">
    <pivotField showAll="0"/>
    <pivotField showAll="0"/>
    <pivotField axis="axisRow" showAll="0">
      <items count="9">
        <item x="5"/>
        <item x="2"/>
        <item x="7"/>
        <item x="6"/>
        <item x="4"/>
        <item x="3"/>
        <item x="1"/>
        <item x="0"/>
        <item t="default"/>
      </items>
    </pivotField>
    <pivotField showAll="0"/>
    <pivotField showAll="0"/>
    <pivotField showAll="0"/>
    <pivotField showAll="0"/>
    <pivotField numFmtId="2" showAll="0"/>
    <pivotField axis="axisPage" dataField="1" multipleItemSelectionAllowed="1" showAll="0">
      <items count="459">
        <item h="1" x="0"/>
        <item x="157"/>
        <item x="100"/>
        <item x="210"/>
        <item x="395"/>
        <item x="243"/>
        <item x="126"/>
        <item x="363"/>
        <item x="25"/>
        <item x="255"/>
        <item x="376"/>
        <item x="87"/>
        <item x="227"/>
        <item x="66"/>
        <item x="370"/>
        <item x="202"/>
        <item x="27"/>
        <item x="381"/>
        <item x="23"/>
        <item x="428"/>
        <item x="325"/>
        <item x="44"/>
        <item x="326"/>
        <item x="439"/>
        <item x="150"/>
        <item x="143"/>
        <item x="356"/>
        <item x="403"/>
        <item x="353"/>
        <item x="70"/>
        <item x="127"/>
        <item x="97"/>
        <item x="367"/>
        <item x="405"/>
        <item x="389"/>
        <item x="320"/>
        <item x="399"/>
        <item x="383"/>
        <item x="108"/>
        <item x="284"/>
        <item x="12"/>
        <item x="450"/>
        <item x="170"/>
        <item x="225"/>
        <item x="424"/>
        <item x="375"/>
        <item x="165"/>
        <item x="40"/>
        <item x="24"/>
        <item x="421"/>
        <item x="317"/>
        <item x="72"/>
        <item x="398"/>
        <item x="31"/>
        <item x="113"/>
        <item x="311"/>
        <item x="449"/>
        <item x="404"/>
        <item x="216"/>
        <item x="344"/>
        <item x="302"/>
        <item x="263"/>
        <item x="333"/>
        <item x="327"/>
        <item x="454"/>
        <item x="248"/>
        <item x="83"/>
        <item x="391"/>
        <item x="111"/>
        <item x="99"/>
        <item x="339"/>
        <item x="29"/>
        <item x="226"/>
        <item x="427"/>
        <item x="337"/>
        <item x="160"/>
        <item x="438"/>
        <item x="308"/>
        <item x="102"/>
        <item x="390"/>
        <item x="260"/>
        <item x="197"/>
        <item x="357"/>
        <item x="116"/>
        <item x="5"/>
        <item x="204"/>
        <item x="122"/>
        <item x="305"/>
        <item x="196"/>
        <item x="61"/>
        <item x="148"/>
        <item x="158"/>
        <item x="37"/>
        <item x="393"/>
        <item x="298"/>
        <item x="267"/>
        <item x="73"/>
        <item x="194"/>
        <item x="348"/>
        <item x="211"/>
        <item x="241"/>
        <item x="4"/>
        <item x="278"/>
        <item x="74"/>
        <item x="280"/>
        <item x="328"/>
        <item x="192"/>
        <item x="245"/>
        <item x="207"/>
        <item x="186"/>
        <item x="105"/>
        <item x="14"/>
        <item x="416"/>
        <item x="435"/>
        <item x="452"/>
        <item x="94"/>
        <item x="312"/>
        <item x="369"/>
        <item x="373"/>
        <item x="336"/>
        <item x="21"/>
        <item x="151"/>
        <item x="223"/>
        <item x="57"/>
        <item x="268"/>
        <item x="246"/>
        <item x="115"/>
        <item x="130"/>
        <item x="303"/>
        <item x="189"/>
        <item x="84"/>
        <item x="257"/>
        <item x="283"/>
        <item x="80"/>
        <item x="235"/>
        <item x="413"/>
        <item x="315"/>
        <item x="252"/>
        <item x="96"/>
        <item x="26"/>
        <item x="306"/>
        <item x="195"/>
        <item x="85"/>
        <item x="251"/>
        <item x="440"/>
        <item x="183"/>
        <item x="282"/>
        <item x="35"/>
        <item x="347"/>
        <item x="45"/>
        <item x="346"/>
        <item x="217"/>
        <item x="30"/>
        <item x="274"/>
        <item x="67"/>
        <item x="340"/>
        <item x="134"/>
        <item x="378"/>
        <item x="247"/>
        <item x="149"/>
        <item x="239"/>
        <item x="445"/>
        <item x="331"/>
        <item x="338"/>
        <item x="65"/>
        <item x="53"/>
        <item x="324"/>
        <item x="28"/>
        <item x="7"/>
        <item x="178"/>
        <item x="3"/>
        <item x="446"/>
        <item x="89"/>
        <item x="34"/>
        <item x="36"/>
        <item x="264"/>
        <item x="343"/>
        <item x="103"/>
        <item x="254"/>
        <item x="361"/>
        <item x="341"/>
        <item x="354"/>
        <item x="286"/>
        <item x="272"/>
        <item x="81"/>
        <item x="441"/>
        <item x="407"/>
        <item x="296"/>
        <item x="106"/>
        <item x="11"/>
        <item x="444"/>
        <item x="335"/>
        <item x="414"/>
        <item x="365"/>
        <item x="58"/>
        <item x="50"/>
        <item x="349"/>
        <item x="371"/>
        <item x="228"/>
        <item x="430"/>
        <item x="114"/>
        <item x="330"/>
        <item x="22"/>
        <item x="208"/>
        <item x="442"/>
        <item x="453"/>
        <item x="316"/>
        <item x="144"/>
        <item x="54"/>
        <item x="406"/>
        <item x="230"/>
        <item x="350"/>
        <item x="410"/>
        <item x="163"/>
        <item x="351"/>
        <item x="136"/>
        <item x="138"/>
        <item x="190"/>
        <item x="433"/>
        <item x="387"/>
        <item x="63"/>
        <item x="181"/>
        <item x="275"/>
        <item x="132"/>
        <item x="289"/>
        <item x="420"/>
        <item x="294"/>
        <item x="8"/>
        <item x="128"/>
        <item x="434"/>
        <item x="62"/>
        <item x="120"/>
        <item x="418"/>
        <item x="379"/>
        <item x="362"/>
        <item x="162"/>
        <item x="16"/>
        <item x="374"/>
        <item x="447"/>
        <item x="244"/>
        <item x="352"/>
        <item x="261"/>
        <item x="437"/>
        <item x="457"/>
        <item x="359"/>
        <item x="155"/>
        <item x="171"/>
        <item x="147"/>
        <item x="318"/>
        <item x="250"/>
        <item x="180"/>
        <item x="185"/>
        <item x="436"/>
        <item x="262"/>
        <item x="79"/>
        <item x="167"/>
        <item x="193"/>
        <item x="191"/>
        <item x="49"/>
        <item x="9"/>
        <item x="358"/>
        <item x="290"/>
        <item x="394"/>
        <item x="182"/>
        <item x="295"/>
        <item x="409"/>
        <item x="215"/>
        <item x="425"/>
        <item x="364"/>
        <item x="110"/>
        <item x="233"/>
        <item x="1"/>
        <item x="224"/>
        <item x="145"/>
        <item x="218"/>
        <item x="71"/>
        <item x="10"/>
        <item x="82"/>
        <item x="203"/>
        <item x="240"/>
        <item x="176"/>
        <item x="117"/>
        <item x="123"/>
        <item x="273"/>
        <item x="101"/>
        <item x="237"/>
        <item x="133"/>
        <item x="164"/>
        <item x="269"/>
        <item x="385"/>
        <item x="249"/>
        <item x="169"/>
        <item x="293"/>
        <item x="397"/>
        <item x="448"/>
        <item x="299"/>
        <item x="168"/>
        <item x="177"/>
        <item x="277"/>
        <item x="411"/>
        <item x="68"/>
        <item x="104"/>
        <item x="220"/>
        <item x="69"/>
        <item x="384"/>
        <item x="39"/>
        <item x="419"/>
        <item x="291"/>
        <item x="400"/>
        <item x="199"/>
        <item x="188"/>
        <item x="64"/>
        <item x="124"/>
        <item x="140"/>
        <item x="319"/>
        <item x="360"/>
        <item x="279"/>
        <item x="301"/>
        <item x="412"/>
        <item x="90"/>
        <item x="329"/>
        <item x="285"/>
        <item x="109"/>
        <item x="173"/>
        <item x="76"/>
        <item x="139"/>
        <item x="238"/>
        <item x="423"/>
        <item x="401"/>
        <item x="88"/>
        <item x="377"/>
        <item x="380"/>
        <item x="368"/>
        <item x="219"/>
        <item x="174"/>
        <item x="366"/>
        <item x="256"/>
        <item x="258"/>
        <item x="146"/>
        <item x="98"/>
        <item x="201"/>
        <item x="259"/>
        <item x="184"/>
        <item x="200"/>
        <item x="56"/>
        <item x="214"/>
        <item x="231"/>
        <item x="135"/>
        <item x="51"/>
        <item x="60"/>
        <item x="382"/>
        <item x="198"/>
        <item x="213"/>
        <item x="119"/>
        <item x="129"/>
        <item x="141"/>
        <item x="456"/>
        <item x="313"/>
        <item x="187"/>
        <item x="386"/>
        <item x="288"/>
        <item x="297"/>
        <item x="91"/>
        <item x="292"/>
        <item x="13"/>
        <item x="33"/>
        <item x="417"/>
        <item x="175"/>
        <item x="422"/>
        <item x="281"/>
        <item x="426"/>
        <item x="321"/>
        <item x="95"/>
        <item x="396"/>
        <item x="266"/>
        <item x="179"/>
        <item x="41"/>
        <item x="137"/>
        <item x="310"/>
        <item x="355"/>
        <item x="372"/>
        <item x="48"/>
        <item x="270"/>
        <item x="118"/>
        <item x="323"/>
        <item x="107"/>
        <item x="92"/>
        <item x="156"/>
        <item x="232"/>
        <item x="20"/>
        <item x="451"/>
        <item x="172"/>
        <item x="15"/>
        <item x="52"/>
        <item x="345"/>
        <item x="75"/>
        <item x="455"/>
        <item x="205"/>
        <item x="212"/>
        <item x="121"/>
        <item x="388"/>
        <item x="42"/>
        <item x="332"/>
        <item x="229"/>
        <item x="154"/>
        <item x="166"/>
        <item x="271"/>
        <item x="236"/>
        <item x="402"/>
        <item x="253"/>
        <item x="17"/>
        <item x="125"/>
        <item x="161"/>
        <item x="314"/>
        <item x="159"/>
        <item x="2"/>
        <item x="93"/>
        <item x="392"/>
        <item x="86"/>
        <item x="221"/>
        <item x="153"/>
        <item x="32"/>
        <item x="38"/>
        <item x="300"/>
        <item x="309"/>
        <item x="443"/>
        <item x="18"/>
        <item x="415"/>
        <item x="78"/>
        <item x="304"/>
        <item x="43"/>
        <item x="131"/>
        <item x="287"/>
        <item x="142"/>
        <item x="334"/>
        <item x="222"/>
        <item x="19"/>
        <item x="59"/>
        <item x="112"/>
        <item x="77"/>
        <item x="265"/>
        <item x="307"/>
        <item x="342"/>
        <item x="429"/>
        <item x="46"/>
        <item x="209"/>
        <item x="242"/>
        <item x="6"/>
        <item x="206"/>
        <item x="431"/>
        <item x="55"/>
        <item x="276"/>
        <item x="432"/>
        <item x="152"/>
        <item x="47"/>
        <item x="408"/>
        <item x="322"/>
        <item x="234"/>
        <item t="default"/>
      </items>
    </pivotField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8" hier="-1"/>
  </pageFields>
  <dataFields count="1">
    <dataField name="Promedio_Porcentaje_Descuento" fld="8" subtotal="average" baseField="2" baseItem="2" numFmtId="166"/>
  </dataFields>
  <formats count="4">
    <format dxfId="3">
      <pivotArea outline="0" collapsedLevelsAreSubtotals="1" fieldPosition="0"/>
    </format>
    <format dxfId="2">
      <pivotArea outline="0" collapsedLevelsAreSubtotals="1" fieldPosition="0"/>
    </format>
    <format dxfId="1">
      <pivotArea collapsedLevelsAreSubtotals="1" fieldPosition="0">
        <references count="1">
          <reference field="2" count="0"/>
        </references>
      </pivotArea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9C269F-905C-4044-BB24-2C9DDEC7EF29}" name="Tasa_Devolucion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2:H3" firstHeaderRow="1" firstDataRow="1" firstDataCol="0"/>
  <pivotFields count="25"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dataField="1" showAll="0"/>
    <pivotField showAll="0"/>
    <pivotField showAll="0"/>
    <pivotField showAll="0"/>
  </pivotFields>
  <rowItems count="1">
    <i/>
  </rowItems>
  <colItems count="1">
    <i/>
  </colItems>
  <dataFields count="1">
    <dataField name="Tasa de Devolución" fld="21" subtotal="average" baseField="0" baseItem="1" numFmtId="1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39832F-67A8-40A6-B98D-53117EBD76EE}" name="Ventas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25">
    <pivotField dataField="1"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Venta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2507DB-E750-48C8-8438-6BA50AE1696C}" name="ventas_mes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83:C96" firstHeaderRow="1" firstDataRow="1" firstDataCol="1"/>
  <pivotFields count="25">
    <pivotField dataField="1"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axis="axisRow" showAll="0">
      <items count="13">
        <item x="5"/>
        <item x="9"/>
        <item x="3"/>
        <item x="4"/>
        <item x="8"/>
        <item x="7"/>
        <item x="0"/>
        <item x="1"/>
        <item x="6"/>
        <item x="2"/>
        <item x="11"/>
        <item x="10"/>
        <item t="default"/>
      </items>
    </pivotField>
    <pivotField numFmtId="1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Venta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5F1E3D-AC60-4880-904A-D89D6803F0A7}" name="Marca_promedio_valoracion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 rowHeaderCaption="Marca">
  <location ref="B107:C116" firstHeaderRow="1" firstDataRow="1" firstDataCol="1"/>
  <pivotFields count="25">
    <pivotField showAll="0"/>
    <pivotField showAll="0"/>
    <pivotField axis="axisRow" showAll="0">
      <items count="9">
        <item x="5"/>
        <item x="2"/>
        <item x="7"/>
        <item x="6"/>
        <item x="4"/>
        <item x="3"/>
        <item x="1"/>
        <item x="0"/>
        <item t="default"/>
      </items>
    </pivotField>
    <pivotField showAll="0"/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dataField="1" showAll="0"/>
    <pivotField showAll="0"/>
    <pivotField numFmtId="164"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_Valoracion" fld="16" subtotal="average" baseField="2" baseItem="0" numFmtId="2"/>
  </dataFields>
  <formats count="35">
    <format dxfId="39">
      <pivotArea outline="0" collapsedLevelsAreSubtotals="1" fieldPosition="0"/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field="2" type="button" dataOnly="0" labelOnly="1" outline="0" axis="axisRow" fieldPosition="0"/>
    </format>
    <format dxfId="35">
      <pivotArea dataOnly="0" labelOnly="1" fieldPosition="0">
        <references count="1">
          <reference field="2" count="0"/>
        </references>
      </pivotArea>
    </format>
    <format dxfId="34">
      <pivotArea dataOnly="0" labelOnly="1" grandRow="1" outline="0" fieldPosition="0"/>
    </format>
    <format dxfId="33">
      <pivotArea dataOnly="0" labelOnly="1" outline="0" axis="axisValues" fieldPosition="0"/>
    </format>
    <format dxfId="32">
      <pivotArea dataOnly="0" labelOnly="1" fieldPosition="0">
        <references count="1">
          <reference field="2" count="6">
            <x v="1"/>
            <x v="2"/>
            <x v="3"/>
            <x v="4"/>
            <x v="5"/>
            <x v="6"/>
          </reference>
        </references>
      </pivotArea>
    </format>
    <format dxfId="31">
      <pivotArea dataOnly="0" labelOnly="1" fieldPosition="0">
        <references count="1">
          <reference field="2" count="1">
            <x v="5"/>
          </reference>
        </references>
      </pivotArea>
    </format>
    <format dxfId="30">
      <pivotArea dataOnly="0" labelOnly="1" fieldPosition="0">
        <references count="1">
          <reference field="2" count="1">
            <x v="4"/>
          </reference>
        </references>
      </pivotArea>
    </format>
    <format dxfId="29">
      <pivotArea dataOnly="0" labelOnly="1" fieldPosition="0">
        <references count="1">
          <reference field="2" count="1">
            <x v="3"/>
          </reference>
        </references>
      </pivotArea>
    </format>
    <format dxfId="28">
      <pivotArea dataOnly="0" labelOnly="1" fieldPosition="0">
        <references count="1">
          <reference field="2" count="1">
            <x v="2"/>
          </reference>
        </references>
      </pivotArea>
    </format>
    <format dxfId="27">
      <pivotArea dataOnly="0" labelOnly="1" fieldPosition="0">
        <references count="1">
          <reference field="2" count="1">
            <x v="1"/>
          </reference>
        </references>
      </pivotArea>
    </format>
    <format dxfId="26">
      <pivotArea collapsedLevelsAreSubtotals="1" fieldPosition="0">
        <references count="1">
          <reference field="2" count="1">
            <x v="0"/>
          </reference>
        </references>
      </pivotArea>
    </format>
    <format dxfId="25">
      <pivotArea collapsedLevelsAreSubtotals="1" fieldPosition="0">
        <references count="1">
          <reference field="2" count="1">
            <x v="1"/>
          </reference>
        </references>
      </pivotArea>
    </format>
    <format dxfId="24">
      <pivotArea collapsedLevelsAreSubtotals="1" fieldPosition="0">
        <references count="1">
          <reference field="2" count="1">
            <x v="2"/>
          </reference>
        </references>
      </pivotArea>
    </format>
    <format dxfId="23">
      <pivotArea collapsedLevelsAreSubtotals="1" fieldPosition="0">
        <references count="1">
          <reference field="2" count="1">
            <x v="3"/>
          </reference>
        </references>
      </pivotArea>
    </format>
    <format dxfId="22">
      <pivotArea collapsedLevelsAreSubtotals="1" fieldPosition="0">
        <references count="1">
          <reference field="2" count="1">
            <x v="4"/>
          </reference>
        </references>
      </pivotArea>
    </format>
    <format dxfId="21">
      <pivotArea collapsedLevelsAreSubtotals="1" fieldPosition="0">
        <references count="1">
          <reference field="2" count="1">
            <x v="5"/>
          </reference>
        </references>
      </pivotArea>
    </format>
    <format dxfId="20">
      <pivotArea collapsedLevelsAreSubtotals="1" fieldPosition="0">
        <references count="1">
          <reference field="2" count="1">
            <x v="6"/>
          </reference>
        </references>
      </pivotArea>
    </format>
    <format dxfId="19">
      <pivotArea collapsedLevelsAreSubtotals="1" fieldPosition="0">
        <references count="1">
          <reference field="2" count="1">
            <x v="7"/>
          </reference>
        </references>
      </pivotArea>
    </format>
    <format dxfId="18">
      <pivotArea dataOnly="0" labelOnly="1" fieldPosition="0">
        <references count="1">
          <reference field="2" count="1">
            <x v="7"/>
          </reference>
        </references>
      </pivotArea>
    </format>
    <format dxfId="17">
      <pivotArea dataOnly="0" labelOnly="1" grandRow="1" outline="0" fieldPosition="0"/>
    </format>
    <format dxfId="16">
      <pivotArea grandRow="1"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2" type="button" dataOnly="0" labelOnly="1" outline="0" axis="axisRow" fieldPosition="0"/>
    </format>
    <format dxfId="12">
      <pivotArea dataOnly="0" labelOnly="1" fieldPosition="0">
        <references count="1">
          <reference field="2" count="0"/>
        </references>
      </pivotArea>
    </format>
    <format dxfId="11">
      <pivotArea dataOnly="0" labelOnly="1" grandRow="1" outline="0" fieldPosition="0"/>
    </format>
    <format dxfId="10">
      <pivotArea dataOnly="0" labelOnly="1" outline="0" axis="axisValues" fieldPosition="0"/>
    </format>
    <format dxfId="9">
      <pivotArea field="2" type="button" dataOnly="0" labelOnly="1" outline="0" axis="axisRow" fieldPosition="0"/>
    </format>
    <format dxfId="8">
      <pivotArea dataOnly="0" labelOnly="1" fieldPosition="0">
        <references count="1">
          <reference field="2" count="0"/>
        </references>
      </pivotArea>
    </format>
    <format dxfId="7">
      <pivotArea outline="0" collapsedLevelsAreSubtotals="1" fieldPosition="0"/>
    </format>
    <format dxfId="6">
      <pivotArea dataOnly="0" labelOnly="1" fieldPosition="0">
        <references count="1">
          <reference field="2" count="0"/>
        </references>
      </pivotArea>
    </format>
    <format dxfId="5">
      <pivotArea dataOnly="0" labelOnly="1" grandRow="1" outline="0" fieldPosition="0"/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8A23E2-81D0-41B5-9D06-4E2EF5C72978}" name="ventas_categoria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B26:C33" firstHeaderRow="1" firstDataRow="1" firstDataCol="1"/>
  <pivotFields count="25">
    <pivotField showAll="0"/>
    <pivotField axis="axisRow" showAll="0">
      <items count="7">
        <item x="5"/>
        <item x="0"/>
        <item x="1"/>
        <item x="3"/>
        <item x="4"/>
        <item x="2"/>
        <item t="default"/>
      </items>
    </pivotField>
    <pivotField showAll="0">
      <items count="9">
        <item x="5"/>
        <item x="2"/>
        <item x="7"/>
        <item x="6"/>
        <item x="4"/>
        <item x="3"/>
        <item x="1"/>
        <item x="0"/>
        <item t="default"/>
      </items>
    </pivotField>
    <pivotField showAll="0">
      <items count="5">
        <item x="2"/>
        <item x="0"/>
        <item x="3"/>
        <item x="1"/>
        <item t="default"/>
      </items>
    </pivotField>
    <pivotField showAll="0"/>
    <pivotField showAll="0"/>
    <pivotField showAll="0">
      <items count="12">
        <item x="7"/>
        <item x="2"/>
        <item x="5"/>
        <item x="10"/>
        <item x="4"/>
        <item x="6"/>
        <item x="8"/>
        <item x="1"/>
        <item x="9"/>
        <item x="0"/>
        <item x="3"/>
        <item t="default"/>
      </items>
    </pivotField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Ingreso_Marca" fld="22" baseField="0" baseItem="0"/>
  </dataFields>
  <chartFormats count="2">
    <chartFormat chart="9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138D10-B8B6-4969-A66F-FA63A5D251ED}" name="Ventas_Razón_Devolución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J107:K114" firstHeaderRow="1" firstDataRow="1" firstDataCol="1"/>
  <pivotFields count="25">
    <pivotField showAll="0"/>
    <pivotField showAll="0">
      <items count="7">
        <item x="2"/>
        <item x="4"/>
        <item x="5"/>
        <item x="0"/>
        <item x="3"/>
        <item x="1"/>
        <item t="default"/>
      </items>
    </pivotField>
    <pivotField showAll="0">
      <items count="9">
        <item x="5"/>
        <item x="2"/>
        <item x="7"/>
        <item x="6"/>
        <item x="4"/>
        <item x="3"/>
        <item x="1"/>
        <item x="0"/>
        <item t="default"/>
      </items>
    </pivotField>
    <pivotField showAll="0">
      <items count="5">
        <item x="2"/>
        <item x="0"/>
        <item x="3"/>
        <item x="1"/>
        <item t="default"/>
      </items>
    </pivotField>
    <pivotField showAll="0"/>
    <pivotField showAll="0"/>
    <pivotField showAll="0">
      <items count="12">
        <item x="7"/>
        <item x="2"/>
        <item x="5"/>
        <item x="10"/>
        <item x="4"/>
        <item x="6"/>
        <item x="8"/>
        <item x="1"/>
        <item x="9"/>
        <item x="0"/>
        <item x="3"/>
        <item t="default"/>
      </items>
    </pivotField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dataField="1" showAll="0"/>
    <pivotField showAll="0"/>
    <pivotField axis="axisRow" showAll="0" sortType="descending">
      <items count="8">
        <item x="6"/>
        <item x="2"/>
        <item x="4"/>
        <item h="1" x="0"/>
        <item x="3"/>
        <item x="1"/>
        <item x="5"/>
        <item t="default"/>
      </items>
    </pivotField>
    <pivotField showAll="0"/>
  </pivotFields>
  <rowFields count="1">
    <field x="23"/>
  </rowFields>
  <rowItems count="7">
    <i>
      <x/>
    </i>
    <i>
      <x v="1"/>
    </i>
    <i>
      <x v="2"/>
    </i>
    <i>
      <x v="4"/>
    </i>
    <i>
      <x v="5"/>
    </i>
    <i>
      <x v="6"/>
    </i>
    <i t="grand">
      <x/>
    </i>
  </rowItems>
  <colItems count="1">
    <i/>
  </colItems>
  <dataFields count="1">
    <dataField name="Número_Devoluciones" fld="21" baseField="0" baseItem="0"/>
  </dataFields>
  <chartFormats count="16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6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0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6" format="2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6" format="22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6" format="23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6" format="24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6" format="25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832376-17C8-436C-BDEC-92C313C6629A}" name="ventas_dia_semana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83:G91" firstHeaderRow="1" firstDataRow="1" firstDataCol="1"/>
  <pivotFields count="25">
    <pivotField dataField="1"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axis="axisRow" showAll="0">
      <items count="8">
        <item x="2"/>
        <item x="3"/>
        <item x="1"/>
        <item x="5"/>
        <item x="4"/>
        <item x="0"/>
        <item x="6"/>
        <item t="default"/>
      </items>
    </pivotField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Venta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E976D9-9738-4B2E-9A86-F36B2E367F36}" name="Ingresos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2:F3" firstHeaderRow="1" firstDataRow="1" firstDataCol="0"/>
  <pivotFields count="25"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dataField="1" showAll="0"/>
    <pivotField showAll="0"/>
    <pivotField showAll="0"/>
  </pivotFields>
  <rowItems count="1">
    <i/>
  </rowItems>
  <colItems count="1">
    <i/>
  </colItems>
  <dataFields count="1">
    <dataField name="Ingresos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55FACD-D4A0-41B7-BD59-4B9828D60FB0}" name="ventas_color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B60:C66" firstHeaderRow="1" firstDataRow="1" firstDataCol="1"/>
  <pivotFields count="25">
    <pivotField showAll="0"/>
    <pivotField showAll="0">
      <items count="7">
        <item x="2"/>
        <item x="4"/>
        <item x="5"/>
        <item x="0"/>
        <item x="3"/>
        <item x="1"/>
        <item t="default"/>
      </items>
    </pivotField>
    <pivotField showAll="0">
      <items count="9">
        <item x="5"/>
        <item x="2"/>
        <item x="7"/>
        <item x="6"/>
        <item x="4"/>
        <item x="3"/>
        <item x="1"/>
        <item x="0"/>
        <item t="default"/>
      </items>
    </pivotField>
    <pivotField showAll="0">
      <items count="5">
        <item x="2"/>
        <item x="0"/>
        <item x="3"/>
        <item x="1"/>
        <item t="default"/>
      </items>
    </pivotField>
    <pivotField showAll="0"/>
    <pivotField showAll="0"/>
    <pivotField axis="axisRow" showAll="0" measureFilter="1">
      <items count="12">
        <item x="7"/>
        <item x="2"/>
        <item x="5"/>
        <item x="10"/>
        <item x="4"/>
        <item x="6"/>
        <item x="8"/>
        <item x="1"/>
        <item x="9"/>
        <item x="0"/>
        <item x="3"/>
        <item t="default"/>
      </items>
    </pivotField>
    <pivotField numFmtId="2" showAll="0"/>
    <pivotField showAll="0"/>
    <pivotField numFmtId="165" showAll="0"/>
    <pivotField numFmtId="2" showAll="0"/>
    <pivotField numFmtId="2" showAll="0"/>
    <pivotField numFmtId="14" showAll="0"/>
    <pivotField showAll="0"/>
    <pivotField showAll="0"/>
    <pivotField numFmtId="1" showAll="0"/>
    <pivotField showAll="0"/>
    <pivotField showAll="0"/>
    <pivotField numFmtId="164" showAll="0"/>
    <pivotField showAll="0"/>
    <pivotField showAll="0"/>
    <pivotField showAll="0"/>
    <pivotField dataField="1" showAll="0"/>
    <pivotField showAll="0"/>
    <pivotField showAll="0"/>
  </pivotFields>
  <rowFields count="1">
    <field x="6"/>
  </rowFields>
  <rowItems count="6">
    <i>
      <x v="1"/>
    </i>
    <i>
      <x v="5"/>
    </i>
    <i>
      <x v="7"/>
    </i>
    <i>
      <x v="9"/>
    </i>
    <i>
      <x v="10"/>
    </i>
    <i t="grand">
      <x/>
    </i>
  </rowItems>
  <colItems count="1">
    <i/>
  </colItems>
  <dataFields count="1">
    <dataField name="Suma de Ingreso_Marca" fld="22" baseField="0" baseItem="0"/>
  </dataFields>
  <chartFormats count="2">
    <chartFormat chart="7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6" type="count" evalOrder="-1" id="1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650D42-58A9-41EA-BCF2-EFCDC7F8A5C5}" name="Ticket_Promedio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J2:J3" firstHeaderRow="1" firstDataRow="1" firstDataCol="0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Items count="1">
    <i/>
  </rowItems>
  <colItems count="1">
    <i/>
  </colItems>
  <dataFields count="1">
    <dataField name="Ticket Promedio" fld="22" subtotal="average" baseField="0" baseItem="0" numFmtId="2"/>
  </dataFields>
  <formats count="1">
    <format dxfId="4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rand" xr10:uid="{1552673C-458B-4FBE-A6E5-44B3141B0615}" sourceName="brand">
  <pivotTables>
    <pivotTable tabId="9" name="Ventas_marca"/>
    <pivotTable tabId="9" name="marca_cantidad_descuento"/>
    <pivotTable tabId="9" name="ventas_categoria"/>
    <pivotTable tabId="9" name="ventas_color"/>
    <pivotTable tabId="9" name="Ventas_Razón_Devolución"/>
    <pivotTable tabId="9" name="ventas_season"/>
  </pivotTables>
  <data>
    <tabular pivotCacheId="234985389">
      <items count="8">
        <i x="5" s="1"/>
        <i x="2" s="1"/>
        <i x="7" s="1"/>
        <i x="6" s="1"/>
        <i x="4" s="1"/>
        <i x="3" s="1"/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y" xr10:uid="{ADE4053F-13BE-4990-AB3E-C4A357C711FA}" sourceName="category">
  <pivotTables>
    <pivotTable tabId="9" name="ventas_categoria"/>
    <pivotTable tabId="9" name="marca_cantidad_descuento"/>
    <pivotTable tabId="9" name="ventas_color"/>
    <pivotTable tabId="9" name="Ventas_marca"/>
    <pivotTable tabId="9" name="Ventas_Razón_Devolución"/>
    <pivotTable tabId="9" name="ventas_season"/>
  </pivotTables>
  <data>
    <tabular pivotCacheId="234985389">
      <items count="6">
        <i x="2" s="1"/>
        <i x="4" s="1"/>
        <i x="5" s="1"/>
        <i x="0" s="1"/>
        <i x="3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ason" xr10:uid="{3A42D042-6134-4CA0-A408-E9CCD5782520}" sourceName="season">
  <pivotTables>
    <pivotTable tabId="9" name="ventas_season"/>
    <pivotTable tabId="9" name="marca_cantidad_descuento"/>
    <pivotTable tabId="9" name="ventas_categoria"/>
    <pivotTable tabId="9" name="ventas_color"/>
    <pivotTable tabId="9" name="Ventas_marca"/>
    <pivotTable tabId="9" name="Ventas_Razón_Devolución"/>
  </pivotTables>
  <data>
    <tabular pivotCacheId="234985389">
      <items count="4">
        <i x="2" s="1"/>
        <i x="0" s="1"/>
        <i x="3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lor" xr10:uid="{31543CD7-E5CD-493E-9B37-3852EFF92622}" sourceName="color">
  <pivotTables>
    <pivotTable tabId="9" name="ventas_color"/>
    <pivotTable tabId="9" name="marca_cantidad_descuento"/>
    <pivotTable tabId="9" name="ventas_categoria"/>
    <pivotTable tabId="9" name="Ventas_marca"/>
    <pivotTable tabId="9" name="Ventas_Razón_Devolución"/>
    <pivotTable tabId="9" name="ventas_season"/>
  </pivotTables>
  <data>
    <tabular pivotCacheId="234985389">
      <items count="11">
        <i x="7" s="1"/>
        <i x="2" s="1"/>
        <i x="5" s="1"/>
        <i x="10" s="1"/>
        <i x="4" s="1"/>
        <i x="6" s="1"/>
        <i x="8" s="1"/>
        <i x="1" s="1"/>
        <i x="9" s="1"/>
        <i x="0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rand" xr10:uid="{13CA48F6-094F-4B37-A2A4-82FDCFE4F532}" cache="SegmentaciónDeDatos_brand" caption="brand" style="SlicerStyleLight5" rowHeight="247650"/>
  <slicer name="category" xr10:uid="{9DD465A3-5579-4902-B5AE-60D97522E468}" cache="SegmentaciónDeDatos_category" caption="category" style="SlicerStyleLight5" rowHeight="247650"/>
  <slicer name="season" xr10:uid="{8915BDCD-5BC7-4327-B0AB-2C9743565D1F}" cache="SegmentaciónDeDatos_season" caption="season" style="SlicerStyleLight5" rowHeight="247650"/>
  <slicer name="color" xr10:uid="{F58D03B2-3584-456B-A1B7-0CF0AA8302D9}" cache="SegmentaciónDeDatos_color" caption="color" startItem="3" style="SlicerStyleLight5" rowHeight="2476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rand 1" xr10:uid="{B3879106-3E22-4760-B64E-84C76BC92C7F}" cache="SegmentaciónDeDatos_brand" caption="Marca" columnCount="2" style="SlicerStyleLight5" rowHeight="247650"/>
  <slicer name="category 1" xr10:uid="{1390CC48-EA83-41B0-9086-88238B478DBF}" cache="SegmentaciónDeDatos_category" caption="Categoría" style="SlicerStyleLight5" rowHeight="247650"/>
  <slicer name="season 1" xr10:uid="{0A2596F4-1600-4E8E-A635-5CC5ABD0CAEB}" cache="SegmentaciónDeDatos_season" caption="Estación" style="SlicerStyleLight5" rowHeight="247650"/>
  <slicer name="color 1" xr10:uid="{24068AAC-D986-48F3-86FE-E60A9FFFDAA8}" cache="SegmentaciónDeDatos_color" caption="Color" columnCount="2" style="SlicerStyleLight5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3977A2-4B98-415E-81B5-4DEDF71D4873}" name="BBDD_fashion_boutique" displayName="BBDD_fashion_boutique" ref="A1:Y2177" totalsRowShown="0">
  <autoFilter ref="A1:Y2177" xr:uid="{0A3977A2-4B98-415E-81B5-4DEDF71D4873}"/>
  <tableColumns count="25">
    <tableColumn id="1" xr3:uid="{CCD3FA23-D1D6-4E66-B2A3-D6074625D94A}" name="product_id"/>
    <tableColumn id="2" xr3:uid="{F19F2186-E659-4E25-A813-185D2604A2A7}" name="category"/>
    <tableColumn id="3" xr3:uid="{D32EDAF9-05D2-447C-8E10-25F5F5CAF0C7}" name="brand"/>
    <tableColumn id="4" xr3:uid="{6B8849BB-EF8F-4F1C-A1DB-3A0F97732A89}" name="season"/>
    <tableColumn id="5" xr3:uid="{FA1870A0-AE8B-4FCE-B780-5F57D1F00BBF}" name="size"/>
    <tableColumn id="6" xr3:uid="{004BAE29-879F-4604-847F-DD2639B9CEB0}" name="Size_Accesorio" dataDxfId="64">
      <calculatedColumnFormula>IF(BBDD_fashion_boutique[[#This Row],[category]]="Accessories","Accesorio",IF(BBDD_fashion_boutique[[#This Row],[size]]="","Desconocido",BBDD_fashion_boutique[[#This Row],[size]]))</calculatedColumnFormula>
    </tableColumn>
    <tableColumn id="7" xr3:uid="{0670BB6A-93D5-4593-B24D-F8E884CB5B23}" name="color"/>
    <tableColumn id="8" xr3:uid="{2945A8EC-D6AD-4057-999E-53BF420A4CF5}" name="original_price" dataDxfId="63"/>
    <tableColumn id="9" xr3:uid="{E8B04587-84D6-47B9-88A0-25568B89DB2E}" name="markdown_percentage" dataDxfId="62"/>
    <tableColumn id="19" xr3:uid="{9066F8D9-163A-4E0B-8C13-119249DFE9CA}" name="Porcentaje_Descuento" dataDxfId="61" dataCellStyle="Porcentaje">
      <calculatedColumnFormula>BBDD_fashion_boutique[[#This Row],[markdown_percentage]]/100</calculatedColumnFormula>
    </tableColumn>
    <tableColumn id="10" xr3:uid="{65F260EE-F137-4B5E-92A9-6E05A8E313B9}" name="current_price" dataDxfId="60"/>
    <tableColumn id="20" xr3:uid="{394699A9-75B0-44CB-B2A0-870C50401E19}" name="Cantidad_Descuento" dataDxfId="59">
      <calculatedColumnFormula>BBDD_fashion_boutique[[#This Row],[original_price]]-BBDD_fashion_boutique[[#This Row],[current_price]]</calculatedColumnFormula>
    </tableColumn>
    <tableColumn id="11" xr3:uid="{38331883-EFAF-449B-B1A3-A3B159223673}" name="purchase_date" dataDxfId="58"/>
    <tableColumn id="21" xr3:uid="{51E8B839-ECF8-40D8-9EFF-12D6278B30F6}" name="Día_Compra" dataDxfId="57">
      <calculatedColumnFormula>PROPER(TEXT(BBDD_fashion_boutique[[#This Row],[purchase_date]],"dddd"))</calculatedColumnFormula>
    </tableColumn>
    <tableColumn id="22" xr3:uid="{76255030-0BD4-45D6-BF79-E4854AE9A2A3}" name="Mes_Compra" dataDxfId="56">
      <calculatedColumnFormula>PROPER(TEXT(BBDD_fashion_boutique[[#This Row],[purchase_date]],"mmmm"))</calculatedColumnFormula>
    </tableColumn>
    <tableColumn id="12" xr3:uid="{F35F1EA9-9994-4EC1-8947-FF582A098B20}" name="stock_quantity" dataDxfId="55"/>
    <tableColumn id="13" xr3:uid="{5D5AA4CB-5D21-4F36-A15A-CCBAEC2F568E}" name="customer_rating" dataDxfId="54"/>
    <tableColumn id="24" xr3:uid="{06A7F1DF-E26E-4C89-83BD-610110817015}" name="Estado_Stock" dataDxfId="53">
      <calculatedColumnFormula>IF(BBDD_fashion_boutique[[#This Row],[stock_quantity]]&gt;9,"Ok",IF(BBDD_fashion_boutique[[#This Row],[stock_quantity]]=0,"Agotado","Pocas Unidades"))</calculatedColumnFormula>
    </tableColumn>
    <tableColumn id="14" xr3:uid="{8205F103-584C-43B6-849F-7DC9EFF0B3AC}" name="Customer_rating2" dataDxfId="52">
      <calculatedColumnFormula>IF(BBDD_fashion_boutique[[#This Row],[customer_rating]]="","No valorado",BBDD_fashion_boutique[[#This Row],[customer_rating]])</calculatedColumnFormula>
    </tableColumn>
    <tableColumn id="15" xr3:uid="{8523156E-7A79-4E9F-824A-FBC3244FA78E}" name="is_returned"/>
    <tableColumn id="16" xr3:uid="{FEDC36B6-7B56-4764-81F3-DD75E3F7C662}" name="return_reason"/>
    <tableColumn id="23" xr3:uid="{8D49BB36-00F1-4D41-842F-9C1B44CB3437}" name="Devuelto_Número" dataDxfId="51">
      <calculatedColumnFormula>IF(BBDD_fashion_boutique[[#This Row],[is_returned]]="False",0,1)</calculatedColumnFormula>
    </tableColumn>
    <tableColumn id="26" xr3:uid="{F3EDA57E-84E1-4DC6-B2FA-DCACBC73F8D9}" name="Ingreso_Marca" dataDxfId="50">
      <calculatedColumnFormula>IF(BBDD_fashion_boutique[[#This Row],[is_returned]]="True",0,BBDD_fashion_boutique[[#This Row],[current_price]])</calculatedColumnFormula>
    </tableColumn>
    <tableColumn id="17" xr3:uid="{10C01FFD-BAF1-4759-87D3-9F4CD96C95CF}" name="Return_Reason2">
      <calculatedColumnFormula>IF(BBDD_fashion_boutique[[#This Row],[return_reason]]="","No return",BBDD_fashion_boutique[[#This Row],[return_reason]])</calculatedColumnFormula>
    </tableColumn>
    <tableColumn id="18" xr3:uid="{0820C4E2-731F-424A-B2F5-6E6ACA75787F}" name="Duplicados">
      <calculatedColumnFormula>IF(IFERROR(VLOOKUP(BBDD_fashion_boutique[[#This Row],[product_id]],A3:A2178,1,FALSE),0),1,0)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" Type="http://schemas.openxmlformats.org/officeDocument/2006/relationships/pivotTable" Target="../pivotTables/pivotTable3.xml"/><Relationship Id="rId21" Type="http://schemas.openxmlformats.org/officeDocument/2006/relationships/drawing" Target="../drawings/drawing1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8.xml"/><Relationship Id="rId13" Type="http://schemas.openxmlformats.org/officeDocument/2006/relationships/pivotTable" Target="../pivotTables/pivotTable33.xml"/><Relationship Id="rId18" Type="http://schemas.microsoft.com/office/2007/relationships/slicer" Target="../slicers/slicer1.xml"/><Relationship Id="rId3" Type="http://schemas.openxmlformats.org/officeDocument/2006/relationships/pivotTable" Target="../pivotTables/pivotTable23.xml"/><Relationship Id="rId7" Type="http://schemas.openxmlformats.org/officeDocument/2006/relationships/pivotTable" Target="../pivotTables/pivotTable27.xml"/><Relationship Id="rId12" Type="http://schemas.openxmlformats.org/officeDocument/2006/relationships/pivotTable" Target="../pivotTables/pivotTable32.xml"/><Relationship Id="rId17" Type="http://schemas.openxmlformats.org/officeDocument/2006/relationships/drawing" Target="../drawings/drawing2.xml"/><Relationship Id="rId2" Type="http://schemas.openxmlformats.org/officeDocument/2006/relationships/pivotTable" Target="../pivotTables/pivotTable22.xml"/><Relationship Id="rId16" Type="http://schemas.openxmlformats.org/officeDocument/2006/relationships/pivotTable" Target="../pivotTables/pivotTable36.xml"/><Relationship Id="rId1" Type="http://schemas.openxmlformats.org/officeDocument/2006/relationships/pivotTable" Target="../pivotTables/pivotTable21.xml"/><Relationship Id="rId6" Type="http://schemas.openxmlformats.org/officeDocument/2006/relationships/pivotTable" Target="../pivotTables/pivotTable26.xml"/><Relationship Id="rId11" Type="http://schemas.openxmlformats.org/officeDocument/2006/relationships/pivotTable" Target="../pivotTables/pivotTable31.xml"/><Relationship Id="rId5" Type="http://schemas.openxmlformats.org/officeDocument/2006/relationships/pivotTable" Target="../pivotTables/pivotTable25.xml"/><Relationship Id="rId15" Type="http://schemas.openxmlformats.org/officeDocument/2006/relationships/pivotTable" Target="../pivotTables/pivotTable35.xml"/><Relationship Id="rId10" Type="http://schemas.openxmlformats.org/officeDocument/2006/relationships/pivotTable" Target="../pivotTables/pivotTable30.xml"/><Relationship Id="rId4" Type="http://schemas.openxmlformats.org/officeDocument/2006/relationships/pivotTable" Target="../pivotTables/pivotTable24.xml"/><Relationship Id="rId9" Type="http://schemas.openxmlformats.org/officeDocument/2006/relationships/pivotTable" Target="../pivotTables/pivotTable29.xml"/><Relationship Id="rId14" Type="http://schemas.openxmlformats.org/officeDocument/2006/relationships/pivotTable" Target="../pivotTables/pivotTable3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8E037-021B-4C17-A2B1-AD9ABD366AC8}">
  <sheetPr codeName="Hoja1"/>
  <dimension ref="A1:Y2177"/>
  <sheetViews>
    <sheetView topLeftCell="F1" zoomScale="86" zoomScaleNormal="86" workbookViewId="0">
      <selection activeCell="S3" sqref="S3"/>
    </sheetView>
  </sheetViews>
  <sheetFormatPr baseColWidth="10" defaultRowHeight="14.4" x14ac:dyDescent="0.3"/>
  <cols>
    <col min="1" max="1" width="11.88671875" customWidth="1"/>
    <col min="5" max="5" width="11.5546875" hidden="1" customWidth="1"/>
    <col min="6" max="6" width="15.44140625" customWidth="1"/>
    <col min="8" max="8" width="14.21875" style="2" customWidth="1"/>
    <col min="9" max="9" width="21.77734375" hidden="1" customWidth="1"/>
    <col min="10" max="10" width="21.77734375" style="5" customWidth="1"/>
    <col min="11" max="12" width="14" style="2" customWidth="1"/>
    <col min="13" max="15" width="15.109375" customWidth="1"/>
    <col min="16" max="16" width="15.109375" style="4" customWidth="1"/>
    <col min="17" max="17" width="16.33203125" style="2" hidden="1" customWidth="1"/>
    <col min="18" max="18" width="16.33203125" customWidth="1"/>
    <col min="19" max="19" width="17.5546875" customWidth="1"/>
    <col min="20" max="20" width="12.21875" customWidth="1"/>
    <col min="21" max="21" width="14.21875" hidden="1" customWidth="1"/>
    <col min="22" max="23" width="14.21875" customWidth="1"/>
    <col min="24" max="24" width="17" bestFit="1" customWidth="1"/>
    <col min="25" max="25" width="12.33203125" customWidth="1"/>
  </cols>
  <sheetData>
    <row r="1" spans="1:2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2" t="s">
        <v>7</v>
      </c>
      <c r="I1" t="s">
        <v>8</v>
      </c>
      <c r="J1" s="5" t="s">
        <v>2238</v>
      </c>
      <c r="K1" s="2" t="s">
        <v>9</v>
      </c>
      <c r="L1" s="2" t="s">
        <v>2239</v>
      </c>
      <c r="M1" t="s">
        <v>10</v>
      </c>
      <c r="N1" t="s">
        <v>2240</v>
      </c>
      <c r="O1" t="s">
        <v>2241</v>
      </c>
      <c r="P1" s="4" t="s">
        <v>11</v>
      </c>
      <c r="Q1" s="2" t="s">
        <v>12</v>
      </c>
      <c r="R1" t="s">
        <v>2243</v>
      </c>
      <c r="S1" t="s">
        <v>13</v>
      </c>
      <c r="T1" t="s">
        <v>14</v>
      </c>
      <c r="U1" t="s">
        <v>15</v>
      </c>
      <c r="V1" t="s">
        <v>2242</v>
      </c>
      <c r="W1" t="s">
        <v>2244</v>
      </c>
      <c r="X1" t="s">
        <v>16</v>
      </c>
      <c r="Y1" t="s">
        <v>17</v>
      </c>
    </row>
    <row r="2" spans="1:25" x14ac:dyDescent="0.3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tr">
        <f>IF(BBDD_fashion_boutique[[#This Row],[category]]="Accessories","Accesorio",IF(BBDD_fashion_boutique[[#This Row],[size]]="","Desconocido",BBDD_fashion_boutique[[#This Row],[size]]))</f>
        <v>XL</v>
      </c>
      <c r="G2" t="s">
        <v>23</v>
      </c>
      <c r="H2" s="2">
        <v>196.01</v>
      </c>
      <c r="I2">
        <v>0</v>
      </c>
      <c r="J2" s="5">
        <f>BBDD_fashion_boutique[[#This Row],[markdown_percentage]]/100</f>
        <v>0</v>
      </c>
      <c r="K2" s="2">
        <v>196.01</v>
      </c>
      <c r="L2" s="2">
        <f>BBDD_fashion_boutique[[#This Row],[original_price]]-BBDD_fashion_boutique[[#This Row],[current_price]]</f>
        <v>0</v>
      </c>
      <c r="M2" s="1">
        <v>45843</v>
      </c>
      <c r="N2" s="1" t="str">
        <f>PROPER(TEXT(BBDD_fashion_boutique[[#This Row],[purchase_date]],"dddd"))</f>
        <v>Sábado</v>
      </c>
      <c r="O2" s="1" t="str">
        <f>PROPER(TEXT(BBDD_fashion_boutique[[#This Row],[purchase_date]],"mmmm"))</f>
        <v>Julio</v>
      </c>
      <c r="P2" s="4">
        <v>37</v>
      </c>
      <c r="Q2" s="2">
        <v>3</v>
      </c>
      <c r="R2" t="str">
        <f>IF(BBDD_fashion_boutique[[#This Row],[stock_quantity]]&gt;9,"Ok",IF(BBDD_fashion_boutique[[#This Row],[stock_quantity]]=0,"Agotado","Pocas Unidades"))</f>
        <v>Ok</v>
      </c>
      <c r="S2" s="3">
        <f>IF(BBDD_fashion_boutique[[#This Row],[customer_rating]]="","No valorado",BBDD_fashion_boutique[[#This Row],[customer_rating]])</f>
        <v>3</v>
      </c>
      <c r="T2" t="s">
        <v>24</v>
      </c>
      <c r="V2">
        <f>IF(BBDD_fashion_boutique[[#This Row],[is_returned]]="False",0,1)</f>
        <v>0</v>
      </c>
      <c r="W2">
        <f>IF(BBDD_fashion_boutique[[#This Row],[is_returned]]="True",0,BBDD_fashion_boutique[[#This Row],[current_price]])</f>
        <v>196.01</v>
      </c>
      <c r="X2" t="str">
        <f>IF(BBDD_fashion_boutique[[#This Row],[return_reason]]="","No return",BBDD_fashion_boutique[[#This Row],[return_reason]])</f>
        <v>No return</v>
      </c>
      <c r="Y2">
        <f>IF(IFERROR(VLOOKUP(BBDD_fashion_boutique[[#This Row],[product_id]],A3:A2178,1,FALSE),0),1,0)</f>
        <v>0</v>
      </c>
    </row>
    <row r="3" spans="1:25" x14ac:dyDescent="0.3">
      <c r="A3" t="s">
        <v>25</v>
      </c>
      <c r="B3" t="s">
        <v>26</v>
      </c>
      <c r="C3" t="s">
        <v>27</v>
      </c>
      <c r="D3" t="s">
        <v>28</v>
      </c>
      <c r="E3" t="s">
        <v>29</v>
      </c>
      <c r="F3" t="str">
        <f>IF(BBDD_fashion_boutique[[#This Row],[category]]="Accessories","Accesorio",IF(BBDD_fashion_boutique[[#This Row],[size]]="","Desconocido",BBDD_fashion_boutique[[#This Row],[size]]))</f>
        <v>L</v>
      </c>
      <c r="G3" t="s">
        <v>30</v>
      </c>
      <c r="H3" s="2">
        <v>119.64</v>
      </c>
      <c r="I3">
        <v>0</v>
      </c>
      <c r="J3" s="5">
        <f>BBDD_fashion_boutique[[#This Row],[markdown_percentage]]/100</f>
        <v>0</v>
      </c>
      <c r="K3" s="2">
        <v>119.64</v>
      </c>
      <c r="L3" s="2">
        <f>BBDD_fashion_boutique[[#This Row],[original_price]]-BBDD_fashion_boutique[[#This Row],[current_price]]</f>
        <v>0</v>
      </c>
      <c r="M3" s="1">
        <v>45875</v>
      </c>
      <c r="N3" s="1" t="str">
        <f>PROPER(TEXT(BBDD_fashion_boutique[[#This Row],[purchase_date]],"dddd"))</f>
        <v>Miércoles</v>
      </c>
      <c r="O3" s="1" t="str">
        <f>PROPER(TEXT(BBDD_fashion_boutique[[#This Row],[purchase_date]],"mmmm"))</f>
        <v>Agosto</v>
      </c>
      <c r="P3" s="4">
        <v>2</v>
      </c>
      <c r="Q3" s="2">
        <v>2.5</v>
      </c>
      <c r="R3" t="str">
        <f>IF(BBDD_fashion_boutique[[#This Row],[stock_quantity]]&gt;9,"Ok",IF(BBDD_fashion_boutique[[#This Row],[stock_quantity]]=0,"Agotado","Pocas Unidades"))</f>
        <v>Pocas Unidades</v>
      </c>
      <c r="S3" s="3">
        <f>IF(BBDD_fashion_boutique[[#This Row],[customer_rating]]="","No valorado",BBDD_fashion_boutique[[#This Row],[customer_rating]])</f>
        <v>2.5</v>
      </c>
      <c r="T3" t="s">
        <v>24</v>
      </c>
      <c r="V3">
        <f>IF(BBDD_fashion_boutique[[#This Row],[is_returned]]="False",0,1)</f>
        <v>0</v>
      </c>
      <c r="W3">
        <f>IF(BBDD_fashion_boutique[[#This Row],[is_returned]]="True",0,BBDD_fashion_boutique[[#This Row],[current_price]])</f>
        <v>119.64</v>
      </c>
      <c r="X3" t="str">
        <f>IF(BBDD_fashion_boutique[[#This Row],[return_reason]]="","No return",BBDD_fashion_boutique[[#This Row],[return_reason]])</f>
        <v>No return</v>
      </c>
      <c r="Y3">
        <f>IF(IFERROR(VLOOKUP(BBDD_fashion_boutique[[#This Row],[product_id]],A4:A2179,1,FALSE),0),1,0)</f>
        <v>0</v>
      </c>
    </row>
    <row r="4" spans="1:25" x14ac:dyDescent="0.3">
      <c r="A4" t="s">
        <v>31</v>
      </c>
      <c r="B4" t="s">
        <v>32</v>
      </c>
      <c r="C4" t="s">
        <v>27</v>
      </c>
      <c r="D4" t="s">
        <v>28</v>
      </c>
      <c r="F4" t="str">
        <f>IF(BBDD_fashion_boutique[[#This Row],[category]]="Accessories","Accesorio",IF(BBDD_fashion_boutique[[#This Row],[size]]="","Desconocido",BBDD_fashion_boutique[[#This Row],[size]]))</f>
        <v>Accesorio</v>
      </c>
      <c r="G4" t="s">
        <v>33</v>
      </c>
      <c r="H4" s="2">
        <v>33.799999999999997</v>
      </c>
      <c r="I4">
        <v>0</v>
      </c>
      <c r="J4" s="5">
        <f>BBDD_fashion_boutique[[#This Row],[markdown_percentage]]/100</f>
        <v>0</v>
      </c>
      <c r="K4" s="2">
        <v>33.799999999999997</v>
      </c>
      <c r="L4" s="2">
        <f>BBDD_fashion_boutique[[#This Row],[original_price]]-BBDD_fashion_boutique[[#This Row],[current_price]]</f>
        <v>0</v>
      </c>
      <c r="M4" s="1">
        <v>45875</v>
      </c>
      <c r="N4" s="1" t="str">
        <f>PROPER(TEXT(BBDD_fashion_boutique[[#This Row],[purchase_date]],"dddd"))</f>
        <v>Miércoles</v>
      </c>
      <c r="O4" s="1" t="str">
        <f>PROPER(TEXT(BBDD_fashion_boutique[[#This Row],[purchase_date]],"mmmm"))</f>
        <v>Agosto</v>
      </c>
      <c r="P4" s="4">
        <v>22</v>
      </c>
      <c r="Q4" s="2">
        <v>4.3</v>
      </c>
      <c r="R4" t="str">
        <f>IF(BBDD_fashion_boutique[[#This Row],[stock_quantity]]&gt;9,"Ok",IF(BBDD_fashion_boutique[[#This Row],[stock_quantity]]=0,"Agotado","Pocas Unidades"))</f>
        <v>Ok</v>
      </c>
      <c r="S4" s="3">
        <f>IF(BBDD_fashion_boutique[[#This Row],[customer_rating]]="","No valorado",BBDD_fashion_boutique[[#This Row],[customer_rating]])</f>
        <v>4.3</v>
      </c>
      <c r="T4" t="s">
        <v>24</v>
      </c>
      <c r="V4">
        <f>IF(BBDD_fashion_boutique[[#This Row],[is_returned]]="False",0,1)</f>
        <v>0</v>
      </c>
      <c r="W4">
        <f>IF(BBDD_fashion_boutique[[#This Row],[is_returned]]="True",0,BBDD_fashion_boutique[[#This Row],[current_price]])</f>
        <v>33.799999999999997</v>
      </c>
      <c r="X4" t="str">
        <f>IF(BBDD_fashion_boutique[[#This Row],[return_reason]]="","No return",BBDD_fashion_boutique[[#This Row],[return_reason]])</f>
        <v>No return</v>
      </c>
      <c r="Y4">
        <f>IF(IFERROR(VLOOKUP(BBDD_fashion_boutique[[#This Row],[product_id]],A5:A2180,1,FALSE),0),1,0)</f>
        <v>0</v>
      </c>
    </row>
    <row r="5" spans="1:25" x14ac:dyDescent="0.3">
      <c r="A5" t="s">
        <v>34</v>
      </c>
      <c r="B5" t="s">
        <v>35</v>
      </c>
      <c r="C5" t="s">
        <v>27</v>
      </c>
      <c r="D5" t="s">
        <v>21</v>
      </c>
      <c r="E5" t="s">
        <v>22</v>
      </c>
      <c r="F5" t="str">
        <f>IF(BBDD_fashion_boutique[[#This Row],[category]]="Accessories","Accesorio",IF(BBDD_fashion_boutique[[#This Row],[size]]="","Desconocido",BBDD_fashion_boutique[[#This Row],[size]]))</f>
        <v>XL</v>
      </c>
      <c r="G5" t="s">
        <v>33</v>
      </c>
      <c r="H5" s="2">
        <v>75.36</v>
      </c>
      <c r="I5">
        <v>0</v>
      </c>
      <c r="J5" s="5">
        <f>BBDD_fashion_boutique[[#This Row],[markdown_percentage]]/100</f>
        <v>0</v>
      </c>
      <c r="K5" s="2">
        <v>75.36</v>
      </c>
      <c r="L5" s="2">
        <f>BBDD_fashion_boutique[[#This Row],[original_price]]-BBDD_fashion_boutique[[#This Row],[current_price]]</f>
        <v>0</v>
      </c>
      <c r="M5" s="1">
        <v>45845</v>
      </c>
      <c r="N5" s="1" t="str">
        <f>PROPER(TEXT(BBDD_fashion_boutique[[#This Row],[purchase_date]],"dddd"))</f>
        <v>Lunes</v>
      </c>
      <c r="O5" s="1" t="str">
        <f>PROPER(TEXT(BBDD_fashion_boutique[[#This Row],[purchase_date]],"mmmm"))</f>
        <v>Julio</v>
      </c>
      <c r="P5" s="4">
        <v>48</v>
      </c>
      <c r="Q5" s="2">
        <v>2.6</v>
      </c>
      <c r="R5" t="str">
        <f>IF(BBDD_fashion_boutique[[#This Row],[stock_quantity]]&gt;9,"Ok",IF(BBDD_fashion_boutique[[#This Row],[stock_quantity]]=0,"Agotado","Pocas Unidades"))</f>
        <v>Ok</v>
      </c>
      <c r="S5" s="3">
        <f>IF(BBDD_fashion_boutique[[#This Row],[customer_rating]]="","No valorado",BBDD_fashion_boutique[[#This Row],[customer_rating]])</f>
        <v>2.6</v>
      </c>
      <c r="T5" t="s">
        <v>24</v>
      </c>
      <c r="V5">
        <f>IF(BBDD_fashion_boutique[[#This Row],[is_returned]]="False",0,1)</f>
        <v>0</v>
      </c>
      <c r="W5">
        <f>IF(BBDD_fashion_boutique[[#This Row],[is_returned]]="True",0,BBDD_fashion_boutique[[#This Row],[current_price]])</f>
        <v>75.36</v>
      </c>
      <c r="X5" t="str">
        <f>IF(BBDD_fashion_boutique[[#This Row],[return_reason]]="","No return",BBDD_fashion_boutique[[#This Row],[return_reason]])</f>
        <v>No return</v>
      </c>
      <c r="Y5">
        <f>IF(IFERROR(VLOOKUP(BBDD_fashion_boutique[[#This Row],[product_id]],A6:A2181,1,FALSE),0),1,0)</f>
        <v>0</v>
      </c>
    </row>
    <row r="6" spans="1:25" x14ac:dyDescent="0.3">
      <c r="A6" t="s">
        <v>36</v>
      </c>
      <c r="B6" t="s">
        <v>26</v>
      </c>
      <c r="C6" t="s">
        <v>37</v>
      </c>
      <c r="D6" t="s">
        <v>28</v>
      </c>
      <c r="E6" t="s">
        <v>22</v>
      </c>
      <c r="F6" t="str">
        <f>IF(BBDD_fashion_boutique[[#This Row],[category]]="Accessories","Accesorio",IF(BBDD_fashion_boutique[[#This Row],[size]]="","Desconocido",BBDD_fashion_boutique[[#This Row],[size]]))</f>
        <v>XL</v>
      </c>
      <c r="G6" t="s">
        <v>33</v>
      </c>
      <c r="H6" s="2">
        <v>105.02</v>
      </c>
      <c r="I6">
        <v>0</v>
      </c>
      <c r="J6" s="5">
        <f>BBDD_fashion_boutique[[#This Row],[markdown_percentage]]/100</f>
        <v>0</v>
      </c>
      <c r="K6" s="2">
        <v>105.02</v>
      </c>
      <c r="L6" s="2">
        <f>BBDD_fashion_boutique[[#This Row],[original_price]]-BBDD_fashion_boutique[[#This Row],[current_price]]</f>
        <v>0</v>
      </c>
      <c r="M6" s="1">
        <v>45875</v>
      </c>
      <c r="N6" s="1" t="str">
        <f>PROPER(TEXT(BBDD_fashion_boutique[[#This Row],[purchase_date]],"dddd"))</f>
        <v>Miércoles</v>
      </c>
      <c r="O6" s="1" t="str">
        <f>PROPER(TEXT(BBDD_fashion_boutique[[#This Row],[purchase_date]],"mmmm"))</f>
        <v>Agosto</v>
      </c>
      <c r="P6" s="4">
        <v>10</v>
      </c>
      <c r="R6" t="str">
        <f>IF(BBDD_fashion_boutique[[#This Row],[stock_quantity]]&gt;9,"Ok",IF(BBDD_fashion_boutique[[#This Row],[stock_quantity]]=0,"Agotado","Pocas Unidades"))</f>
        <v>Ok</v>
      </c>
      <c r="S6" s="3" t="str">
        <f>IF(BBDD_fashion_boutique[[#This Row],[customer_rating]]="","No valorado",BBDD_fashion_boutique[[#This Row],[customer_rating]])</f>
        <v>No valorado</v>
      </c>
      <c r="T6" t="s">
        <v>24</v>
      </c>
      <c r="V6">
        <f>IF(BBDD_fashion_boutique[[#This Row],[is_returned]]="False",0,1)</f>
        <v>0</v>
      </c>
      <c r="W6">
        <f>IF(BBDD_fashion_boutique[[#This Row],[is_returned]]="True",0,BBDD_fashion_boutique[[#This Row],[current_price]])</f>
        <v>105.02</v>
      </c>
      <c r="X6" t="str">
        <f>IF(BBDD_fashion_boutique[[#This Row],[return_reason]]="","No return",BBDD_fashion_boutique[[#This Row],[return_reason]])</f>
        <v>No return</v>
      </c>
      <c r="Y6">
        <f>IF(IFERROR(VLOOKUP(BBDD_fashion_boutique[[#This Row],[product_id]],A7:A2182,1,FALSE),0),1,0)</f>
        <v>0</v>
      </c>
    </row>
    <row r="7" spans="1:25" x14ac:dyDescent="0.3">
      <c r="A7" t="s">
        <v>38</v>
      </c>
      <c r="B7" t="s">
        <v>32</v>
      </c>
      <c r="C7" t="s">
        <v>20</v>
      </c>
      <c r="D7" t="s">
        <v>39</v>
      </c>
      <c r="F7" t="str">
        <f>IF(BBDD_fashion_boutique[[#This Row],[category]]="Accessories","Accesorio",IF(BBDD_fashion_boutique[[#This Row],[size]]="","Desconocido",BBDD_fashion_boutique[[#This Row],[size]]))</f>
        <v>Accesorio</v>
      </c>
      <c r="G7" t="s">
        <v>40</v>
      </c>
      <c r="H7" s="2">
        <v>35.03</v>
      </c>
      <c r="I7">
        <v>35.4</v>
      </c>
      <c r="J7" s="5">
        <f>BBDD_fashion_boutique[[#This Row],[markdown_percentage]]/100</f>
        <v>0.35399999999999998</v>
      </c>
      <c r="K7" s="2">
        <v>22.63</v>
      </c>
      <c r="L7" s="2">
        <f>BBDD_fashion_boutique[[#This Row],[original_price]]-BBDD_fashion_boutique[[#This Row],[current_price]]</f>
        <v>12.400000000000002</v>
      </c>
      <c r="M7" s="1">
        <v>45875</v>
      </c>
      <c r="N7" s="1" t="str">
        <f>PROPER(TEXT(BBDD_fashion_boutique[[#This Row],[purchase_date]],"dddd"))</f>
        <v>Miércoles</v>
      </c>
      <c r="O7" s="1" t="str">
        <f>PROPER(TEXT(BBDD_fashion_boutique[[#This Row],[purchase_date]],"mmmm"))</f>
        <v>Agosto</v>
      </c>
      <c r="P7" s="4">
        <v>38</v>
      </c>
      <c r="Q7" s="2">
        <v>2.9</v>
      </c>
      <c r="R7" t="str">
        <f>IF(BBDD_fashion_boutique[[#This Row],[stock_quantity]]&gt;9,"Ok",IF(BBDD_fashion_boutique[[#This Row],[stock_quantity]]=0,"Agotado","Pocas Unidades"))</f>
        <v>Ok</v>
      </c>
      <c r="S7" s="3">
        <f>IF(BBDD_fashion_boutique[[#This Row],[customer_rating]]="","No valorado",BBDD_fashion_boutique[[#This Row],[customer_rating]])</f>
        <v>2.9</v>
      </c>
      <c r="T7" t="s">
        <v>41</v>
      </c>
      <c r="U7" t="s">
        <v>42</v>
      </c>
      <c r="V7">
        <f>IF(BBDD_fashion_boutique[[#This Row],[is_returned]]="False",0,1)</f>
        <v>1</v>
      </c>
      <c r="W7">
        <f>IF(BBDD_fashion_boutique[[#This Row],[is_returned]]="True",0,BBDD_fashion_boutique[[#This Row],[current_price]])</f>
        <v>0</v>
      </c>
      <c r="X7" t="str">
        <f>IF(BBDD_fashion_boutique[[#This Row],[return_reason]]="","No return",BBDD_fashion_boutique[[#This Row],[return_reason]])</f>
        <v>Color Mismatch</v>
      </c>
      <c r="Y7">
        <f>IF(IFERROR(VLOOKUP(BBDD_fashion_boutique[[#This Row],[product_id]],A8:A2183,1,FALSE),0),1,0)</f>
        <v>0</v>
      </c>
    </row>
    <row r="8" spans="1:25" x14ac:dyDescent="0.3">
      <c r="A8" t="s">
        <v>43</v>
      </c>
      <c r="B8" t="s">
        <v>44</v>
      </c>
      <c r="C8" t="s">
        <v>20</v>
      </c>
      <c r="D8" t="s">
        <v>21</v>
      </c>
      <c r="E8" t="s">
        <v>45</v>
      </c>
      <c r="F8" t="str">
        <f>IF(BBDD_fashion_boutique[[#This Row],[category]]="Accessories","Accesorio",IF(BBDD_fashion_boutique[[#This Row],[size]]="","Desconocido",BBDD_fashion_boutique[[#This Row],[size]]))</f>
        <v>S</v>
      </c>
      <c r="G8" t="s">
        <v>46</v>
      </c>
      <c r="H8" s="2">
        <v>53.83</v>
      </c>
      <c r="I8">
        <v>54.5</v>
      </c>
      <c r="J8" s="5">
        <f>BBDD_fashion_boutique[[#This Row],[markdown_percentage]]/100</f>
        <v>0.54500000000000004</v>
      </c>
      <c r="K8" s="2">
        <v>24.49</v>
      </c>
      <c r="L8" s="2">
        <f>BBDD_fashion_boutique[[#This Row],[original_price]]-BBDD_fashion_boutique[[#This Row],[current_price]]</f>
        <v>29.34</v>
      </c>
      <c r="M8" s="1">
        <v>45594</v>
      </c>
      <c r="N8" s="1" t="str">
        <f>PROPER(TEXT(BBDD_fashion_boutique[[#This Row],[purchase_date]],"dddd"))</f>
        <v>Martes</v>
      </c>
      <c r="O8" s="1" t="str">
        <f>PROPER(TEXT(BBDD_fashion_boutique[[#This Row],[purchase_date]],"mmmm"))</f>
        <v>Octubre</v>
      </c>
      <c r="P8" s="4">
        <v>38</v>
      </c>
      <c r="Q8" s="2">
        <v>2.6</v>
      </c>
      <c r="R8" t="str">
        <f>IF(BBDD_fashion_boutique[[#This Row],[stock_quantity]]&gt;9,"Ok",IF(BBDD_fashion_boutique[[#This Row],[stock_quantity]]=0,"Agotado","Pocas Unidades"))</f>
        <v>Ok</v>
      </c>
      <c r="S8" s="3">
        <f>IF(BBDD_fashion_boutique[[#This Row],[customer_rating]]="","No valorado",BBDD_fashion_boutique[[#This Row],[customer_rating]])</f>
        <v>2.6</v>
      </c>
      <c r="T8" t="s">
        <v>24</v>
      </c>
      <c r="V8">
        <f>IF(BBDD_fashion_boutique[[#This Row],[is_returned]]="False",0,1)</f>
        <v>0</v>
      </c>
      <c r="W8">
        <f>IF(BBDD_fashion_boutique[[#This Row],[is_returned]]="True",0,BBDD_fashion_boutique[[#This Row],[current_price]])</f>
        <v>24.49</v>
      </c>
      <c r="X8" t="str">
        <f>IF(BBDD_fashion_boutique[[#This Row],[return_reason]]="","No return",BBDD_fashion_boutique[[#This Row],[return_reason]])</f>
        <v>No return</v>
      </c>
      <c r="Y8">
        <f>IF(IFERROR(VLOOKUP(BBDD_fashion_boutique[[#This Row],[product_id]],A9:A2184,1,FALSE),0),1,0)</f>
        <v>0</v>
      </c>
    </row>
    <row r="9" spans="1:25" x14ac:dyDescent="0.3">
      <c r="A9" t="s">
        <v>47</v>
      </c>
      <c r="B9" t="s">
        <v>48</v>
      </c>
      <c r="C9" t="s">
        <v>49</v>
      </c>
      <c r="D9" t="s">
        <v>28</v>
      </c>
      <c r="E9" t="s">
        <v>22</v>
      </c>
      <c r="F9" t="str">
        <f>IF(BBDD_fashion_boutique[[#This Row],[category]]="Accessories","Accesorio",IF(BBDD_fashion_boutique[[#This Row],[size]]="","Desconocido",BBDD_fashion_boutique[[#This Row],[size]]))</f>
        <v>XL</v>
      </c>
      <c r="G9" t="s">
        <v>50</v>
      </c>
      <c r="H9" s="2">
        <v>91.55</v>
      </c>
      <c r="I9">
        <v>22.1</v>
      </c>
      <c r="J9" s="5">
        <f>BBDD_fashion_boutique[[#This Row],[markdown_percentage]]/100</f>
        <v>0.221</v>
      </c>
      <c r="K9" s="2">
        <v>71.319999999999993</v>
      </c>
      <c r="L9" s="2">
        <f>BBDD_fashion_boutique[[#This Row],[original_price]]-BBDD_fashion_boutique[[#This Row],[current_price]]</f>
        <v>20.230000000000004</v>
      </c>
      <c r="M9" s="1">
        <v>45875</v>
      </c>
      <c r="N9" s="1" t="str">
        <f>PROPER(TEXT(BBDD_fashion_boutique[[#This Row],[purchase_date]],"dddd"))</f>
        <v>Miércoles</v>
      </c>
      <c r="O9" s="1" t="str">
        <f>PROPER(TEXT(BBDD_fashion_boutique[[#This Row],[purchase_date]],"mmmm"))</f>
        <v>Agosto</v>
      </c>
      <c r="P9" s="4">
        <v>47</v>
      </c>
      <c r="Q9" s="2">
        <v>1.6</v>
      </c>
      <c r="R9" t="str">
        <f>IF(BBDD_fashion_boutique[[#This Row],[stock_quantity]]&gt;9,"Ok",IF(BBDD_fashion_boutique[[#This Row],[stock_quantity]]=0,"Agotado","Pocas Unidades"))</f>
        <v>Ok</v>
      </c>
      <c r="S9" s="3">
        <f>IF(BBDD_fashion_boutique[[#This Row],[customer_rating]]="","No valorado",BBDD_fashion_boutique[[#This Row],[customer_rating]])</f>
        <v>1.6</v>
      </c>
      <c r="T9" t="s">
        <v>24</v>
      </c>
      <c r="V9">
        <f>IF(BBDD_fashion_boutique[[#This Row],[is_returned]]="False",0,1)</f>
        <v>0</v>
      </c>
      <c r="W9">
        <f>IF(BBDD_fashion_boutique[[#This Row],[is_returned]]="True",0,BBDD_fashion_boutique[[#This Row],[current_price]])</f>
        <v>71.319999999999993</v>
      </c>
      <c r="X9" t="str">
        <f>IF(BBDD_fashion_boutique[[#This Row],[return_reason]]="","No return",BBDD_fashion_boutique[[#This Row],[return_reason]])</f>
        <v>No return</v>
      </c>
      <c r="Y9">
        <f>IF(IFERROR(VLOOKUP(BBDD_fashion_boutique[[#This Row],[product_id]],A10:A2185,1,FALSE),0),1,0)</f>
        <v>0</v>
      </c>
    </row>
    <row r="10" spans="1:25" x14ac:dyDescent="0.3">
      <c r="A10" t="s">
        <v>51</v>
      </c>
      <c r="B10" t="s">
        <v>19</v>
      </c>
      <c r="C10" t="s">
        <v>27</v>
      </c>
      <c r="D10" t="s">
        <v>21</v>
      </c>
      <c r="E10" t="s">
        <v>22</v>
      </c>
      <c r="F10" t="str">
        <f>IF(BBDD_fashion_boutique[[#This Row],[category]]="Accessories","Accesorio",IF(BBDD_fashion_boutique[[#This Row],[size]]="","Desconocido",BBDD_fashion_boutique[[#This Row],[size]]))</f>
        <v>XL</v>
      </c>
      <c r="G10" t="s">
        <v>52</v>
      </c>
      <c r="H10" s="2">
        <v>227.73</v>
      </c>
      <c r="I10">
        <v>12.8</v>
      </c>
      <c r="J10" s="5">
        <f>BBDD_fashion_boutique[[#This Row],[markdown_percentage]]/100</f>
        <v>0.128</v>
      </c>
      <c r="K10" s="2">
        <v>198.58</v>
      </c>
      <c r="L10" s="2">
        <f>BBDD_fashion_boutique[[#This Row],[original_price]]-BBDD_fashion_boutique[[#This Row],[current_price]]</f>
        <v>29.149999999999977</v>
      </c>
      <c r="M10" s="1">
        <v>45740</v>
      </c>
      <c r="N10" s="1" t="str">
        <f>PROPER(TEXT(BBDD_fashion_boutique[[#This Row],[purchase_date]],"dddd"))</f>
        <v>Lunes</v>
      </c>
      <c r="O10" s="1" t="str">
        <f>PROPER(TEXT(BBDD_fashion_boutique[[#This Row],[purchase_date]],"mmmm"))</f>
        <v>Marzo</v>
      </c>
      <c r="P10" s="4">
        <v>14</v>
      </c>
      <c r="R10" t="str">
        <f>IF(BBDD_fashion_boutique[[#This Row],[stock_quantity]]&gt;9,"Ok",IF(BBDD_fashion_boutique[[#This Row],[stock_quantity]]=0,"Agotado","Pocas Unidades"))</f>
        <v>Ok</v>
      </c>
      <c r="S10" s="3" t="str">
        <f>IF(BBDD_fashion_boutique[[#This Row],[customer_rating]]="","No valorado",BBDD_fashion_boutique[[#This Row],[customer_rating]])</f>
        <v>No valorado</v>
      </c>
      <c r="T10" t="s">
        <v>24</v>
      </c>
      <c r="V10">
        <f>IF(BBDD_fashion_boutique[[#This Row],[is_returned]]="False",0,1)</f>
        <v>0</v>
      </c>
      <c r="W10">
        <f>IF(BBDD_fashion_boutique[[#This Row],[is_returned]]="True",0,BBDD_fashion_boutique[[#This Row],[current_price]])</f>
        <v>198.58</v>
      </c>
      <c r="X10" t="str">
        <f>IF(BBDD_fashion_boutique[[#This Row],[return_reason]]="","No return",BBDD_fashion_boutique[[#This Row],[return_reason]])</f>
        <v>No return</v>
      </c>
      <c r="Y10">
        <f>IF(IFERROR(VLOOKUP(BBDD_fashion_boutique[[#This Row],[product_id]],A11:A2186,1,FALSE),0),1,0)</f>
        <v>0</v>
      </c>
    </row>
    <row r="11" spans="1:25" x14ac:dyDescent="0.3">
      <c r="A11" t="s">
        <v>53</v>
      </c>
      <c r="B11" t="s">
        <v>19</v>
      </c>
      <c r="C11" t="s">
        <v>54</v>
      </c>
      <c r="D11" t="s">
        <v>39</v>
      </c>
      <c r="E11" t="s">
        <v>55</v>
      </c>
      <c r="F11" t="str">
        <f>IF(BBDD_fashion_boutique[[#This Row],[category]]="Accessories","Accesorio",IF(BBDD_fashion_boutique[[#This Row],[size]]="","Desconocido",BBDD_fashion_boutique[[#This Row],[size]]))</f>
        <v>XXL</v>
      </c>
      <c r="G11" t="s">
        <v>30</v>
      </c>
      <c r="H11" s="2">
        <v>248.41</v>
      </c>
      <c r="I11">
        <v>10.9</v>
      </c>
      <c r="J11" s="5">
        <f>BBDD_fashion_boutique[[#This Row],[markdown_percentage]]/100</f>
        <v>0.109</v>
      </c>
      <c r="K11" s="2">
        <v>221.33</v>
      </c>
      <c r="L11" s="2">
        <f>BBDD_fashion_boutique[[#This Row],[original_price]]-BBDD_fashion_boutique[[#This Row],[current_price]]</f>
        <v>27.079999999999984</v>
      </c>
      <c r="M11" s="1">
        <v>45875</v>
      </c>
      <c r="N11" s="1" t="str">
        <f>PROPER(TEXT(BBDD_fashion_boutique[[#This Row],[purchase_date]],"dddd"))</f>
        <v>Miércoles</v>
      </c>
      <c r="O11" s="1" t="str">
        <f>PROPER(TEXT(BBDD_fashion_boutique[[#This Row],[purchase_date]],"mmmm"))</f>
        <v>Agosto</v>
      </c>
      <c r="P11" s="4">
        <v>37</v>
      </c>
      <c r="R11" t="str">
        <f>IF(BBDD_fashion_boutique[[#This Row],[stock_quantity]]&gt;9,"Ok",IF(BBDD_fashion_boutique[[#This Row],[stock_quantity]]=0,"Agotado","Pocas Unidades"))</f>
        <v>Ok</v>
      </c>
      <c r="S11" s="3" t="str">
        <f>IF(BBDD_fashion_boutique[[#This Row],[customer_rating]]="","No valorado",BBDD_fashion_boutique[[#This Row],[customer_rating]])</f>
        <v>No valorado</v>
      </c>
      <c r="T11" t="s">
        <v>24</v>
      </c>
      <c r="V11">
        <f>IF(BBDD_fashion_boutique[[#This Row],[is_returned]]="False",0,1)</f>
        <v>0</v>
      </c>
      <c r="W11">
        <f>IF(BBDD_fashion_boutique[[#This Row],[is_returned]]="True",0,BBDD_fashion_boutique[[#This Row],[current_price]])</f>
        <v>221.33</v>
      </c>
      <c r="X11" t="str">
        <f>IF(BBDD_fashion_boutique[[#This Row],[return_reason]]="","No return",BBDD_fashion_boutique[[#This Row],[return_reason]])</f>
        <v>No return</v>
      </c>
      <c r="Y11">
        <f>IF(IFERROR(VLOOKUP(BBDD_fashion_boutique[[#This Row],[product_id]],A12:A2187,1,FALSE),0),1,0)</f>
        <v>0</v>
      </c>
    </row>
    <row r="12" spans="1:25" x14ac:dyDescent="0.3">
      <c r="A12" t="s">
        <v>56</v>
      </c>
      <c r="B12" t="s">
        <v>26</v>
      </c>
      <c r="C12" t="s">
        <v>49</v>
      </c>
      <c r="D12" t="s">
        <v>21</v>
      </c>
      <c r="E12" t="s">
        <v>29</v>
      </c>
      <c r="F12" t="str">
        <f>IF(BBDD_fashion_boutique[[#This Row],[category]]="Accessories","Accesorio",IF(BBDD_fashion_boutique[[#This Row],[size]]="","Desconocido",BBDD_fashion_boutique[[#This Row],[size]]))</f>
        <v>L</v>
      </c>
      <c r="G12" t="s">
        <v>33</v>
      </c>
      <c r="H12" s="2">
        <v>116.84</v>
      </c>
      <c r="I12">
        <v>0</v>
      </c>
      <c r="J12" s="5">
        <f>BBDD_fashion_boutique[[#This Row],[markdown_percentage]]/100</f>
        <v>0</v>
      </c>
      <c r="K12" s="2">
        <v>116.84</v>
      </c>
      <c r="L12" s="2">
        <f>BBDD_fashion_boutique[[#This Row],[original_price]]-BBDD_fashion_boutique[[#This Row],[current_price]]</f>
        <v>0</v>
      </c>
      <c r="M12" s="1">
        <v>45772</v>
      </c>
      <c r="N12" s="1" t="str">
        <f>PROPER(TEXT(BBDD_fashion_boutique[[#This Row],[purchase_date]],"dddd"))</f>
        <v>Viernes</v>
      </c>
      <c r="O12" s="1" t="str">
        <f>PROPER(TEXT(BBDD_fashion_boutique[[#This Row],[purchase_date]],"mmmm"))</f>
        <v>Abril</v>
      </c>
      <c r="P12" s="4">
        <v>3</v>
      </c>
      <c r="Q12" s="2">
        <v>4.4000000000000004</v>
      </c>
      <c r="R12" t="str">
        <f>IF(BBDD_fashion_boutique[[#This Row],[stock_quantity]]&gt;9,"Ok",IF(BBDD_fashion_boutique[[#This Row],[stock_quantity]]=0,"Agotado","Pocas Unidades"))</f>
        <v>Pocas Unidades</v>
      </c>
      <c r="S12" s="3">
        <f>IF(BBDD_fashion_boutique[[#This Row],[customer_rating]]="","No valorado",BBDD_fashion_boutique[[#This Row],[customer_rating]])</f>
        <v>4.4000000000000004</v>
      </c>
      <c r="T12" t="s">
        <v>24</v>
      </c>
      <c r="V12">
        <f>IF(BBDD_fashion_boutique[[#This Row],[is_returned]]="False",0,1)</f>
        <v>0</v>
      </c>
      <c r="W12">
        <f>IF(BBDD_fashion_boutique[[#This Row],[is_returned]]="True",0,BBDD_fashion_boutique[[#This Row],[current_price]])</f>
        <v>116.84</v>
      </c>
      <c r="X12" t="str">
        <f>IF(BBDD_fashion_boutique[[#This Row],[return_reason]]="","No return",BBDD_fashion_boutique[[#This Row],[return_reason]])</f>
        <v>No return</v>
      </c>
      <c r="Y12">
        <f>IF(IFERROR(VLOOKUP(BBDD_fashion_boutique[[#This Row],[product_id]],A13:A2188,1,FALSE),0),1,0)</f>
        <v>0</v>
      </c>
    </row>
    <row r="13" spans="1:25" x14ac:dyDescent="0.3">
      <c r="A13" t="s">
        <v>57</v>
      </c>
      <c r="B13" t="s">
        <v>35</v>
      </c>
      <c r="C13" t="s">
        <v>27</v>
      </c>
      <c r="D13" t="s">
        <v>28</v>
      </c>
      <c r="E13" t="s">
        <v>45</v>
      </c>
      <c r="F13" t="str">
        <f>IF(BBDD_fashion_boutique[[#This Row],[category]]="Accessories","Accesorio",IF(BBDD_fashion_boutique[[#This Row],[size]]="","Desconocido",BBDD_fashion_boutique[[#This Row],[size]]))</f>
        <v>S</v>
      </c>
      <c r="G13" t="s">
        <v>50</v>
      </c>
      <c r="H13" s="2">
        <v>146.97999999999999</v>
      </c>
      <c r="I13">
        <v>0</v>
      </c>
      <c r="J13" s="5">
        <f>BBDD_fashion_boutique[[#This Row],[markdown_percentage]]/100</f>
        <v>0</v>
      </c>
      <c r="K13" s="2">
        <v>146.97999999999999</v>
      </c>
      <c r="L13" s="2">
        <f>BBDD_fashion_boutique[[#This Row],[original_price]]-BBDD_fashion_boutique[[#This Row],[current_price]]</f>
        <v>0</v>
      </c>
      <c r="M13" s="1">
        <v>45875</v>
      </c>
      <c r="N13" s="1" t="str">
        <f>PROPER(TEXT(BBDD_fashion_boutique[[#This Row],[purchase_date]],"dddd"))</f>
        <v>Miércoles</v>
      </c>
      <c r="O13" s="1" t="str">
        <f>PROPER(TEXT(BBDD_fashion_boutique[[#This Row],[purchase_date]],"mmmm"))</f>
        <v>Agosto</v>
      </c>
      <c r="P13" s="4">
        <v>2</v>
      </c>
      <c r="Q13" s="2">
        <v>3.4</v>
      </c>
      <c r="R13" t="str">
        <f>IF(BBDD_fashion_boutique[[#This Row],[stock_quantity]]&gt;9,"Ok",IF(BBDD_fashion_boutique[[#This Row],[stock_quantity]]=0,"Agotado","Pocas Unidades"))</f>
        <v>Pocas Unidades</v>
      </c>
      <c r="S13" s="3">
        <f>IF(BBDD_fashion_boutique[[#This Row],[customer_rating]]="","No valorado",BBDD_fashion_boutique[[#This Row],[customer_rating]])</f>
        <v>3.4</v>
      </c>
      <c r="T13" t="s">
        <v>24</v>
      </c>
      <c r="V13">
        <f>IF(BBDD_fashion_boutique[[#This Row],[is_returned]]="False",0,1)</f>
        <v>0</v>
      </c>
      <c r="W13">
        <f>IF(BBDD_fashion_boutique[[#This Row],[is_returned]]="True",0,BBDD_fashion_boutique[[#This Row],[current_price]])</f>
        <v>146.97999999999999</v>
      </c>
      <c r="X13" t="str">
        <f>IF(BBDD_fashion_boutique[[#This Row],[return_reason]]="","No return",BBDD_fashion_boutique[[#This Row],[return_reason]])</f>
        <v>No return</v>
      </c>
      <c r="Y13">
        <f>IF(IFERROR(VLOOKUP(BBDD_fashion_boutique[[#This Row],[product_id]],A14:A2189,1,FALSE),0),1,0)</f>
        <v>0</v>
      </c>
    </row>
    <row r="14" spans="1:25" x14ac:dyDescent="0.3">
      <c r="A14" t="s">
        <v>58</v>
      </c>
      <c r="B14" t="s">
        <v>44</v>
      </c>
      <c r="C14" t="s">
        <v>59</v>
      </c>
      <c r="D14" t="s">
        <v>21</v>
      </c>
      <c r="E14" t="s">
        <v>45</v>
      </c>
      <c r="F14" t="str">
        <f>IF(BBDD_fashion_boutique[[#This Row],[category]]="Accessories","Accesorio",IF(BBDD_fashion_boutique[[#This Row],[size]]="","Desconocido",BBDD_fashion_boutique[[#This Row],[size]]))</f>
        <v>S</v>
      </c>
      <c r="G14" t="s">
        <v>40</v>
      </c>
      <c r="H14" s="2">
        <v>37.51</v>
      </c>
      <c r="I14">
        <v>0</v>
      </c>
      <c r="J14" s="5">
        <f>BBDD_fashion_boutique[[#This Row],[markdown_percentage]]/100</f>
        <v>0</v>
      </c>
      <c r="K14" s="2">
        <v>37.51</v>
      </c>
      <c r="L14" s="2">
        <f>BBDD_fashion_boutique[[#This Row],[original_price]]-BBDD_fashion_boutique[[#This Row],[current_price]]</f>
        <v>0</v>
      </c>
      <c r="M14" s="1">
        <v>45661</v>
      </c>
      <c r="N14" s="1" t="str">
        <f>PROPER(TEXT(BBDD_fashion_boutique[[#This Row],[purchase_date]],"dddd"))</f>
        <v>Sábado</v>
      </c>
      <c r="O14" s="1" t="str">
        <f>PROPER(TEXT(BBDD_fashion_boutique[[#This Row],[purchase_date]],"mmmm"))</f>
        <v>Enero</v>
      </c>
      <c r="P14" s="4">
        <v>43</v>
      </c>
      <c r="R14" t="str">
        <f>IF(BBDD_fashion_boutique[[#This Row],[stock_quantity]]&gt;9,"Ok",IF(BBDD_fashion_boutique[[#This Row],[stock_quantity]]=0,"Agotado","Pocas Unidades"))</f>
        <v>Ok</v>
      </c>
      <c r="S14" s="3" t="str">
        <f>IF(BBDD_fashion_boutique[[#This Row],[customer_rating]]="","No valorado",BBDD_fashion_boutique[[#This Row],[customer_rating]])</f>
        <v>No valorado</v>
      </c>
      <c r="T14" t="s">
        <v>24</v>
      </c>
      <c r="V14">
        <f>IF(BBDD_fashion_boutique[[#This Row],[is_returned]]="False",0,1)</f>
        <v>0</v>
      </c>
      <c r="W14">
        <f>IF(BBDD_fashion_boutique[[#This Row],[is_returned]]="True",0,BBDD_fashion_boutique[[#This Row],[current_price]])</f>
        <v>37.51</v>
      </c>
      <c r="X14" t="str">
        <f>IF(BBDD_fashion_boutique[[#This Row],[return_reason]]="","No return",BBDD_fashion_boutique[[#This Row],[return_reason]])</f>
        <v>No return</v>
      </c>
      <c r="Y14">
        <f>IF(IFERROR(VLOOKUP(BBDD_fashion_boutique[[#This Row],[product_id]],A15:A2190,1,FALSE),0),1,0)</f>
        <v>0</v>
      </c>
    </row>
    <row r="15" spans="1:25" x14ac:dyDescent="0.3">
      <c r="A15" t="s">
        <v>60</v>
      </c>
      <c r="B15" t="s">
        <v>48</v>
      </c>
      <c r="C15" t="s">
        <v>27</v>
      </c>
      <c r="D15" t="s">
        <v>39</v>
      </c>
      <c r="E15" t="s">
        <v>61</v>
      </c>
      <c r="F15" t="str">
        <f>IF(BBDD_fashion_boutique[[#This Row],[category]]="Accessories","Accesorio",IF(BBDD_fashion_boutique[[#This Row],[size]]="","Desconocido",BBDD_fashion_boutique[[#This Row],[size]]))</f>
        <v>XS</v>
      </c>
      <c r="G15" t="s">
        <v>62</v>
      </c>
      <c r="H15" s="2">
        <v>48.15</v>
      </c>
      <c r="I15">
        <v>0</v>
      </c>
      <c r="J15" s="5">
        <f>BBDD_fashion_boutique[[#This Row],[markdown_percentage]]/100</f>
        <v>0</v>
      </c>
      <c r="K15" s="2">
        <v>48.15</v>
      </c>
      <c r="L15" s="2">
        <f>BBDD_fashion_boutique[[#This Row],[original_price]]-BBDD_fashion_boutique[[#This Row],[current_price]]</f>
        <v>0</v>
      </c>
      <c r="M15" s="1">
        <v>45875</v>
      </c>
      <c r="N15" s="1" t="str">
        <f>PROPER(TEXT(BBDD_fashion_boutique[[#This Row],[purchase_date]],"dddd"))</f>
        <v>Miércoles</v>
      </c>
      <c r="O15" s="1" t="str">
        <f>PROPER(TEXT(BBDD_fashion_boutique[[#This Row],[purchase_date]],"mmmm"))</f>
        <v>Agosto</v>
      </c>
      <c r="P15" s="4">
        <v>39</v>
      </c>
      <c r="Q15" s="2">
        <v>1.6</v>
      </c>
      <c r="R15" t="str">
        <f>IF(BBDD_fashion_boutique[[#This Row],[stock_quantity]]&gt;9,"Ok",IF(BBDD_fashion_boutique[[#This Row],[stock_quantity]]=0,"Agotado","Pocas Unidades"))</f>
        <v>Ok</v>
      </c>
      <c r="S15" s="3">
        <f>IF(BBDD_fashion_boutique[[#This Row],[customer_rating]]="","No valorado",BBDD_fashion_boutique[[#This Row],[customer_rating]])</f>
        <v>1.6</v>
      </c>
      <c r="T15" t="s">
        <v>24</v>
      </c>
      <c r="V15">
        <f>IF(BBDD_fashion_boutique[[#This Row],[is_returned]]="False",0,1)</f>
        <v>0</v>
      </c>
      <c r="W15">
        <f>IF(BBDD_fashion_boutique[[#This Row],[is_returned]]="True",0,BBDD_fashion_boutique[[#This Row],[current_price]])</f>
        <v>48.15</v>
      </c>
      <c r="X15" t="str">
        <f>IF(BBDD_fashion_boutique[[#This Row],[return_reason]]="","No return",BBDD_fashion_boutique[[#This Row],[return_reason]])</f>
        <v>No return</v>
      </c>
      <c r="Y15">
        <f>IF(IFERROR(VLOOKUP(BBDD_fashion_boutique[[#This Row],[product_id]],A16:A2191,1,FALSE),0),1,0)</f>
        <v>0</v>
      </c>
    </row>
    <row r="16" spans="1:25" x14ac:dyDescent="0.3">
      <c r="A16" t="s">
        <v>63</v>
      </c>
      <c r="B16" t="s">
        <v>26</v>
      </c>
      <c r="C16" t="s">
        <v>49</v>
      </c>
      <c r="D16" t="s">
        <v>28</v>
      </c>
      <c r="E16" t="s">
        <v>64</v>
      </c>
      <c r="F16" t="str">
        <f>IF(BBDD_fashion_boutique[[#This Row],[category]]="Accessories","Accesorio",IF(BBDD_fashion_boutique[[#This Row],[size]]="","Desconocido",BBDD_fashion_boutique[[#This Row],[size]]))</f>
        <v>M</v>
      </c>
      <c r="G16" t="s">
        <v>62</v>
      </c>
      <c r="H16" s="2">
        <v>79.66</v>
      </c>
      <c r="I16">
        <v>0</v>
      </c>
      <c r="J16" s="5">
        <f>BBDD_fashion_boutique[[#This Row],[markdown_percentage]]/100</f>
        <v>0</v>
      </c>
      <c r="K16" s="2">
        <v>79.66</v>
      </c>
      <c r="L16" s="2">
        <f>BBDD_fashion_boutique[[#This Row],[original_price]]-BBDD_fashion_boutique[[#This Row],[current_price]]</f>
        <v>0</v>
      </c>
      <c r="M16" s="1">
        <v>45875</v>
      </c>
      <c r="N16" s="1" t="str">
        <f>PROPER(TEXT(BBDD_fashion_boutique[[#This Row],[purchase_date]],"dddd"))</f>
        <v>Miércoles</v>
      </c>
      <c r="O16" s="1" t="str">
        <f>PROPER(TEXT(BBDD_fashion_boutique[[#This Row],[purchase_date]],"mmmm"))</f>
        <v>Agosto</v>
      </c>
      <c r="P16" s="4">
        <v>7</v>
      </c>
      <c r="Q16" s="2">
        <v>1.7</v>
      </c>
      <c r="R16" t="str">
        <f>IF(BBDD_fashion_boutique[[#This Row],[stock_quantity]]&gt;9,"Ok",IF(BBDD_fashion_boutique[[#This Row],[stock_quantity]]=0,"Agotado","Pocas Unidades"))</f>
        <v>Pocas Unidades</v>
      </c>
      <c r="S16" s="3">
        <f>IF(BBDD_fashion_boutique[[#This Row],[customer_rating]]="","No valorado",BBDD_fashion_boutique[[#This Row],[customer_rating]])</f>
        <v>1.7</v>
      </c>
      <c r="T16" t="s">
        <v>24</v>
      </c>
      <c r="V16">
        <f>IF(BBDD_fashion_boutique[[#This Row],[is_returned]]="False",0,1)</f>
        <v>0</v>
      </c>
      <c r="W16">
        <f>IF(BBDD_fashion_boutique[[#This Row],[is_returned]]="True",0,BBDD_fashion_boutique[[#This Row],[current_price]])</f>
        <v>79.66</v>
      </c>
      <c r="X16" t="str">
        <f>IF(BBDD_fashion_boutique[[#This Row],[return_reason]]="","No return",BBDD_fashion_boutique[[#This Row],[return_reason]])</f>
        <v>No return</v>
      </c>
      <c r="Y16">
        <f>IF(IFERROR(VLOOKUP(BBDD_fashion_boutique[[#This Row],[product_id]],A17:A2192,1,FALSE),0),1,0)</f>
        <v>0</v>
      </c>
    </row>
    <row r="17" spans="1:25" x14ac:dyDescent="0.3">
      <c r="A17" t="s">
        <v>65</v>
      </c>
      <c r="B17" t="s">
        <v>32</v>
      </c>
      <c r="C17" t="s">
        <v>49</v>
      </c>
      <c r="D17" t="s">
        <v>28</v>
      </c>
      <c r="F17" t="str">
        <f>IF(BBDD_fashion_boutique[[#This Row],[category]]="Accessories","Accesorio",IF(BBDD_fashion_boutique[[#This Row],[size]]="","Desconocido",BBDD_fashion_boutique[[#This Row],[size]]))</f>
        <v>Accesorio</v>
      </c>
      <c r="G17" t="s">
        <v>52</v>
      </c>
      <c r="H17" s="2">
        <v>67.569999999999993</v>
      </c>
      <c r="I17">
        <v>0</v>
      </c>
      <c r="J17" s="5">
        <f>BBDD_fashion_boutique[[#This Row],[markdown_percentage]]/100</f>
        <v>0</v>
      </c>
      <c r="K17" s="2">
        <v>67.569999999999993</v>
      </c>
      <c r="L17" s="2">
        <f>BBDD_fashion_boutique[[#This Row],[original_price]]-BBDD_fashion_boutique[[#This Row],[current_price]]</f>
        <v>0</v>
      </c>
      <c r="M17" s="1">
        <v>45875</v>
      </c>
      <c r="N17" s="1" t="str">
        <f>PROPER(TEXT(BBDD_fashion_boutique[[#This Row],[purchase_date]],"dddd"))</f>
        <v>Miércoles</v>
      </c>
      <c r="O17" s="1" t="str">
        <f>PROPER(TEXT(BBDD_fashion_boutique[[#This Row],[purchase_date]],"mmmm"))</f>
        <v>Agosto</v>
      </c>
      <c r="P17" s="4">
        <v>17</v>
      </c>
      <c r="Q17" s="2">
        <v>2.4</v>
      </c>
      <c r="R17" t="str">
        <f>IF(BBDD_fashion_boutique[[#This Row],[stock_quantity]]&gt;9,"Ok",IF(BBDD_fashion_boutique[[#This Row],[stock_quantity]]=0,"Agotado","Pocas Unidades"))</f>
        <v>Ok</v>
      </c>
      <c r="S17" s="3">
        <f>IF(BBDD_fashion_boutique[[#This Row],[customer_rating]]="","No valorado",BBDD_fashion_boutique[[#This Row],[customer_rating]])</f>
        <v>2.4</v>
      </c>
      <c r="T17" t="s">
        <v>24</v>
      </c>
      <c r="V17">
        <f>IF(BBDD_fashion_boutique[[#This Row],[is_returned]]="False",0,1)</f>
        <v>0</v>
      </c>
      <c r="W17">
        <f>IF(BBDD_fashion_boutique[[#This Row],[is_returned]]="True",0,BBDD_fashion_boutique[[#This Row],[current_price]])</f>
        <v>67.569999999999993</v>
      </c>
      <c r="X17" t="str">
        <f>IF(BBDD_fashion_boutique[[#This Row],[return_reason]]="","No return",BBDD_fashion_boutique[[#This Row],[return_reason]])</f>
        <v>No return</v>
      </c>
      <c r="Y17">
        <f>IF(IFERROR(VLOOKUP(BBDD_fashion_boutique[[#This Row],[product_id]],A18:A2193,1,FALSE),0),1,0)</f>
        <v>0</v>
      </c>
    </row>
    <row r="18" spans="1:25" x14ac:dyDescent="0.3">
      <c r="A18" t="s">
        <v>66</v>
      </c>
      <c r="B18" t="s">
        <v>35</v>
      </c>
      <c r="C18" t="s">
        <v>67</v>
      </c>
      <c r="D18" t="s">
        <v>68</v>
      </c>
      <c r="E18" t="s">
        <v>45</v>
      </c>
      <c r="F18" t="str">
        <f>IF(BBDD_fashion_boutique[[#This Row],[category]]="Accessories","Accesorio",IF(BBDD_fashion_boutique[[#This Row],[size]]="","Desconocido",BBDD_fashion_boutique[[#This Row],[size]]))</f>
        <v>S</v>
      </c>
      <c r="G18" t="s">
        <v>62</v>
      </c>
      <c r="H18" s="2">
        <v>123.53</v>
      </c>
      <c r="I18">
        <v>0</v>
      </c>
      <c r="J18" s="5">
        <f>BBDD_fashion_boutique[[#This Row],[markdown_percentage]]/100</f>
        <v>0</v>
      </c>
      <c r="K18" s="2">
        <v>123.53</v>
      </c>
      <c r="L18" s="2">
        <f>BBDD_fashion_boutique[[#This Row],[original_price]]-BBDD_fashion_boutique[[#This Row],[current_price]]</f>
        <v>0</v>
      </c>
      <c r="M18" s="1">
        <v>45875</v>
      </c>
      <c r="N18" s="1" t="str">
        <f>PROPER(TEXT(BBDD_fashion_boutique[[#This Row],[purchase_date]],"dddd"))</f>
        <v>Miércoles</v>
      </c>
      <c r="O18" s="1" t="str">
        <f>PROPER(TEXT(BBDD_fashion_boutique[[#This Row],[purchase_date]],"mmmm"))</f>
        <v>Agosto</v>
      </c>
      <c r="P18" s="4">
        <v>14</v>
      </c>
      <c r="Q18" s="2">
        <v>4.5999999999999996</v>
      </c>
      <c r="R18" t="str">
        <f>IF(BBDD_fashion_boutique[[#This Row],[stock_quantity]]&gt;9,"Ok",IF(BBDD_fashion_boutique[[#This Row],[stock_quantity]]=0,"Agotado","Pocas Unidades"))</f>
        <v>Ok</v>
      </c>
      <c r="S18" s="3">
        <f>IF(BBDD_fashion_boutique[[#This Row],[customer_rating]]="","No valorado",BBDD_fashion_boutique[[#This Row],[customer_rating]])</f>
        <v>4.5999999999999996</v>
      </c>
      <c r="T18" t="s">
        <v>24</v>
      </c>
      <c r="V18">
        <f>IF(BBDD_fashion_boutique[[#This Row],[is_returned]]="False",0,1)</f>
        <v>0</v>
      </c>
      <c r="W18">
        <f>IF(BBDD_fashion_boutique[[#This Row],[is_returned]]="True",0,BBDD_fashion_boutique[[#This Row],[current_price]])</f>
        <v>123.53</v>
      </c>
      <c r="X18" t="str">
        <f>IF(BBDD_fashion_boutique[[#This Row],[return_reason]]="","No return",BBDD_fashion_boutique[[#This Row],[return_reason]])</f>
        <v>No return</v>
      </c>
      <c r="Y18">
        <f>IF(IFERROR(VLOOKUP(BBDD_fashion_boutique[[#This Row],[product_id]],A19:A2194,1,FALSE),0),1,0)</f>
        <v>0</v>
      </c>
    </row>
    <row r="19" spans="1:25" x14ac:dyDescent="0.3">
      <c r="A19" t="s">
        <v>69</v>
      </c>
      <c r="B19" t="s">
        <v>26</v>
      </c>
      <c r="C19" t="s">
        <v>59</v>
      </c>
      <c r="D19" t="s">
        <v>28</v>
      </c>
      <c r="E19" t="s">
        <v>29</v>
      </c>
      <c r="F19" t="str">
        <f>IF(BBDD_fashion_boutique[[#This Row],[category]]="Accessories","Accesorio",IF(BBDD_fashion_boutique[[#This Row],[size]]="","Desconocido",BBDD_fashion_boutique[[#This Row],[size]]))</f>
        <v>L</v>
      </c>
      <c r="G19" t="s">
        <v>70</v>
      </c>
      <c r="H19" s="2">
        <v>102.35</v>
      </c>
      <c r="I19">
        <v>0</v>
      </c>
      <c r="J19" s="5">
        <f>BBDD_fashion_boutique[[#This Row],[markdown_percentage]]/100</f>
        <v>0</v>
      </c>
      <c r="K19" s="2">
        <v>102.35</v>
      </c>
      <c r="L19" s="2">
        <f>BBDD_fashion_boutique[[#This Row],[original_price]]-BBDD_fashion_boutique[[#This Row],[current_price]]</f>
        <v>0</v>
      </c>
      <c r="M19" s="1">
        <v>45875</v>
      </c>
      <c r="N19" s="1" t="str">
        <f>PROPER(TEXT(BBDD_fashion_boutique[[#This Row],[purchase_date]],"dddd"))</f>
        <v>Miércoles</v>
      </c>
      <c r="O19" s="1" t="str">
        <f>PROPER(TEXT(BBDD_fashion_boutique[[#This Row],[purchase_date]],"mmmm"))</f>
        <v>Agosto</v>
      </c>
      <c r="P19" s="4">
        <v>14</v>
      </c>
      <c r="Q19" s="2">
        <v>3.5</v>
      </c>
      <c r="R19" t="str">
        <f>IF(BBDD_fashion_boutique[[#This Row],[stock_quantity]]&gt;9,"Ok",IF(BBDD_fashion_boutique[[#This Row],[stock_quantity]]=0,"Agotado","Pocas Unidades"))</f>
        <v>Ok</v>
      </c>
      <c r="S19" s="3">
        <f>IF(BBDD_fashion_boutique[[#This Row],[customer_rating]]="","No valorado",BBDD_fashion_boutique[[#This Row],[customer_rating]])</f>
        <v>3.5</v>
      </c>
      <c r="T19" t="s">
        <v>24</v>
      </c>
      <c r="V19">
        <f>IF(BBDD_fashion_boutique[[#This Row],[is_returned]]="False",0,1)</f>
        <v>0</v>
      </c>
      <c r="W19">
        <f>IF(BBDD_fashion_boutique[[#This Row],[is_returned]]="True",0,BBDD_fashion_boutique[[#This Row],[current_price]])</f>
        <v>102.35</v>
      </c>
      <c r="X19" t="str">
        <f>IF(BBDD_fashion_boutique[[#This Row],[return_reason]]="","No return",BBDD_fashion_boutique[[#This Row],[return_reason]])</f>
        <v>No return</v>
      </c>
      <c r="Y19">
        <f>IF(IFERROR(VLOOKUP(BBDD_fashion_boutique[[#This Row],[product_id]],A20:A2195,1,FALSE),0),1,0)</f>
        <v>0</v>
      </c>
    </row>
    <row r="20" spans="1:25" x14ac:dyDescent="0.3">
      <c r="A20" t="s">
        <v>71</v>
      </c>
      <c r="B20" t="s">
        <v>19</v>
      </c>
      <c r="C20" t="s">
        <v>49</v>
      </c>
      <c r="D20" t="s">
        <v>68</v>
      </c>
      <c r="E20" t="s">
        <v>64</v>
      </c>
      <c r="F20" t="str">
        <f>IF(BBDD_fashion_boutique[[#This Row],[category]]="Accessories","Accesorio",IF(BBDD_fashion_boutique[[#This Row],[size]]="","Desconocido",BBDD_fashion_boutique[[#This Row],[size]]))</f>
        <v>M</v>
      </c>
      <c r="G20" t="s">
        <v>72</v>
      </c>
      <c r="H20" s="2">
        <v>137.94999999999999</v>
      </c>
      <c r="I20">
        <v>58.5</v>
      </c>
      <c r="J20" s="5">
        <f>BBDD_fashion_boutique[[#This Row],[markdown_percentage]]/100</f>
        <v>0.58499999999999996</v>
      </c>
      <c r="K20" s="2">
        <v>57.25</v>
      </c>
      <c r="L20" s="2">
        <f>BBDD_fashion_boutique[[#This Row],[original_price]]-BBDD_fashion_boutique[[#This Row],[current_price]]</f>
        <v>80.699999999999989</v>
      </c>
      <c r="M20" s="1">
        <v>45875</v>
      </c>
      <c r="N20" s="1" t="str">
        <f>PROPER(TEXT(BBDD_fashion_boutique[[#This Row],[purchase_date]],"dddd"))</f>
        <v>Miércoles</v>
      </c>
      <c r="O20" s="1" t="str">
        <f>PROPER(TEXT(BBDD_fashion_boutique[[#This Row],[purchase_date]],"mmmm"))</f>
        <v>Agosto</v>
      </c>
      <c r="P20" s="4">
        <v>16</v>
      </c>
      <c r="Q20" s="2">
        <v>4.0999999999999996</v>
      </c>
      <c r="R20" t="str">
        <f>IF(BBDD_fashion_boutique[[#This Row],[stock_quantity]]&gt;9,"Ok",IF(BBDD_fashion_boutique[[#This Row],[stock_quantity]]=0,"Agotado","Pocas Unidades"))</f>
        <v>Ok</v>
      </c>
      <c r="S20" s="3">
        <f>IF(BBDD_fashion_boutique[[#This Row],[customer_rating]]="","No valorado",BBDD_fashion_boutique[[#This Row],[customer_rating]])</f>
        <v>4.0999999999999996</v>
      </c>
      <c r="T20" t="s">
        <v>24</v>
      </c>
      <c r="V20">
        <f>IF(BBDD_fashion_boutique[[#This Row],[is_returned]]="False",0,1)</f>
        <v>0</v>
      </c>
      <c r="W20">
        <f>IF(BBDD_fashion_boutique[[#This Row],[is_returned]]="True",0,BBDD_fashion_boutique[[#This Row],[current_price]])</f>
        <v>57.25</v>
      </c>
      <c r="X20" t="str">
        <f>IF(BBDD_fashion_boutique[[#This Row],[return_reason]]="","No return",BBDD_fashion_boutique[[#This Row],[return_reason]])</f>
        <v>No return</v>
      </c>
      <c r="Y20">
        <f>IF(IFERROR(VLOOKUP(BBDD_fashion_boutique[[#This Row],[product_id]],A21:A2196,1,FALSE),0),1,0)</f>
        <v>0</v>
      </c>
    </row>
    <row r="21" spans="1:25" x14ac:dyDescent="0.3">
      <c r="A21" t="s">
        <v>73</v>
      </c>
      <c r="B21" t="s">
        <v>19</v>
      </c>
      <c r="C21" t="s">
        <v>37</v>
      </c>
      <c r="D21" t="s">
        <v>68</v>
      </c>
      <c r="E21" t="s">
        <v>55</v>
      </c>
      <c r="F21" t="str">
        <f>IF(BBDD_fashion_boutique[[#This Row],[category]]="Accessories","Accesorio",IF(BBDD_fashion_boutique[[#This Row],[size]]="","Desconocido",BBDD_fashion_boutique[[#This Row],[size]]))</f>
        <v>XXL</v>
      </c>
      <c r="G21" t="s">
        <v>46</v>
      </c>
      <c r="H21" s="2">
        <v>142.59</v>
      </c>
      <c r="I21">
        <v>0</v>
      </c>
      <c r="J21" s="5">
        <f>BBDD_fashion_boutique[[#This Row],[markdown_percentage]]/100</f>
        <v>0</v>
      </c>
      <c r="K21" s="2">
        <v>142.59</v>
      </c>
      <c r="L21" s="2">
        <f>BBDD_fashion_boutique[[#This Row],[original_price]]-BBDD_fashion_boutique[[#This Row],[current_price]]</f>
        <v>0</v>
      </c>
      <c r="M21" s="1">
        <v>45875</v>
      </c>
      <c r="N21" s="1" t="str">
        <f>PROPER(TEXT(BBDD_fashion_boutique[[#This Row],[purchase_date]],"dddd"))</f>
        <v>Miércoles</v>
      </c>
      <c r="O21" s="1" t="str">
        <f>PROPER(TEXT(BBDD_fashion_boutique[[#This Row],[purchase_date]],"mmmm"))</f>
        <v>Agosto</v>
      </c>
      <c r="P21" s="4">
        <v>1</v>
      </c>
      <c r="Q21" s="2">
        <v>3.7</v>
      </c>
      <c r="R21" t="str">
        <f>IF(BBDD_fashion_boutique[[#This Row],[stock_quantity]]&gt;9,"Ok",IF(BBDD_fashion_boutique[[#This Row],[stock_quantity]]=0,"Agotado","Pocas Unidades"))</f>
        <v>Pocas Unidades</v>
      </c>
      <c r="S21" s="3">
        <f>IF(BBDD_fashion_boutique[[#This Row],[customer_rating]]="","No valorado",BBDD_fashion_boutique[[#This Row],[customer_rating]])</f>
        <v>3.7</v>
      </c>
      <c r="T21" t="s">
        <v>24</v>
      </c>
      <c r="V21">
        <f>IF(BBDD_fashion_boutique[[#This Row],[is_returned]]="False",0,1)</f>
        <v>0</v>
      </c>
      <c r="W21">
        <f>IF(BBDD_fashion_boutique[[#This Row],[is_returned]]="True",0,BBDD_fashion_boutique[[#This Row],[current_price]])</f>
        <v>142.59</v>
      </c>
      <c r="X21" t="str">
        <f>IF(BBDD_fashion_boutique[[#This Row],[return_reason]]="","No return",BBDD_fashion_boutique[[#This Row],[return_reason]])</f>
        <v>No return</v>
      </c>
      <c r="Y21">
        <f>IF(IFERROR(VLOOKUP(BBDD_fashion_boutique[[#This Row],[product_id]],A22:A2197,1,FALSE),0),1,0)</f>
        <v>0</v>
      </c>
    </row>
    <row r="22" spans="1:25" x14ac:dyDescent="0.3">
      <c r="A22" t="s">
        <v>74</v>
      </c>
      <c r="B22" t="s">
        <v>44</v>
      </c>
      <c r="C22" t="s">
        <v>49</v>
      </c>
      <c r="D22" t="s">
        <v>39</v>
      </c>
      <c r="E22" t="s">
        <v>29</v>
      </c>
      <c r="F22" t="str">
        <f>IF(BBDD_fashion_boutique[[#This Row],[category]]="Accessories","Accesorio",IF(BBDD_fashion_boutique[[#This Row],[size]]="","Desconocido",BBDD_fashion_boutique[[#This Row],[size]]))</f>
        <v>L</v>
      </c>
      <c r="G22" t="s">
        <v>62</v>
      </c>
      <c r="H22" s="2">
        <v>33.33</v>
      </c>
      <c r="I22">
        <v>21.8</v>
      </c>
      <c r="J22" s="5">
        <f>BBDD_fashion_boutique[[#This Row],[markdown_percentage]]/100</f>
        <v>0.218</v>
      </c>
      <c r="K22" s="2">
        <v>26.06</v>
      </c>
      <c r="L22" s="2">
        <f>BBDD_fashion_boutique[[#This Row],[original_price]]-BBDD_fashion_boutique[[#This Row],[current_price]]</f>
        <v>7.27</v>
      </c>
      <c r="M22" s="1">
        <v>45875</v>
      </c>
      <c r="N22" s="1" t="str">
        <f>PROPER(TEXT(BBDD_fashion_boutique[[#This Row],[purchase_date]],"dddd"))</f>
        <v>Miércoles</v>
      </c>
      <c r="O22" s="1" t="str">
        <f>PROPER(TEXT(BBDD_fashion_boutique[[#This Row],[purchase_date]],"mmmm"))</f>
        <v>Agosto</v>
      </c>
      <c r="P22" s="4">
        <v>42</v>
      </c>
      <c r="R22" t="str">
        <f>IF(BBDD_fashion_boutique[[#This Row],[stock_quantity]]&gt;9,"Ok",IF(BBDD_fashion_boutique[[#This Row],[stock_quantity]]=0,"Agotado","Pocas Unidades"))</f>
        <v>Ok</v>
      </c>
      <c r="S22" s="3" t="str">
        <f>IF(BBDD_fashion_boutique[[#This Row],[customer_rating]]="","No valorado",BBDD_fashion_boutique[[#This Row],[customer_rating]])</f>
        <v>No valorado</v>
      </c>
      <c r="T22" t="s">
        <v>24</v>
      </c>
      <c r="V22">
        <f>IF(BBDD_fashion_boutique[[#This Row],[is_returned]]="False",0,1)</f>
        <v>0</v>
      </c>
      <c r="W22">
        <f>IF(BBDD_fashion_boutique[[#This Row],[is_returned]]="True",0,BBDD_fashion_boutique[[#This Row],[current_price]])</f>
        <v>26.06</v>
      </c>
      <c r="X22" t="str">
        <f>IF(BBDD_fashion_boutique[[#This Row],[return_reason]]="","No return",BBDD_fashion_boutique[[#This Row],[return_reason]])</f>
        <v>No return</v>
      </c>
      <c r="Y22">
        <f>IF(IFERROR(VLOOKUP(BBDD_fashion_boutique[[#This Row],[product_id]],A23:A2198,1,FALSE),0),1,0)</f>
        <v>0</v>
      </c>
    </row>
    <row r="23" spans="1:25" x14ac:dyDescent="0.3">
      <c r="A23" t="s">
        <v>75</v>
      </c>
      <c r="B23" t="s">
        <v>32</v>
      </c>
      <c r="C23" t="s">
        <v>20</v>
      </c>
      <c r="D23" t="s">
        <v>21</v>
      </c>
      <c r="F23" t="str">
        <f>IF(BBDD_fashion_boutique[[#This Row],[category]]="Accessories","Accesorio",IF(BBDD_fashion_boutique[[#This Row],[size]]="","Desconocido",BBDD_fashion_boutique[[#This Row],[size]]))</f>
        <v>Accesorio</v>
      </c>
      <c r="G23" t="s">
        <v>76</v>
      </c>
      <c r="H23" s="2">
        <v>62.3</v>
      </c>
      <c r="I23">
        <v>0</v>
      </c>
      <c r="J23" s="5">
        <f>BBDD_fashion_boutique[[#This Row],[markdown_percentage]]/100</f>
        <v>0</v>
      </c>
      <c r="K23" s="2">
        <v>62.3</v>
      </c>
      <c r="L23" s="2">
        <f>BBDD_fashion_boutique[[#This Row],[original_price]]-BBDD_fashion_boutique[[#This Row],[current_price]]</f>
        <v>0</v>
      </c>
      <c r="M23" s="1">
        <v>45559</v>
      </c>
      <c r="N23" s="1" t="str">
        <f>PROPER(TEXT(BBDD_fashion_boutique[[#This Row],[purchase_date]],"dddd"))</f>
        <v>Martes</v>
      </c>
      <c r="O23" s="1" t="str">
        <f>PROPER(TEXT(BBDD_fashion_boutique[[#This Row],[purchase_date]],"mmmm"))</f>
        <v>Septiembre</v>
      </c>
      <c r="P23" s="4">
        <v>10</v>
      </c>
      <c r="Q23" s="2">
        <v>2.5</v>
      </c>
      <c r="R23" t="str">
        <f>IF(BBDD_fashion_boutique[[#This Row],[stock_quantity]]&gt;9,"Ok",IF(BBDD_fashion_boutique[[#This Row],[stock_quantity]]=0,"Agotado","Pocas Unidades"))</f>
        <v>Ok</v>
      </c>
      <c r="S23" s="3">
        <f>IF(BBDD_fashion_boutique[[#This Row],[customer_rating]]="","No valorado",BBDD_fashion_boutique[[#This Row],[customer_rating]])</f>
        <v>2.5</v>
      </c>
      <c r="T23" t="s">
        <v>24</v>
      </c>
      <c r="V23">
        <f>IF(BBDD_fashion_boutique[[#This Row],[is_returned]]="False",0,1)</f>
        <v>0</v>
      </c>
      <c r="W23">
        <f>IF(BBDD_fashion_boutique[[#This Row],[is_returned]]="True",0,BBDD_fashion_boutique[[#This Row],[current_price]])</f>
        <v>62.3</v>
      </c>
      <c r="X23" t="str">
        <f>IF(BBDD_fashion_boutique[[#This Row],[return_reason]]="","No return",BBDD_fashion_boutique[[#This Row],[return_reason]])</f>
        <v>No return</v>
      </c>
      <c r="Y23">
        <f>IF(IFERROR(VLOOKUP(BBDD_fashion_boutique[[#This Row],[product_id]],A24:A2199,1,FALSE),0),1,0)</f>
        <v>0</v>
      </c>
    </row>
    <row r="24" spans="1:25" x14ac:dyDescent="0.3">
      <c r="A24" t="s">
        <v>77</v>
      </c>
      <c r="B24" t="s">
        <v>32</v>
      </c>
      <c r="C24" t="s">
        <v>20</v>
      </c>
      <c r="D24" t="s">
        <v>28</v>
      </c>
      <c r="F24" t="str">
        <f>IF(BBDD_fashion_boutique[[#This Row],[category]]="Accessories","Accesorio",IF(BBDD_fashion_boutique[[#This Row],[size]]="","Desconocido",BBDD_fashion_boutique[[#This Row],[size]]))</f>
        <v>Accesorio</v>
      </c>
      <c r="G24" t="s">
        <v>30</v>
      </c>
      <c r="H24" s="2">
        <v>38.479999999999997</v>
      </c>
      <c r="I24">
        <v>0</v>
      </c>
      <c r="J24" s="5">
        <f>BBDD_fashion_boutique[[#This Row],[markdown_percentage]]/100</f>
        <v>0</v>
      </c>
      <c r="K24" s="2">
        <v>38.479999999999997</v>
      </c>
      <c r="L24" s="2">
        <f>BBDD_fashion_boutique[[#This Row],[original_price]]-BBDD_fashion_boutique[[#This Row],[current_price]]</f>
        <v>0</v>
      </c>
      <c r="M24" s="1">
        <v>45875</v>
      </c>
      <c r="N24" s="1" t="str">
        <f>PROPER(TEXT(BBDD_fashion_boutique[[#This Row],[purchase_date]],"dddd"))</f>
        <v>Miércoles</v>
      </c>
      <c r="O24" s="1" t="str">
        <f>PROPER(TEXT(BBDD_fashion_boutique[[#This Row],[purchase_date]],"mmmm"))</f>
        <v>Agosto</v>
      </c>
      <c r="P24" s="4">
        <v>46</v>
      </c>
      <c r="Q24" s="2">
        <v>1.2</v>
      </c>
      <c r="R24" t="str">
        <f>IF(BBDD_fashion_boutique[[#This Row],[stock_quantity]]&gt;9,"Ok",IF(BBDD_fashion_boutique[[#This Row],[stock_quantity]]=0,"Agotado","Pocas Unidades"))</f>
        <v>Ok</v>
      </c>
      <c r="S24" s="3">
        <f>IF(BBDD_fashion_boutique[[#This Row],[customer_rating]]="","No valorado",BBDD_fashion_boutique[[#This Row],[customer_rating]])</f>
        <v>1.2</v>
      </c>
      <c r="T24" t="s">
        <v>24</v>
      </c>
      <c r="V24">
        <f>IF(BBDD_fashion_boutique[[#This Row],[is_returned]]="False",0,1)</f>
        <v>0</v>
      </c>
      <c r="W24">
        <f>IF(BBDD_fashion_boutique[[#This Row],[is_returned]]="True",0,BBDD_fashion_boutique[[#This Row],[current_price]])</f>
        <v>38.479999999999997</v>
      </c>
      <c r="X24" t="str">
        <f>IF(BBDD_fashion_boutique[[#This Row],[return_reason]]="","No return",BBDD_fashion_boutique[[#This Row],[return_reason]])</f>
        <v>No return</v>
      </c>
      <c r="Y24">
        <f>IF(IFERROR(VLOOKUP(BBDD_fashion_boutique[[#This Row],[product_id]],A25:A2200,1,FALSE),0),1,0)</f>
        <v>0</v>
      </c>
    </row>
    <row r="25" spans="1:25" x14ac:dyDescent="0.3">
      <c r="A25" t="s">
        <v>78</v>
      </c>
      <c r="B25" t="s">
        <v>48</v>
      </c>
      <c r="C25" t="s">
        <v>37</v>
      </c>
      <c r="D25" t="s">
        <v>68</v>
      </c>
      <c r="E25" t="s">
        <v>22</v>
      </c>
      <c r="F25" t="str">
        <f>IF(BBDD_fashion_boutique[[#This Row],[category]]="Accessories","Accesorio",IF(BBDD_fashion_boutique[[#This Row],[size]]="","Desconocido",BBDD_fashion_boutique[[#This Row],[size]]))</f>
        <v>XL</v>
      </c>
      <c r="G25" t="s">
        <v>52</v>
      </c>
      <c r="H25" s="2">
        <v>91.36</v>
      </c>
      <c r="I25">
        <v>0</v>
      </c>
      <c r="J25" s="5">
        <f>BBDD_fashion_boutique[[#This Row],[markdown_percentage]]/100</f>
        <v>0</v>
      </c>
      <c r="K25" s="2">
        <v>91.36</v>
      </c>
      <c r="L25" s="2">
        <f>BBDD_fashion_boutique[[#This Row],[original_price]]-BBDD_fashion_boutique[[#This Row],[current_price]]</f>
        <v>0</v>
      </c>
      <c r="M25" s="1">
        <v>45875</v>
      </c>
      <c r="N25" s="1" t="str">
        <f>PROPER(TEXT(BBDD_fashion_boutique[[#This Row],[purchase_date]],"dddd"))</f>
        <v>Miércoles</v>
      </c>
      <c r="O25" s="1" t="str">
        <f>PROPER(TEXT(BBDD_fashion_boutique[[#This Row],[purchase_date]],"mmmm"))</f>
        <v>Agosto</v>
      </c>
      <c r="P25" s="4">
        <v>37</v>
      </c>
      <c r="Q25" s="2">
        <v>1.2</v>
      </c>
      <c r="R25" t="str">
        <f>IF(BBDD_fashion_boutique[[#This Row],[stock_quantity]]&gt;9,"Ok",IF(BBDD_fashion_boutique[[#This Row],[stock_quantity]]=0,"Agotado","Pocas Unidades"))</f>
        <v>Ok</v>
      </c>
      <c r="S25" s="3">
        <f>IF(BBDD_fashion_boutique[[#This Row],[customer_rating]]="","No valorado",BBDD_fashion_boutique[[#This Row],[customer_rating]])</f>
        <v>1.2</v>
      </c>
      <c r="T25" t="s">
        <v>41</v>
      </c>
      <c r="U25" t="s">
        <v>79</v>
      </c>
      <c r="V25">
        <f>IF(BBDD_fashion_boutique[[#This Row],[is_returned]]="False",0,1)</f>
        <v>1</v>
      </c>
      <c r="W25">
        <f>IF(BBDD_fashion_boutique[[#This Row],[is_returned]]="True",0,BBDD_fashion_boutique[[#This Row],[current_price]])</f>
        <v>0</v>
      </c>
      <c r="X25" t="str">
        <f>IF(BBDD_fashion_boutique[[#This Row],[return_reason]]="","No return",BBDD_fashion_boutique[[#This Row],[return_reason]])</f>
        <v>Size Issue</v>
      </c>
      <c r="Y25">
        <f>IF(IFERROR(VLOOKUP(BBDD_fashion_boutique[[#This Row],[product_id]],A26:A2201,1,FALSE),0),1,0)</f>
        <v>0</v>
      </c>
    </row>
    <row r="26" spans="1:25" x14ac:dyDescent="0.3">
      <c r="A26" t="s">
        <v>80</v>
      </c>
      <c r="B26" t="s">
        <v>26</v>
      </c>
      <c r="C26" t="s">
        <v>81</v>
      </c>
      <c r="D26" t="s">
        <v>39</v>
      </c>
      <c r="E26" t="s">
        <v>61</v>
      </c>
      <c r="F26" t="str">
        <f>IF(BBDD_fashion_boutique[[#This Row],[category]]="Accessories","Accesorio",IF(BBDD_fashion_boutique[[#This Row],[size]]="","Desconocido",BBDD_fashion_boutique[[#This Row],[size]]))</f>
        <v>XS</v>
      </c>
      <c r="G26" t="s">
        <v>50</v>
      </c>
      <c r="H26" s="2">
        <v>80.47</v>
      </c>
      <c r="I26">
        <v>29.1</v>
      </c>
      <c r="J26" s="5">
        <f>BBDD_fashion_boutique[[#This Row],[markdown_percentage]]/100</f>
        <v>0.29100000000000004</v>
      </c>
      <c r="K26" s="2">
        <v>57.05</v>
      </c>
      <c r="L26" s="2">
        <f>BBDD_fashion_boutique[[#This Row],[original_price]]-BBDD_fashion_boutique[[#This Row],[current_price]]</f>
        <v>23.42</v>
      </c>
      <c r="M26" s="1">
        <v>45875</v>
      </c>
      <c r="N26" s="1" t="str">
        <f>PROPER(TEXT(BBDD_fashion_boutique[[#This Row],[purchase_date]],"dddd"))</f>
        <v>Miércoles</v>
      </c>
      <c r="O26" s="1" t="str">
        <f>PROPER(TEXT(BBDD_fashion_boutique[[#This Row],[purchase_date]],"mmmm"))</f>
        <v>Agosto</v>
      </c>
      <c r="P26" s="4">
        <v>38</v>
      </c>
      <c r="Q26" s="2">
        <v>3.6</v>
      </c>
      <c r="R26" t="str">
        <f>IF(BBDD_fashion_boutique[[#This Row],[stock_quantity]]&gt;9,"Ok",IF(BBDD_fashion_boutique[[#This Row],[stock_quantity]]=0,"Agotado","Pocas Unidades"))</f>
        <v>Ok</v>
      </c>
      <c r="S26" s="3">
        <f>IF(BBDD_fashion_boutique[[#This Row],[customer_rating]]="","No valorado",BBDD_fashion_boutique[[#This Row],[customer_rating]])</f>
        <v>3.6</v>
      </c>
      <c r="T26" t="s">
        <v>24</v>
      </c>
      <c r="V26">
        <f>IF(BBDD_fashion_boutique[[#This Row],[is_returned]]="False",0,1)</f>
        <v>0</v>
      </c>
      <c r="W26">
        <f>IF(BBDD_fashion_boutique[[#This Row],[is_returned]]="True",0,BBDD_fashion_boutique[[#This Row],[current_price]])</f>
        <v>57.05</v>
      </c>
      <c r="X26" t="str">
        <f>IF(BBDD_fashion_boutique[[#This Row],[return_reason]]="","No return",BBDD_fashion_boutique[[#This Row],[return_reason]])</f>
        <v>No return</v>
      </c>
      <c r="Y26">
        <f>IF(IFERROR(VLOOKUP(BBDD_fashion_boutique[[#This Row],[product_id]],A27:A2202,1,FALSE),0),1,0)</f>
        <v>0</v>
      </c>
    </row>
    <row r="27" spans="1:25" x14ac:dyDescent="0.3">
      <c r="A27" t="s">
        <v>82</v>
      </c>
      <c r="B27" t="s">
        <v>44</v>
      </c>
      <c r="C27" t="s">
        <v>27</v>
      </c>
      <c r="D27" t="s">
        <v>21</v>
      </c>
      <c r="E27" t="s">
        <v>64</v>
      </c>
      <c r="F27" t="str">
        <f>IF(BBDD_fashion_boutique[[#This Row],[category]]="Accessories","Accesorio",IF(BBDD_fashion_boutique[[#This Row],[size]]="","Desconocido",BBDD_fashion_boutique[[#This Row],[size]]))</f>
        <v>M</v>
      </c>
      <c r="G27" t="s">
        <v>23</v>
      </c>
      <c r="H27" s="2">
        <v>40.89</v>
      </c>
      <c r="I27">
        <v>34</v>
      </c>
      <c r="J27" s="5">
        <f>BBDD_fashion_boutique[[#This Row],[markdown_percentage]]/100</f>
        <v>0.34</v>
      </c>
      <c r="K27" s="2">
        <v>26.99</v>
      </c>
      <c r="L27" s="2">
        <f>BBDD_fashion_boutique[[#This Row],[original_price]]-BBDD_fashion_boutique[[#This Row],[current_price]]</f>
        <v>13.900000000000002</v>
      </c>
      <c r="M27" s="1">
        <v>45819</v>
      </c>
      <c r="N27" s="1" t="str">
        <f>PROPER(TEXT(BBDD_fashion_boutique[[#This Row],[purchase_date]],"dddd"))</f>
        <v>Miércoles</v>
      </c>
      <c r="O27" s="1" t="str">
        <f>PROPER(TEXT(BBDD_fashion_boutique[[#This Row],[purchase_date]],"mmmm"))</f>
        <v>Junio</v>
      </c>
      <c r="P27" s="4">
        <v>16</v>
      </c>
      <c r="Q27" s="2">
        <v>3.7</v>
      </c>
      <c r="R27" t="str">
        <f>IF(BBDD_fashion_boutique[[#This Row],[stock_quantity]]&gt;9,"Ok",IF(BBDD_fashion_boutique[[#This Row],[stock_quantity]]=0,"Agotado","Pocas Unidades"))</f>
        <v>Ok</v>
      </c>
      <c r="S27" s="3">
        <f>IF(BBDD_fashion_boutique[[#This Row],[customer_rating]]="","No valorado",BBDD_fashion_boutique[[#This Row],[customer_rating]])</f>
        <v>3.7</v>
      </c>
      <c r="T27" t="s">
        <v>24</v>
      </c>
      <c r="V27">
        <f>IF(BBDD_fashion_boutique[[#This Row],[is_returned]]="False",0,1)</f>
        <v>0</v>
      </c>
      <c r="W27">
        <f>IF(BBDD_fashion_boutique[[#This Row],[is_returned]]="True",0,BBDD_fashion_boutique[[#This Row],[current_price]])</f>
        <v>26.99</v>
      </c>
      <c r="X27" t="str">
        <f>IF(BBDD_fashion_boutique[[#This Row],[return_reason]]="","No return",BBDD_fashion_boutique[[#This Row],[return_reason]])</f>
        <v>No return</v>
      </c>
      <c r="Y27">
        <f>IF(IFERROR(VLOOKUP(BBDD_fashion_boutique[[#This Row],[product_id]],A28:A2203,1,FALSE),0),1,0)</f>
        <v>0</v>
      </c>
    </row>
    <row r="28" spans="1:25" x14ac:dyDescent="0.3">
      <c r="A28" t="s">
        <v>83</v>
      </c>
      <c r="B28" t="s">
        <v>44</v>
      </c>
      <c r="C28" t="s">
        <v>37</v>
      </c>
      <c r="D28" t="s">
        <v>68</v>
      </c>
      <c r="E28" t="s">
        <v>29</v>
      </c>
      <c r="F28" t="str">
        <f>IF(BBDD_fashion_boutique[[#This Row],[category]]="Accessories","Accesorio",IF(BBDD_fashion_boutique[[#This Row],[size]]="","Desconocido",BBDD_fashion_boutique[[#This Row],[size]]))</f>
        <v>L</v>
      </c>
      <c r="G28" t="s">
        <v>23</v>
      </c>
      <c r="H28" s="2">
        <v>47.04</v>
      </c>
      <c r="I28">
        <v>36</v>
      </c>
      <c r="J28" s="5">
        <f>BBDD_fashion_boutique[[#This Row],[markdown_percentage]]/100</f>
        <v>0.36</v>
      </c>
      <c r="K28" s="2">
        <v>30.11</v>
      </c>
      <c r="L28" s="2">
        <f>BBDD_fashion_boutique[[#This Row],[original_price]]-BBDD_fashion_boutique[[#This Row],[current_price]]</f>
        <v>16.93</v>
      </c>
      <c r="M28" s="1">
        <v>45875</v>
      </c>
      <c r="N28" s="1" t="str">
        <f>PROPER(TEXT(BBDD_fashion_boutique[[#This Row],[purchase_date]],"dddd"))</f>
        <v>Miércoles</v>
      </c>
      <c r="O28" s="1" t="str">
        <f>PROPER(TEXT(BBDD_fashion_boutique[[#This Row],[purchase_date]],"mmmm"))</f>
        <v>Agosto</v>
      </c>
      <c r="P28" s="4">
        <v>25</v>
      </c>
      <c r="Q28" s="2">
        <v>1.1000000000000001</v>
      </c>
      <c r="R28" t="str">
        <f>IF(BBDD_fashion_boutique[[#This Row],[stock_quantity]]&gt;9,"Ok",IF(BBDD_fashion_boutique[[#This Row],[stock_quantity]]=0,"Agotado","Pocas Unidades"))</f>
        <v>Ok</v>
      </c>
      <c r="S28" s="3">
        <f>IF(BBDD_fashion_boutique[[#This Row],[customer_rating]]="","No valorado",BBDD_fashion_boutique[[#This Row],[customer_rating]])</f>
        <v>1.1000000000000001</v>
      </c>
      <c r="T28" t="s">
        <v>41</v>
      </c>
      <c r="U28" t="s">
        <v>84</v>
      </c>
      <c r="V28">
        <f>IF(BBDD_fashion_boutique[[#This Row],[is_returned]]="False",0,1)</f>
        <v>1</v>
      </c>
      <c r="W28">
        <f>IF(BBDD_fashion_boutique[[#This Row],[is_returned]]="True",0,BBDD_fashion_boutique[[#This Row],[current_price]])</f>
        <v>0</v>
      </c>
      <c r="X28" t="str">
        <f>IF(BBDD_fashion_boutique[[#This Row],[return_reason]]="","No return",BBDD_fashion_boutique[[#This Row],[return_reason]])</f>
        <v>Damaged</v>
      </c>
      <c r="Y28">
        <f>IF(IFERROR(VLOOKUP(BBDD_fashion_boutique[[#This Row],[product_id]],A29:A2204,1,FALSE),0),1,0)</f>
        <v>0</v>
      </c>
    </row>
    <row r="29" spans="1:25" x14ac:dyDescent="0.3">
      <c r="A29" t="s">
        <v>85</v>
      </c>
      <c r="B29" t="s">
        <v>44</v>
      </c>
      <c r="C29" t="s">
        <v>67</v>
      </c>
      <c r="D29" t="s">
        <v>68</v>
      </c>
      <c r="E29" t="s">
        <v>64</v>
      </c>
      <c r="F29" t="str">
        <f>IF(BBDD_fashion_boutique[[#This Row],[category]]="Accessories","Accesorio",IF(BBDD_fashion_boutique[[#This Row],[size]]="","Desconocido",BBDD_fashion_boutique[[#This Row],[size]]))</f>
        <v>M</v>
      </c>
      <c r="G29" t="s">
        <v>50</v>
      </c>
      <c r="H29" s="2">
        <v>53.37</v>
      </c>
      <c r="I29">
        <v>0</v>
      </c>
      <c r="J29" s="5">
        <f>BBDD_fashion_boutique[[#This Row],[markdown_percentage]]/100</f>
        <v>0</v>
      </c>
      <c r="K29" s="2">
        <v>53.37</v>
      </c>
      <c r="L29" s="2">
        <f>BBDD_fashion_boutique[[#This Row],[original_price]]-BBDD_fashion_boutique[[#This Row],[current_price]]</f>
        <v>0</v>
      </c>
      <c r="M29" s="1">
        <v>45875</v>
      </c>
      <c r="N29" s="1" t="str">
        <f>PROPER(TEXT(BBDD_fashion_boutique[[#This Row],[purchase_date]],"dddd"))</f>
        <v>Miércoles</v>
      </c>
      <c r="O29" s="1" t="str">
        <f>PROPER(TEXT(BBDD_fashion_boutique[[#This Row],[purchase_date]],"mmmm"))</f>
        <v>Agosto</v>
      </c>
      <c r="P29" s="4">
        <v>28</v>
      </c>
      <c r="Q29" s="2">
        <v>3.8</v>
      </c>
      <c r="R29" t="str">
        <f>IF(BBDD_fashion_boutique[[#This Row],[stock_quantity]]&gt;9,"Ok",IF(BBDD_fashion_boutique[[#This Row],[stock_quantity]]=0,"Agotado","Pocas Unidades"))</f>
        <v>Ok</v>
      </c>
      <c r="S29" s="3">
        <f>IF(BBDD_fashion_boutique[[#This Row],[customer_rating]]="","No valorado",BBDD_fashion_boutique[[#This Row],[customer_rating]])</f>
        <v>3.8</v>
      </c>
      <c r="T29" t="s">
        <v>24</v>
      </c>
      <c r="V29">
        <f>IF(BBDD_fashion_boutique[[#This Row],[is_returned]]="False",0,1)</f>
        <v>0</v>
      </c>
      <c r="W29">
        <f>IF(BBDD_fashion_boutique[[#This Row],[is_returned]]="True",0,BBDD_fashion_boutique[[#This Row],[current_price]])</f>
        <v>53.37</v>
      </c>
      <c r="X29" t="str">
        <f>IF(BBDD_fashion_boutique[[#This Row],[return_reason]]="","No return",BBDD_fashion_boutique[[#This Row],[return_reason]])</f>
        <v>No return</v>
      </c>
      <c r="Y29">
        <f>IF(IFERROR(VLOOKUP(BBDD_fashion_boutique[[#This Row],[product_id]],A30:A2205,1,FALSE),0),1,0)</f>
        <v>0</v>
      </c>
    </row>
    <row r="30" spans="1:25" x14ac:dyDescent="0.3">
      <c r="A30" t="s">
        <v>86</v>
      </c>
      <c r="B30" t="s">
        <v>48</v>
      </c>
      <c r="C30" t="s">
        <v>59</v>
      </c>
      <c r="D30" t="s">
        <v>68</v>
      </c>
      <c r="E30" t="s">
        <v>29</v>
      </c>
      <c r="F30" t="str">
        <f>IF(BBDD_fashion_boutique[[#This Row],[category]]="Accessories","Accesorio",IF(BBDD_fashion_boutique[[#This Row],[size]]="","Desconocido",BBDD_fashion_boutique[[#This Row],[size]]))</f>
        <v>L</v>
      </c>
      <c r="G30" t="s">
        <v>40</v>
      </c>
      <c r="H30" s="2">
        <v>114.35</v>
      </c>
      <c r="I30">
        <v>0</v>
      </c>
      <c r="J30" s="5">
        <f>BBDD_fashion_boutique[[#This Row],[markdown_percentage]]/100</f>
        <v>0</v>
      </c>
      <c r="K30" s="2">
        <v>114.35</v>
      </c>
      <c r="L30" s="2">
        <f>BBDD_fashion_boutique[[#This Row],[original_price]]-BBDD_fashion_boutique[[#This Row],[current_price]]</f>
        <v>0</v>
      </c>
      <c r="M30" s="1">
        <v>45875</v>
      </c>
      <c r="N30" s="1" t="str">
        <f>PROPER(TEXT(BBDD_fashion_boutique[[#This Row],[purchase_date]],"dddd"))</f>
        <v>Miércoles</v>
      </c>
      <c r="O30" s="1" t="str">
        <f>PROPER(TEXT(BBDD_fashion_boutique[[#This Row],[purchase_date]],"mmmm"))</f>
        <v>Agosto</v>
      </c>
      <c r="P30" s="4">
        <v>6</v>
      </c>
      <c r="Q30" s="2">
        <v>1.2</v>
      </c>
      <c r="R30" t="str">
        <f>IF(BBDD_fashion_boutique[[#This Row],[stock_quantity]]&gt;9,"Ok",IF(BBDD_fashion_boutique[[#This Row],[stock_quantity]]=0,"Agotado","Pocas Unidades"))</f>
        <v>Pocas Unidades</v>
      </c>
      <c r="S30" s="3">
        <f>IF(BBDD_fashion_boutique[[#This Row],[customer_rating]]="","No valorado",BBDD_fashion_boutique[[#This Row],[customer_rating]])</f>
        <v>1.2</v>
      </c>
      <c r="T30" t="s">
        <v>24</v>
      </c>
      <c r="V30">
        <f>IF(BBDD_fashion_boutique[[#This Row],[is_returned]]="False",0,1)</f>
        <v>0</v>
      </c>
      <c r="W30">
        <f>IF(BBDD_fashion_boutique[[#This Row],[is_returned]]="True",0,BBDD_fashion_boutique[[#This Row],[current_price]])</f>
        <v>114.35</v>
      </c>
      <c r="X30" t="str">
        <f>IF(BBDD_fashion_boutique[[#This Row],[return_reason]]="","No return",BBDD_fashion_boutique[[#This Row],[return_reason]])</f>
        <v>No return</v>
      </c>
      <c r="Y30">
        <f>IF(IFERROR(VLOOKUP(BBDD_fashion_boutique[[#This Row],[product_id]],A31:A2206,1,FALSE),0),1,0)</f>
        <v>0</v>
      </c>
    </row>
    <row r="31" spans="1:25" x14ac:dyDescent="0.3">
      <c r="A31" t="s">
        <v>87</v>
      </c>
      <c r="B31" t="s">
        <v>35</v>
      </c>
      <c r="C31" t="s">
        <v>67</v>
      </c>
      <c r="D31" t="s">
        <v>21</v>
      </c>
      <c r="E31" t="s">
        <v>22</v>
      </c>
      <c r="F31" t="str">
        <f>IF(BBDD_fashion_boutique[[#This Row],[category]]="Accessories","Accesorio",IF(BBDD_fashion_boutique[[#This Row],[size]]="","Desconocido",BBDD_fashion_boutique[[#This Row],[size]]))</f>
        <v>XL</v>
      </c>
      <c r="G31" t="s">
        <v>23</v>
      </c>
      <c r="H31" s="2">
        <v>77.63</v>
      </c>
      <c r="I31">
        <v>0</v>
      </c>
      <c r="J31" s="5">
        <f>BBDD_fashion_boutique[[#This Row],[markdown_percentage]]/100</f>
        <v>0</v>
      </c>
      <c r="K31" s="2">
        <v>77.63</v>
      </c>
      <c r="L31" s="2">
        <f>BBDD_fashion_boutique[[#This Row],[original_price]]-BBDD_fashion_boutique[[#This Row],[current_price]]</f>
        <v>0</v>
      </c>
      <c r="M31" s="1">
        <v>45589</v>
      </c>
      <c r="N31" s="1" t="str">
        <f>PROPER(TEXT(BBDD_fashion_boutique[[#This Row],[purchase_date]],"dddd"))</f>
        <v>Jueves</v>
      </c>
      <c r="O31" s="1" t="str">
        <f>PROPER(TEXT(BBDD_fashion_boutique[[#This Row],[purchase_date]],"mmmm"))</f>
        <v>Octubre</v>
      </c>
      <c r="P31" s="4">
        <v>1</v>
      </c>
      <c r="R31" t="str">
        <f>IF(BBDD_fashion_boutique[[#This Row],[stock_quantity]]&gt;9,"Ok",IF(BBDD_fashion_boutique[[#This Row],[stock_quantity]]=0,"Agotado","Pocas Unidades"))</f>
        <v>Pocas Unidades</v>
      </c>
      <c r="S31" s="3" t="str">
        <f>IF(BBDD_fashion_boutique[[#This Row],[customer_rating]]="","No valorado",BBDD_fashion_boutique[[#This Row],[customer_rating]])</f>
        <v>No valorado</v>
      </c>
      <c r="T31" t="s">
        <v>24</v>
      </c>
      <c r="V31">
        <f>IF(BBDD_fashion_boutique[[#This Row],[is_returned]]="False",0,1)</f>
        <v>0</v>
      </c>
      <c r="W31">
        <f>IF(BBDD_fashion_boutique[[#This Row],[is_returned]]="True",0,BBDD_fashion_boutique[[#This Row],[current_price]])</f>
        <v>77.63</v>
      </c>
      <c r="X31" t="str">
        <f>IF(BBDD_fashion_boutique[[#This Row],[return_reason]]="","No return",BBDD_fashion_boutique[[#This Row],[return_reason]])</f>
        <v>No return</v>
      </c>
      <c r="Y31">
        <f>IF(IFERROR(VLOOKUP(BBDD_fashion_boutique[[#This Row],[product_id]],A32:A2207,1,FALSE),0),1,0)</f>
        <v>0</v>
      </c>
    </row>
    <row r="32" spans="1:25" x14ac:dyDescent="0.3">
      <c r="A32" t="s">
        <v>88</v>
      </c>
      <c r="B32" t="s">
        <v>35</v>
      </c>
      <c r="C32" t="s">
        <v>27</v>
      </c>
      <c r="D32" t="s">
        <v>68</v>
      </c>
      <c r="E32" t="s">
        <v>45</v>
      </c>
      <c r="F32" t="str">
        <f>IF(BBDD_fashion_boutique[[#This Row],[category]]="Accessories","Accesorio",IF(BBDD_fashion_boutique[[#This Row],[size]]="","Desconocido",BBDD_fashion_boutique[[#This Row],[size]]))</f>
        <v>S</v>
      </c>
      <c r="G32" t="s">
        <v>23</v>
      </c>
      <c r="H32" s="2">
        <v>71.290000000000006</v>
      </c>
      <c r="I32">
        <v>0</v>
      </c>
      <c r="J32" s="5">
        <f>BBDD_fashion_boutique[[#This Row],[markdown_percentage]]/100</f>
        <v>0</v>
      </c>
      <c r="K32" s="2">
        <v>71.290000000000006</v>
      </c>
      <c r="L32" s="2">
        <f>BBDD_fashion_boutique[[#This Row],[original_price]]-BBDD_fashion_boutique[[#This Row],[current_price]]</f>
        <v>0</v>
      </c>
      <c r="M32" s="1">
        <v>45875</v>
      </c>
      <c r="N32" s="1" t="str">
        <f>PROPER(TEXT(BBDD_fashion_boutique[[#This Row],[purchase_date]],"dddd"))</f>
        <v>Miércoles</v>
      </c>
      <c r="O32" s="1" t="str">
        <f>PROPER(TEXT(BBDD_fashion_boutique[[#This Row],[purchase_date]],"mmmm"))</f>
        <v>Agosto</v>
      </c>
      <c r="P32" s="4">
        <v>37</v>
      </c>
      <c r="Q32" s="2">
        <v>4.0999999999999996</v>
      </c>
      <c r="R32" t="str">
        <f>IF(BBDD_fashion_boutique[[#This Row],[stock_quantity]]&gt;9,"Ok",IF(BBDD_fashion_boutique[[#This Row],[stock_quantity]]=0,"Agotado","Pocas Unidades"))</f>
        <v>Ok</v>
      </c>
      <c r="S32" s="3">
        <f>IF(BBDD_fashion_boutique[[#This Row],[customer_rating]]="","No valorado",BBDD_fashion_boutique[[#This Row],[customer_rating]])</f>
        <v>4.0999999999999996</v>
      </c>
      <c r="T32" t="s">
        <v>41</v>
      </c>
      <c r="U32" t="s">
        <v>89</v>
      </c>
      <c r="V32">
        <f>IF(BBDD_fashion_boutique[[#This Row],[is_returned]]="False",0,1)</f>
        <v>1</v>
      </c>
      <c r="W32">
        <f>IF(BBDD_fashion_boutique[[#This Row],[is_returned]]="True",0,BBDD_fashion_boutique[[#This Row],[current_price]])</f>
        <v>0</v>
      </c>
      <c r="X32" t="str">
        <f>IF(BBDD_fashion_boutique[[#This Row],[return_reason]]="","No return",BBDD_fashion_boutique[[#This Row],[return_reason]])</f>
        <v>Quality Issue</v>
      </c>
      <c r="Y32">
        <f>IF(IFERROR(VLOOKUP(BBDD_fashion_boutique[[#This Row],[product_id]],A33:A2208,1,FALSE),0),1,0)</f>
        <v>0</v>
      </c>
    </row>
    <row r="33" spans="1:25" x14ac:dyDescent="0.3">
      <c r="A33" t="s">
        <v>90</v>
      </c>
      <c r="B33" t="s">
        <v>26</v>
      </c>
      <c r="C33" t="s">
        <v>67</v>
      </c>
      <c r="D33" t="s">
        <v>21</v>
      </c>
      <c r="E33" t="s">
        <v>29</v>
      </c>
      <c r="F33" t="str">
        <f>IF(BBDD_fashion_boutique[[#This Row],[category]]="Accessories","Accesorio",IF(BBDD_fashion_boutique[[#This Row],[size]]="","Desconocido",BBDD_fashion_boutique[[#This Row],[size]]))</f>
        <v>L</v>
      </c>
      <c r="G33" t="s">
        <v>72</v>
      </c>
      <c r="H33" s="2">
        <v>37.43</v>
      </c>
      <c r="I33">
        <v>24.4</v>
      </c>
      <c r="J33" s="5">
        <f>BBDD_fashion_boutique[[#This Row],[markdown_percentage]]/100</f>
        <v>0.24399999999999999</v>
      </c>
      <c r="K33" s="2">
        <v>28.3</v>
      </c>
      <c r="L33" s="2">
        <f>BBDD_fashion_boutique[[#This Row],[original_price]]-BBDD_fashion_boutique[[#This Row],[current_price]]</f>
        <v>9.129999999999999</v>
      </c>
      <c r="M33" s="1">
        <v>45763</v>
      </c>
      <c r="N33" s="1" t="str">
        <f>PROPER(TEXT(BBDD_fashion_boutique[[#This Row],[purchase_date]],"dddd"))</f>
        <v>Miércoles</v>
      </c>
      <c r="O33" s="1" t="str">
        <f>PROPER(TEXT(BBDD_fashion_boutique[[#This Row],[purchase_date]],"mmmm"))</f>
        <v>Abril</v>
      </c>
      <c r="P33" s="4">
        <v>5</v>
      </c>
      <c r="R33" t="str">
        <f>IF(BBDD_fashion_boutique[[#This Row],[stock_quantity]]&gt;9,"Ok",IF(BBDD_fashion_boutique[[#This Row],[stock_quantity]]=0,"Agotado","Pocas Unidades"))</f>
        <v>Pocas Unidades</v>
      </c>
      <c r="S33" s="3" t="str">
        <f>IF(BBDD_fashion_boutique[[#This Row],[customer_rating]]="","No valorado",BBDD_fashion_boutique[[#This Row],[customer_rating]])</f>
        <v>No valorado</v>
      </c>
      <c r="T33" t="s">
        <v>24</v>
      </c>
      <c r="V33">
        <f>IF(BBDD_fashion_boutique[[#This Row],[is_returned]]="False",0,1)</f>
        <v>0</v>
      </c>
      <c r="W33">
        <f>IF(BBDD_fashion_boutique[[#This Row],[is_returned]]="True",0,BBDD_fashion_boutique[[#This Row],[current_price]])</f>
        <v>28.3</v>
      </c>
      <c r="X33" t="str">
        <f>IF(BBDD_fashion_boutique[[#This Row],[return_reason]]="","No return",BBDD_fashion_boutique[[#This Row],[return_reason]])</f>
        <v>No return</v>
      </c>
      <c r="Y33">
        <f>IF(IFERROR(VLOOKUP(BBDD_fashion_boutique[[#This Row],[product_id]],A34:A2209,1,FALSE),0),1,0)</f>
        <v>0</v>
      </c>
    </row>
    <row r="34" spans="1:25" x14ac:dyDescent="0.3">
      <c r="A34" t="s">
        <v>91</v>
      </c>
      <c r="B34" t="s">
        <v>35</v>
      </c>
      <c r="C34" t="s">
        <v>20</v>
      </c>
      <c r="D34" t="s">
        <v>21</v>
      </c>
      <c r="E34" t="s">
        <v>22</v>
      </c>
      <c r="F34" t="str">
        <f>IF(BBDD_fashion_boutique[[#This Row],[category]]="Accessories","Accesorio",IF(BBDD_fashion_boutique[[#This Row],[size]]="","Desconocido",BBDD_fashion_boutique[[#This Row],[size]]))</f>
        <v>XL</v>
      </c>
      <c r="G34" t="s">
        <v>72</v>
      </c>
      <c r="H34" s="2">
        <v>143.78</v>
      </c>
      <c r="I34">
        <v>0</v>
      </c>
      <c r="J34" s="5">
        <f>BBDD_fashion_boutique[[#This Row],[markdown_percentage]]/100</f>
        <v>0</v>
      </c>
      <c r="K34" s="2">
        <v>143.78</v>
      </c>
      <c r="L34" s="2">
        <f>BBDD_fashion_boutique[[#This Row],[original_price]]-BBDD_fashion_boutique[[#This Row],[current_price]]</f>
        <v>0</v>
      </c>
      <c r="M34" s="1">
        <v>45581</v>
      </c>
      <c r="N34" s="1" t="str">
        <f>PROPER(TEXT(BBDD_fashion_boutique[[#This Row],[purchase_date]],"dddd"))</f>
        <v>Miércoles</v>
      </c>
      <c r="O34" s="1" t="str">
        <f>PROPER(TEXT(BBDD_fashion_boutique[[#This Row],[purchase_date]],"mmmm"))</f>
        <v>Octubre</v>
      </c>
      <c r="P34" s="4">
        <v>43</v>
      </c>
      <c r="Q34" s="2">
        <v>1.1000000000000001</v>
      </c>
      <c r="R34" t="str">
        <f>IF(BBDD_fashion_boutique[[#This Row],[stock_quantity]]&gt;9,"Ok",IF(BBDD_fashion_boutique[[#This Row],[stock_quantity]]=0,"Agotado","Pocas Unidades"))</f>
        <v>Ok</v>
      </c>
      <c r="S34" s="3">
        <f>IF(BBDD_fashion_boutique[[#This Row],[customer_rating]]="","No valorado",BBDD_fashion_boutique[[#This Row],[customer_rating]])</f>
        <v>1.1000000000000001</v>
      </c>
      <c r="T34" t="s">
        <v>24</v>
      </c>
      <c r="V34">
        <f>IF(BBDD_fashion_boutique[[#This Row],[is_returned]]="False",0,1)</f>
        <v>0</v>
      </c>
      <c r="W34">
        <f>IF(BBDD_fashion_boutique[[#This Row],[is_returned]]="True",0,BBDD_fashion_boutique[[#This Row],[current_price]])</f>
        <v>143.78</v>
      </c>
      <c r="X34" t="str">
        <f>IF(BBDD_fashion_boutique[[#This Row],[return_reason]]="","No return",BBDD_fashion_boutique[[#This Row],[return_reason]])</f>
        <v>No return</v>
      </c>
      <c r="Y34">
        <f>IF(IFERROR(VLOOKUP(BBDD_fashion_boutique[[#This Row],[product_id]],A35:A2210,1,FALSE),0),1,0)</f>
        <v>0</v>
      </c>
    </row>
    <row r="35" spans="1:25" x14ac:dyDescent="0.3">
      <c r="A35" t="s">
        <v>92</v>
      </c>
      <c r="B35" t="s">
        <v>26</v>
      </c>
      <c r="C35" t="s">
        <v>37</v>
      </c>
      <c r="D35" t="s">
        <v>68</v>
      </c>
      <c r="E35" t="s">
        <v>22</v>
      </c>
      <c r="F35" t="str">
        <f>IF(BBDD_fashion_boutique[[#This Row],[category]]="Accessories","Accesorio",IF(BBDD_fashion_boutique[[#This Row],[size]]="","Desconocido",BBDD_fashion_boutique[[#This Row],[size]]))</f>
        <v>XL</v>
      </c>
      <c r="G35" t="s">
        <v>46</v>
      </c>
      <c r="H35" s="2">
        <v>88.23</v>
      </c>
      <c r="I35">
        <v>0</v>
      </c>
      <c r="J35" s="5">
        <f>BBDD_fashion_boutique[[#This Row],[markdown_percentage]]/100</f>
        <v>0</v>
      </c>
      <c r="K35" s="2">
        <v>88.23</v>
      </c>
      <c r="L35" s="2">
        <f>BBDD_fashion_boutique[[#This Row],[original_price]]-BBDD_fashion_boutique[[#This Row],[current_price]]</f>
        <v>0</v>
      </c>
      <c r="M35" s="1">
        <v>45875</v>
      </c>
      <c r="N35" s="1" t="str">
        <f>PROPER(TEXT(BBDD_fashion_boutique[[#This Row],[purchase_date]],"dddd"))</f>
        <v>Miércoles</v>
      </c>
      <c r="O35" s="1" t="str">
        <f>PROPER(TEXT(BBDD_fashion_boutique[[#This Row],[purchase_date]],"mmmm"))</f>
        <v>Agosto</v>
      </c>
      <c r="P35" s="4">
        <v>44</v>
      </c>
      <c r="Q35" s="2">
        <v>1.6</v>
      </c>
      <c r="R35" t="str">
        <f>IF(BBDD_fashion_boutique[[#This Row],[stock_quantity]]&gt;9,"Ok",IF(BBDD_fashion_boutique[[#This Row],[stock_quantity]]=0,"Agotado","Pocas Unidades"))</f>
        <v>Ok</v>
      </c>
      <c r="S35" s="3">
        <f>IF(BBDD_fashion_boutique[[#This Row],[customer_rating]]="","No valorado",BBDD_fashion_boutique[[#This Row],[customer_rating]])</f>
        <v>1.6</v>
      </c>
      <c r="T35" t="s">
        <v>24</v>
      </c>
      <c r="V35">
        <f>IF(BBDD_fashion_boutique[[#This Row],[is_returned]]="False",0,1)</f>
        <v>0</v>
      </c>
      <c r="W35">
        <f>IF(BBDD_fashion_boutique[[#This Row],[is_returned]]="True",0,BBDD_fashion_boutique[[#This Row],[current_price]])</f>
        <v>88.23</v>
      </c>
      <c r="X35" t="str">
        <f>IF(BBDD_fashion_boutique[[#This Row],[return_reason]]="","No return",BBDD_fashion_boutique[[#This Row],[return_reason]])</f>
        <v>No return</v>
      </c>
      <c r="Y35">
        <f>IF(IFERROR(VLOOKUP(BBDD_fashion_boutique[[#This Row],[product_id]],A36:A2211,1,FALSE),0),1,0)</f>
        <v>0</v>
      </c>
    </row>
    <row r="36" spans="1:25" x14ac:dyDescent="0.3">
      <c r="A36" t="s">
        <v>93</v>
      </c>
      <c r="B36" t="s">
        <v>32</v>
      </c>
      <c r="C36" t="s">
        <v>81</v>
      </c>
      <c r="D36" t="s">
        <v>39</v>
      </c>
      <c r="F36" t="str">
        <f>IF(BBDD_fashion_boutique[[#This Row],[category]]="Accessories","Accesorio",IF(BBDD_fashion_boutique[[#This Row],[size]]="","Desconocido",BBDD_fashion_boutique[[#This Row],[size]]))</f>
        <v>Accesorio</v>
      </c>
      <c r="G36" t="s">
        <v>70</v>
      </c>
      <c r="H36" s="2">
        <v>58.57</v>
      </c>
      <c r="I36">
        <v>0</v>
      </c>
      <c r="J36" s="5">
        <f>BBDD_fashion_boutique[[#This Row],[markdown_percentage]]/100</f>
        <v>0</v>
      </c>
      <c r="K36" s="2">
        <v>58.57</v>
      </c>
      <c r="L36" s="2">
        <f>BBDD_fashion_boutique[[#This Row],[original_price]]-BBDD_fashion_boutique[[#This Row],[current_price]]</f>
        <v>0</v>
      </c>
      <c r="M36" s="1">
        <v>45875</v>
      </c>
      <c r="N36" s="1" t="str">
        <f>PROPER(TEXT(BBDD_fashion_boutique[[#This Row],[purchase_date]],"dddd"))</f>
        <v>Miércoles</v>
      </c>
      <c r="O36" s="1" t="str">
        <f>PROPER(TEXT(BBDD_fashion_boutique[[#This Row],[purchase_date]],"mmmm"))</f>
        <v>Agosto</v>
      </c>
      <c r="P36" s="4">
        <v>38</v>
      </c>
      <c r="Q36" s="2">
        <v>1.5</v>
      </c>
      <c r="R36" t="str">
        <f>IF(BBDD_fashion_boutique[[#This Row],[stock_quantity]]&gt;9,"Ok",IF(BBDD_fashion_boutique[[#This Row],[stock_quantity]]=0,"Agotado","Pocas Unidades"))</f>
        <v>Ok</v>
      </c>
      <c r="S36" s="3">
        <f>IF(BBDD_fashion_boutique[[#This Row],[customer_rating]]="","No valorado",BBDD_fashion_boutique[[#This Row],[customer_rating]])</f>
        <v>1.5</v>
      </c>
      <c r="T36" t="s">
        <v>24</v>
      </c>
      <c r="V36">
        <f>IF(BBDD_fashion_boutique[[#This Row],[is_returned]]="False",0,1)</f>
        <v>0</v>
      </c>
      <c r="W36">
        <f>IF(BBDD_fashion_boutique[[#This Row],[is_returned]]="True",0,BBDD_fashion_boutique[[#This Row],[current_price]])</f>
        <v>58.57</v>
      </c>
      <c r="X36" t="str">
        <f>IF(BBDD_fashion_boutique[[#This Row],[return_reason]]="","No return",BBDD_fashion_boutique[[#This Row],[return_reason]])</f>
        <v>No return</v>
      </c>
      <c r="Y36">
        <f>IF(IFERROR(VLOOKUP(BBDD_fashion_boutique[[#This Row],[product_id]],A37:A2212,1,FALSE),0),1,0)</f>
        <v>0</v>
      </c>
    </row>
    <row r="37" spans="1:25" x14ac:dyDescent="0.3">
      <c r="A37" t="s">
        <v>94</v>
      </c>
      <c r="B37" t="s">
        <v>26</v>
      </c>
      <c r="C37" t="s">
        <v>27</v>
      </c>
      <c r="D37" t="s">
        <v>28</v>
      </c>
      <c r="E37" t="s">
        <v>55</v>
      </c>
      <c r="F37" t="str">
        <f>IF(BBDD_fashion_boutique[[#This Row],[category]]="Accessories","Accesorio",IF(BBDD_fashion_boutique[[#This Row],[size]]="","Desconocido",BBDD_fashion_boutique[[#This Row],[size]]))</f>
        <v>XXL</v>
      </c>
      <c r="G37" t="s">
        <v>40</v>
      </c>
      <c r="H37" s="2">
        <v>119.7</v>
      </c>
      <c r="I37">
        <v>5.7</v>
      </c>
      <c r="J37" s="5">
        <f>BBDD_fashion_boutique[[#This Row],[markdown_percentage]]/100</f>
        <v>5.7000000000000002E-2</v>
      </c>
      <c r="K37" s="2">
        <v>112.88</v>
      </c>
      <c r="L37" s="2">
        <f>BBDD_fashion_boutique[[#This Row],[original_price]]-BBDD_fashion_boutique[[#This Row],[current_price]]</f>
        <v>6.8200000000000074</v>
      </c>
      <c r="M37" s="1">
        <v>45875</v>
      </c>
      <c r="N37" s="1" t="str">
        <f>PROPER(TEXT(BBDD_fashion_boutique[[#This Row],[purchase_date]],"dddd"))</f>
        <v>Miércoles</v>
      </c>
      <c r="O37" s="1" t="str">
        <f>PROPER(TEXT(BBDD_fashion_boutique[[#This Row],[purchase_date]],"mmmm"))</f>
        <v>Agosto</v>
      </c>
      <c r="P37" s="4">
        <v>37</v>
      </c>
      <c r="Q37" s="2">
        <v>4.9000000000000004</v>
      </c>
      <c r="R37" t="str">
        <f>IF(BBDD_fashion_boutique[[#This Row],[stock_quantity]]&gt;9,"Ok",IF(BBDD_fashion_boutique[[#This Row],[stock_quantity]]=0,"Agotado","Pocas Unidades"))</f>
        <v>Ok</v>
      </c>
      <c r="S37" s="3">
        <f>IF(BBDD_fashion_boutique[[#This Row],[customer_rating]]="","No valorado",BBDD_fashion_boutique[[#This Row],[customer_rating]])</f>
        <v>4.9000000000000004</v>
      </c>
      <c r="T37" t="s">
        <v>24</v>
      </c>
      <c r="V37">
        <f>IF(BBDD_fashion_boutique[[#This Row],[is_returned]]="False",0,1)</f>
        <v>0</v>
      </c>
      <c r="W37">
        <f>IF(BBDD_fashion_boutique[[#This Row],[is_returned]]="True",0,BBDD_fashion_boutique[[#This Row],[current_price]])</f>
        <v>112.88</v>
      </c>
      <c r="X37" t="str">
        <f>IF(BBDD_fashion_boutique[[#This Row],[return_reason]]="","No return",BBDD_fashion_boutique[[#This Row],[return_reason]])</f>
        <v>No return</v>
      </c>
      <c r="Y37">
        <f>IF(IFERROR(VLOOKUP(BBDD_fashion_boutique[[#This Row],[product_id]],A38:A2213,1,FALSE),0),1,0)</f>
        <v>0</v>
      </c>
    </row>
    <row r="38" spans="1:25" x14ac:dyDescent="0.3">
      <c r="A38" t="s">
        <v>95</v>
      </c>
      <c r="B38" t="s">
        <v>44</v>
      </c>
      <c r="C38" t="s">
        <v>37</v>
      </c>
      <c r="D38" t="s">
        <v>39</v>
      </c>
      <c r="E38" t="s">
        <v>55</v>
      </c>
      <c r="F38" t="str">
        <f>IF(BBDD_fashion_boutique[[#This Row],[category]]="Accessories","Accesorio",IF(BBDD_fashion_boutique[[#This Row],[size]]="","Desconocido",BBDD_fashion_boutique[[#This Row],[size]]))</f>
        <v>XXL</v>
      </c>
      <c r="G38" t="s">
        <v>52</v>
      </c>
      <c r="H38" s="2">
        <v>97.06</v>
      </c>
      <c r="I38">
        <v>47.8</v>
      </c>
      <c r="J38" s="5">
        <f>BBDD_fashion_boutique[[#This Row],[markdown_percentage]]/100</f>
        <v>0.47799999999999998</v>
      </c>
      <c r="K38" s="2">
        <v>50.67</v>
      </c>
      <c r="L38" s="2">
        <f>BBDD_fashion_boutique[[#This Row],[original_price]]-BBDD_fashion_boutique[[#This Row],[current_price]]</f>
        <v>46.39</v>
      </c>
      <c r="M38" s="1">
        <v>45875</v>
      </c>
      <c r="N38" s="1" t="str">
        <f>PROPER(TEXT(BBDD_fashion_boutique[[#This Row],[purchase_date]],"dddd"))</f>
        <v>Miércoles</v>
      </c>
      <c r="O38" s="1" t="str">
        <f>PROPER(TEXT(BBDD_fashion_boutique[[#This Row],[purchase_date]],"mmmm"))</f>
        <v>Agosto</v>
      </c>
      <c r="P38" s="4">
        <v>31</v>
      </c>
      <c r="Q38" s="2">
        <v>4.0999999999999996</v>
      </c>
      <c r="R38" t="str">
        <f>IF(BBDD_fashion_boutique[[#This Row],[stock_quantity]]&gt;9,"Ok",IF(BBDD_fashion_boutique[[#This Row],[stock_quantity]]=0,"Agotado","Pocas Unidades"))</f>
        <v>Ok</v>
      </c>
      <c r="S38" s="3">
        <f>IF(BBDD_fashion_boutique[[#This Row],[customer_rating]]="","No valorado",BBDD_fashion_boutique[[#This Row],[customer_rating]])</f>
        <v>4.0999999999999996</v>
      </c>
      <c r="T38" t="s">
        <v>24</v>
      </c>
      <c r="V38">
        <f>IF(BBDD_fashion_boutique[[#This Row],[is_returned]]="False",0,1)</f>
        <v>0</v>
      </c>
      <c r="W38">
        <f>IF(BBDD_fashion_boutique[[#This Row],[is_returned]]="True",0,BBDD_fashion_boutique[[#This Row],[current_price]])</f>
        <v>50.67</v>
      </c>
      <c r="X38" t="str">
        <f>IF(BBDD_fashion_boutique[[#This Row],[return_reason]]="","No return",BBDD_fashion_boutique[[#This Row],[return_reason]])</f>
        <v>No return</v>
      </c>
      <c r="Y38">
        <f>IF(IFERROR(VLOOKUP(BBDD_fashion_boutique[[#This Row],[product_id]],A39:A2214,1,FALSE),0),1,0)</f>
        <v>0</v>
      </c>
    </row>
    <row r="39" spans="1:25" x14ac:dyDescent="0.3">
      <c r="A39" t="s">
        <v>96</v>
      </c>
      <c r="B39" t="s">
        <v>48</v>
      </c>
      <c r="C39" t="s">
        <v>37</v>
      </c>
      <c r="D39" t="s">
        <v>68</v>
      </c>
      <c r="E39" t="s">
        <v>29</v>
      </c>
      <c r="F39" t="str">
        <f>IF(BBDD_fashion_boutique[[#This Row],[category]]="Accessories","Accesorio",IF(BBDD_fashion_boutique[[#This Row],[size]]="","Desconocido",BBDD_fashion_boutique[[#This Row],[size]]))</f>
        <v>L</v>
      </c>
      <c r="G39" t="s">
        <v>40</v>
      </c>
      <c r="H39" s="2">
        <v>110.09</v>
      </c>
      <c r="I39">
        <v>0</v>
      </c>
      <c r="J39" s="5">
        <f>BBDD_fashion_boutique[[#This Row],[markdown_percentage]]/100</f>
        <v>0</v>
      </c>
      <c r="K39" s="2">
        <v>110.09</v>
      </c>
      <c r="L39" s="2">
        <f>BBDD_fashion_boutique[[#This Row],[original_price]]-BBDD_fashion_boutique[[#This Row],[current_price]]</f>
        <v>0</v>
      </c>
      <c r="M39" s="1">
        <v>45875</v>
      </c>
      <c r="N39" s="1" t="str">
        <f>PROPER(TEXT(BBDD_fashion_boutique[[#This Row],[purchase_date]],"dddd"))</f>
        <v>Miércoles</v>
      </c>
      <c r="O39" s="1" t="str">
        <f>PROPER(TEXT(BBDD_fashion_boutique[[#This Row],[purchase_date]],"mmmm"))</f>
        <v>Agosto</v>
      </c>
      <c r="P39" s="4">
        <v>32</v>
      </c>
      <c r="Q39" s="2">
        <v>3.4</v>
      </c>
      <c r="R39" t="str">
        <f>IF(BBDD_fashion_boutique[[#This Row],[stock_quantity]]&gt;9,"Ok",IF(BBDD_fashion_boutique[[#This Row],[stock_quantity]]=0,"Agotado","Pocas Unidades"))</f>
        <v>Ok</v>
      </c>
      <c r="S39" s="3">
        <f>IF(BBDD_fashion_boutique[[#This Row],[customer_rating]]="","No valorado",BBDD_fashion_boutique[[#This Row],[customer_rating]])</f>
        <v>3.4</v>
      </c>
      <c r="T39" t="s">
        <v>24</v>
      </c>
      <c r="V39">
        <f>IF(BBDD_fashion_boutique[[#This Row],[is_returned]]="False",0,1)</f>
        <v>0</v>
      </c>
      <c r="W39">
        <f>IF(BBDD_fashion_boutique[[#This Row],[is_returned]]="True",0,BBDD_fashion_boutique[[#This Row],[current_price]])</f>
        <v>110.09</v>
      </c>
      <c r="X39" t="str">
        <f>IF(BBDD_fashion_boutique[[#This Row],[return_reason]]="","No return",BBDD_fashion_boutique[[#This Row],[return_reason]])</f>
        <v>No return</v>
      </c>
      <c r="Y39">
        <f>IF(IFERROR(VLOOKUP(BBDD_fashion_boutique[[#This Row],[product_id]],A40:A2215,1,FALSE),0),1,0)</f>
        <v>0</v>
      </c>
    </row>
    <row r="40" spans="1:25" x14ac:dyDescent="0.3">
      <c r="A40" t="s">
        <v>97</v>
      </c>
      <c r="B40" t="s">
        <v>35</v>
      </c>
      <c r="C40" t="s">
        <v>20</v>
      </c>
      <c r="D40" t="s">
        <v>28</v>
      </c>
      <c r="E40" t="s">
        <v>61</v>
      </c>
      <c r="F40" t="str">
        <f>IF(BBDD_fashion_boutique[[#This Row],[category]]="Accessories","Accesorio",IF(BBDD_fashion_boutique[[#This Row],[size]]="","Desconocido",BBDD_fashion_boutique[[#This Row],[size]]))</f>
        <v>XS</v>
      </c>
      <c r="G40" t="s">
        <v>52</v>
      </c>
      <c r="H40" s="2">
        <v>198.42</v>
      </c>
      <c r="I40">
        <v>14.2</v>
      </c>
      <c r="J40" s="5">
        <f>BBDD_fashion_boutique[[#This Row],[markdown_percentage]]/100</f>
        <v>0.14199999999999999</v>
      </c>
      <c r="K40" s="2">
        <v>170.24</v>
      </c>
      <c r="L40" s="2">
        <f>BBDD_fashion_boutique[[#This Row],[original_price]]-BBDD_fashion_boutique[[#This Row],[current_price]]</f>
        <v>28.179999999999978</v>
      </c>
      <c r="M40" s="1">
        <v>45875</v>
      </c>
      <c r="N40" s="1" t="str">
        <f>PROPER(TEXT(BBDD_fashion_boutique[[#This Row],[purchase_date]],"dddd"))</f>
        <v>Miércoles</v>
      </c>
      <c r="O40" s="1" t="str">
        <f>PROPER(TEXT(BBDD_fashion_boutique[[#This Row],[purchase_date]],"mmmm"))</f>
        <v>Agosto</v>
      </c>
      <c r="P40" s="4">
        <v>10</v>
      </c>
      <c r="R40" t="str">
        <f>IF(BBDD_fashion_boutique[[#This Row],[stock_quantity]]&gt;9,"Ok",IF(BBDD_fashion_boutique[[#This Row],[stock_quantity]]=0,"Agotado","Pocas Unidades"))</f>
        <v>Ok</v>
      </c>
      <c r="S40" s="3" t="str">
        <f>IF(BBDD_fashion_boutique[[#This Row],[customer_rating]]="","No valorado",BBDD_fashion_boutique[[#This Row],[customer_rating]])</f>
        <v>No valorado</v>
      </c>
      <c r="T40" t="s">
        <v>24</v>
      </c>
      <c r="V40">
        <f>IF(BBDD_fashion_boutique[[#This Row],[is_returned]]="False",0,1)</f>
        <v>0</v>
      </c>
      <c r="W40">
        <f>IF(BBDD_fashion_boutique[[#This Row],[is_returned]]="True",0,BBDD_fashion_boutique[[#This Row],[current_price]])</f>
        <v>170.24</v>
      </c>
      <c r="X40" t="str">
        <f>IF(BBDD_fashion_boutique[[#This Row],[return_reason]]="","No return",BBDD_fashion_boutique[[#This Row],[return_reason]])</f>
        <v>No return</v>
      </c>
      <c r="Y40">
        <f>IF(IFERROR(VLOOKUP(BBDD_fashion_boutique[[#This Row],[product_id]],A41:A2216,1,FALSE),0),1,0)</f>
        <v>0</v>
      </c>
    </row>
    <row r="41" spans="1:25" x14ac:dyDescent="0.3">
      <c r="A41" t="s">
        <v>98</v>
      </c>
      <c r="B41" t="s">
        <v>44</v>
      </c>
      <c r="C41" t="s">
        <v>37</v>
      </c>
      <c r="D41" t="s">
        <v>28</v>
      </c>
      <c r="F41" t="str">
        <f>IF(BBDD_fashion_boutique[[#This Row],[category]]="Accessories","Accesorio",IF(BBDD_fashion_boutique[[#This Row],[size]]="","Desconocido",BBDD_fashion_boutique[[#This Row],[size]]))</f>
        <v>Desconocido</v>
      </c>
      <c r="G41" t="s">
        <v>72</v>
      </c>
      <c r="H41" s="2">
        <v>101.72</v>
      </c>
      <c r="I41">
        <v>0</v>
      </c>
      <c r="J41" s="5">
        <f>BBDD_fashion_boutique[[#This Row],[markdown_percentage]]/100</f>
        <v>0</v>
      </c>
      <c r="K41" s="2">
        <v>101.72</v>
      </c>
      <c r="L41" s="2">
        <f>BBDD_fashion_boutique[[#This Row],[original_price]]-BBDD_fashion_boutique[[#This Row],[current_price]]</f>
        <v>0</v>
      </c>
      <c r="M41" s="1">
        <v>45875</v>
      </c>
      <c r="N41" s="1" t="str">
        <f>PROPER(TEXT(BBDD_fashion_boutique[[#This Row],[purchase_date]],"dddd"))</f>
        <v>Miércoles</v>
      </c>
      <c r="O41" s="1" t="str">
        <f>PROPER(TEXT(BBDD_fashion_boutique[[#This Row],[purchase_date]],"mmmm"))</f>
        <v>Agosto</v>
      </c>
      <c r="P41" s="4">
        <v>40</v>
      </c>
      <c r="R41" t="str">
        <f>IF(BBDD_fashion_boutique[[#This Row],[stock_quantity]]&gt;9,"Ok",IF(BBDD_fashion_boutique[[#This Row],[stock_quantity]]=0,"Agotado","Pocas Unidades"))</f>
        <v>Ok</v>
      </c>
      <c r="S41" s="3" t="str">
        <f>IF(BBDD_fashion_boutique[[#This Row],[customer_rating]]="","No valorado",BBDD_fashion_boutique[[#This Row],[customer_rating]])</f>
        <v>No valorado</v>
      </c>
      <c r="T41" t="s">
        <v>24</v>
      </c>
      <c r="V41">
        <f>IF(BBDD_fashion_boutique[[#This Row],[is_returned]]="False",0,1)</f>
        <v>0</v>
      </c>
      <c r="W41">
        <f>IF(BBDD_fashion_boutique[[#This Row],[is_returned]]="True",0,BBDD_fashion_boutique[[#This Row],[current_price]])</f>
        <v>101.72</v>
      </c>
      <c r="X41" t="str">
        <f>IF(BBDD_fashion_boutique[[#This Row],[return_reason]]="","No return",BBDD_fashion_boutique[[#This Row],[return_reason]])</f>
        <v>No return</v>
      </c>
      <c r="Y41">
        <f>IF(IFERROR(VLOOKUP(BBDD_fashion_boutique[[#This Row],[product_id]],A42:A2217,1,FALSE),0),1,0)</f>
        <v>0</v>
      </c>
    </row>
    <row r="42" spans="1:25" x14ac:dyDescent="0.3">
      <c r="A42" t="s">
        <v>99</v>
      </c>
      <c r="B42" t="s">
        <v>26</v>
      </c>
      <c r="C42" t="s">
        <v>27</v>
      </c>
      <c r="D42" t="s">
        <v>68</v>
      </c>
      <c r="E42" t="s">
        <v>45</v>
      </c>
      <c r="F42" t="str">
        <f>IF(BBDD_fashion_boutique[[#This Row],[category]]="Accessories","Accesorio",IF(BBDD_fashion_boutique[[#This Row],[size]]="","Desconocido",BBDD_fashion_boutique[[#This Row],[size]]))</f>
        <v>S</v>
      </c>
      <c r="G42" t="s">
        <v>40</v>
      </c>
      <c r="H42" s="2">
        <v>117.86</v>
      </c>
      <c r="I42">
        <v>0</v>
      </c>
      <c r="J42" s="5">
        <f>BBDD_fashion_boutique[[#This Row],[markdown_percentage]]/100</f>
        <v>0</v>
      </c>
      <c r="K42" s="2">
        <v>117.86</v>
      </c>
      <c r="L42" s="2">
        <f>BBDD_fashion_boutique[[#This Row],[original_price]]-BBDD_fashion_boutique[[#This Row],[current_price]]</f>
        <v>0</v>
      </c>
      <c r="M42" s="1">
        <v>45875</v>
      </c>
      <c r="N42" s="1" t="str">
        <f>PROPER(TEXT(BBDD_fashion_boutique[[#This Row],[purchase_date]],"dddd"))</f>
        <v>Miércoles</v>
      </c>
      <c r="O42" s="1" t="str">
        <f>PROPER(TEXT(BBDD_fashion_boutique[[#This Row],[purchase_date]],"mmmm"))</f>
        <v>Agosto</v>
      </c>
      <c r="P42" s="4">
        <v>6</v>
      </c>
      <c r="R42" t="str">
        <f>IF(BBDD_fashion_boutique[[#This Row],[stock_quantity]]&gt;9,"Ok",IF(BBDD_fashion_boutique[[#This Row],[stock_quantity]]=0,"Agotado","Pocas Unidades"))</f>
        <v>Pocas Unidades</v>
      </c>
      <c r="S42" s="3" t="str">
        <f>IF(BBDD_fashion_boutique[[#This Row],[customer_rating]]="","No valorado",BBDD_fashion_boutique[[#This Row],[customer_rating]])</f>
        <v>No valorado</v>
      </c>
      <c r="T42" t="s">
        <v>24</v>
      </c>
      <c r="V42">
        <f>IF(BBDD_fashion_boutique[[#This Row],[is_returned]]="False",0,1)</f>
        <v>0</v>
      </c>
      <c r="W42">
        <f>IF(BBDD_fashion_boutique[[#This Row],[is_returned]]="True",0,BBDD_fashion_boutique[[#This Row],[current_price]])</f>
        <v>117.86</v>
      </c>
      <c r="X42" t="str">
        <f>IF(BBDD_fashion_boutique[[#This Row],[return_reason]]="","No return",BBDD_fashion_boutique[[#This Row],[return_reason]])</f>
        <v>No return</v>
      </c>
      <c r="Y42">
        <f>IF(IFERROR(VLOOKUP(BBDD_fashion_boutique[[#This Row],[product_id]],A43:A2218,1,FALSE),0),1,0)</f>
        <v>0</v>
      </c>
    </row>
    <row r="43" spans="1:25" x14ac:dyDescent="0.3">
      <c r="A43" t="s">
        <v>100</v>
      </c>
      <c r="B43" t="s">
        <v>26</v>
      </c>
      <c r="C43" t="s">
        <v>59</v>
      </c>
      <c r="D43" t="s">
        <v>68</v>
      </c>
      <c r="E43" t="s">
        <v>64</v>
      </c>
      <c r="F43" t="str">
        <f>IF(BBDD_fashion_boutique[[#This Row],[category]]="Accessories","Accesorio",IF(BBDD_fashion_boutique[[#This Row],[size]]="","Desconocido",BBDD_fashion_boutique[[#This Row],[size]]))</f>
        <v>M</v>
      </c>
      <c r="G43" t="s">
        <v>52</v>
      </c>
      <c r="H43" s="2">
        <v>78.86</v>
      </c>
      <c r="I43">
        <v>0</v>
      </c>
      <c r="J43" s="5">
        <f>BBDD_fashion_boutique[[#This Row],[markdown_percentage]]/100</f>
        <v>0</v>
      </c>
      <c r="K43" s="2">
        <v>78.86</v>
      </c>
      <c r="L43" s="2">
        <f>BBDD_fashion_boutique[[#This Row],[original_price]]-BBDD_fashion_boutique[[#This Row],[current_price]]</f>
        <v>0</v>
      </c>
      <c r="M43" s="1">
        <v>45875</v>
      </c>
      <c r="N43" s="1" t="str">
        <f>PROPER(TEXT(BBDD_fashion_boutique[[#This Row],[purchase_date]],"dddd"))</f>
        <v>Miércoles</v>
      </c>
      <c r="O43" s="1" t="str">
        <f>PROPER(TEXT(BBDD_fashion_boutique[[#This Row],[purchase_date]],"mmmm"))</f>
        <v>Agosto</v>
      </c>
      <c r="P43" s="4">
        <v>22</v>
      </c>
      <c r="Q43" s="2">
        <v>4.3</v>
      </c>
      <c r="R43" t="str">
        <f>IF(BBDD_fashion_boutique[[#This Row],[stock_quantity]]&gt;9,"Ok",IF(BBDD_fashion_boutique[[#This Row],[stock_quantity]]=0,"Agotado","Pocas Unidades"))</f>
        <v>Ok</v>
      </c>
      <c r="S43" s="3">
        <f>IF(BBDD_fashion_boutique[[#This Row],[customer_rating]]="","No valorado",BBDD_fashion_boutique[[#This Row],[customer_rating]])</f>
        <v>4.3</v>
      </c>
      <c r="T43" t="s">
        <v>24</v>
      </c>
      <c r="V43">
        <f>IF(BBDD_fashion_boutique[[#This Row],[is_returned]]="False",0,1)</f>
        <v>0</v>
      </c>
      <c r="W43">
        <f>IF(BBDD_fashion_boutique[[#This Row],[is_returned]]="True",0,BBDD_fashion_boutique[[#This Row],[current_price]])</f>
        <v>78.86</v>
      </c>
      <c r="X43" t="str">
        <f>IF(BBDD_fashion_boutique[[#This Row],[return_reason]]="","No return",BBDD_fashion_boutique[[#This Row],[return_reason]])</f>
        <v>No return</v>
      </c>
      <c r="Y43">
        <f>IF(IFERROR(VLOOKUP(BBDD_fashion_boutique[[#This Row],[product_id]],A44:A2219,1,FALSE),0),1,0)</f>
        <v>0</v>
      </c>
    </row>
    <row r="44" spans="1:25" x14ac:dyDescent="0.3">
      <c r="A44" t="s">
        <v>101</v>
      </c>
      <c r="B44" t="s">
        <v>19</v>
      </c>
      <c r="C44" t="s">
        <v>20</v>
      </c>
      <c r="D44" t="s">
        <v>28</v>
      </c>
      <c r="E44" t="s">
        <v>61</v>
      </c>
      <c r="F44" t="str">
        <f>IF(BBDD_fashion_boutique[[#This Row],[category]]="Accessories","Accesorio",IF(BBDD_fashion_boutique[[#This Row],[size]]="","Desconocido",BBDD_fashion_boutique[[#This Row],[size]]))</f>
        <v>XS</v>
      </c>
      <c r="G44" t="s">
        <v>70</v>
      </c>
      <c r="H44" s="2">
        <v>216.16</v>
      </c>
      <c r="I44">
        <v>51.4</v>
      </c>
      <c r="J44" s="5">
        <f>BBDD_fashion_boutique[[#This Row],[markdown_percentage]]/100</f>
        <v>0.51400000000000001</v>
      </c>
      <c r="K44" s="2">
        <v>105.05</v>
      </c>
      <c r="L44" s="2">
        <f>BBDD_fashion_boutique[[#This Row],[original_price]]-BBDD_fashion_boutique[[#This Row],[current_price]]</f>
        <v>111.11</v>
      </c>
      <c r="M44" s="1">
        <v>45875</v>
      </c>
      <c r="N44" s="1" t="str">
        <f>PROPER(TEXT(BBDD_fashion_boutique[[#This Row],[purchase_date]],"dddd"))</f>
        <v>Miércoles</v>
      </c>
      <c r="O44" s="1" t="str">
        <f>PROPER(TEXT(BBDD_fashion_boutique[[#This Row],[purchase_date]],"mmmm"))</f>
        <v>Agosto</v>
      </c>
      <c r="P44" s="4">
        <v>36</v>
      </c>
      <c r="Q44" s="2">
        <v>4</v>
      </c>
      <c r="R44" t="str">
        <f>IF(BBDD_fashion_boutique[[#This Row],[stock_quantity]]&gt;9,"Ok",IF(BBDD_fashion_boutique[[#This Row],[stock_quantity]]=0,"Agotado","Pocas Unidades"))</f>
        <v>Ok</v>
      </c>
      <c r="S44" s="3">
        <f>IF(BBDD_fashion_boutique[[#This Row],[customer_rating]]="","No valorado",BBDD_fashion_boutique[[#This Row],[customer_rating]])</f>
        <v>4</v>
      </c>
      <c r="T44" t="s">
        <v>24</v>
      </c>
      <c r="V44">
        <f>IF(BBDD_fashion_boutique[[#This Row],[is_returned]]="False",0,1)</f>
        <v>0</v>
      </c>
      <c r="W44">
        <f>IF(BBDD_fashion_boutique[[#This Row],[is_returned]]="True",0,BBDD_fashion_boutique[[#This Row],[current_price]])</f>
        <v>105.05</v>
      </c>
      <c r="X44" t="str">
        <f>IF(BBDD_fashion_boutique[[#This Row],[return_reason]]="","No return",BBDD_fashion_boutique[[#This Row],[return_reason]])</f>
        <v>No return</v>
      </c>
      <c r="Y44">
        <f>IF(IFERROR(VLOOKUP(BBDD_fashion_boutique[[#This Row],[product_id]],A45:A2220,1,FALSE),0),1,0)</f>
        <v>0</v>
      </c>
    </row>
    <row r="45" spans="1:25" x14ac:dyDescent="0.3">
      <c r="A45" t="s">
        <v>102</v>
      </c>
      <c r="B45" t="s">
        <v>35</v>
      </c>
      <c r="C45" t="s">
        <v>20</v>
      </c>
      <c r="D45" t="s">
        <v>21</v>
      </c>
      <c r="E45" t="s">
        <v>22</v>
      </c>
      <c r="F45" t="str">
        <f>IF(BBDD_fashion_boutique[[#This Row],[category]]="Accessories","Accesorio",IF(BBDD_fashion_boutique[[#This Row],[size]]="","Desconocido",BBDD_fashion_boutique[[#This Row],[size]]))</f>
        <v>XL</v>
      </c>
      <c r="G45" t="s">
        <v>30</v>
      </c>
      <c r="H45" s="2">
        <v>129.85</v>
      </c>
      <c r="I45">
        <v>0</v>
      </c>
      <c r="J45" s="5">
        <f>BBDD_fashion_boutique[[#This Row],[markdown_percentage]]/100</f>
        <v>0</v>
      </c>
      <c r="K45" s="2">
        <v>129.85</v>
      </c>
      <c r="L45" s="2">
        <f>BBDD_fashion_boutique[[#This Row],[original_price]]-BBDD_fashion_boutique[[#This Row],[current_price]]</f>
        <v>0</v>
      </c>
      <c r="M45" s="1">
        <v>45772</v>
      </c>
      <c r="N45" s="1" t="str">
        <f>PROPER(TEXT(BBDD_fashion_boutique[[#This Row],[purchase_date]],"dddd"))</f>
        <v>Viernes</v>
      </c>
      <c r="O45" s="1" t="str">
        <f>PROPER(TEXT(BBDD_fashion_boutique[[#This Row],[purchase_date]],"mmmm"))</f>
        <v>Abril</v>
      </c>
      <c r="P45" s="4">
        <v>36</v>
      </c>
      <c r="Q45" s="2">
        <v>3.3</v>
      </c>
      <c r="R45" t="str">
        <f>IF(BBDD_fashion_boutique[[#This Row],[stock_quantity]]&gt;9,"Ok",IF(BBDD_fashion_boutique[[#This Row],[stock_quantity]]=0,"Agotado","Pocas Unidades"))</f>
        <v>Ok</v>
      </c>
      <c r="S45" s="3">
        <f>IF(BBDD_fashion_boutique[[#This Row],[customer_rating]]="","No valorado",BBDD_fashion_boutique[[#This Row],[customer_rating]])</f>
        <v>3.3</v>
      </c>
      <c r="T45" t="s">
        <v>24</v>
      </c>
      <c r="V45">
        <f>IF(BBDD_fashion_boutique[[#This Row],[is_returned]]="False",0,1)</f>
        <v>0</v>
      </c>
      <c r="W45">
        <f>IF(BBDD_fashion_boutique[[#This Row],[is_returned]]="True",0,BBDD_fashion_boutique[[#This Row],[current_price]])</f>
        <v>129.85</v>
      </c>
      <c r="X45" t="str">
        <f>IF(BBDD_fashion_boutique[[#This Row],[return_reason]]="","No return",BBDD_fashion_boutique[[#This Row],[return_reason]])</f>
        <v>No return</v>
      </c>
      <c r="Y45">
        <f>IF(IFERROR(VLOOKUP(BBDD_fashion_boutique[[#This Row],[product_id]],A46:A2221,1,FALSE),0),1,0)</f>
        <v>0</v>
      </c>
    </row>
    <row r="46" spans="1:25" x14ac:dyDescent="0.3">
      <c r="A46" t="s">
        <v>103</v>
      </c>
      <c r="B46" t="s">
        <v>26</v>
      </c>
      <c r="C46" t="s">
        <v>37</v>
      </c>
      <c r="D46" t="s">
        <v>28</v>
      </c>
      <c r="E46" t="s">
        <v>55</v>
      </c>
      <c r="F46" t="str">
        <f>IF(BBDD_fashion_boutique[[#This Row],[category]]="Accessories","Accesorio",IF(BBDD_fashion_boutique[[#This Row],[size]]="","Desconocido",BBDD_fashion_boutique[[#This Row],[size]]))</f>
        <v>XXL</v>
      </c>
      <c r="G46" t="s">
        <v>52</v>
      </c>
      <c r="H46" s="2">
        <v>111.3</v>
      </c>
      <c r="I46">
        <v>0</v>
      </c>
      <c r="J46" s="5">
        <f>BBDD_fashion_boutique[[#This Row],[markdown_percentage]]/100</f>
        <v>0</v>
      </c>
      <c r="K46" s="2">
        <v>111.3</v>
      </c>
      <c r="L46" s="2">
        <f>BBDD_fashion_boutique[[#This Row],[original_price]]-BBDD_fashion_boutique[[#This Row],[current_price]]</f>
        <v>0</v>
      </c>
      <c r="M46" s="1">
        <v>45875</v>
      </c>
      <c r="N46" s="1" t="str">
        <f>PROPER(TEXT(BBDD_fashion_boutique[[#This Row],[purchase_date]],"dddd"))</f>
        <v>Miércoles</v>
      </c>
      <c r="O46" s="1" t="str">
        <f>PROPER(TEXT(BBDD_fashion_boutique[[#This Row],[purchase_date]],"mmmm"))</f>
        <v>Agosto</v>
      </c>
      <c r="P46" s="4">
        <v>11</v>
      </c>
      <c r="Q46" s="2">
        <v>1.7</v>
      </c>
      <c r="R46" t="str">
        <f>IF(BBDD_fashion_boutique[[#This Row],[stock_quantity]]&gt;9,"Ok",IF(BBDD_fashion_boutique[[#This Row],[stock_quantity]]=0,"Agotado","Pocas Unidades"))</f>
        <v>Ok</v>
      </c>
      <c r="S46" s="3">
        <f>IF(BBDD_fashion_boutique[[#This Row],[customer_rating]]="","No valorado",BBDD_fashion_boutique[[#This Row],[customer_rating]])</f>
        <v>1.7</v>
      </c>
      <c r="T46" t="s">
        <v>24</v>
      </c>
      <c r="V46">
        <f>IF(BBDD_fashion_boutique[[#This Row],[is_returned]]="False",0,1)</f>
        <v>0</v>
      </c>
      <c r="W46">
        <f>IF(BBDD_fashion_boutique[[#This Row],[is_returned]]="True",0,BBDD_fashion_boutique[[#This Row],[current_price]])</f>
        <v>111.3</v>
      </c>
      <c r="X46" t="str">
        <f>IF(BBDD_fashion_boutique[[#This Row],[return_reason]]="","No return",BBDD_fashion_boutique[[#This Row],[return_reason]])</f>
        <v>No return</v>
      </c>
      <c r="Y46">
        <f>IF(IFERROR(VLOOKUP(BBDD_fashion_boutique[[#This Row],[product_id]],A47:A2222,1,FALSE),0),1,0)</f>
        <v>0</v>
      </c>
    </row>
    <row r="47" spans="1:25" x14ac:dyDescent="0.3">
      <c r="A47" t="s">
        <v>104</v>
      </c>
      <c r="B47" t="s">
        <v>48</v>
      </c>
      <c r="C47" t="s">
        <v>27</v>
      </c>
      <c r="D47" t="s">
        <v>68</v>
      </c>
      <c r="E47" t="s">
        <v>22</v>
      </c>
      <c r="F47" t="str">
        <f>IF(BBDD_fashion_boutique[[#This Row],[category]]="Accessories","Accesorio",IF(BBDD_fashion_boutique[[#This Row],[size]]="","Desconocido",BBDD_fashion_boutique[[#This Row],[size]]))</f>
        <v>XL</v>
      </c>
      <c r="G47" t="s">
        <v>76</v>
      </c>
      <c r="H47" s="2">
        <v>73.650000000000006</v>
      </c>
      <c r="I47">
        <v>0</v>
      </c>
      <c r="J47" s="5">
        <f>BBDD_fashion_boutique[[#This Row],[markdown_percentage]]/100</f>
        <v>0</v>
      </c>
      <c r="K47" s="2">
        <v>73.650000000000006</v>
      </c>
      <c r="L47" s="2">
        <f>BBDD_fashion_boutique[[#This Row],[original_price]]-BBDD_fashion_boutique[[#This Row],[current_price]]</f>
        <v>0</v>
      </c>
      <c r="M47" s="1">
        <v>45875</v>
      </c>
      <c r="N47" s="1" t="str">
        <f>PROPER(TEXT(BBDD_fashion_boutique[[#This Row],[purchase_date]],"dddd"))</f>
        <v>Miércoles</v>
      </c>
      <c r="O47" s="1" t="str">
        <f>PROPER(TEXT(BBDD_fashion_boutique[[#This Row],[purchase_date]],"mmmm"))</f>
        <v>Agosto</v>
      </c>
      <c r="P47" s="4">
        <v>33</v>
      </c>
      <c r="Q47" s="2">
        <v>3.6</v>
      </c>
      <c r="R47" t="str">
        <f>IF(BBDD_fashion_boutique[[#This Row],[stock_quantity]]&gt;9,"Ok",IF(BBDD_fashion_boutique[[#This Row],[stock_quantity]]=0,"Agotado","Pocas Unidades"))</f>
        <v>Ok</v>
      </c>
      <c r="S47" s="3">
        <f>IF(BBDD_fashion_boutique[[#This Row],[customer_rating]]="","No valorado",BBDD_fashion_boutique[[#This Row],[customer_rating]])</f>
        <v>3.6</v>
      </c>
      <c r="T47" t="s">
        <v>24</v>
      </c>
      <c r="V47">
        <f>IF(BBDD_fashion_boutique[[#This Row],[is_returned]]="False",0,1)</f>
        <v>0</v>
      </c>
      <c r="W47">
        <f>IF(BBDD_fashion_boutique[[#This Row],[is_returned]]="True",0,BBDD_fashion_boutique[[#This Row],[current_price]])</f>
        <v>73.650000000000006</v>
      </c>
      <c r="X47" t="str">
        <f>IF(BBDD_fashion_boutique[[#This Row],[return_reason]]="","No return",BBDD_fashion_boutique[[#This Row],[return_reason]])</f>
        <v>No return</v>
      </c>
      <c r="Y47">
        <f>IF(IFERROR(VLOOKUP(BBDD_fashion_boutique[[#This Row],[product_id]],A48:A2223,1,FALSE),0),1,0)</f>
        <v>0</v>
      </c>
    </row>
    <row r="48" spans="1:25" x14ac:dyDescent="0.3">
      <c r="A48" t="s">
        <v>105</v>
      </c>
      <c r="B48" t="s">
        <v>35</v>
      </c>
      <c r="C48" t="s">
        <v>49</v>
      </c>
      <c r="D48" t="s">
        <v>68</v>
      </c>
      <c r="E48" t="s">
        <v>29</v>
      </c>
      <c r="F48" t="str">
        <f>IF(BBDD_fashion_boutique[[#This Row],[category]]="Accessories","Accesorio",IF(BBDD_fashion_boutique[[#This Row],[size]]="","Desconocido",BBDD_fashion_boutique[[#This Row],[size]]))</f>
        <v>L</v>
      </c>
      <c r="G48" t="s">
        <v>30</v>
      </c>
      <c r="H48" s="2">
        <v>147.13</v>
      </c>
      <c r="I48">
        <v>30.3</v>
      </c>
      <c r="J48" s="5">
        <f>BBDD_fashion_boutique[[#This Row],[markdown_percentage]]/100</f>
        <v>0.30299999999999999</v>
      </c>
      <c r="K48" s="2">
        <v>102.55</v>
      </c>
      <c r="L48" s="2">
        <f>BBDD_fashion_boutique[[#This Row],[original_price]]-BBDD_fashion_boutique[[#This Row],[current_price]]</f>
        <v>44.58</v>
      </c>
      <c r="M48" s="1">
        <v>45875</v>
      </c>
      <c r="N48" s="1" t="str">
        <f>PROPER(TEXT(BBDD_fashion_boutique[[#This Row],[purchase_date]],"dddd"))</f>
        <v>Miércoles</v>
      </c>
      <c r="O48" s="1" t="str">
        <f>PROPER(TEXT(BBDD_fashion_boutique[[#This Row],[purchase_date]],"mmmm"))</f>
        <v>Agosto</v>
      </c>
      <c r="P48" s="4">
        <v>13</v>
      </c>
      <c r="Q48" s="2">
        <v>4.4000000000000004</v>
      </c>
      <c r="R48" t="str">
        <f>IF(BBDD_fashion_boutique[[#This Row],[stock_quantity]]&gt;9,"Ok",IF(BBDD_fashion_boutique[[#This Row],[stock_quantity]]=0,"Agotado","Pocas Unidades"))</f>
        <v>Ok</v>
      </c>
      <c r="S48" s="3">
        <f>IF(BBDD_fashion_boutique[[#This Row],[customer_rating]]="","No valorado",BBDD_fashion_boutique[[#This Row],[customer_rating]])</f>
        <v>4.4000000000000004</v>
      </c>
      <c r="T48" t="s">
        <v>24</v>
      </c>
      <c r="V48">
        <f>IF(BBDD_fashion_boutique[[#This Row],[is_returned]]="False",0,1)</f>
        <v>0</v>
      </c>
      <c r="W48">
        <f>IF(BBDD_fashion_boutique[[#This Row],[is_returned]]="True",0,BBDD_fashion_boutique[[#This Row],[current_price]])</f>
        <v>102.55</v>
      </c>
      <c r="X48" t="str">
        <f>IF(BBDD_fashion_boutique[[#This Row],[return_reason]]="","No return",BBDD_fashion_boutique[[#This Row],[return_reason]])</f>
        <v>No return</v>
      </c>
      <c r="Y48">
        <f>IF(IFERROR(VLOOKUP(BBDD_fashion_boutique[[#This Row],[product_id]],A49:A2224,1,FALSE),0),1,0)</f>
        <v>0</v>
      </c>
    </row>
    <row r="49" spans="1:25" x14ac:dyDescent="0.3">
      <c r="A49" t="s">
        <v>106</v>
      </c>
      <c r="B49" t="s">
        <v>32</v>
      </c>
      <c r="C49" t="s">
        <v>59</v>
      </c>
      <c r="D49" t="s">
        <v>28</v>
      </c>
      <c r="F49" t="str">
        <f>IF(BBDD_fashion_boutique[[#This Row],[category]]="Accessories","Accesorio",IF(BBDD_fashion_boutique[[#This Row],[size]]="","Desconocido",BBDD_fashion_boutique[[#This Row],[size]]))</f>
        <v>Accesorio</v>
      </c>
      <c r="G49" t="s">
        <v>52</v>
      </c>
      <c r="H49" s="2">
        <v>44.6</v>
      </c>
      <c r="I49">
        <v>53.9</v>
      </c>
      <c r="J49" s="5">
        <f>BBDD_fashion_boutique[[#This Row],[markdown_percentage]]/100</f>
        <v>0.53900000000000003</v>
      </c>
      <c r="K49" s="2">
        <v>20.56</v>
      </c>
      <c r="L49" s="2">
        <f>BBDD_fashion_boutique[[#This Row],[original_price]]-BBDD_fashion_boutique[[#This Row],[current_price]]</f>
        <v>24.040000000000003</v>
      </c>
      <c r="M49" s="1">
        <v>45875</v>
      </c>
      <c r="N49" s="1" t="str">
        <f>PROPER(TEXT(BBDD_fashion_boutique[[#This Row],[purchase_date]],"dddd"))</f>
        <v>Miércoles</v>
      </c>
      <c r="O49" s="1" t="str">
        <f>PROPER(TEXT(BBDD_fashion_boutique[[#This Row],[purchase_date]],"mmmm"))</f>
        <v>Agosto</v>
      </c>
      <c r="P49" s="4">
        <v>42</v>
      </c>
      <c r="Q49" s="2">
        <v>2.4</v>
      </c>
      <c r="R49" t="str">
        <f>IF(BBDD_fashion_boutique[[#This Row],[stock_quantity]]&gt;9,"Ok",IF(BBDD_fashion_boutique[[#This Row],[stock_quantity]]=0,"Agotado","Pocas Unidades"))</f>
        <v>Ok</v>
      </c>
      <c r="S49" s="3">
        <f>IF(BBDD_fashion_boutique[[#This Row],[customer_rating]]="","No valorado",BBDD_fashion_boutique[[#This Row],[customer_rating]])</f>
        <v>2.4</v>
      </c>
      <c r="T49" t="s">
        <v>24</v>
      </c>
      <c r="V49">
        <f>IF(BBDD_fashion_boutique[[#This Row],[is_returned]]="False",0,1)</f>
        <v>0</v>
      </c>
      <c r="W49">
        <f>IF(BBDD_fashion_boutique[[#This Row],[is_returned]]="True",0,BBDD_fashion_boutique[[#This Row],[current_price]])</f>
        <v>20.56</v>
      </c>
      <c r="X49" t="str">
        <f>IF(BBDD_fashion_boutique[[#This Row],[return_reason]]="","No return",BBDD_fashion_boutique[[#This Row],[return_reason]])</f>
        <v>No return</v>
      </c>
      <c r="Y49">
        <f>IF(IFERROR(VLOOKUP(BBDD_fashion_boutique[[#This Row],[product_id]],A50:A2225,1,FALSE),0),1,0)</f>
        <v>0</v>
      </c>
    </row>
    <row r="50" spans="1:25" x14ac:dyDescent="0.3">
      <c r="A50" t="s">
        <v>107</v>
      </c>
      <c r="B50" t="s">
        <v>44</v>
      </c>
      <c r="C50" t="s">
        <v>81</v>
      </c>
      <c r="D50" t="s">
        <v>68</v>
      </c>
      <c r="E50" t="s">
        <v>22</v>
      </c>
      <c r="F50" t="str">
        <f>IF(BBDD_fashion_boutique[[#This Row],[category]]="Accessories","Accesorio",IF(BBDD_fashion_boutique[[#This Row],[size]]="","Desconocido",BBDD_fashion_boutique[[#This Row],[size]]))</f>
        <v>XL</v>
      </c>
      <c r="G50" t="s">
        <v>40</v>
      </c>
      <c r="H50" s="2">
        <v>101.8</v>
      </c>
      <c r="I50">
        <v>0</v>
      </c>
      <c r="J50" s="5">
        <f>BBDD_fashion_boutique[[#This Row],[markdown_percentage]]/100</f>
        <v>0</v>
      </c>
      <c r="K50" s="2">
        <v>101.8</v>
      </c>
      <c r="L50" s="2">
        <f>BBDD_fashion_boutique[[#This Row],[original_price]]-BBDD_fashion_boutique[[#This Row],[current_price]]</f>
        <v>0</v>
      </c>
      <c r="M50" s="1">
        <v>45875</v>
      </c>
      <c r="N50" s="1" t="str">
        <f>PROPER(TEXT(BBDD_fashion_boutique[[#This Row],[purchase_date]],"dddd"))</f>
        <v>Miércoles</v>
      </c>
      <c r="O50" s="1" t="str">
        <f>PROPER(TEXT(BBDD_fashion_boutique[[#This Row],[purchase_date]],"mmmm"))</f>
        <v>Agosto</v>
      </c>
      <c r="P50" s="4">
        <v>7</v>
      </c>
      <c r="Q50" s="2">
        <v>2.8</v>
      </c>
      <c r="R50" t="str">
        <f>IF(BBDD_fashion_boutique[[#This Row],[stock_quantity]]&gt;9,"Ok",IF(BBDD_fashion_boutique[[#This Row],[stock_quantity]]=0,"Agotado","Pocas Unidades"))</f>
        <v>Pocas Unidades</v>
      </c>
      <c r="S50" s="3">
        <f>IF(BBDD_fashion_boutique[[#This Row],[customer_rating]]="","No valorado",BBDD_fashion_boutique[[#This Row],[customer_rating]])</f>
        <v>2.8</v>
      </c>
      <c r="T50" t="s">
        <v>24</v>
      </c>
      <c r="V50">
        <f>IF(BBDD_fashion_boutique[[#This Row],[is_returned]]="False",0,1)</f>
        <v>0</v>
      </c>
      <c r="W50">
        <f>IF(BBDD_fashion_boutique[[#This Row],[is_returned]]="True",0,BBDD_fashion_boutique[[#This Row],[current_price]])</f>
        <v>101.8</v>
      </c>
      <c r="X50" t="str">
        <f>IF(BBDD_fashion_boutique[[#This Row],[return_reason]]="","No return",BBDD_fashion_boutique[[#This Row],[return_reason]])</f>
        <v>No return</v>
      </c>
      <c r="Y50">
        <f>IF(IFERROR(VLOOKUP(BBDD_fashion_boutique[[#This Row],[product_id]],A51:A2226,1,FALSE),0),1,0)</f>
        <v>0</v>
      </c>
    </row>
    <row r="51" spans="1:25" x14ac:dyDescent="0.3">
      <c r="A51" t="s">
        <v>108</v>
      </c>
      <c r="B51" t="s">
        <v>32</v>
      </c>
      <c r="C51" t="s">
        <v>37</v>
      </c>
      <c r="D51" t="s">
        <v>68</v>
      </c>
      <c r="F51" t="str">
        <f>IF(BBDD_fashion_boutique[[#This Row],[category]]="Accessories","Accesorio",IF(BBDD_fashion_boutique[[#This Row],[size]]="","Desconocido",BBDD_fashion_boutique[[#This Row],[size]]))</f>
        <v>Accesorio</v>
      </c>
      <c r="G51" t="s">
        <v>76</v>
      </c>
      <c r="H51" s="2">
        <v>16.52</v>
      </c>
      <c r="I51">
        <v>55.9</v>
      </c>
      <c r="J51" s="5">
        <f>BBDD_fashion_boutique[[#This Row],[markdown_percentage]]/100</f>
        <v>0.55899999999999994</v>
      </c>
      <c r="K51" s="2">
        <v>7.29</v>
      </c>
      <c r="L51" s="2">
        <f>BBDD_fashion_boutique[[#This Row],[original_price]]-BBDD_fashion_boutique[[#This Row],[current_price]]</f>
        <v>9.23</v>
      </c>
      <c r="M51" s="1">
        <v>45875</v>
      </c>
      <c r="N51" s="1" t="str">
        <f>PROPER(TEXT(BBDD_fashion_boutique[[#This Row],[purchase_date]],"dddd"))</f>
        <v>Miércoles</v>
      </c>
      <c r="O51" s="1" t="str">
        <f>PROPER(TEXT(BBDD_fashion_boutique[[#This Row],[purchase_date]],"mmmm"))</f>
        <v>Agosto</v>
      </c>
      <c r="P51" s="4">
        <v>43</v>
      </c>
      <c r="R51" t="str">
        <f>IF(BBDD_fashion_boutique[[#This Row],[stock_quantity]]&gt;9,"Ok",IF(BBDD_fashion_boutique[[#This Row],[stock_quantity]]=0,"Agotado","Pocas Unidades"))</f>
        <v>Ok</v>
      </c>
      <c r="S51" s="3" t="str">
        <f>IF(BBDD_fashion_boutique[[#This Row],[customer_rating]]="","No valorado",BBDD_fashion_boutique[[#This Row],[customer_rating]])</f>
        <v>No valorado</v>
      </c>
      <c r="T51" t="s">
        <v>24</v>
      </c>
      <c r="V51">
        <f>IF(BBDD_fashion_boutique[[#This Row],[is_returned]]="False",0,1)</f>
        <v>0</v>
      </c>
      <c r="W51">
        <f>IF(BBDD_fashion_boutique[[#This Row],[is_returned]]="True",0,BBDD_fashion_boutique[[#This Row],[current_price]])</f>
        <v>7.29</v>
      </c>
      <c r="X51" t="str">
        <f>IF(BBDD_fashion_boutique[[#This Row],[return_reason]]="","No return",BBDD_fashion_boutique[[#This Row],[return_reason]])</f>
        <v>No return</v>
      </c>
      <c r="Y51">
        <f>IF(IFERROR(VLOOKUP(BBDD_fashion_boutique[[#This Row],[product_id]],A52:A2227,1,FALSE),0),1,0)</f>
        <v>0</v>
      </c>
    </row>
    <row r="52" spans="1:25" x14ac:dyDescent="0.3">
      <c r="A52" t="s">
        <v>109</v>
      </c>
      <c r="B52" t="s">
        <v>44</v>
      </c>
      <c r="C52" t="s">
        <v>54</v>
      </c>
      <c r="D52" t="s">
        <v>39</v>
      </c>
      <c r="E52" t="s">
        <v>64</v>
      </c>
      <c r="F52" t="str">
        <f>IF(BBDD_fashion_boutique[[#This Row],[category]]="Accessories","Accesorio",IF(BBDD_fashion_boutique[[#This Row],[size]]="","Desconocido",BBDD_fashion_boutique[[#This Row],[size]]))</f>
        <v>M</v>
      </c>
      <c r="G52" t="s">
        <v>62</v>
      </c>
      <c r="H52" s="2">
        <v>50.91</v>
      </c>
      <c r="I52">
        <v>0</v>
      </c>
      <c r="J52" s="5">
        <f>BBDD_fashion_boutique[[#This Row],[markdown_percentage]]/100</f>
        <v>0</v>
      </c>
      <c r="K52" s="2">
        <v>50.91</v>
      </c>
      <c r="L52" s="2">
        <f>BBDD_fashion_boutique[[#This Row],[original_price]]-BBDD_fashion_boutique[[#This Row],[current_price]]</f>
        <v>0</v>
      </c>
      <c r="M52" s="1">
        <v>45875</v>
      </c>
      <c r="N52" s="1" t="str">
        <f>PROPER(TEXT(BBDD_fashion_boutique[[#This Row],[purchase_date]],"dddd"))</f>
        <v>Miércoles</v>
      </c>
      <c r="O52" s="1" t="str">
        <f>PROPER(TEXT(BBDD_fashion_boutique[[#This Row],[purchase_date]],"mmmm"))</f>
        <v>Agosto</v>
      </c>
      <c r="P52" s="4">
        <v>3</v>
      </c>
      <c r="Q52" s="2">
        <v>1.8</v>
      </c>
      <c r="R52" t="str">
        <f>IF(BBDD_fashion_boutique[[#This Row],[stock_quantity]]&gt;9,"Ok",IF(BBDD_fashion_boutique[[#This Row],[stock_quantity]]=0,"Agotado","Pocas Unidades"))</f>
        <v>Pocas Unidades</v>
      </c>
      <c r="S52" s="3">
        <f>IF(BBDD_fashion_boutique[[#This Row],[customer_rating]]="","No valorado",BBDD_fashion_boutique[[#This Row],[customer_rating]])</f>
        <v>1.8</v>
      </c>
      <c r="T52" t="s">
        <v>24</v>
      </c>
      <c r="V52">
        <f>IF(BBDD_fashion_boutique[[#This Row],[is_returned]]="False",0,1)</f>
        <v>0</v>
      </c>
      <c r="W52">
        <f>IF(BBDD_fashion_boutique[[#This Row],[is_returned]]="True",0,BBDD_fashion_boutique[[#This Row],[current_price]])</f>
        <v>50.91</v>
      </c>
      <c r="X52" t="str">
        <f>IF(BBDD_fashion_boutique[[#This Row],[return_reason]]="","No return",BBDD_fashion_boutique[[#This Row],[return_reason]])</f>
        <v>No return</v>
      </c>
      <c r="Y52">
        <f>IF(IFERROR(VLOOKUP(BBDD_fashion_boutique[[#This Row],[product_id]],A53:A2228,1,FALSE),0),1,0)</f>
        <v>0</v>
      </c>
    </row>
    <row r="53" spans="1:25" x14ac:dyDescent="0.3">
      <c r="A53" t="s">
        <v>110</v>
      </c>
      <c r="B53" t="s">
        <v>19</v>
      </c>
      <c r="C53" t="s">
        <v>81</v>
      </c>
      <c r="D53" t="s">
        <v>21</v>
      </c>
      <c r="E53" t="s">
        <v>45</v>
      </c>
      <c r="F53" t="str">
        <f>IF(BBDD_fashion_boutique[[#This Row],[category]]="Accessories","Accesorio",IF(BBDD_fashion_boutique[[#This Row],[size]]="","Desconocido",BBDD_fashion_boutique[[#This Row],[size]]))</f>
        <v>S</v>
      </c>
      <c r="G53" t="s">
        <v>40</v>
      </c>
      <c r="H53" s="2">
        <v>222.26</v>
      </c>
      <c r="I53">
        <v>0</v>
      </c>
      <c r="J53" s="5">
        <f>BBDD_fashion_boutique[[#This Row],[markdown_percentage]]/100</f>
        <v>0</v>
      </c>
      <c r="K53" s="2">
        <v>222.26</v>
      </c>
      <c r="L53" s="2">
        <f>BBDD_fashion_boutique[[#This Row],[original_price]]-BBDD_fashion_boutique[[#This Row],[current_price]]</f>
        <v>0</v>
      </c>
      <c r="M53" s="1">
        <v>45780</v>
      </c>
      <c r="N53" s="1" t="str">
        <f>PROPER(TEXT(BBDD_fashion_boutique[[#This Row],[purchase_date]],"dddd"))</f>
        <v>Sábado</v>
      </c>
      <c r="O53" s="1" t="str">
        <f>PROPER(TEXT(BBDD_fashion_boutique[[#This Row],[purchase_date]],"mmmm"))</f>
        <v>Mayo</v>
      </c>
      <c r="P53" s="4">
        <v>50</v>
      </c>
      <c r="Q53" s="2">
        <v>4.5</v>
      </c>
      <c r="R53" t="str">
        <f>IF(BBDD_fashion_boutique[[#This Row],[stock_quantity]]&gt;9,"Ok",IF(BBDD_fashion_boutique[[#This Row],[stock_quantity]]=0,"Agotado","Pocas Unidades"))</f>
        <v>Ok</v>
      </c>
      <c r="S53" s="3">
        <f>IF(BBDD_fashion_boutique[[#This Row],[customer_rating]]="","No valorado",BBDD_fashion_boutique[[#This Row],[customer_rating]])</f>
        <v>4.5</v>
      </c>
      <c r="T53" t="s">
        <v>24</v>
      </c>
      <c r="V53">
        <f>IF(BBDD_fashion_boutique[[#This Row],[is_returned]]="False",0,1)</f>
        <v>0</v>
      </c>
      <c r="W53">
        <f>IF(BBDD_fashion_boutique[[#This Row],[is_returned]]="True",0,BBDD_fashion_boutique[[#This Row],[current_price]])</f>
        <v>222.26</v>
      </c>
      <c r="X53" t="str">
        <f>IF(BBDD_fashion_boutique[[#This Row],[return_reason]]="","No return",BBDD_fashion_boutique[[#This Row],[return_reason]])</f>
        <v>No return</v>
      </c>
      <c r="Y53">
        <f>IF(IFERROR(VLOOKUP(BBDD_fashion_boutique[[#This Row],[product_id]],A54:A2229,1,FALSE),0),1,0)</f>
        <v>0</v>
      </c>
    </row>
    <row r="54" spans="1:25" x14ac:dyDescent="0.3">
      <c r="A54" t="s">
        <v>111</v>
      </c>
      <c r="B54" t="s">
        <v>35</v>
      </c>
      <c r="C54" t="s">
        <v>67</v>
      </c>
      <c r="D54" t="s">
        <v>68</v>
      </c>
      <c r="E54" t="s">
        <v>45</v>
      </c>
      <c r="F54" t="str">
        <f>IF(BBDD_fashion_boutique[[#This Row],[category]]="Accessories","Accesorio",IF(BBDD_fashion_boutique[[#This Row],[size]]="","Desconocido",BBDD_fashion_boutique[[#This Row],[size]]))</f>
        <v>S</v>
      </c>
      <c r="G54" t="s">
        <v>70</v>
      </c>
      <c r="H54" s="2">
        <v>104.14</v>
      </c>
      <c r="I54">
        <v>57.1</v>
      </c>
      <c r="J54" s="5">
        <f>BBDD_fashion_boutique[[#This Row],[markdown_percentage]]/100</f>
        <v>0.57100000000000006</v>
      </c>
      <c r="K54" s="2">
        <v>44.68</v>
      </c>
      <c r="L54" s="2">
        <f>BBDD_fashion_boutique[[#This Row],[original_price]]-BBDD_fashion_boutique[[#This Row],[current_price]]</f>
        <v>59.46</v>
      </c>
      <c r="M54" s="1">
        <v>45875</v>
      </c>
      <c r="N54" s="1" t="str">
        <f>PROPER(TEXT(BBDD_fashion_boutique[[#This Row],[purchase_date]],"dddd"))</f>
        <v>Miércoles</v>
      </c>
      <c r="O54" s="1" t="str">
        <f>PROPER(TEXT(BBDD_fashion_boutique[[#This Row],[purchase_date]],"mmmm"))</f>
        <v>Agosto</v>
      </c>
      <c r="P54" s="4">
        <v>14</v>
      </c>
      <c r="Q54" s="2">
        <v>1.8</v>
      </c>
      <c r="R54" t="str">
        <f>IF(BBDD_fashion_boutique[[#This Row],[stock_quantity]]&gt;9,"Ok",IF(BBDD_fashion_boutique[[#This Row],[stock_quantity]]=0,"Agotado","Pocas Unidades"))</f>
        <v>Ok</v>
      </c>
      <c r="S54" s="3">
        <f>IF(BBDD_fashion_boutique[[#This Row],[customer_rating]]="","No valorado",BBDD_fashion_boutique[[#This Row],[customer_rating]])</f>
        <v>1.8</v>
      </c>
      <c r="T54" t="s">
        <v>24</v>
      </c>
      <c r="V54">
        <f>IF(BBDD_fashion_boutique[[#This Row],[is_returned]]="False",0,1)</f>
        <v>0</v>
      </c>
      <c r="W54">
        <f>IF(BBDD_fashion_boutique[[#This Row],[is_returned]]="True",0,BBDD_fashion_boutique[[#This Row],[current_price]])</f>
        <v>44.68</v>
      </c>
      <c r="X54" t="str">
        <f>IF(BBDD_fashion_boutique[[#This Row],[return_reason]]="","No return",BBDD_fashion_boutique[[#This Row],[return_reason]])</f>
        <v>No return</v>
      </c>
      <c r="Y54">
        <f>IF(IFERROR(VLOOKUP(BBDD_fashion_boutique[[#This Row],[product_id]],A55:A2230,1,FALSE),0),1,0)</f>
        <v>0</v>
      </c>
    </row>
    <row r="55" spans="1:25" x14ac:dyDescent="0.3">
      <c r="A55" t="s">
        <v>112</v>
      </c>
      <c r="B55" t="s">
        <v>19</v>
      </c>
      <c r="C55" t="s">
        <v>20</v>
      </c>
      <c r="D55" t="s">
        <v>21</v>
      </c>
      <c r="E55" t="s">
        <v>45</v>
      </c>
      <c r="F55" t="str">
        <f>IF(BBDD_fashion_boutique[[#This Row],[category]]="Accessories","Accesorio",IF(BBDD_fashion_boutique[[#This Row],[size]]="","Desconocido",BBDD_fashion_boutique[[#This Row],[size]]))</f>
        <v>S</v>
      </c>
      <c r="G55" t="s">
        <v>40</v>
      </c>
      <c r="H55" s="2">
        <v>166.76</v>
      </c>
      <c r="I55">
        <v>0</v>
      </c>
      <c r="J55" s="5">
        <f>BBDD_fashion_boutique[[#This Row],[markdown_percentage]]/100</f>
        <v>0</v>
      </c>
      <c r="K55" s="2">
        <v>166.76</v>
      </c>
      <c r="L55" s="2">
        <f>BBDD_fashion_boutique[[#This Row],[original_price]]-BBDD_fashion_boutique[[#This Row],[current_price]]</f>
        <v>0</v>
      </c>
      <c r="M55" s="1">
        <v>45820</v>
      </c>
      <c r="N55" s="1" t="str">
        <f>PROPER(TEXT(BBDD_fashion_boutique[[#This Row],[purchase_date]],"dddd"))</f>
        <v>Jueves</v>
      </c>
      <c r="O55" s="1" t="str">
        <f>PROPER(TEXT(BBDD_fashion_boutique[[#This Row],[purchase_date]],"mmmm"))</f>
        <v>Junio</v>
      </c>
      <c r="P55" s="4">
        <v>21</v>
      </c>
      <c r="Q55" s="2">
        <v>4.2</v>
      </c>
      <c r="R55" t="str">
        <f>IF(BBDD_fashion_boutique[[#This Row],[stock_quantity]]&gt;9,"Ok",IF(BBDD_fashion_boutique[[#This Row],[stock_quantity]]=0,"Agotado","Pocas Unidades"))</f>
        <v>Ok</v>
      </c>
      <c r="S55" s="3">
        <f>IF(BBDD_fashion_boutique[[#This Row],[customer_rating]]="","No valorado",BBDD_fashion_boutique[[#This Row],[customer_rating]])</f>
        <v>4.2</v>
      </c>
      <c r="T55" t="s">
        <v>24</v>
      </c>
      <c r="V55">
        <f>IF(BBDD_fashion_boutique[[#This Row],[is_returned]]="False",0,1)</f>
        <v>0</v>
      </c>
      <c r="W55">
        <f>IF(BBDD_fashion_boutique[[#This Row],[is_returned]]="True",0,BBDD_fashion_boutique[[#This Row],[current_price]])</f>
        <v>166.76</v>
      </c>
      <c r="X55" t="str">
        <f>IF(BBDD_fashion_boutique[[#This Row],[return_reason]]="","No return",BBDD_fashion_boutique[[#This Row],[return_reason]])</f>
        <v>No return</v>
      </c>
      <c r="Y55">
        <f>IF(IFERROR(VLOOKUP(BBDD_fashion_boutique[[#This Row],[product_id]],A56:A2231,1,FALSE),0),1,0)</f>
        <v>0</v>
      </c>
    </row>
    <row r="56" spans="1:25" x14ac:dyDescent="0.3">
      <c r="A56" t="s">
        <v>113</v>
      </c>
      <c r="B56" t="s">
        <v>32</v>
      </c>
      <c r="C56" t="s">
        <v>37</v>
      </c>
      <c r="D56" t="s">
        <v>39</v>
      </c>
      <c r="F56" t="str">
        <f>IF(BBDD_fashion_boutique[[#This Row],[category]]="Accessories","Accesorio",IF(BBDD_fashion_boutique[[#This Row],[size]]="","Desconocido",BBDD_fashion_boutique[[#This Row],[size]]))</f>
        <v>Accesorio</v>
      </c>
      <c r="G56" t="s">
        <v>33</v>
      </c>
      <c r="H56" s="2">
        <v>44.13</v>
      </c>
      <c r="I56">
        <v>50.9</v>
      </c>
      <c r="J56" s="5">
        <f>BBDD_fashion_boutique[[#This Row],[markdown_percentage]]/100</f>
        <v>0.50900000000000001</v>
      </c>
      <c r="K56" s="2">
        <v>21.67</v>
      </c>
      <c r="L56" s="2">
        <f>BBDD_fashion_boutique[[#This Row],[original_price]]-BBDD_fashion_boutique[[#This Row],[current_price]]</f>
        <v>22.46</v>
      </c>
      <c r="M56" s="1">
        <v>45875</v>
      </c>
      <c r="N56" s="1" t="str">
        <f>PROPER(TEXT(BBDD_fashion_boutique[[#This Row],[purchase_date]],"dddd"))</f>
        <v>Miércoles</v>
      </c>
      <c r="O56" s="1" t="str">
        <f>PROPER(TEXT(BBDD_fashion_boutique[[#This Row],[purchase_date]],"mmmm"))</f>
        <v>Agosto</v>
      </c>
      <c r="P56" s="4">
        <v>21</v>
      </c>
      <c r="Q56" s="2">
        <v>3</v>
      </c>
      <c r="R56" t="str">
        <f>IF(BBDD_fashion_boutique[[#This Row],[stock_quantity]]&gt;9,"Ok",IF(BBDD_fashion_boutique[[#This Row],[stock_quantity]]=0,"Agotado","Pocas Unidades"))</f>
        <v>Ok</v>
      </c>
      <c r="S56" s="3">
        <f>IF(BBDD_fashion_boutique[[#This Row],[customer_rating]]="","No valorado",BBDD_fashion_boutique[[#This Row],[customer_rating]])</f>
        <v>3</v>
      </c>
      <c r="T56" t="s">
        <v>24</v>
      </c>
      <c r="V56">
        <f>IF(BBDD_fashion_boutique[[#This Row],[is_returned]]="False",0,1)</f>
        <v>0</v>
      </c>
      <c r="W56">
        <f>IF(BBDD_fashion_boutique[[#This Row],[is_returned]]="True",0,BBDD_fashion_boutique[[#This Row],[current_price]])</f>
        <v>21.67</v>
      </c>
      <c r="X56" t="str">
        <f>IF(BBDD_fashion_boutique[[#This Row],[return_reason]]="","No return",BBDD_fashion_boutique[[#This Row],[return_reason]])</f>
        <v>No return</v>
      </c>
      <c r="Y56">
        <f>IF(IFERROR(VLOOKUP(BBDD_fashion_boutique[[#This Row],[product_id]],A57:A2232,1,FALSE),0),1,0)</f>
        <v>0</v>
      </c>
    </row>
    <row r="57" spans="1:25" x14ac:dyDescent="0.3">
      <c r="A57" t="s">
        <v>114</v>
      </c>
      <c r="B57" t="s">
        <v>19</v>
      </c>
      <c r="C57" t="s">
        <v>67</v>
      </c>
      <c r="D57" t="s">
        <v>68</v>
      </c>
      <c r="E57" t="s">
        <v>45</v>
      </c>
      <c r="F57" t="str">
        <f>IF(BBDD_fashion_boutique[[#This Row],[category]]="Accessories","Accesorio",IF(BBDD_fashion_boutique[[#This Row],[size]]="","Desconocido",BBDD_fashion_boutique[[#This Row],[size]]))</f>
        <v>S</v>
      </c>
      <c r="G57" t="s">
        <v>52</v>
      </c>
      <c r="H57" s="2">
        <v>121.29</v>
      </c>
      <c r="I57">
        <v>15.2</v>
      </c>
      <c r="J57" s="5">
        <f>BBDD_fashion_boutique[[#This Row],[markdown_percentage]]/100</f>
        <v>0.152</v>
      </c>
      <c r="K57" s="2">
        <v>102.85</v>
      </c>
      <c r="L57" s="2">
        <f>BBDD_fashion_boutique[[#This Row],[original_price]]-BBDD_fashion_boutique[[#This Row],[current_price]]</f>
        <v>18.440000000000012</v>
      </c>
      <c r="M57" s="1">
        <v>45875</v>
      </c>
      <c r="N57" s="1" t="str">
        <f>PROPER(TEXT(BBDD_fashion_boutique[[#This Row],[purchase_date]],"dddd"))</f>
        <v>Miércoles</v>
      </c>
      <c r="O57" s="1" t="str">
        <f>PROPER(TEXT(BBDD_fashion_boutique[[#This Row],[purchase_date]],"mmmm"))</f>
        <v>Agosto</v>
      </c>
      <c r="P57" s="4">
        <v>42</v>
      </c>
      <c r="R57" t="str">
        <f>IF(BBDD_fashion_boutique[[#This Row],[stock_quantity]]&gt;9,"Ok",IF(BBDD_fashion_boutique[[#This Row],[stock_quantity]]=0,"Agotado","Pocas Unidades"))</f>
        <v>Ok</v>
      </c>
      <c r="S57" s="3" t="str">
        <f>IF(BBDD_fashion_boutique[[#This Row],[customer_rating]]="","No valorado",BBDD_fashion_boutique[[#This Row],[customer_rating]])</f>
        <v>No valorado</v>
      </c>
      <c r="T57" t="s">
        <v>24</v>
      </c>
      <c r="V57">
        <f>IF(BBDD_fashion_boutique[[#This Row],[is_returned]]="False",0,1)</f>
        <v>0</v>
      </c>
      <c r="W57">
        <f>IF(BBDD_fashion_boutique[[#This Row],[is_returned]]="True",0,BBDD_fashion_boutique[[#This Row],[current_price]])</f>
        <v>102.85</v>
      </c>
      <c r="X57" t="str">
        <f>IF(BBDD_fashion_boutique[[#This Row],[return_reason]]="","No return",BBDD_fashion_boutique[[#This Row],[return_reason]])</f>
        <v>No return</v>
      </c>
      <c r="Y57">
        <f>IF(IFERROR(VLOOKUP(BBDD_fashion_boutique[[#This Row],[product_id]],A58:A2233,1,FALSE),0),1,0)</f>
        <v>0</v>
      </c>
    </row>
    <row r="58" spans="1:25" x14ac:dyDescent="0.3">
      <c r="A58" t="s">
        <v>115</v>
      </c>
      <c r="B58" t="s">
        <v>26</v>
      </c>
      <c r="C58" t="s">
        <v>54</v>
      </c>
      <c r="D58" t="s">
        <v>21</v>
      </c>
      <c r="E58" t="s">
        <v>45</v>
      </c>
      <c r="F58" t="str">
        <f>IF(BBDD_fashion_boutique[[#This Row],[category]]="Accessories","Accesorio",IF(BBDD_fashion_boutique[[#This Row],[size]]="","Desconocido",BBDD_fashion_boutique[[#This Row],[size]]))</f>
        <v>S</v>
      </c>
      <c r="G58" t="s">
        <v>62</v>
      </c>
      <c r="H58" s="2">
        <v>73.709999999999994</v>
      </c>
      <c r="I58">
        <v>0</v>
      </c>
      <c r="J58" s="5">
        <f>BBDD_fashion_boutique[[#This Row],[markdown_percentage]]/100</f>
        <v>0</v>
      </c>
      <c r="K58" s="2">
        <v>73.709999999999994</v>
      </c>
      <c r="L58" s="2">
        <f>BBDD_fashion_boutique[[#This Row],[original_price]]-BBDD_fashion_boutique[[#This Row],[current_price]]</f>
        <v>0</v>
      </c>
      <c r="M58" s="1">
        <v>45848</v>
      </c>
      <c r="N58" s="1" t="str">
        <f>PROPER(TEXT(BBDD_fashion_boutique[[#This Row],[purchase_date]],"dddd"))</f>
        <v>Jueves</v>
      </c>
      <c r="O58" s="1" t="str">
        <f>PROPER(TEXT(BBDD_fashion_boutique[[#This Row],[purchase_date]],"mmmm"))</f>
        <v>Julio</v>
      </c>
      <c r="P58" s="4">
        <v>35</v>
      </c>
      <c r="Q58" s="2">
        <v>3.9</v>
      </c>
      <c r="R58" t="str">
        <f>IF(BBDD_fashion_boutique[[#This Row],[stock_quantity]]&gt;9,"Ok",IF(BBDD_fashion_boutique[[#This Row],[stock_quantity]]=0,"Agotado","Pocas Unidades"))</f>
        <v>Ok</v>
      </c>
      <c r="S58" s="3">
        <f>IF(BBDD_fashion_boutique[[#This Row],[customer_rating]]="","No valorado",BBDD_fashion_boutique[[#This Row],[customer_rating]])</f>
        <v>3.9</v>
      </c>
      <c r="T58" t="s">
        <v>41</v>
      </c>
      <c r="U58" t="s">
        <v>89</v>
      </c>
      <c r="V58">
        <f>IF(BBDD_fashion_boutique[[#This Row],[is_returned]]="False",0,1)</f>
        <v>1</v>
      </c>
      <c r="W58">
        <f>IF(BBDD_fashion_boutique[[#This Row],[is_returned]]="True",0,BBDD_fashion_boutique[[#This Row],[current_price]])</f>
        <v>0</v>
      </c>
      <c r="X58" t="str">
        <f>IF(BBDD_fashion_boutique[[#This Row],[return_reason]]="","No return",BBDD_fashion_boutique[[#This Row],[return_reason]])</f>
        <v>Quality Issue</v>
      </c>
      <c r="Y58">
        <f>IF(IFERROR(VLOOKUP(BBDD_fashion_boutique[[#This Row],[product_id]],A59:A2234,1,FALSE),0),1,0)</f>
        <v>0</v>
      </c>
    </row>
    <row r="59" spans="1:25" x14ac:dyDescent="0.3">
      <c r="A59" t="s">
        <v>116</v>
      </c>
      <c r="B59" t="s">
        <v>44</v>
      </c>
      <c r="C59" t="s">
        <v>20</v>
      </c>
      <c r="D59" t="s">
        <v>21</v>
      </c>
      <c r="E59" t="s">
        <v>22</v>
      </c>
      <c r="F59" t="str">
        <f>IF(BBDD_fashion_boutique[[#This Row],[category]]="Accessories","Accesorio",IF(BBDD_fashion_boutique[[#This Row],[size]]="","Desconocido",BBDD_fashion_boutique[[#This Row],[size]]))</f>
        <v>XL</v>
      </c>
      <c r="G59" t="s">
        <v>76</v>
      </c>
      <c r="H59" s="2">
        <v>84.07</v>
      </c>
      <c r="I59">
        <v>26.3</v>
      </c>
      <c r="J59" s="5">
        <f>BBDD_fashion_boutique[[#This Row],[markdown_percentage]]/100</f>
        <v>0.26300000000000001</v>
      </c>
      <c r="K59" s="2">
        <v>61.96</v>
      </c>
      <c r="L59" s="2">
        <f>BBDD_fashion_boutique[[#This Row],[original_price]]-BBDD_fashion_boutique[[#This Row],[current_price]]</f>
        <v>22.109999999999992</v>
      </c>
      <c r="M59" s="1">
        <v>45590</v>
      </c>
      <c r="N59" s="1" t="str">
        <f>PROPER(TEXT(BBDD_fashion_boutique[[#This Row],[purchase_date]],"dddd"))</f>
        <v>Viernes</v>
      </c>
      <c r="O59" s="1" t="str">
        <f>PROPER(TEXT(BBDD_fashion_boutique[[#This Row],[purchase_date]],"mmmm"))</f>
        <v>Octubre</v>
      </c>
      <c r="P59" s="4">
        <v>19</v>
      </c>
      <c r="Q59" s="2">
        <v>2.2999999999999998</v>
      </c>
      <c r="R59" t="str">
        <f>IF(BBDD_fashion_boutique[[#This Row],[stock_quantity]]&gt;9,"Ok",IF(BBDD_fashion_boutique[[#This Row],[stock_quantity]]=0,"Agotado","Pocas Unidades"))</f>
        <v>Ok</v>
      </c>
      <c r="S59" s="3">
        <f>IF(BBDD_fashion_boutique[[#This Row],[customer_rating]]="","No valorado",BBDD_fashion_boutique[[#This Row],[customer_rating]])</f>
        <v>2.2999999999999998</v>
      </c>
      <c r="T59" t="s">
        <v>41</v>
      </c>
      <c r="U59" t="s">
        <v>79</v>
      </c>
      <c r="V59">
        <f>IF(BBDD_fashion_boutique[[#This Row],[is_returned]]="False",0,1)</f>
        <v>1</v>
      </c>
      <c r="W59">
        <f>IF(BBDD_fashion_boutique[[#This Row],[is_returned]]="True",0,BBDD_fashion_boutique[[#This Row],[current_price]])</f>
        <v>0</v>
      </c>
      <c r="X59" t="str">
        <f>IF(BBDD_fashion_boutique[[#This Row],[return_reason]]="","No return",BBDD_fashion_boutique[[#This Row],[return_reason]])</f>
        <v>Size Issue</v>
      </c>
      <c r="Y59">
        <f>IF(IFERROR(VLOOKUP(BBDD_fashion_boutique[[#This Row],[product_id]],A60:A2235,1,FALSE),0),1,0)</f>
        <v>0</v>
      </c>
    </row>
    <row r="60" spans="1:25" x14ac:dyDescent="0.3">
      <c r="A60" t="s">
        <v>117</v>
      </c>
      <c r="B60" t="s">
        <v>26</v>
      </c>
      <c r="C60" t="s">
        <v>49</v>
      </c>
      <c r="D60" t="s">
        <v>68</v>
      </c>
      <c r="E60" t="s">
        <v>61</v>
      </c>
      <c r="F60" t="str">
        <f>IF(BBDD_fashion_boutique[[#This Row],[category]]="Accessories","Accesorio",IF(BBDD_fashion_boutique[[#This Row],[size]]="","Desconocido",BBDD_fashion_boutique[[#This Row],[size]]))</f>
        <v>XS</v>
      </c>
      <c r="G60" t="s">
        <v>33</v>
      </c>
      <c r="H60" s="2">
        <v>28.59</v>
      </c>
      <c r="I60">
        <v>0</v>
      </c>
      <c r="J60" s="5">
        <f>BBDD_fashion_boutique[[#This Row],[markdown_percentage]]/100</f>
        <v>0</v>
      </c>
      <c r="K60" s="2">
        <v>28.59</v>
      </c>
      <c r="L60" s="2">
        <f>BBDD_fashion_boutique[[#This Row],[original_price]]-BBDD_fashion_boutique[[#This Row],[current_price]]</f>
        <v>0</v>
      </c>
      <c r="M60" s="1">
        <v>45875</v>
      </c>
      <c r="N60" s="1" t="str">
        <f>PROPER(TEXT(BBDD_fashion_boutique[[#This Row],[purchase_date]],"dddd"))</f>
        <v>Miércoles</v>
      </c>
      <c r="O60" s="1" t="str">
        <f>PROPER(TEXT(BBDD_fashion_boutique[[#This Row],[purchase_date]],"mmmm"))</f>
        <v>Agosto</v>
      </c>
      <c r="P60" s="4">
        <v>39</v>
      </c>
      <c r="Q60" s="2">
        <v>1.4</v>
      </c>
      <c r="R60" t="str">
        <f>IF(BBDD_fashion_boutique[[#This Row],[stock_quantity]]&gt;9,"Ok",IF(BBDD_fashion_boutique[[#This Row],[stock_quantity]]=0,"Agotado","Pocas Unidades"))</f>
        <v>Ok</v>
      </c>
      <c r="S60" s="3">
        <f>IF(BBDD_fashion_boutique[[#This Row],[customer_rating]]="","No valorado",BBDD_fashion_boutique[[#This Row],[customer_rating]])</f>
        <v>1.4</v>
      </c>
      <c r="T60" t="s">
        <v>24</v>
      </c>
      <c r="V60">
        <f>IF(BBDD_fashion_boutique[[#This Row],[is_returned]]="False",0,1)</f>
        <v>0</v>
      </c>
      <c r="W60">
        <f>IF(BBDD_fashion_boutique[[#This Row],[is_returned]]="True",0,BBDD_fashion_boutique[[#This Row],[current_price]])</f>
        <v>28.59</v>
      </c>
      <c r="X60" t="str">
        <f>IF(BBDD_fashion_boutique[[#This Row],[return_reason]]="","No return",BBDD_fashion_boutique[[#This Row],[return_reason]])</f>
        <v>No return</v>
      </c>
      <c r="Y60">
        <f>IF(IFERROR(VLOOKUP(BBDD_fashion_boutique[[#This Row],[product_id]],A61:A2236,1,FALSE),0),1,0)</f>
        <v>0</v>
      </c>
    </row>
    <row r="61" spans="1:25" x14ac:dyDescent="0.3">
      <c r="A61" t="s">
        <v>118</v>
      </c>
      <c r="B61" t="s">
        <v>35</v>
      </c>
      <c r="C61" t="s">
        <v>49</v>
      </c>
      <c r="D61" t="s">
        <v>28</v>
      </c>
      <c r="E61" t="s">
        <v>55</v>
      </c>
      <c r="F61" t="str">
        <f>IF(BBDD_fashion_boutique[[#This Row],[category]]="Accessories","Accesorio",IF(BBDD_fashion_boutique[[#This Row],[size]]="","Desconocido",BBDD_fashion_boutique[[#This Row],[size]]))</f>
        <v>XXL</v>
      </c>
      <c r="G61" t="s">
        <v>50</v>
      </c>
      <c r="H61" s="2">
        <v>166.49</v>
      </c>
      <c r="I61">
        <v>2.6</v>
      </c>
      <c r="J61" s="5">
        <f>BBDD_fashion_boutique[[#This Row],[markdown_percentage]]/100</f>
        <v>2.6000000000000002E-2</v>
      </c>
      <c r="K61" s="2">
        <v>162.16</v>
      </c>
      <c r="L61" s="2">
        <f>BBDD_fashion_boutique[[#This Row],[original_price]]-BBDD_fashion_boutique[[#This Row],[current_price]]</f>
        <v>4.3300000000000125</v>
      </c>
      <c r="M61" s="1">
        <v>45875</v>
      </c>
      <c r="N61" s="1" t="str">
        <f>PROPER(TEXT(BBDD_fashion_boutique[[#This Row],[purchase_date]],"dddd"))</f>
        <v>Miércoles</v>
      </c>
      <c r="O61" s="1" t="str">
        <f>PROPER(TEXT(BBDD_fashion_boutique[[#This Row],[purchase_date]],"mmmm"))</f>
        <v>Agosto</v>
      </c>
      <c r="P61" s="4">
        <v>27</v>
      </c>
      <c r="R61" t="str">
        <f>IF(BBDD_fashion_boutique[[#This Row],[stock_quantity]]&gt;9,"Ok",IF(BBDD_fashion_boutique[[#This Row],[stock_quantity]]=0,"Agotado","Pocas Unidades"))</f>
        <v>Ok</v>
      </c>
      <c r="S61" s="3" t="str">
        <f>IF(BBDD_fashion_boutique[[#This Row],[customer_rating]]="","No valorado",BBDD_fashion_boutique[[#This Row],[customer_rating]])</f>
        <v>No valorado</v>
      </c>
      <c r="T61" t="s">
        <v>24</v>
      </c>
      <c r="V61">
        <f>IF(BBDD_fashion_boutique[[#This Row],[is_returned]]="False",0,1)</f>
        <v>0</v>
      </c>
      <c r="W61">
        <f>IF(BBDD_fashion_boutique[[#This Row],[is_returned]]="True",0,BBDD_fashion_boutique[[#This Row],[current_price]])</f>
        <v>162.16</v>
      </c>
      <c r="X61" t="str">
        <f>IF(BBDD_fashion_boutique[[#This Row],[return_reason]]="","No return",BBDD_fashion_boutique[[#This Row],[return_reason]])</f>
        <v>No return</v>
      </c>
      <c r="Y61">
        <f>IF(IFERROR(VLOOKUP(BBDD_fashion_boutique[[#This Row],[product_id]],A62:A2237,1,FALSE),0),1,0)</f>
        <v>0</v>
      </c>
    </row>
    <row r="62" spans="1:25" x14ac:dyDescent="0.3">
      <c r="A62" t="s">
        <v>119</v>
      </c>
      <c r="B62" t="s">
        <v>35</v>
      </c>
      <c r="C62" t="s">
        <v>59</v>
      </c>
      <c r="D62" t="s">
        <v>68</v>
      </c>
      <c r="E62" t="s">
        <v>64</v>
      </c>
      <c r="F62" t="str">
        <f>IF(BBDD_fashion_boutique[[#This Row],[category]]="Accessories","Accesorio",IF(BBDD_fashion_boutique[[#This Row],[size]]="","Desconocido",BBDD_fashion_boutique[[#This Row],[size]]))</f>
        <v>M</v>
      </c>
      <c r="G62" t="s">
        <v>40</v>
      </c>
      <c r="H62" s="2">
        <v>145.94999999999999</v>
      </c>
      <c r="I62">
        <v>6.6</v>
      </c>
      <c r="J62" s="5">
        <f>BBDD_fashion_boutique[[#This Row],[markdown_percentage]]/100</f>
        <v>6.6000000000000003E-2</v>
      </c>
      <c r="K62" s="2">
        <v>136.32</v>
      </c>
      <c r="L62" s="2">
        <f>BBDD_fashion_boutique[[#This Row],[original_price]]-BBDD_fashion_boutique[[#This Row],[current_price]]</f>
        <v>9.6299999999999955</v>
      </c>
      <c r="M62" s="1">
        <v>45875</v>
      </c>
      <c r="N62" s="1" t="str">
        <f>PROPER(TEXT(BBDD_fashion_boutique[[#This Row],[purchase_date]],"dddd"))</f>
        <v>Miércoles</v>
      </c>
      <c r="O62" s="1" t="str">
        <f>PROPER(TEXT(BBDD_fashion_boutique[[#This Row],[purchase_date]],"mmmm"))</f>
        <v>Agosto</v>
      </c>
      <c r="P62" s="4">
        <v>15</v>
      </c>
      <c r="Q62" s="2">
        <v>4</v>
      </c>
      <c r="R62" t="str">
        <f>IF(BBDD_fashion_boutique[[#This Row],[stock_quantity]]&gt;9,"Ok",IF(BBDD_fashion_boutique[[#This Row],[stock_quantity]]=0,"Agotado","Pocas Unidades"))</f>
        <v>Ok</v>
      </c>
      <c r="S62" s="3">
        <f>IF(BBDD_fashion_boutique[[#This Row],[customer_rating]]="","No valorado",BBDD_fashion_boutique[[#This Row],[customer_rating]])</f>
        <v>4</v>
      </c>
      <c r="T62" t="s">
        <v>24</v>
      </c>
      <c r="V62">
        <f>IF(BBDD_fashion_boutique[[#This Row],[is_returned]]="False",0,1)</f>
        <v>0</v>
      </c>
      <c r="W62">
        <f>IF(BBDD_fashion_boutique[[#This Row],[is_returned]]="True",0,BBDD_fashion_boutique[[#This Row],[current_price]])</f>
        <v>136.32</v>
      </c>
      <c r="X62" t="str">
        <f>IF(BBDD_fashion_boutique[[#This Row],[return_reason]]="","No return",BBDD_fashion_boutique[[#This Row],[return_reason]])</f>
        <v>No return</v>
      </c>
      <c r="Y62">
        <f>IF(IFERROR(VLOOKUP(BBDD_fashion_boutique[[#This Row],[product_id]],A63:A2238,1,FALSE),0),1,0)</f>
        <v>0</v>
      </c>
    </row>
    <row r="63" spans="1:25" x14ac:dyDescent="0.3">
      <c r="A63" t="s">
        <v>120</v>
      </c>
      <c r="B63" t="s">
        <v>19</v>
      </c>
      <c r="C63" t="s">
        <v>67</v>
      </c>
      <c r="D63" t="s">
        <v>39</v>
      </c>
      <c r="E63" t="s">
        <v>64</v>
      </c>
      <c r="F63" t="str">
        <f>IF(BBDD_fashion_boutique[[#This Row],[category]]="Accessories","Accesorio",IF(BBDD_fashion_boutique[[#This Row],[size]]="","Desconocido",BBDD_fashion_boutique[[#This Row],[size]]))</f>
        <v>M</v>
      </c>
      <c r="G63" t="s">
        <v>72</v>
      </c>
      <c r="H63" s="2">
        <v>218.42</v>
      </c>
      <c r="I63">
        <v>0</v>
      </c>
      <c r="J63" s="5">
        <f>BBDD_fashion_boutique[[#This Row],[markdown_percentage]]/100</f>
        <v>0</v>
      </c>
      <c r="K63" s="2">
        <v>218.42</v>
      </c>
      <c r="L63" s="2">
        <f>BBDD_fashion_boutique[[#This Row],[original_price]]-BBDD_fashion_boutique[[#This Row],[current_price]]</f>
        <v>0</v>
      </c>
      <c r="M63" s="1">
        <v>45875</v>
      </c>
      <c r="N63" s="1" t="str">
        <f>PROPER(TEXT(BBDD_fashion_boutique[[#This Row],[purchase_date]],"dddd"))</f>
        <v>Miércoles</v>
      </c>
      <c r="O63" s="1" t="str">
        <f>PROPER(TEXT(BBDD_fashion_boutique[[#This Row],[purchase_date]],"mmmm"))</f>
        <v>Agosto</v>
      </c>
      <c r="P63" s="4">
        <v>33</v>
      </c>
      <c r="Q63" s="2">
        <v>4.4000000000000004</v>
      </c>
      <c r="R63" t="str">
        <f>IF(BBDD_fashion_boutique[[#This Row],[stock_quantity]]&gt;9,"Ok",IF(BBDD_fashion_boutique[[#This Row],[stock_quantity]]=0,"Agotado","Pocas Unidades"))</f>
        <v>Ok</v>
      </c>
      <c r="S63" s="3">
        <f>IF(BBDD_fashion_boutique[[#This Row],[customer_rating]]="","No valorado",BBDD_fashion_boutique[[#This Row],[customer_rating]])</f>
        <v>4.4000000000000004</v>
      </c>
      <c r="T63" t="s">
        <v>41</v>
      </c>
      <c r="U63" t="s">
        <v>121</v>
      </c>
      <c r="V63">
        <f>IF(BBDD_fashion_boutique[[#This Row],[is_returned]]="False",0,1)</f>
        <v>1</v>
      </c>
      <c r="W63">
        <f>IF(BBDD_fashion_boutique[[#This Row],[is_returned]]="True",0,BBDD_fashion_boutique[[#This Row],[current_price]])</f>
        <v>0</v>
      </c>
      <c r="X63" t="str">
        <f>IF(BBDD_fashion_boutique[[#This Row],[return_reason]]="","No return",BBDD_fashion_boutique[[#This Row],[return_reason]])</f>
        <v>Changed Mind</v>
      </c>
      <c r="Y63">
        <f>IF(IFERROR(VLOOKUP(BBDD_fashion_boutique[[#This Row],[product_id]],A64:A2239,1,FALSE),0),1,0)</f>
        <v>0</v>
      </c>
    </row>
    <row r="64" spans="1:25" x14ac:dyDescent="0.3">
      <c r="A64" t="s">
        <v>122</v>
      </c>
      <c r="B64" t="s">
        <v>32</v>
      </c>
      <c r="C64" t="s">
        <v>81</v>
      </c>
      <c r="D64" t="s">
        <v>28</v>
      </c>
      <c r="F64" t="str">
        <f>IF(BBDD_fashion_boutique[[#This Row],[category]]="Accessories","Accesorio",IF(BBDD_fashion_boutique[[#This Row],[size]]="","Desconocido",BBDD_fashion_boutique[[#This Row],[size]]))</f>
        <v>Accesorio</v>
      </c>
      <c r="G64" t="s">
        <v>40</v>
      </c>
      <c r="H64" s="2">
        <v>46.17</v>
      </c>
      <c r="I64">
        <v>1.1000000000000001</v>
      </c>
      <c r="J64" s="5">
        <f>BBDD_fashion_boutique[[#This Row],[markdown_percentage]]/100</f>
        <v>1.1000000000000001E-2</v>
      </c>
      <c r="K64" s="2">
        <v>45.66</v>
      </c>
      <c r="L64" s="2">
        <f>BBDD_fashion_boutique[[#This Row],[original_price]]-BBDD_fashion_boutique[[#This Row],[current_price]]</f>
        <v>0.51000000000000512</v>
      </c>
      <c r="M64" s="1">
        <v>45875</v>
      </c>
      <c r="N64" s="1" t="str">
        <f>PROPER(TEXT(BBDD_fashion_boutique[[#This Row],[purchase_date]],"dddd"))</f>
        <v>Miércoles</v>
      </c>
      <c r="O64" s="1" t="str">
        <f>PROPER(TEXT(BBDD_fashion_boutique[[#This Row],[purchase_date]],"mmmm"))</f>
        <v>Agosto</v>
      </c>
      <c r="P64" s="4">
        <v>30</v>
      </c>
      <c r="Q64" s="2">
        <v>1.9</v>
      </c>
      <c r="R64" t="str">
        <f>IF(BBDD_fashion_boutique[[#This Row],[stock_quantity]]&gt;9,"Ok",IF(BBDD_fashion_boutique[[#This Row],[stock_quantity]]=0,"Agotado","Pocas Unidades"))</f>
        <v>Ok</v>
      </c>
      <c r="S64" s="3">
        <f>IF(BBDD_fashion_boutique[[#This Row],[customer_rating]]="","No valorado",BBDD_fashion_boutique[[#This Row],[customer_rating]])</f>
        <v>1.9</v>
      </c>
      <c r="T64" t="s">
        <v>24</v>
      </c>
      <c r="V64">
        <f>IF(BBDD_fashion_boutique[[#This Row],[is_returned]]="False",0,1)</f>
        <v>0</v>
      </c>
      <c r="W64">
        <f>IF(BBDD_fashion_boutique[[#This Row],[is_returned]]="True",0,BBDD_fashion_boutique[[#This Row],[current_price]])</f>
        <v>45.66</v>
      </c>
      <c r="X64" t="str">
        <f>IF(BBDD_fashion_boutique[[#This Row],[return_reason]]="","No return",BBDD_fashion_boutique[[#This Row],[return_reason]])</f>
        <v>No return</v>
      </c>
      <c r="Y64">
        <f>IF(IFERROR(VLOOKUP(BBDD_fashion_boutique[[#This Row],[product_id]],A65:A2240,1,FALSE),0),1,0)</f>
        <v>0</v>
      </c>
    </row>
    <row r="65" spans="1:25" x14ac:dyDescent="0.3">
      <c r="A65" t="s">
        <v>123</v>
      </c>
      <c r="B65" t="s">
        <v>35</v>
      </c>
      <c r="C65" t="s">
        <v>54</v>
      </c>
      <c r="D65" t="s">
        <v>68</v>
      </c>
      <c r="F65" t="str">
        <f>IF(BBDD_fashion_boutique[[#This Row],[category]]="Accessories","Accesorio",IF(BBDD_fashion_boutique[[#This Row],[size]]="","Desconocido",BBDD_fashion_boutique[[#This Row],[size]]))</f>
        <v>Desconocido</v>
      </c>
      <c r="G65" t="s">
        <v>52</v>
      </c>
      <c r="H65" s="2">
        <v>106.18</v>
      </c>
      <c r="I65">
        <v>18</v>
      </c>
      <c r="J65" s="5">
        <f>BBDD_fashion_boutique[[#This Row],[markdown_percentage]]/100</f>
        <v>0.18</v>
      </c>
      <c r="K65" s="2">
        <v>87.07</v>
      </c>
      <c r="L65" s="2">
        <f>BBDD_fashion_boutique[[#This Row],[original_price]]-BBDD_fashion_boutique[[#This Row],[current_price]]</f>
        <v>19.110000000000014</v>
      </c>
      <c r="M65" s="1">
        <v>45875</v>
      </c>
      <c r="N65" s="1" t="str">
        <f>PROPER(TEXT(BBDD_fashion_boutique[[#This Row],[purchase_date]],"dddd"))</f>
        <v>Miércoles</v>
      </c>
      <c r="O65" s="1" t="str">
        <f>PROPER(TEXT(BBDD_fashion_boutique[[#This Row],[purchase_date]],"mmmm"))</f>
        <v>Agosto</v>
      </c>
      <c r="P65" s="4">
        <v>11</v>
      </c>
      <c r="Q65" s="2">
        <v>4.5</v>
      </c>
      <c r="R65" t="str">
        <f>IF(BBDD_fashion_boutique[[#This Row],[stock_quantity]]&gt;9,"Ok",IF(BBDD_fashion_boutique[[#This Row],[stock_quantity]]=0,"Agotado","Pocas Unidades"))</f>
        <v>Ok</v>
      </c>
      <c r="S65" s="3">
        <f>IF(BBDD_fashion_boutique[[#This Row],[customer_rating]]="","No valorado",BBDD_fashion_boutique[[#This Row],[customer_rating]])</f>
        <v>4.5</v>
      </c>
      <c r="T65" t="s">
        <v>24</v>
      </c>
      <c r="V65">
        <f>IF(BBDD_fashion_boutique[[#This Row],[is_returned]]="False",0,1)</f>
        <v>0</v>
      </c>
      <c r="W65">
        <f>IF(BBDD_fashion_boutique[[#This Row],[is_returned]]="True",0,BBDD_fashion_boutique[[#This Row],[current_price]])</f>
        <v>87.07</v>
      </c>
      <c r="X65" t="str">
        <f>IF(BBDD_fashion_boutique[[#This Row],[return_reason]]="","No return",BBDD_fashion_boutique[[#This Row],[return_reason]])</f>
        <v>No return</v>
      </c>
      <c r="Y65">
        <f>IF(IFERROR(VLOOKUP(BBDD_fashion_boutique[[#This Row],[product_id]],A66:A2241,1,FALSE),0),1,0)</f>
        <v>0</v>
      </c>
    </row>
    <row r="66" spans="1:25" x14ac:dyDescent="0.3">
      <c r="A66" t="s">
        <v>124</v>
      </c>
      <c r="B66" t="s">
        <v>26</v>
      </c>
      <c r="C66" t="s">
        <v>20</v>
      </c>
      <c r="D66" t="s">
        <v>28</v>
      </c>
      <c r="E66" t="s">
        <v>61</v>
      </c>
      <c r="F66" t="str">
        <f>IF(BBDD_fashion_boutique[[#This Row],[category]]="Accessories","Accesorio",IF(BBDD_fashion_boutique[[#This Row],[size]]="","Desconocido",BBDD_fashion_boutique[[#This Row],[size]]))</f>
        <v>XS</v>
      </c>
      <c r="G66" t="s">
        <v>46</v>
      </c>
      <c r="H66" s="2">
        <v>93.33</v>
      </c>
      <c r="I66">
        <v>2.4</v>
      </c>
      <c r="J66" s="5">
        <f>BBDD_fashion_boutique[[#This Row],[markdown_percentage]]/100</f>
        <v>2.4E-2</v>
      </c>
      <c r="K66" s="2">
        <v>91.09</v>
      </c>
      <c r="L66" s="2">
        <f>BBDD_fashion_boutique[[#This Row],[original_price]]-BBDD_fashion_boutique[[#This Row],[current_price]]</f>
        <v>2.2399999999999949</v>
      </c>
      <c r="M66" s="1">
        <v>45875</v>
      </c>
      <c r="N66" s="1" t="str">
        <f>PROPER(TEXT(BBDD_fashion_boutique[[#This Row],[purchase_date]],"dddd"))</f>
        <v>Miércoles</v>
      </c>
      <c r="O66" s="1" t="str">
        <f>PROPER(TEXT(BBDD_fashion_boutique[[#This Row],[purchase_date]],"mmmm"))</f>
        <v>Agosto</v>
      </c>
      <c r="P66" s="4">
        <v>20</v>
      </c>
      <c r="Q66" s="2">
        <v>4.2</v>
      </c>
      <c r="R66" t="str">
        <f>IF(BBDD_fashion_boutique[[#This Row],[stock_quantity]]&gt;9,"Ok",IF(BBDD_fashion_boutique[[#This Row],[stock_quantity]]=0,"Agotado","Pocas Unidades"))</f>
        <v>Ok</v>
      </c>
      <c r="S66" s="3">
        <f>IF(BBDD_fashion_boutique[[#This Row],[customer_rating]]="","No valorado",BBDD_fashion_boutique[[#This Row],[customer_rating]])</f>
        <v>4.2</v>
      </c>
      <c r="T66" t="s">
        <v>24</v>
      </c>
      <c r="V66">
        <f>IF(BBDD_fashion_boutique[[#This Row],[is_returned]]="False",0,1)</f>
        <v>0</v>
      </c>
      <c r="W66">
        <f>IF(BBDD_fashion_boutique[[#This Row],[is_returned]]="True",0,BBDD_fashion_boutique[[#This Row],[current_price]])</f>
        <v>91.09</v>
      </c>
      <c r="X66" t="str">
        <f>IF(BBDD_fashion_boutique[[#This Row],[return_reason]]="","No return",BBDD_fashion_boutique[[#This Row],[return_reason]])</f>
        <v>No return</v>
      </c>
      <c r="Y66">
        <f>IF(IFERROR(VLOOKUP(BBDD_fashion_boutique[[#This Row],[product_id]],A67:A2242,1,FALSE),0),1,0)</f>
        <v>0</v>
      </c>
    </row>
    <row r="67" spans="1:25" x14ac:dyDescent="0.3">
      <c r="A67" t="s">
        <v>125</v>
      </c>
      <c r="B67" t="s">
        <v>44</v>
      </c>
      <c r="C67" t="s">
        <v>49</v>
      </c>
      <c r="D67" t="s">
        <v>21</v>
      </c>
      <c r="E67" t="s">
        <v>61</v>
      </c>
      <c r="F67" t="str">
        <f>IF(BBDD_fashion_boutique[[#This Row],[category]]="Accessories","Accesorio",IF(BBDD_fashion_boutique[[#This Row],[size]]="","Desconocido",BBDD_fashion_boutique[[#This Row],[size]]))</f>
        <v>XS</v>
      </c>
      <c r="G67" t="s">
        <v>40</v>
      </c>
      <c r="H67" s="2">
        <v>86.54</v>
      </c>
      <c r="I67">
        <v>21.7</v>
      </c>
      <c r="J67" s="5">
        <f>BBDD_fashion_boutique[[#This Row],[markdown_percentage]]/100</f>
        <v>0.217</v>
      </c>
      <c r="K67" s="2">
        <v>67.760000000000005</v>
      </c>
      <c r="L67" s="2">
        <f>BBDD_fashion_boutique[[#This Row],[original_price]]-BBDD_fashion_boutique[[#This Row],[current_price]]</f>
        <v>18.78</v>
      </c>
      <c r="M67" s="1">
        <v>45809</v>
      </c>
      <c r="N67" s="1" t="str">
        <f>PROPER(TEXT(BBDD_fashion_boutique[[#This Row],[purchase_date]],"dddd"))</f>
        <v>Domingo</v>
      </c>
      <c r="O67" s="1" t="str">
        <f>PROPER(TEXT(BBDD_fashion_boutique[[#This Row],[purchase_date]],"mmmm"))</f>
        <v>Junio</v>
      </c>
      <c r="P67" s="4">
        <v>21</v>
      </c>
      <c r="Q67" s="2">
        <v>3.6</v>
      </c>
      <c r="R67" t="str">
        <f>IF(BBDD_fashion_boutique[[#This Row],[stock_quantity]]&gt;9,"Ok",IF(BBDD_fashion_boutique[[#This Row],[stock_quantity]]=0,"Agotado","Pocas Unidades"))</f>
        <v>Ok</v>
      </c>
      <c r="S67" s="3">
        <f>IF(BBDD_fashion_boutique[[#This Row],[customer_rating]]="","No valorado",BBDD_fashion_boutique[[#This Row],[customer_rating]])</f>
        <v>3.6</v>
      </c>
      <c r="T67" t="s">
        <v>41</v>
      </c>
      <c r="U67" t="s">
        <v>121</v>
      </c>
      <c r="V67">
        <f>IF(BBDD_fashion_boutique[[#This Row],[is_returned]]="False",0,1)</f>
        <v>1</v>
      </c>
      <c r="W67">
        <f>IF(BBDD_fashion_boutique[[#This Row],[is_returned]]="True",0,BBDD_fashion_boutique[[#This Row],[current_price]])</f>
        <v>0</v>
      </c>
      <c r="X67" t="str">
        <f>IF(BBDD_fashion_boutique[[#This Row],[return_reason]]="","No return",BBDD_fashion_boutique[[#This Row],[return_reason]])</f>
        <v>Changed Mind</v>
      </c>
      <c r="Y67">
        <f>IF(IFERROR(VLOOKUP(BBDD_fashion_boutique[[#This Row],[product_id]],A68:A2243,1,FALSE),0),1,0)</f>
        <v>0</v>
      </c>
    </row>
    <row r="68" spans="1:25" x14ac:dyDescent="0.3">
      <c r="A68" t="s">
        <v>126</v>
      </c>
      <c r="B68" t="s">
        <v>32</v>
      </c>
      <c r="C68" t="s">
        <v>59</v>
      </c>
      <c r="D68" t="s">
        <v>68</v>
      </c>
      <c r="F68" t="str">
        <f>IF(BBDD_fashion_boutique[[#This Row],[category]]="Accessories","Accesorio",IF(BBDD_fashion_boutique[[#This Row],[size]]="","Desconocido",BBDD_fashion_boutique[[#This Row],[size]]))</f>
        <v>Accesorio</v>
      </c>
      <c r="G68" t="s">
        <v>52</v>
      </c>
      <c r="H68" s="2">
        <v>55.57</v>
      </c>
      <c r="I68">
        <v>0</v>
      </c>
      <c r="J68" s="5">
        <f>BBDD_fashion_boutique[[#This Row],[markdown_percentage]]/100</f>
        <v>0</v>
      </c>
      <c r="K68" s="2">
        <v>55.57</v>
      </c>
      <c r="L68" s="2">
        <f>BBDD_fashion_boutique[[#This Row],[original_price]]-BBDD_fashion_boutique[[#This Row],[current_price]]</f>
        <v>0</v>
      </c>
      <c r="M68" s="1">
        <v>45875</v>
      </c>
      <c r="N68" s="1" t="str">
        <f>PROPER(TEXT(BBDD_fashion_boutique[[#This Row],[purchase_date]],"dddd"))</f>
        <v>Miércoles</v>
      </c>
      <c r="O68" s="1" t="str">
        <f>PROPER(TEXT(BBDD_fashion_boutique[[#This Row],[purchase_date]],"mmmm"))</f>
        <v>Agosto</v>
      </c>
      <c r="P68" s="4">
        <v>44</v>
      </c>
      <c r="Q68" s="2">
        <v>3.8</v>
      </c>
      <c r="R68" t="str">
        <f>IF(BBDD_fashion_boutique[[#This Row],[stock_quantity]]&gt;9,"Ok",IF(BBDD_fashion_boutique[[#This Row],[stock_quantity]]=0,"Agotado","Pocas Unidades"))</f>
        <v>Ok</v>
      </c>
      <c r="S68" s="3">
        <f>IF(BBDD_fashion_boutique[[#This Row],[customer_rating]]="","No valorado",BBDD_fashion_boutique[[#This Row],[customer_rating]])</f>
        <v>3.8</v>
      </c>
      <c r="T68" t="s">
        <v>24</v>
      </c>
      <c r="V68">
        <f>IF(BBDD_fashion_boutique[[#This Row],[is_returned]]="False",0,1)</f>
        <v>0</v>
      </c>
      <c r="W68">
        <f>IF(BBDD_fashion_boutique[[#This Row],[is_returned]]="True",0,BBDD_fashion_boutique[[#This Row],[current_price]])</f>
        <v>55.57</v>
      </c>
      <c r="X68" t="str">
        <f>IF(BBDD_fashion_boutique[[#This Row],[return_reason]]="","No return",BBDD_fashion_boutique[[#This Row],[return_reason]])</f>
        <v>No return</v>
      </c>
      <c r="Y68">
        <f>IF(IFERROR(VLOOKUP(BBDD_fashion_boutique[[#This Row],[product_id]],A69:A2244,1,FALSE),0),1,0)</f>
        <v>0</v>
      </c>
    </row>
    <row r="69" spans="1:25" x14ac:dyDescent="0.3">
      <c r="A69" t="s">
        <v>127</v>
      </c>
      <c r="B69" t="s">
        <v>26</v>
      </c>
      <c r="C69" t="s">
        <v>81</v>
      </c>
      <c r="D69" t="s">
        <v>21</v>
      </c>
      <c r="E69" t="s">
        <v>22</v>
      </c>
      <c r="F69" t="str">
        <f>IF(BBDD_fashion_boutique[[#This Row],[category]]="Accessories","Accesorio",IF(BBDD_fashion_boutique[[#This Row],[size]]="","Desconocido",BBDD_fashion_boutique[[#This Row],[size]]))</f>
        <v>XL</v>
      </c>
      <c r="G69" t="s">
        <v>33</v>
      </c>
      <c r="H69" s="2">
        <v>76.5</v>
      </c>
      <c r="I69">
        <v>0</v>
      </c>
      <c r="J69" s="5">
        <f>BBDD_fashion_boutique[[#This Row],[markdown_percentage]]/100</f>
        <v>0</v>
      </c>
      <c r="K69" s="2">
        <v>76.5</v>
      </c>
      <c r="L69" s="2">
        <f>BBDD_fashion_boutique[[#This Row],[original_price]]-BBDD_fashion_boutique[[#This Row],[current_price]]</f>
        <v>0</v>
      </c>
      <c r="M69" s="1">
        <v>45683</v>
      </c>
      <c r="N69" s="1" t="str">
        <f>PROPER(TEXT(BBDD_fashion_boutique[[#This Row],[purchase_date]],"dddd"))</f>
        <v>Domingo</v>
      </c>
      <c r="O69" s="1" t="str">
        <f>PROPER(TEXT(BBDD_fashion_boutique[[#This Row],[purchase_date]],"mmmm"))</f>
        <v>Enero</v>
      </c>
      <c r="P69" s="4">
        <v>17</v>
      </c>
      <c r="Q69" s="2">
        <v>4.5999999999999996</v>
      </c>
      <c r="R69" t="str">
        <f>IF(BBDD_fashion_boutique[[#This Row],[stock_quantity]]&gt;9,"Ok",IF(BBDD_fashion_boutique[[#This Row],[stock_quantity]]=0,"Agotado","Pocas Unidades"))</f>
        <v>Ok</v>
      </c>
      <c r="S69" s="3">
        <f>IF(BBDD_fashion_boutique[[#This Row],[customer_rating]]="","No valorado",BBDD_fashion_boutique[[#This Row],[customer_rating]])</f>
        <v>4.5999999999999996</v>
      </c>
      <c r="T69" t="s">
        <v>24</v>
      </c>
      <c r="V69">
        <f>IF(BBDD_fashion_boutique[[#This Row],[is_returned]]="False",0,1)</f>
        <v>0</v>
      </c>
      <c r="W69">
        <f>IF(BBDD_fashion_boutique[[#This Row],[is_returned]]="True",0,BBDD_fashion_boutique[[#This Row],[current_price]])</f>
        <v>76.5</v>
      </c>
      <c r="X69" t="str">
        <f>IF(BBDD_fashion_boutique[[#This Row],[return_reason]]="","No return",BBDD_fashion_boutique[[#This Row],[return_reason]])</f>
        <v>No return</v>
      </c>
      <c r="Y69">
        <f>IF(IFERROR(VLOOKUP(BBDD_fashion_boutique[[#This Row],[product_id]],A70:A2245,1,FALSE),0),1,0)</f>
        <v>0</v>
      </c>
    </row>
    <row r="70" spans="1:25" x14ac:dyDescent="0.3">
      <c r="A70" t="s">
        <v>128</v>
      </c>
      <c r="B70" t="s">
        <v>48</v>
      </c>
      <c r="C70" t="s">
        <v>81</v>
      </c>
      <c r="D70" t="s">
        <v>21</v>
      </c>
      <c r="E70" t="s">
        <v>61</v>
      </c>
      <c r="F70" t="str">
        <f>IF(BBDD_fashion_boutique[[#This Row],[category]]="Accessories","Accesorio",IF(BBDD_fashion_boutique[[#This Row],[size]]="","Desconocido",BBDD_fashion_boutique[[#This Row],[size]]))</f>
        <v>XS</v>
      </c>
      <c r="G70" t="s">
        <v>52</v>
      </c>
      <c r="H70" s="2">
        <v>137.19</v>
      </c>
      <c r="I70">
        <v>9.5</v>
      </c>
      <c r="J70" s="5">
        <f>BBDD_fashion_boutique[[#This Row],[markdown_percentage]]/100</f>
        <v>9.5000000000000001E-2</v>
      </c>
      <c r="K70" s="2">
        <v>124.16</v>
      </c>
      <c r="L70" s="2">
        <f>BBDD_fashion_boutique[[#This Row],[original_price]]-BBDD_fashion_boutique[[#This Row],[current_price]]</f>
        <v>13.030000000000001</v>
      </c>
      <c r="M70" s="1">
        <v>45748</v>
      </c>
      <c r="N70" s="1" t="str">
        <f>PROPER(TEXT(BBDD_fashion_boutique[[#This Row],[purchase_date]],"dddd"))</f>
        <v>Martes</v>
      </c>
      <c r="O70" s="1" t="str">
        <f>PROPER(TEXT(BBDD_fashion_boutique[[#This Row],[purchase_date]],"mmmm"))</f>
        <v>Abril</v>
      </c>
      <c r="P70" s="4">
        <v>17</v>
      </c>
      <c r="R70" t="str">
        <f>IF(BBDD_fashion_boutique[[#This Row],[stock_quantity]]&gt;9,"Ok",IF(BBDD_fashion_boutique[[#This Row],[stock_quantity]]=0,"Agotado","Pocas Unidades"))</f>
        <v>Ok</v>
      </c>
      <c r="S70" s="3" t="str">
        <f>IF(BBDD_fashion_boutique[[#This Row],[customer_rating]]="","No valorado",BBDD_fashion_boutique[[#This Row],[customer_rating]])</f>
        <v>No valorado</v>
      </c>
      <c r="T70" t="s">
        <v>24</v>
      </c>
      <c r="V70">
        <f>IF(BBDD_fashion_boutique[[#This Row],[is_returned]]="False",0,1)</f>
        <v>0</v>
      </c>
      <c r="W70">
        <f>IF(BBDD_fashion_boutique[[#This Row],[is_returned]]="True",0,BBDD_fashion_boutique[[#This Row],[current_price]])</f>
        <v>124.16</v>
      </c>
      <c r="X70" t="str">
        <f>IF(BBDD_fashion_boutique[[#This Row],[return_reason]]="","No return",BBDD_fashion_boutique[[#This Row],[return_reason]])</f>
        <v>No return</v>
      </c>
      <c r="Y70">
        <f>IF(IFERROR(VLOOKUP(BBDD_fashion_boutique[[#This Row],[product_id]],A71:A2246,1,FALSE),0),1,0)</f>
        <v>0</v>
      </c>
    </row>
    <row r="71" spans="1:25" x14ac:dyDescent="0.3">
      <c r="A71" t="s">
        <v>129</v>
      </c>
      <c r="B71" t="s">
        <v>26</v>
      </c>
      <c r="C71" t="s">
        <v>20</v>
      </c>
      <c r="D71" t="s">
        <v>68</v>
      </c>
      <c r="E71" t="s">
        <v>22</v>
      </c>
      <c r="F71" t="str">
        <f>IF(BBDD_fashion_boutique[[#This Row],[category]]="Accessories","Accesorio",IF(BBDD_fashion_boutique[[#This Row],[size]]="","Desconocido",BBDD_fashion_boutique[[#This Row],[size]]))</f>
        <v>XL</v>
      </c>
      <c r="G71" t="s">
        <v>72</v>
      </c>
      <c r="H71" s="2">
        <v>48.92</v>
      </c>
      <c r="I71">
        <v>19.8</v>
      </c>
      <c r="J71" s="5">
        <f>BBDD_fashion_boutique[[#This Row],[markdown_percentage]]/100</f>
        <v>0.19800000000000001</v>
      </c>
      <c r="K71" s="2">
        <v>39.229999999999997</v>
      </c>
      <c r="L71" s="2">
        <f>BBDD_fashion_boutique[[#This Row],[original_price]]-BBDD_fashion_boutique[[#This Row],[current_price]]</f>
        <v>9.6900000000000048</v>
      </c>
      <c r="M71" s="1">
        <v>45875</v>
      </c>
      <c r="N71" s="1" t="str">
        <f>PROPER(TEXT(BBDD_fashion_boutique[[#This Row],[purchase_date]],"dddd"))</f>
        <v>Miércoles</v>
      </c>
      <c r="O71" s="1" t="str">
        <f>PROPER(TEXT(BBDD_fashion_boutique[[#This Row],[purchase_date]],"mmmm"))</f>
        <v>Agosto</v>
      </c>
      <c r="P71" s="4">
        <v>17</v>
      </c>
      <c r="Q71" s="2">
        <v>2.6</v>
      </c>
      <c r="R71" t="str">
        <f>IF(BBDD_fashion_boutique[[#This Row],[stock_quantity]]&gt;9,"Ok",IF(BBDD_fashion_boutique[[#This Row],[stock_quantity]]=0,"Agotado","Pocas Unidades"))</f>
        <v>Ok</v>
      </c>
      <c r="S71" s="3">
        <f>IF(BBDD_fashion_boutique[[#This Row],[customer_rating]]="","No valorado",BBDD_fashion_boutique[[#This Row],[customer_rating]])</f>
        <v>2.6</v>
      </c>
      <c r="T71" t="s">
        <v>24</v>
      </c>
      <c r="V71">
        <f>IF(BBDD_fashion_boutique[[#This Row],[is_returned]]="False",0,1)</f>
        <v>0</v>
      </c>
      <c r="W71">
        <f>IF(BBDD_fashion_boutique[[#This Row],[is_returned]]="True",0,BBDD_fashion_boutique[[#This Row],[current_price]])</f>
        <v>39.229999999999997</v>
      </c>
      <c r="X71" t="str">
        <f>IF(BBDD_fashion_boutique[[#This Row],[return_reason]]="","No return",BBDD_fashion_boutique[[#This Row],[return_reason]])</f>
        <v>No return</v>
      </c>
      <c r="Y71">
        <f>IF(IFERROR(VLOOKUP(BBDD_fashion_boutique[[#This Row],[product_id]],A72:A2247,1,FALSE),0),1,0)</f>
        <v>0</v>
      </c>
    </row>
    <row r="72" spans="1:25" x14ac:dyDescent="0.3">
      <c r="A72" t="s">
        <v>130</v>
      </c>
      <c r="B72" t="s">
        <v>35</v>
      </c>
      <c r="C72" t="s">
        <v>59</v>
      </c>
      <c r="D72" t="s">
        <v>28</v>
      </c>
      <c r="E72" t="s">
        <v>22</v>
      </c>
      <c r="F72" t="str">
        <f>IF(BBDD_fashion_boutique[[#This Row],[category]]="Accessories","Accesorio",IF(BBDD_fashion_boutique[[#This Row],[size]]="","Desconocido",BBDD_fashion_boutique[[#This Row],[size]]))</f>
        <v>XL</v>
      </c>
      <c r="G72" t="s">
        <v>40</v>
      </c>
      <c r="H72" s="2">
        <v>69.819999999999993</v>
      </c>
      <c r="I72">
        <v>0</v>
      </c>
      <c r="J72" s="5">
        <f>BBDD_fashion_boutique[[#This Row],[markdown_percentage]]/100</f>
        <v>0</v>
      </c>
      <c r="K72" s="2">
        <v>69.819999999999993</v>
      </c>
      <c r="L72" s="2">
        <f>BBDD_fashion_boutique[[#This Row],[original_price]]-BBDD_fashion_boutique[[#This Row],[current_price]]</f>
        <v>0</v>
      </c>
      <c r="M72" s="1">
        <v>45875</v>
      </c>
      <c r="N72" s="1" t="str">
        <f>PROPER(TEXT(BBDD_fashion_boutique[[#This Row],[purchase_date]],"dddd"))</f>
        <v>Miércoles</v>
      </c>
      <c r="O72" s="1" t="str">
        <f>PROPER(TEXT(BBDD_fashion_boutique[[#This Row],[purchase_date]],"mmmm"))</f>
        <v>Agosto</v>
      </c>
      <c r="P72" s="4">
        <v>46</v>
      </c>
      <c r="R72" t="str">
        <f>IF(BBDD_fashion_boutique[[#This Row],[stock_quantity]]&gt;9,"Ok",IF(BBDD_fashion_boutique[[#This Row],[stock_quantity]]=0,"Agotado","Pocas Unidades"))</f>
        <v>Ok</v>
      </c>
      <c r="S72" s="3" t="str">
        <f>IF(BBDD_fashion_boutique[[#This Row],[customer_rating]]="","No valorado",BBDD_fashion_boutique[[#This Row],[customer_rating]])</f>
        <v>No valorado</v>
      </c>
      <c r="T72" t="s">
        <v>41</v>
      </c>
      <c r="U72" t="s">
        <v>131</v>
      </c>
      <c r="V72">
        <f>IF(BBDD_fashion_boutique[[#This Row],[is_returned]]="False",0,1)</f>
        <v>1</v>
      </c>
      <c r="W72">
        <f>IF(BBDD_fashion_boutique[[#This Row],[is_returned]]="True",0,BBDD_fashion_boutique[[#This Row],[current_price]])</f>
        <v>0</v>
      </c>
      <c r="X72" t="str">
        <f>IF(BBDD_fashion_boutique[[#This Row],[return_reason]]="","No return",BBDD_fashion_boutique[[#This Row],[return_reason]])</f>
        <v>Wrong Item</v>
      </c>
      <c r="Y72">
        <f>IF(IFERROR(VLOOKUP(BBDD_fashion_boutique[[#This Row],[product_id]],A73:A2248,1,FALSE),0),1,0)</f>
        <v>0</v>
      </c>
    </row>
    <row r="73" spans="1:25" x14ac:dyDescent="0.3">
      <c r="A73" t="s">
        <v>132</v>
      </c>
      <c r="B73" t="s">
        <v>19</v>
      </c>
      <c r="C73" t="s">
        <v>49</v>
      </c>
      <c r="D73" t="s">
        <v>68</v>
      </c>
      <c r="E73" t="s">
        <v>55</v>
      </c>
      <c r="F73" t="str">
        <f>IF(BBDD_fashion_boutique[[#This Row],[category]]="Accessories","Accesorio",IF(BBDD_fashion_boutique[[#This Row],[size]]="","Desconocido",BBDD_fashion_boutique[[#This Row],[size]]))</f>
        <v>XXL</v>
      </c>
      <c r="G73" t="s">
        <v>23</v>
      </c>
      <c r="H73" s="2">
        <v>199.39</v>
      </c>
      <c r="I73">
        <v>7.4</v>
      </c>
      <c r="J73" s="5">
        <f>BBDD_fashion_boutique[[#This Row],[markdown_percentage]]/100</f>
        <v>7.400000000000001E-2</v>
      </c>
      <c r="K73" s="2">
        <v>184.64</v>
      </c>
      <c r="L73" s="2">
        <f>BBDD_fashion_boutique[[#This Row],[original_price]]-BBDD_fashion_boutique[[#This Row],[current_price]]</f>
        <v>14.75</v>
      </c>
      <c r="M73" s="1">
        <v>45875</v>
      </c>
      <c r="N73" s="1" t="str">
        <f>PROPER(TEXT(BBDD_fashion_boutique[[#This Row],[purchase_date]],"dddd"))</f>
        <v>Miércoles</v>
      </c>
      <c r="O73" s="1" t="str">
        <f>PROPER(TEXT(BBDD_fashion_boutique[[#This Row],[purchase_date]],"mmmm"))</f>
        <v>Agosto</v>
      </c>
      <c r="P73" s="4">
        <v>49</v>
      </c>
      <c r="R73" t="str">
        <f>IF(BBDD_fashion_boutique[[#This Row],[stock_quantity]]&gt;9,"Ok",IF(BBDD_fashion_boutique[[#This Row],[stock_quantity]]=0,"Agotado","Pocas Unidades"))</f>
        <v>Ok</v>
      </c>
      <c r="S73" s="3" t="str">
        <f>IF(BBDD_fashion_boutique[[#This Row],[customer_rating]]="","No valorado",BBDD_fashion_boutique[[#This Row],[customer_rating]])</f>
        <v>No valorado</v>
      </c>
      <c r="T73" t="s">
        <v>24</v>
      </c>
      <c r="V73">
        <f>IF(BBDD_fashion_boutique[[#This Row],[is_returned]]="False",0,1)</f>
        <v>0</v>
      </c>
      <c r="W73">
        <f>IF(BBDD_fashion_boutique[[#This Row],[is_returned]]="True",0,BBDD_fashion_boutique[[#This Row],[current_price]])</f>
        <v>184.64</v>
      </c>
      <c r="X73" t="str">
        <f>IF(BBDD_fashion_boutique[[#This Row],[return_reason]]="","No return",BBDD_fashion_boutique[[#This Row],[return_reason]])</f>
        <v>No return</v>
      </c>
      <c r="Y73">
        <f>IF(IFERROR(VLOOKUP(BBDD_fashion_boutique[[#This Row],[product_id]],A74:A2249,1,FALSE),0),1,0)</f>
        <v>0</v>
      </c>
    </row>
    <row r="74" spans="1:25" x14ac:dyDescent="0.3">
      <c r="A74" t="s">
        <v>133</v>
      </c>
      <c r="B74" t="s">
        <v>19</v>
      </c>
      <c r="C74" t="s">
        <v>37</v>
      </c>
      <c r="D74" t="s">
        <v>68</v>
      </c>
      <c r="E74" t="s">
        <v>64</v>
      </c>
      <c r="F74" t="str">
        <f>IF(BBDD_fashion_boutique[[#This Row],[category]]="Accessories","Accesorio",IF(BBDD_fashion_boutique[[#This Row],[size]]="","Desconocido",BBDD_fashion_boutique[[#This Row],[size]]))</f>
        <v>M</v>
      </c>
      <c r="G74" t="s">
        <v>40</v>
      </c>
      <c r="H74" s="2">
        <v>222.09</v>
      </c>
      <c r="I74">
        <v>55.2</v>
      </c>
      <c r="J74" s="5">
        <f>BBDD_fashion_boutique[[#This Row],[markdown_percentage]]/100</f>
        <v>0.55200000000000005</v>
      </c>
      <c r="K74" s="2">
        <v>99.5</v>
      </c>
      <c r="L74" s="2">
        <f>BBDD_fashion_boutique[[#This Row],[original_price]]-BBDD_fashion_boutique[[#This Row],[current_price]]</f>
        <v>122.59</v>
      </c>
      <c r="M74" s="1">
        <v>45875</v>
      </c>
      <c r="N74" s="1" t="str">
        <f>PROPER(TEXT(BBDD_fashion_boutique[[#This Row],[purchase_date]],"dddd"))</f>
        <v>Miércoles</v>
      </c>
      <c r="O74" s="1" t="str">
        <f>PROPER(TEXT(BBDD_fashion_boutique[[#This Row],[purchase_date]],"mmmm"))</f>
        <v>Agosto</v>
      </c>
      <c r="P74" s="4">
        <v>21</v>
      </c>
      <c r="Q74" s="2">
        <v>4.5</v>
      </c>
      <c r="R74" t="str">
        <f>IF(BBDD_fashion_boutique[[#This Row],[stock_quantity]]&gt;9,"Ok",IF(BBDD_fashion_boutique[[#This Row],[stock_quantity]]=0,"Agotado","Pocas Unidades"))</f>
        <v>Ok</v>
      </c>
      <c r="S74" s="3">
        <f>IF(BBDD_fashion_boutique[[#This Row],[customer_rating]]="","No valorado",BBDD_fashion_boutique[[#This Row],[customer_rating]])</f>
        <v>4.5</v>
      </c>
      <c r="T74" t="s">
        <v>24</v>
      </c>
      <c r="V74">
        <f>IF(BBDD_fashion_boutique[[#This Row],[is_returned]]="False",0,1)</f>
        <v>0</v>
      </c>
      <c r="W74">
        <f>IF(BBDD_fashion_boutique[[#This Row],[is_returned]]="True",0,BBDD_fashion_boutique[[#This Row],[current_price]])</f>
        <v>99.5</v>
      </c>
      <c r="X74" t="str">
        <f>IF(BBDD_fashion_boutique[[#This Row],[return_reason]]="","No return",BBDD_fashion_boutique[[#This Row],[return_reason]])</f>
        <v>No return</v>
      </c>
      <c r="Y74">
        <f>IF(IFERROR(VLOOKUP(BBDD_fashion_boutique[[#This Row],[product_id]],A75:A2250,1,FALSE),0),1,0)</f>
        <v>0</v>
      </c>
    </row>
    <row r="75" spans="1:25" x14ac:dyDescent="0.3">
      <c r="A75" t="s">
        <v>134</v>
      </c>
      <c r="B75" t="s">
        <v>26</v>
      </c>
      <c r="C75" t="s">
        <v>49</v>
      </c>
      <c r="D75" t="s">
        <v>39</v>
      </c>
      <c r="E75" t="s">
        <v>61</v>
      </c>
      <c r="F75" t="str">
        <f>IF(BBDD_fashion_boutique[[#This Row],[category]]="Accessories","Accesorio",IF(BBDD_fashion_boutique[[#This Row],[size]]="","Desconocido",BBDD_fashion_boutique[[#This Row],[size]]))</f>
        <v>XS</v>
      </c>
      <c r="G75" t="s">
        <v>23</v>
      </c>
      <c r="H75" s="2">
        <v>112.86</v>
      </c>
      <c r="I75">
        <v>0</v>
      </c>
      <c r="J75" s="5">
        <f>BBDD_fashion_boutique[[#This Row],[markdown_percentage]]/100</f>
        <v>0</v>
      </c>
      <c r="K75" s="2">
        <v>112.86</v>
      </c>
      <c r="L75" s="2">
        <f>BBDD_fashion_boutique[[#This Row],[original_price]]-BBDD_fashion_boutique[[#This Row],[current_price]]</f>
        <v>0</v>
      </c>
      <c r="M75" s="1">
        <v>45875</v>
      </c>
      <c r="N75" s="1" t="str">
        <f>PROPER(TEXT(BBDD_fashion_boutique[[#This Row],[purchase_date]],"dddd"))</f>
        <v>Miércoles</v>
      </c>
      <c r="O75" s="1" t="str">
        <f>PROPER(TEXT(BBDD_fashion_boutique[[#This Row],[purchase_date]],"mmmm"))</f>
        <v>Agosto</v>
      </c>
      <c r="P75" s="4">
        <v>8</v>
      </c>
      <c r="Q75" s="2">
        <v>2.9</v>
      </c>
      <c r="R75" t="str">
        <f>IF(BBDD_fashion_boutique[[#This Row],[stock_quantity]]&gt;9,"Ok",IF(BBDD_fashion_boutique[[#This Row],[stock_quantity]]=0,"Agotado","Pocas Unidades"))</f>
        <v>Pocas Unidades</v>
      </c>
      <c r="S75" s="3">
        <f>IF(BBDD_fashion_boutique[[#This Row],[customer_rating]]="","No valorado",BBDD_fashion_boutique[[#This Row],[customer_rating]])</f>
        <v>2.9</v>
      </c>
      <c r="T75" t="s">
        <v>24</v>
      </c>
      <c r="V75">
        <f>IF(BBDD_fashion_boutique[[#This Row],[is_returned]]="False",0,1)</f>
        <v>0</v>
      </c>
      <c r="W75">
        <f>IF(BBDD_fashion_boutique[[#This Row],[is_returned]]="True",0,BBDD_fashion_boutique[[#This Row],[current_price]])</f>
        <v>112.86</v>
      </c>
      <c r="X75" t="str">
        <f>IF(BBDD_fashion_boutique[[#This Row],[return_reason]]="","No return",BBDD_fashion_boutique[[#This Row],[return_reason]])</f>
        <v>No return</v>
      </c>
      <c r="Y75">
        <f>IF(IFERROR(VLOOKUP(BBDD_fashion_boutique[[#This Row],[product_id]],A76:A2251,1,FALSE),0),1,0)</f>
        <v>0</v>
      </c>
    </row>
    <row r="76" spans="1:25" x14ac:dyDescent="0.3">
      <c r="A76" t="s">
        <v>135</v>
      </c>
      <c r="B76" t="s">
        <v>48</v>
      </c>
      <c r="C76" t="s">
        <v>49</v>
      </c>
      <c r="D76" t="s">
        <v>21</v>
      </c>
      <c r="E76" t="s">
        <v>61</v>
      </c>
      <c r="F76" t="str">
        <f>IF(BBDD_fashion_boutique[[#This Row],[category]]="Accessories","Accesorio",IF(BBDD_fashion_boutique[[#This Row],[size]]="","Desconocido",BBDD_fashion_boutique[[#This Row],[size]]))</f>
        <v>XS</v>
      </c>
      <c r="G76" t="s">
        <v>52</v>
      </c>
      <c r="H76" s="2">
        <v>100.96</v>
      </c>
      <c r="I76">
        <v>0</v>
      </c>
      <c r="J76" s="5">
        <f>BBDD_fashion_boutique[[#This Row],[markdown_percentage]]/100</f>
        <v>0</v>
      </c>
      <c r="K76" s="2">
        <v>100.96</v>
      </c>
      <c r="L76" s="2">
        <f>BBDD_fashion_boutique[[#This Row],[original_price]]-BBDD_fashion_boutique[[#This Row],[current_price]]</f>
        <v>0</v>
      </c>
      <c r="M76" s="1">
        <v>45787</v>
      </c>
      <c r="N76" s="1" t="str">
        <f>PROPER(TEXT(BBDD_fashion_boutique[[#This Row],[purchase_date]],"dddd"))</f>
        <v>Sábado</v>
      </c>
      <c r="O76" s="1" t="str">
        <f>PROPER(TEXT(BBDD_fashion_boutique[[#This Row],[purchase_date]],"mmmm"))</f>
        <v>Mayo</v>
      </c>
      <c r="P76" s="4">
        <v>32</v>
      </c>
      <c r="Q76" s="2">
        <v>3.3</v>
      </c>
      <c r="R76" t="str">
        <f>IF(BBDD_fashion_boutique[[#This Row],[stock_quantity]]&gt;9,"Ok",IF(BBDD_fashion_boutique[[#This Row],[stock_quantity]]=0,"Agotado","Pocas Unidades"))</f>
        <v>Ok</v>
      </c>
      <c r="S76" s="3">
        <f>IF(BBDD_fashion_boutique[[#This Row],[customer_rating]]="","No valorado",BBDD_fashion_boutique[[#This Row],[customer_rating]])</f>
        <v>3.3</v>
      </c>
      <c r="T76" t="s">
        <v>24</v>
      </c>
      <c r="V76">
        <f>IF(BBDD_fashion_boutique[[#This Row],[is_returned]]="False",0,1)</f>
        <v>0</v>
      </c>
      <c r="W76">
        <f>IF(BBDD_fashion_boutique[[#This Row],[is_returned]]="True",0,BBDD_fashion_boutique[[#This Row],[current_price]])</f>
        <v>100.96</v>
      </c>
      <c r="X76" t="str">
        <f>IF(BBDD_fashion_boutique[[#This Row],[return_reason]]="","No return",BBDD_fashion_boutique[[#This Row],[return_reason]])</f>
        <v>No return</v>
      </c>
      <c r="Y76">
        <f>IF(IFERROR(VLOOKUP(BBDD_fashion_boutique[[#This Row],[product_id]],A77:A2252,1,FALSE),0),1,0)</f>
        <v>0</v>
      </c>
    </row>
    <row r="77" spans="1:25" x14ac:dyDescent="0.3">
      <c r="A77" t="s">
        <v>136</v>
      </c>
      <c r="B77" t="s">
        <v>19</v>
      </c>
      <c r="C77" t="s">
        <v>67</v>
      </c>
      <c r="D77" t="s">
        <v>21</v>
      </c>
      <c r="E77" t="s">
        <v>22</v>
      </c>
      <c r="F77" t="str">
        <f>IF(BBDD_fashion_boutique[[#This Row],[category]]="Accessories","Accesorio",IF(BBDD_fashion_boutique[[#This Row],[size]]="","Desconocido",BBDD_fashion_boutique[[#This Row],[size]]))</f>
        <v>XL</v>
      </c>
      <c r="G77" t="s">
        <v>52</v>
      </c>
      <c r="H77" s="2">
        <v>243.56</v>
      </c>
      <c r="I77">
        <v>48</v>
      </c>
      <c r="J77" s="5">
        <f>BBDD_fashion_boutique[[#This Row],[markdown_percentage]]/100</f>
        <v>0.48</v>
      </c>
      <c r="K77" s="2">
        <v>126.65</v>
      </c>
      <c r="L77" s="2">
        <f>BBDD_fashion_boutique[[#This Row],[original_price]]-BBDD_fashion_boutique[[#This Row],[current_price]]</f>
        <v>116.91</v>
      </c>
      <c r="M77" s="1">
        <v>45579</v>
      </c>
      <c r="N77" s="1" t="str">
        <f>PROPER(TEXT(BBDD_fashion_boutique[[#This Row],[purchase_date]],"dddd"))</f>
        <v>Lunes</v>
      </c>
      <c r="O77" s="1" t="str">
        <f>PROPER(TEXT(BBDD_fashion_boutique[[#This Row],[purchase_date]],"mmmm"))</f>
        <v>Octubre</v>
      </c>
      <c r="P77" s="4">
        <v>22</v>
      </c>
      <c r="Q77" s="2">
        <v>4.4000000000000004</v>
      </c>
      <c r="R77" t="str">
        <f>IF(BBDD_fashion_boutique[[#This Row],[stock_quantity]]&gt;9,"Ok",IF(BBDD_fashion_boutique[[#This Row],[stock_quantity]]=0,"Agotado","Pocas Unidades"))</f>
        <v>Ok</v>
      </c>
      <c r="S77" s="3">
        <f>IF(BBDD_fashion_boutique[[#This Row],[customer_rating]]="","No valorado",BBDD_fashion_boutique[[#This Row],[customer_rating]])</f>
        <v>4.4000000000000004</v>
      </c>
      <c r="T77" t="s">
        <v>41</v>
      </c>
      <c r="U77" t="s">
        <v>121</v>
      </c>
      <c r="V77">
        <f>IF(BBDD_fashion_boutique[[#This Row],[is_returned]]="False",0,1)</f>
        <v>1</v>
      </c>
      <c r="W77">
        <f>IF(BBDD_fashion_boutique[[#This Row],[is_returned]]="True",0,BBDD_fashion_boutique[[#This Row],[current_price]])</f>
        <v>0</v>
      </c>
      <c r="X77" t="str">
        <f>IF(BBDD_fashion_boutique[[#This Row],[return_reason]]="","No return",BBDD_fashion_boutique[[#This Row],[return_reason]])</f>
        <v>Changed Mind</v>
      </c>
      <c r="Y77">
        <f>IF(IFERROR(VLOOKUP(BBDD_fashion_boutique[[#This Row],[product_id]],A78:A2253,1,FALSE),0),1,0)</f>
        <v>0</v>
      </c>
    </row>
    <row r="78" spans="1:25" x14ac:dyDescent="0.3">
      <c r="A78" t="s">
        <v>137</v>
      </c>
      <c r="B78" t="s">
        <v>48</v>
      </c>
      <c r="C78" t="s">
        <v>49</v>
      </c>
      <c r="D78" t="s">
        <v>21</v>
      </c>
      <c r="E78" t="s">
        <v>55</v>
      </c>
      <c r="F78" t="str">
        <f>IF(BBDD_fashion_boutique[[#This Row],[category]]="Accessories","Accesorio",IF(BBDD_fashion_boutique[[#This Row],[size]]="","Desconocido",BBDD_fashion_boutique[[#This Row],[size]]))</f>
        <v>XXL</v>
      </c>
      <c r="G78" t="s">
        <v>23</v>
      </c>
      <c r="H78" s="2">
        <v>153.32</v>
      </c>
      <c r="I78">
        <v>0</v>
      </c>
      <c r="J78" s="5">
        <f>BBDD_fashion_boutique[[#This Row],[markdown_percentage]]/100</f>
        <v>0</v>
      </c>
      <c r="K78" s="2">
        <v>153.32</v>
      </c>
      <c r="L78" s="2">
        <f>BBDD_fashion_boutique[[#This Row],[original_price]]-BBDD_fashion_boutique[[#This Row],[current_price]]</f>
        <v>0</v>
      </c>
      <c r="M78" s="1">
        <v>45548</v>
      </c>
      <c r="N78" s="1" t="str">
        <f>PROPER(TEXT(BBDD_fashion_boutique[[#This Row],[purchase_date]],"dddd"))</f>
        <v>Viernes</v>
      </c>
      <c r="O78" s="1" t="str">
        <f>PROPER(TEXT(BBDD_fashion_boutique[[#This Row],[purchase_date]],"mmmm"))</f>
        <v>Septiembre</v>
      </c>
      <c r="P78" s="4">
        <v>43</v>
      </c>
      <c r="Q78" s="2">
        <v>2.9</v>
      </c>
      <c r="R78" t="str">
        <f>IF(BBDD_fashion_boutique[[#This Row],[stock_quantity]]&gt;9,"Ok",IF(BBDD_fashion_boutique[[#This Row],[stock_quantity]]=0,"Agotado","Pocas Unidades"))</f>
        <v>Ok</v>
      </c>
      <c r="S78" s="3">
        <f>IF(BBDD_fashion_boutique[[#This Row],[customer_rating]]="","No valorado",BBDD_fashion_boutique[[#This Row],[customer_rating]])</f>
        <v>2.9</v>
      </c>
      <c r="T78" t="s">
        <v>24</v>
      </c>
      <c r="V78">
        <f>IF(BBDD_fashion_boutique[[#This Row],[is_returned]]="False",0,1)</f>
        <v>0</v>
      </c>
      <c r="W78">
        <f>IF(BBDD_fashion_boutique[[#This Row],[is_returned]]="True",0,BBDD_fashion_boutique[[#This Row],[current_price]])</f>
        <v>153.32</v>
      </c>
      <c r="X78" t="str">
        <f>IF(BBDD_fashion_boutique[[#This Row],[return_reason]]="","No return",BBDD_fashion_boutique[[#This Row],[return_reason]])</f>
        <v>No return</v>
      </c>
      <c r="Y78">
        <f>IF(IFERROR(VLOOKUP(BBDD_fashion_boutique[[#This Row],[product_id]],A79:A2254,1,FALSE),0),1,0)</f>
        <v>0</v>
      </c>
    </row>
    <row r="79" spans="1:25" x14ac:dyDescent="0.3">
      <c r="A79" t="s">
        <v>138</v>
      </c>
      <c r="B79" t="s">
        <v>32</v>
      </c>
      <c r="C79" t="s">
        <v>27</v>
      </c>
      <c r="D79" t="s">
        <v>39</v>
      </c>
      <c r="F79" t="str">
        <f>IF(BBDD_fashion_boutique[[#This Row],[category]]="Accessories","Accesorio",IF(BBDD_fashion_boutique[[#This Row],[size]]="","Desconocido",BBDD_fashion_boutique[[#This Row],[size]]))</f>
        <v>Accesorio</v>
      </c>
      <c r="G79" t="s">
        <v>72</v>
      </c>
      <c r="H79" s="2">
        <v>42.95</v>
      </c>
      <c r="I79">
        <v>22.5</v>
      </c>
      <c r="J79" s="5">
        <f>BBDD_fashion_boutique[[#This Row],[markdown_percentage]]/100</f>
        <v>0.22500000000000001</v>
      </c>
      <c r="K79" s="2">
        <v>33.29</v>
      </c>
      <c r="L79" s="2">
        <f>BBDD_fashion_boutique[[#This Row],[original_price]]-BBDD_fashion_boutique[[#This Row],[current_price]]</f>
        <v>9.6600000000000037</v>
      </c>
      <c r="M79" s="1">
        <v>45875</v>
      </c>
      <c r="N79" s="1" t="str">
        <f>PROPER(TEXT(BBDD_fashion_boutique[[#This Row],[purchase_date]],"dddd"))</f>
        <v>Miércoles</v>
      </c>
      <c r="O79" s="1" t="str">
        <f>PROPER(TEXT(BBDD_fashion_boutique[[#This Row],[purchase_date]],"mmmm"))</f>
        <v>Agosto</v>
      </c>
      <c r="P79" s="4">
        <v>7</v>
      </c>
      <c r="Q79" s="2">
        <v>1.9</v>
      </c>
      <c r="R79" t="str">
        <f>IF(BBDD_fashion_boutique[[#This Row],[stock_quantity]]&gt;9,"Ok",IF(BBDD_fashion_boutique[[#This Row],[stock_quantity]]=0,"Agotado","Pocas Unidades"))</f>
        <v>Pocas Unidades</v>
      </c>
      <c r="S79" s="3">
        <f>IF(BBDD_fashion_boutique[[#This Row],[customer_rating]]="","No valorado",BBDD_fashion_boutique[[#This Row],[customer_rating]])</f>
        <v>1.9</v>
      </c>
      <c r="T79" t="s">
        <v>41</v>
      </c>
      <c r="U79" t="s">
        <v>79</v>
      </c>
      <c r="V79">
        <f>IF(BBDD_fashion_boutique[[#This Row],[is_returned]]="False",0,1)</f>
        <v>1</v>
      </c>
      <c r="W79">
        <f>IF(BBDD_fashion_boutique[[#This Row],[is_returned]]="True",0,BBDD_fashion_boutique[[#This Row],[current_price]])</f>
        <v>0</v>
      </c>
      <c r="X79" t="str">
        <f>IF(BBDD_fashion_boutique[[#This Row],[return_reason]]="","No return",BBDD_fashion_boutique[[#This Row],[return_reason]])</f>
        <v>Size Issue</v>
      </c>
      <c r="Y79">
        <f>IF(IFERROR(VLOOKUP(BBDD_fashion_boutique[[#This Row],[product_id]],A80:A2255,1,FALSE),0),1,0)</f>
        <v>0</v>
      </c>
    </row>
    <row r="80" spans="1:25" x14ac:dyDescent="0.3">
      <c r="A80" t="s">
        <v>139</v>
      </c>
      <c r="B80" t="s">
        <v>26</v>
      </c>
      <c r="C80" t="s">
        <v>54</v>
      </c>
      <c r="D80" t="s">
        <v>68</v>
      </c>
      <c r="E80" t="s">
        <v>45</v>
      </c>
      <c r="F80" t="str">
        <f>IF(BBDD_fashion_boutique[[#This Row],[category]]="Accessories","Accesorio",IF(BBDD_fashion_boutique[[#This Row],[size]]="","Desconocido",BBDD_fashion_boutique[[#This Row],[size]]))</f>
        <v>S</v>
      </c>
      <c r="G80" t="s">
        <v>52</v>
      </c>
      <c r="H80" s="2">
        <v>30.79</v>
      </c>
      <c r="I80">
        <v>0</v>
      </c>
      <c r="J80" s="5">
        <f>BBDD_fashion_boutique[[#This Row],[markdown_percentage]]/100</f>
        <v>0</v>
      </c>
      <c r="K80" s="2">
        <v>30.79</v>
      </c>
      <c r="L80" s="2">
        <f>BBDD_fashion_boutique[[#This Row],[original_price]]-BBDD_fashion_boutique[[#This Row],[current_price]]</f>
        <v>0</v>
      </c>
      <c r="M80" s="1">
        <v>45875</v>
      </c>
      <c r="N80" s="1" t="str">
        <f>PROPER(TEXT(BBDD_fashion_boutique[[#This Row],[purchase_date]],"dddd"))</f>
        <v>Miércoles</v>
      </c>
      <c r="O80" s="1" t="str">
        <f>PROPER(TEXT(BBDD_fashion_boutique[[#This Row],[purchase_date]],"mmmm"))</f>
        <v>Agosto</v>
      </c>
      <c r="P80" s="4">
        <v>36</v>
      </c>
      <c r="Q80" s="2">
        <v>3.4</v>
      </c>
      <c r="R80" t="str">
        <f>IF(BBDD_fashion_boutique[[#This Row],[stock_quantity]]&gt;9,"Ok",IF(BBDD_fashion_boutique[[#This Row],[stock_quantity]]=0,"Agotado","Pocas Unidades"))</f>
        <v>Ok</v>
      </c>
      <c r="S80" s="3">
        <f>IF(BBDD_fashion_boutique[[#This Row],[customer_rating]]="","No valorado",BBDD_fashion_boutique[[#This Row],[customer_rating]])</f>
        <v>3.4</v>
      </c>
      <c r="T80" t="s">
        <v>24</v>
      </c>
      <c r="V80">
        <f>IF(BBDD_fashion_boutique[[#This Row],[is_returned]]="False",0,1)</f>
        <v>0</v>
      </c>
      <c r="W80">
        <f>IF(BBDD_fashion_boutique[[#This Row],[is_returned]]="True",0,BBDD_fashion_boutique[[#This Row],[current_price]])</f>
        <v>30.79</v>
      </c>
      <c r="X80" t="str">
        <f>IF(BBDD_fashion_boutique[[#This Row],[return_reason]]="","No return",BBDD_fashion_boutique[[#This Row],[return_reason]])</f>
        <v>No return</v>
      </c>
      <c r="Y80">
        <f>IF(IFERROR(VLOOKUP(BBDD_fashion_boutique[[#This Row],[product_id]],A81:A2256,1,FALSE),0),1,0)</f>
        <v>0</v>
      </c>
    </row>
    <row r="81" spans="1:25" x14ac:dyDescent="0.3">
      <c r="A81" t="s">
        <v>140</v>
      </c>
      <c r="B81" t="s">
        <v>32</v>
      </c>
      <c r="C81" t="s">
        <v>27</v>
      </c>
      <c r="D81" t="s">
        <v>39</v>
      </c>
      <c r="F81" t="str">
        <f>IF(BBDD_fashion_boutique[[#This Row],[category]]="Accessories","Accesorio",IF(BBDD_fashion_boutique[[#This Row],[size]]="","Desconocido",BBDD_fashion_boutique[[#This Row],[size]]))</f>
        <v>Accesorio</v>
      </c>
      <c r="G81" t="s">
        <v>76</v>
      </c>
      <c r="H81" s="2">
        <v>59.85</v>
      </c>
      <c r="I81">
        <v>0</v>
      </c>
      <c r="J81" s="5">
        <f>BBDD_fashion_boutique[[#This Row],[markdown_percentage]]/100</f>
        <v>0</v>
      </c>
      <c r="K81" s="2">
        <v>59.85</v>
      </c>
      <c r="L81" s="2">
        <f>BBDD_fashion_boutique[[#This Row],[original_price]]-BBDD_fashion_boutique[[#This Row],[current_price]]</f>
        <v>0</v>
      </c>
      <c r="M81" s="1">
        <v>45875</v>
      </c>
      <c r="N81" s="1" t="str">
        <f>PROPER(TEXT(BBDD_fashion_boutique[[#This Row],[purchase_date]],"dddd"))</f>
        <v>Miércoles</v>
      </c>
      <c r="O81" s="1" t="str">
        <f>PROPER(TEXT(BBDD_fashion_boutique[[#This Row],[purchase_date]],"mmmm"))</f>
        <v>Agosto</v>
      </c>
      <c r="P81" s="4">
        <v>38</v>
      </c>
      <c r="Q81" s="2">
        <v>4</v>
      </c>
      <c r="R81" t="str">
        <f>IF(BBDD_fashion_boutique[[#This Row],[stock_quantity]]&gt;9,"Ok",IF(BBDD_fashion_boutique[[#This Row],[stock_quantity]]=0,"Agotado","Pocas Unidades"))</f>
        <v>Ok</v>
      </c>
      <c r="S81" s="3">
        <f>IF(BBDD_fashion_boutique[[#This Row],[customer_rating]]="","No valorado",BBDD_fashion_boutique[[#This Row],[customer_rating]])</f>
        <v>4</v>
      </c>
      <c r="T81" t="s">
        <v>24</v>
      </c>
      <c r="V81">
        <f>IF(BBDD_fashion_boutique[[#This Row],[is_returned]]="False",0,1)</f>
        <v>0</v>
      </c>
      <c r="W81">
        <f>IF(BBDD_fashion_boutique[[#This Row],[is_returned]]="True",0,BBDD_fashion_boutique[[#This Row],[current_price]])</f>
        <v>59.85</v>
      </c>
      <c r="X81" t="str">
        <f>IF(BBDD_fashion_boutique[[#This Row],[return_reason]]="","No return",BBDD_fashion_boutique[[#This Row],[return_reason]])</f>
        <v>No return</v>
      </c>
      <c r="Y81">
        <f>IF(IFERROR(VLOOKUP(BBDD_fashion_boutique[[#This Row],[product_id]],A82:A2257,1,FALSE),0),1,0)</f>
        <v>0</v>
      </c>
    </row>
    <row r="82" spans="1:25" x14ac:dyDescent="0.3">
      <c r="A82" t="s">
        <v>141</v>
      </c>
      <c r="B82" t="s">
        <v>26</v>
      </c>
      <c r="C82" t="s">
        <v>37</v>
      </c>
      <c r="D82" t="s">
        <v>21</v>
      </c>
      <c r="E82" t="s">
        <v>45</v>
      </c>
      <c r="F82" t="str">
        <f>IF(BBDD_fashion_boutique[[#This Row],[category]]="Accessories","Accesorio",IF(BBDD_fashion_boutique[[#This Row],[size]]="","Desconocido",BBDD_fashion_boutique[[#This Row],[size]]))</f>
        <v>S</v>
      </c>
      <c r="G82" t="s">
        <v>70</v>
      </c>
      <c r="H82" s="2">
        <v>78.16</v>
      </c>
      <c r="I82">
        <v>19.100000000000001</v>
      </c>
      <c r="J82" s="5">
        <f>BBDD_fashion_boutique[[#This Row],[markdown_percentage]]/100</f>
        <v>0.191</v>
      </c>
      <c r="K82" s="2">
        <v>63.23</v>
      </c>
      <c r="L82" s="2">
        <f>BBDD_fashion_boutique[[#This Row],[original_price]]-BBDD_fashion_boutique[[#This Row],[current_price]]</f>
        <v>14.93</v>
      </c>
      <c r="M82" s="1">
        <v>45863</v>
      </c>
      <c r="N82" s="1" t="str">
        <f>PROPER(TEXT(BBDD_fashion_boutique[[#This Row],[purchase_date]],"dddd"))</f>
        <v>Viernes</v>
      </c>
      <c r="O82" s="1" t="str">
        <f>PROPER(TEXT(BBDD_fashion_boutique[[#This Row],[purchase_date]],"mmmm"))</f>
        <v>Julio</v>
      </c>
      <c r="P82" s="4">
        <v>23</v>
      </c>
      <c r="R82" t="str">
        <f>IF(BBDD_fashion_boutique[[#This Row],[stock_quantity]]&gt;9,"Ok",IF(BBDD_fashion_boutique[[#This Row],[stock_quantity]]=0,"Agotado","Pocas Unidades"))</f>
        <v>Ok</v>
      </c>
      <c r="S82" s="3" t="str">
        <f>IF(BBDD_fashion_boutique[[#This Row],[customer_rating]]="","No valorado",BBDD_fashion_boutique[[#This Row],[customer_rating]])</f>
        <v>No valorado</v>
      </c>
      <c r="T82" t="s">
        <v>24</v>
      </c>
      <c r="V82">
        <f>IF(BBDD_fashion_boutique[[#This Row],[is_returned]]="False",0,1)</f>
        <v>0</v>
      </c>
      <c r="W82">
        <f>IF(BBDD_fashion_boutique[[#This Row],[is_returned]]="True",0,BBDD_fashion_boutique[[#This Row],[current_price]])</f>
        <v>63.23</v>
      </c>
      <c r="X82" t="str">
        <f>IF(BBDD_fashion_boutique[[#This Row],[return_reason]]="","No return",BBDD_fashion_boutique[[#This Row],[return_reason]])</f>
        <v>No return</v>
      </c>
      <c r="Y82">
        <f>IF(IFERROR(VLOOKUP(BBDD_fashion_boutique[[#This Row],[product_id]],A83:A2258,1,FALSE),0),1,0)</f>
        <v>0</v>
      </c>
    </row>
    <row r="83" spans="1:25" x14ac:dyDescent="0.3">
      <c r="A83" t="s">
        <v>142</v>
      </c>
      <c r="B83" t="s">
        <v>26</v>
      </c>
      <c r="C83" t="s">
        <v>59</v>
      </c>
      <c r="D83" t="s">
        <v>39</v>
      </c>
      <c r="E83" t="s">
        <v>64</v>
      </c>
      <c r="F83" t="str">
        <f>IF(BBDD_fashion_boutique[[#This Row],[category]]="Accessories","Accesorio",IF(BBDD_fashion_boutique[[#This Row],[size]]="","Desconocido",BBDD_fashion_boutique[[#This Row],[size]]))</f>
        <v>M</v>
      </c>
      <c r="G83" t="s">
        <v>40</v>
      </c>
      <c r="H83" s="2">
        <v>113.17</v>
      </c>
      <c r="I83">
        <v>19.100000000000001</v>
      </c>
      <c r="J83" s="5">
        <f>BBDD_fashion_boutique[[#This Row],[markdown_percentage]]/100</f>
        <v>0.191</v>
      </c>
      <c r="K83" s="2">
        <v>91.55</v>
      </c>
      <c r="L83" s="2">
        <f>BBDD_fashion_boutique[[#This Row],[original_price]]-BBDD_fashion_boutique[[#This Row],[current_price]]</f>
        <v>21.620000000000005</v>
      </c>
      <c r="M83" s="1">
        <v>45875</v>
      </c>
      <c r="N83" s="1" t="str">
        <f>PROPER(TEXT(BBDD_fashion_boutique[[#This Row],[purchase_date]],"dddd"))</f>
        <v>Miércoles</v>
      </c>
      <c r="O83" s="1" t="str">
        <f>PROPER(TEXT(BBDD_fashion_boutique[[#This Row],[purchase_date]],"mmmm"))</f>
        <v>Agosto</v>
      </c>
      <c r="P83" s="4">
        <v>15</v>
      </c>
      <c r="Q83" s="2">
        <v>4.9000000000000004</v>
      </c>
      <c r="R83" t="str">
        <f>IF(BBDD_fashion_boutique[[#This Row],[stock_quantity]]&gt;9,"Ok",IF(BBDD_fashion_boutique[[#This Row],[stock_quantity]]=0,"Agotado","Pocas Unidades"))</f>
        <v>Ok</v>
      </c>
      <c r="S83" s="3">
        <f>IF(BBDD_fashion_boutique[[#This Row],[customer_rating]]="","No valorado",BBDD_fashion_boutique[[#This Row],[customer_rating]])</f>
        <v>4.9000000000000004</v>
      </c>
      <c r="T83" t="s">
        <v>24</v>
      </c>
      <c r="V83">
        <f>IF(BBDD_fashion_boutique[[#This Row],[is_returned]]="False",0,1)</f>
        <v>0</v>
      </c>
      <c r="W83">
        <f>IF(BBDD_fashion_boutique[[#This Row],[is_returned]]="True",0,BBDD_fashion_boutique[[#This Row],[current_price]])</f>
        <v>91.55</v>
      </c>
      <c r="X83" t="str">
        <f>IF(BBDD_fashion_boutique[[#This Row],[return_reason]]="","No return",BBDD_fashion_boutique[[#This Row],[return_reason]])</f>
        <v>No return</v>
      </c>
      <c r="Y83">
        <f>IF(IFERROR(VLOOKUP(BBDD_fashion_boutique[[#This Row],[product_id]],A84:A2259,1,FALSE),0),1,0)</f>
        <v>0</v>
      </c>
    </row>
    <row r="84" spans="1:25" x14ac:dyDescent="0.3">
      <c r="A84" t="s">
        <v>143</v>
      </c>
      <c r="B84" t="s">
        <v>48</v>
      </c>
      <c r="C84" t="s">
        <v>59</v>
      </c>
      <c r="D84" t="s">
        <v>28</v>
      </c>
      <c r="E84" t="s">
        <v>45</v>
      </c>
      <c r="F84" t="str">
        <f>IF(BBDD_fashion_boutique[[#This Row],[category]]="Accessories","Accesorio",IF(BBDD_fashion_boutique[[#This Row],[size]]="","Desconocido",BBDD_fashion_boutique[[#This Row],[size]]))</f>
        <v>S</v>
      </c>
      <c r="G84" t="s">
        <v>50</v>
      </c>
      <c r="H84" s="2">
        <v>174.13</v>
      </c>
      <c r="I84">
        <v>0</v>
      </c>
      <c r="J84" s="5">
        <f>BBDD_fashion_boutique[[#This Row],[markdown_percentage]]/100</f>
        <v>0</v>
      </c>
      <c r="K84" s="2">
        <v>174.13</v>
      </c>
      <c r="L84" s="2">
        <f>BBDD_fashion_boutique[[#This Row],[original_price]]-BBDD_fashion_boutique[[#This Row],[current_price]]</f>
        <v>0</v>
      </c>
      <c r="M84" s="1">
        <v>45875</v>
      </c>
      <c r="N84" s="1" t="str">
        <f>PROPER(TEXT(BBDD_fashion_boutique[[#This Row],[purchase_date]],"dddd"))</f>
        <v>Miércoles</v>
      </c>
      <c r="O84" s="1" t="str">
        <f>PROPER(TEXT(BBDD_fashion_boutique[[#This Row],[purchase_date]],"mmmm"))</f>
        <v>Agosto</v>
      </c>
      <c r="P84" s="4">
        <v>34</v>
      </c>
      <c r="Q84" s="2">
        <v>3.7</v>
      </c>
      <c r="R84" t="str">
        <f>IF(BBDD_fashion_boutique[[#This Row],[stock_quantity]]&gt;9,"Ok",IF(BBDD_fashion_boutique[[#This Row],[stock_quantity]]=0,"Agotado","Pocas Unidades"))</f>
        <v>Ok</v>
      </c>
      <c r="S84" s="3">
        <f>IF(BBDD_fashion_boutique[[#This Row],[customer_rating]]="","No valorado",BBDD_fashion_boutique[[#This Row],[customer_rating]])</f>
        <v>3.7</v>
      </c>
      <c r="T84" t="s">
        <v>24</v>
      </c>
      <c r="V84">
        <f>IF(BBDD_fashion_boutique[[#This Row],[is_returned]]="False",0,1)</f>
        <v>0</v>
      </c>
      <c r="W84">
        <f>IF(BBDD_fashion_boutique[[#This Row],[is_returned]]="True",0,BBDD_fashion_boutique[[#This Row],[current_price]])</f>
        <v>174.13</v>
      </c>
      <c r="X84" t="str">
        <f>IF(BBDD_fashion_boutique[[#This Row],[return_reason]]="","No return",BBDD_fashion_boutique[[#This Row],[return_reason]])</f>
        <v>No return</v>
      </c>
      <c r="Y84">
        <f>IF(IFERROR(VLOOKUP(BBDD_fashion_boutique[[#This Row],[product_id]],A85:A2260,1,FALSE),0),1,0)</f>
        <v>0</v>
      </c>
    </row>
    <row r="85" spans="1:25" x14ac:dyDescent="0.3">
      <c r="A85" t="s">
        <v>144</v>
      </c>
      <c r="B85" t="s">
        <v>35</v>
      </c>
      <c r="C85" t="s">
        <v>20</v>
      </c>
      <c r="D85" t="s">
        <v>68</v>
      </c>
      <c r="E85" t="s">
        <v>61</v>
      </c>
      <c r="F85" t="str">
        <f>IF(BBDD_fashion_boutique[[#This Row],[category]]="Accessories","Accesorio",IF(BBDD_fashion_boutique[[#This Row],[size]]="","Desconocido",BBDD_fashion_boutique[[#This Row],[size]]))</f>
        <v>XS</v>
      </c>
      <c r="G85" t="s">
        <v>72</v>
      </c>
      <c r="H85" s="2">
        <v>191.96</v>
      </c>
      <c r="I85">
        <v>0</v>
      </c>
      <c r="J85" s="5">
        <f>BBDD_fashion_boutique[[#This Row],[markdown_percentage]]/100</f>
        <v>0</v>
      </c>
      <c r="K85" s="2">
        <v>191.96</v>
      </c>
      <c r="L85" s="2">
        <f>BBDD_fashion_boutique[[#This Row],[original_price]]-BBDD_fashion_boutique[[#This Row],[current_price]]</f>
        <v>0</v>
      </c>
      <c r="M85" s="1">
        <v>45875</v>
      </c>
      <c r="N85" s="1" t="str">
        <f>PROPER(TEXT(BBDD_fashion_boutique[[#This Row],[purchase_date]],"dddd"))</f>
        <v>Miércoles</v>
      </c>
      <c r="O85" s="1" t="str">
        <f>PROPER(TEXT(BBDD_fashion_boutique[[#This Row],[purchase_date]],"mmmm"))</f>
        <v>Agosto</v>
      </c>
      <c r="P85" s="4">
        <v>50</v>
      </c>
      <c r="R85" t="str">
        <f>IF(BBDD_fashion_boutique[[#This Row],[stock_quantity]]&gt;9,"Ok",IF(BBDD_fashion_boutique[[#This Row],[stock_quantity]]=0,"Agotado","Pocas Unidades"))</f>
        <v>Ok</v>
      </c>
      <c r="S85" s="3" t="str">
        <f>IF(BBDD_fashion_boutique[[#This Row],[customer_rating]]="","No valorado",BBDD_fashion_boutique[[#This Row],[customer_rating]])</f>
        <v>No valorado</v>
      </c>
      <c r="T85" t="s">
        <v>24</v>
      </c>
      <c r="V85">
        <f>IF(BBDD_fashion_boutique[[#This Row],[is_returned]]="False",0,1)</f>
        <v>0</v>
      </c>
      <c r="W85">
        <f>IF(BBDD_fashion_boutique[[#This Row],[is_returned]]="True",0,BBDD_fashion_boutique[[#This Row],[current_price]])</f>
        <v>191.96</v>
      </c>
      <c r="X85" t="str">
        <f>IF(BBDD_fashion_boutique[[#This Row],[return_reason]]="","No return",BBDD_fashion_boutique[[#This Row],[return_reason]])</f>
        <v>No return</v>
      </c>
      <c r="Y85">
        <f>IF(IFERROR(VLOOKUP(BBDD_fashion_boutique[[#This Row],[product_id]],A86:A2261,1,FALSE),0),1,0)</f>
        <v>0</v>
      </c>
    </row>
    <row r="86" spans="1:25" x14ac:dyDescent="0.3">
      <c r="A86" t="s">
        <v>145</v>
      </c>
      <c r="B86" t="s">
        <v>19</v>
      </c>
      <c r="C86" t="s">
        <v>59</v>
      </c>
      <c r="D86" t="s">
        <v>21</v>
      </c>
      <c r="E86" t="s">
        <v>22</v>
      </c>
      <c r="F86" t="str">
        <f>IF(BBDD_fashion_boutique[[#This Row],[category]]="Accessories","Accesorio",IF(BBDD_fashion_boutique[[#This Row],[size]]="","Desconocido",BBDD_fashion_boutique[[#This Row],[size]]))</f>
        <v>XL</v>
      </c>
      <c r="G86" t="s">
        <v>62</v>
      </c>
      <c r="H86" s="2">
        <v>222.55</v>
      </c>
      <c r="I86">
        <v>22.6</v>
      </c>
      <c r="J86" s="5">
        <f>BBDD_fashion_boutique[[#This Row],[markdown_percentage]]/100</f>
        <v>0.22600000000000001</v>
      </c>
      <c r="K86" s="2">
        <v>172.25</v>
      </c>
      <c r="L86" s="2">
        <f>BBDD_fashion_boutique[[#This Row],[original_price]]-BBDD_fashion_boutique[[#This Row],[current_price]]</f>
        <v>50.300000000000011</v>
      </c>
      <c r="M86" s="1">
        <v>45698</v>
      </c>
      <c r="N86" s="1" t="str">
        <f>PROPER(TEXT(BBDD_fashion_boutique[[#This Row],[purchase_date]],"dddd"))</f>
        <v>Lunes</v>
      </c>
      <c r="O86" s="1" t="str">
        <f>PROPER(TEXT(BBDD_fashion_boutique[[#This Row],[purchase_date]],"mmmm"))</f>
        <v>Febrero</v>
      </c>
      <c r="P86" s="4">
        <v>50</v>
      </c>
      <c r="R86" t="str">
        <f>IF(BBDD_fashion_boutique[[#This Row],[stock_quantity]]&gt;9,"Ok",IF(BBDD_fashion_boutique[[#This Row],[stock_quantity]]=0,"Agotado","Pocas Unidades"))</f>
        <v>Ok</v>
      </c>
      <c r="S86" s="3" t="str">
        <f>IF(BBDD_fashion_boutique[[#This Row],[customer_rating]]="","No valorado",BBDD_fashion_boutique[[#This Row],[customer_rating]])</f>
        <v>No valorado</v>
      </c>
      <c r="T86" t="s">
        <v>24</v>
      </c>
      <c r="V86">
        <f>IF(BBDD_fashion_boutique[[#This Row],[is_returned]]="False",0,1)</f>
        <v>0</v>
      </c>
      <c r="W86">
        <f>IF(BBDD_fashion_boutique[[#This Row],[is_returned]]="True",0,BBDD_fashion_boutique[[#This Row],[current_price]])</f>
        <v>172.25</v>
      </c>
      <c r="X86" t="str">
        <f>IF(BBDD_fashion_boutique[[#This Row],[return_reason]]="","No return",BBDD_fashion_boutique[[#This Row],[return_reason]])</f>
        <v>No return</v>
      </c>
      <c r="Y86">
        <f>IF(IFERROR(VLOOKUP(BBDD_fashion_boutique[[#This Row],[product_id]],A87:A2262,1,FALSE),0),1,0)</f>
        <v>0</v>
      </c>
    </row>
    <row r="87" spans="1:25" x14ac:dyDescent="0.3">
      <c r="A87" t="s">
        <v>146</v>
      </c>
      <c r="B87" t="s">
        <v>44</v>
      </c>
      <c r="C87" t="s">
        <v>81</v>
      </c>
      <c r="D87" t="s">
        <v>28</v>
      </c>
      <c r="E87" t="s">
        <v>61</v>
      </c>
      <c r="F87" t="str">
        <f>IF(BBDD_fashion_boutique[[#This Row],[category]]="Accessories","Accesorio",IF(BBDD_fashion_boutique[[#This Row],[size]]="","Desconocido",BBDD_fashion_boutique[[#This Row],[size]]))</f>
        <v>XS</v>
      </c>
      <c r="G87" t="s">
        <v>33</v>
      </c>
      <c r="H87" s="2">
        <v>37.85</v>
      </c>
      <c r="I87">
        <v>11.9</v>
      </c>
      <c r="J87" s="5">
        <f>BBDD_fashion_boutique[[#This Row],[markdown_percentage]]/100</f>
        <v>0.11900000000000001</v>
      </c>
      <c r="K87" s="2">
        <v>33.35</v>
      </c>
      <c r="L87" s="2">
        <f>BBDD_fashion_boutique[[#This Row],[original_price]]-BBDD_fashion_boutique[[#This Row],[current_price]]</f>
        <v>4.5</v>
      </c>
      <c r="M87" s="1">
        <v>45875</v>
      </c>
      <c r="N87" s="1" t="str">
        <f>PROPER(TEXT(BBDD_fashion_boutique[[#This Row],[purchase_date]],"dddd"))</f>
        <v>Miércoles</v>
      </c>
      <c r="O87" s="1" t="str">
        <f>PROPER(TEXT(BBDD_fashion_boutique[[#This Row],[purchase_date]],"mmmm"))</f>
        <v>Agosto</v>
      </c>
      <c r="P87" s="4">
        <v>45</v>
      </c>
      <c r="Q87" s="2">
        <v>3.4</v>
      </c>
      <c r="R87" t="str">
        <f>IF(BBDD_fashion_boutique[[#This Row],[stock_quantity]]&gt;9,"Ok",IF(BBDD_fashion_boutique[[#This Row],[stock_quantity]]=0,"Agotado","Pocas Unidades"))</f>
        <v>Ok</v>
      </c>
      <c r="S87" s="3">
        <f>IF(BBDD_fashion_boutique[[#This Row],[customer_rating]]="","No valorado",BBDD_fashion_boutique[[#This Row],[customer_rating]])</f>
        <v>3.4</v>
      </c>
      <c r="T87" t="s">
        <v>41</v>
      </c>
      <c r="U87" t="s">
        <v>121</v>
      </c>
      <c r="V87">
        <f>IF(BBDD_fashion_boutique[[#This Row],[is_returned]]="False",0,1)</f>
        <v>1</v>
      </c>
      <c r="W87">
        <f>IF(BBDD_fashion_boutique[[#This Row],[is_returned]]="True",0,BBDD_fashion_boutique[[#This Row],[current_price]])</f>
        <v>0</v>
      </c>
      <c r="X87" t="str">
        <f>IF(BBDD_fashion_boutique[[#This Row],[return_reason]]="","No return",BBDD_fashion_boutique[[#This Row],[return_reason]])</f>
        <v>Changed Mind</v>
      </c>
      <c r="Y87">
        <f>IF(IFERROR(VLOOKUP(BBDD_fashion_boutique[[#This Row],[product_id]],A88:A2263,1,FALSE),0),1,0)</f>
        <v>0</v>
      </c>
    </row>
    <row r="88" spans="1:25" x14ac:dyDescent="0.3">
      <c r="A88" t="s">
        <v>147</v>
      </c>
      <c r="B88" t="s">
        <v>19</v>
      </c>
      <c r="C88" t="s">
        <v>27</v>
      </c>
      <c r="D88" t="s">
        <v>68</v>
      </c>
      <c r="E88" t="s">
        <v>64</v>
      </c>
      <c r="F88" t="str">
        <f>IF(BBDD_fashion_boutique[[#This Row],[category]]="Accessories","Accesorio",IF(BBDD_fashion_boutique[[#This Row],[size]]="","Desconocido",BBDD_fashion_boutique[[#This Row],[size]]))</f>
        <v>M</v>
      </c>
      <c r="G88" t="s">
        <v>46</v>
      </c>
      <c r="H88" s="2">
        <v>241.09</v>
      </c>
      <c r="I88">
        <v>0</v>
      </c>
      <c r="J88" s="5">
        <f>BBDD_fashion_boutique[[#This Row],[markdown_percentage]]/100</f>
        <v>0</v>
      </c>
      <c r="K88" s="2">
        <v>241.09</v>
      </c>
      <c r="L88" s="2">
        <f>BBDD_fashion_boutique[[#This Row],[original_price]]-BBDD_fashion_boutique[[#This Row],[current_price]]</f>
        <v>0</v>
      </c>
      <c r="M88" s="1">
        <v>45875</v>
      </c>
      <c r="N88" s="1" t="str">
        <f>PROPER(TEXT(BBDD_fashion_boutique[[#This Row],[purchase_date]],"dddd"))</f>
        <v>Miércoles</v>
      </c>
      <c r="O88" s="1" t="str">
        <f>PROPER(TEXT(BBDD_fashion_boutique[[#This Row],[purchase_date]],"mmmm"))</f>
        <v>Agosto</v>
      </c>
      <c r="P88" s="4">
        <v>26</v>
      </c>
      <c r="R88" t="str">
        <f>IF(BBDD_fashion_boutique[[#This Row],[stock_quantity]]&gt;9,"Ok",IF(BBDD_fashion_boutique[[#This Row],[stock_quantity]]=0,"Agotado","Pocas Unidades"))</f>
        <v>Ok</v>
      </c>
      <c r="S88" s="3" t="str">
        <f>IF(BBDD_fashion_boutique[[#This Row],[customer_rating]]="","No valorado",BBDD_fashion_boutique[[#This Row],[customer_rating]])</f>
        <v>No valorado</v>
      </c>
      <c r="T88" t="s">
        <v>24</v>
      </c>
      <c r="V88">
        <f>IF(BBDD_fashion_boutique[[#This Row],[is_returned]]="False",0,1)</f>
        <v>0</v>
      </c>
      <c r="W88">
        <f>IF(BBDD_fashion_boutique[[#This Row],[is_returned]]="True",0,BBDD_fashion_boutique[[#This Row],[current_price]])</f>
        <v>241.09</v>
      </c>
      <c r="X88" t="str">
        <f>IF(BBDD_fashion_boutique[[#This Row],[return_reason]]="","No return",BBDD_fashion_boutique[[#This Row],[return_reason]])</f>
        <v>No return</v>
      </c>
      <c r="Y88">
        <f>IF(IFERROR(VLOOKUP(BBDD_fashion_boutique[[#This Row],[product_id]],A89:A2264,1,FALSE),0),1,0)</f>
        <v>0</v>
      </c>
    </row>
    <row r="89" spans="1:25" x14ac:dyDescent="0.3">
      <c r="A89" t="s">
        <v>148</v>
      </c>
      <c r="B89" t="s">
        <v>48</v>
      </c>
      <c r="C89" t="s">
        <v>37</v>
      </c>
      <c r="D89" t="s">
        <v>21</v>
      </c>
      <c r="E89" t="s">
        <v>45</v>
      </c>
      <c r="F89" t="str">
        <f>IF(BBDD_fashion_boutique[[#This Row],[category]]="Accessories","Accesorio",IF(BBDD_fashion_boutique[[#This Row],[size]]="","Desconocido",BBDD_fashion_boutique[[#This Row],[size]]))</f>
        <v>S</v>
      </c>
      <c r="G89" t="s">
        <v>70</v>
      </c>
      <c r="H89" s="2">
        <v>136.97</v>
      </c>
      <c r="I89">
        <v>0</v>
      </c>
      <c r="J89" s="5">
        <f>BBDD_fashion_boutique[[#This Row],[markdown_percentage]]/100</f>
        <v>0</v>
      </c>
      <c r="K89" s="2">
        <v>136.97</v>
      </c>
      <c r="L89" s="2">
        <f>BBDD_fashion_boutique[[#This Row],[original_price]]-BBDD_fashion_boutique[[#This Row],[current_price]]</f>
        <v>0</v>
      </c>
      <c r="M89" s="1">
        <v>45590</v>
      </c>
      <c r="N89" s="1" t="str">
        <f>PROPER(TEXT(BBDD_fashion_boutique[[#This Row],[purchase_date]],"dddd"))</f>
        <v>Viernes</v>
      </c>
      <c r="O89" s="1" t="str">
        <f>PROPER(TEXT(BBDD_fashion_boutique[[#This Row],[purchase_date]],"mmmm"))</f>
        <v>Octubre</v>
      </c>
      <c r="P89" s="4">
        <v>17</v>
      </c>
      <c r="Q89" s="2">
        <v>4.4000000000000004</v>
      </c>
      <c r="R89" t="str">
        <f>IF(BBDD_fashion_boutique[[#This Row],[stock_quantity]]&gt;9,"Ok",IF(BBDD_fashion_boutique[[#This Row],[stock_quantity]]=0,"Agotado","Pocas Unidades"))</f>
        <v>Ok</v>
      </c>
      <c r="S89" s="3">
        <f>IF(BBDD_fashion_boutique[[#This Row],[customer_rating]]="","No valorado",BBDD_fashion_boutique[[#This Row],[customer_rating]])</f>
        <v>4.4000000000000004</v>
      </c>
      <c r="T89" t="s">
        <v>41</v>
      </c>
      <c r="U89" t="s">
        <v>89</v>
      </c>
      <c r="V89">
        <f>IF(BBDD_fashion_boutique[[#This Row],[is_returned]]="False",0,1)</f>
        <v>1</v>
      </c>
      <c r="W89">
        <f>IF(BBDD_fashion_boutique[[#This Row],[is_returned]]="True",0,BBDD_fashion_boutique[[#This Row],[current_price]])</f>
        <v>0</v>
      </c>
      <c r="X89" t="str">
        <f>IF(BBDD_fashion_boutique[[#This Row],[return_reason]]="","No return",BBDD_fashion_boutique[[#This Row],[return_reason]])</f>
        <v>Quality Issue</v>
      </c>
      <c r="Y89">
        <f>IF(IFERROR(VLOOKUP(BBDD_fashion_boutique[[#This Row],[product_id]],A90:A2265,1,FALSE),0),1,0)</f>
        <v>0</v>
      </c>
    </row>
    <row r="90" spans="1:25" x14ac:dyDescent="0.3">
      <c r="A90" t="s">
        <v>149</v>
      </c>
      <c r="B90" t="s">
        <v>35</v>
      </c>
      <c r="C90" t="s">
        <v>54</v>
      </c>
      <c r="D90" t="s">
        <v>21</v>
      </c>
      <c r="E90" t="s">
        <v>64</v>
      </c>
      <c r="F90" t="str">
        <f>IF(BBDD_fashion_boutique[[#This Row],[category]]="Accessories","Accesorio",IF(BBDD_fashion_boutique[[#This Row],[size]]="","Desconocido",BBDD_fashion_boutique[[#This Row],[size]]))</f>
        <v>M</v>
      </c>
      <c r="G90" t="s">
        <v>50</v>
      </c>
      <c r="H90" s="2">
        <v>113.79</v>
      </c>
      <c r="I90">
        <v>55.3</v>
      </c>
      <c r="J90" s="5">
        <f>BBDD_fashion_boutique[[#This Row],[markdown_percentage]]/100</f>
        <v>0.55299999999999994</v>
      </c>
      <c r="K90" s="2">
        <v>50.86</v>
      </c>
      <c r="L90" s="2">
        <f>BBDD_fashion_boutique[[#This Row],[original_price]]-BBDD_fashion_boutique[[#This Row],[current_price]]</f>
        <v>62.930000000000007</v>
      </c>
      <c r="M90" s="1">
        <v>45655</v>
      </c>
      <c r="N90" s="1" t="str">
        <f>PROPER(TEXT(BBDD_fashion_boutique[[#This Row],[purchase_date]],"dddd"))</f>
        <v>Domingo</v>
      </c>
      <c r="O90" s="1" t="str">
        <f>PROPER(TEXT(BBDD_fashion_boutique[[#This Row],[purchase_date]],"mmmm"))</f>
        <v>Diciembre</v>
      </c>
      <c r="P90" s="4">
        <v>47</v>
      </c>
      <c r="Q90" s="2">
        <v>4.0999999999999996</v>
      </c>
      <c r="R90" t="str">
        <f>IF(BBDD_fashion_boutique[[#This Row],[stock_quantity]]&gt;9,"Ok",IF(BBDD_fashion_boutique[[#This Row],[stock_quantity]]=0,"Agotado","Pocas Unidades"))</f>
        <v>Ok</v>
      </c>
      <c r="S90" s="3">
        <f>IF(BBDD_fashion_boutique[[#This Row],[customer_rating]]="","No valorado",BBDD_fashion_boutique[[#This Row],[customer_rating]])</f>
        <v>4.0999999999999996</v>
      </c>
      <c r="T90" t="s">
        <v>24</v>
      </c>
      <c r="V90">
        <f>IF(BBDD_fashion_boutique[[#This Row],[is_returned]]="False",0,1)</f>
        <v>0</v>
      </c>
      <c r="W90">
        <f>IF(BBDD_fashion_boutique[[#This Row],[is_returned]]="True",0,BBDD_fashion_boutique[[#This Row],[current_price]])</f>
        <v>50.86</v>
      </c>
      <c r="X90" t="str">
        <f>IF(BBDD_fashion_boutique[[#This Row],[return_reason]]="","No return",BBDD_fashion_boutique[[#This Row],[return_reason]])</f>
        <v>No return</v>
      </c>
      <c r="Y90">
        <f>IF(IFERROR(VLOOKUP(BBDD_fashion_boutique[[#This Row],[product_id]],A91:A2266,1,FALSE),0),1,0)</f>
        <v>0</v>
      </c>
    </row>
    <row r="91" spans="1:25" x14ac:dyDescent="0.3">
      <c r="A91" t="s">
        <v>150</v>
      </c>
      <c r="B91" t="s">
        <v>44</v>
      </c>
      <c r="C91" t="s">
        <v>54</v>
      </c>
      <c r="D91" t="s">
        <v>68</v>
      </c>
      <c r="E91" t="s">
        <v>55</v>
      </c>
      <c r="F91" t="str">
        <f>IF(BBDD_fashion_boutique[[#This Row],[category]]="Accessories","Accesorio",IF(BBDD_fashion_boutique[[#This Row],[size]]="","Desconocido",BBDD_fashion_boutique[[#This Row],[size]]))</f>
        <v>XXL</v>
      </c>
      <c r="G91" t="s">
        <v>40</v>
      </c>
      <c r="H91" s="2">
        <v>93.23</v>
      </c>
      <c r="I91">
        <v>40</v>
      </c>
      <c r="J91" s="5">
        <f>BBDD_fashion_boutique[[#This Row],[markdown_percentage]]/100</f>
        <v>0.4</v>
      </c>
      <c r="K91" s="2">
        <v>55.94</v>
      </c>
      <c r="L91" s="2">
        <f>BBDD_fashion_boutique[[#This Row],[original_price]]-BBDD_fashion_boutique[[#This Row],[current_price]]</f>
        <v>37.290000000000006</v>
      </c>
      <c r="M91" s="1">
        <v>45875</v>
      </c>
      <c r="N91" s="1" t="str">
        <f>PROPER(TEXT(BBDD_fashion_boutique[[#This Row],[purchase_date]],"dddd"))</f>
        <v>Miércoles</v>
      </c>
      <c r="O91" s="1" t="str">
        <f>PROPER(TEXT(BBDD_fashion_boutique[[#This Row],[purchase_date]],"mmmm"))</f>
        <v>Agosto</v>
      </c>
      <c r="P91" s="4">
        <v>46</v>
      </c>
      <c r="Q91" s="2">
        <v>1.9</v>
      </c>
      <c r="R91" t="str">
        <f>IF(BBDD_fashion_boutique[[#This Row],[stock_quantity]]&gt;9,"Ok",IF(BBDD_fashion_boutique[[#This Row],[stock_quantity]]=0,"Agotado","Pocas Unidades"))</f>
        <v>Ok</v>
      </c>
      <c r="S91" s="3">
        <f>IF(BBDD_fashion_boutique[[#This Row],[customer_rating]]="","No valorado",BBDD_fashion_boutique[[#This Row],[customer_rating]])</f>
        <v>1.9</v>
      </c>
      <c r="T91" t="s">
        <v>24</v>
      </c>
      <c r="V91">
        <f>IF(BBDD_fashion_boutique[[#This Row],[is_returned]]="False",0,1)</f>
        <v>0</v>
      </c>
      <c r="W91">
        <f>IF(BBDD_fashion_boutique[[#This Row],[is_returned]]="True",0,BBDD_fashion_boutique[[#This Row],[current_price]])</f>
        <v>55.94</v>
      </c>
      <c r="X91" t="str">
        <f>IF(BBDD_fashion_boutique[[#This Row],[return_reason]]="","No return",BBDD_fashion_boutique[[#This Row],[return_reason]])</f>
        <v>No return</v>
      </c>
      <c r="Y91">
        <f>IF(IFERROR(VLOOKUP(BBDD_fashion_boutique[[#This Row],[product_id]],A92:A2267,1,FALSE),0),1,0)</f>
        <v>0</v>
      </c>
    </row>
    <row r="92" spans="1:25" x14ac:dyDescent="0.3">
      <c r="A92" t="s">
        <v>151</v>
      </c>
      <c r="B92" t="s">
        <v>35</v>
      </c>
      <c r="C92" t="s">
        <v>27</v>
      </c>
      <c r="D92" t="s">
        <v>21</v>
      </c>
      <c r="E92" t="s">
        <v>45</v>
      </c>
      <c r="F92" t="str">
        <f>IF(BBDD_fashion_boutique[[#This Row],[category]]="Accessories","Accesorio",IF(BBDD_fashion_boutique[[#This Row],[size]]="","Desconocido",BBDD_fashion_boutique[[#This Row],[size]]))</f>
        <v>S</v>
      </c>
      <c r="G92" t="s">
        <v>70</v>
      </c>
      <c r="H92" s="2">
        <v>106.24</v>
      </c>
      <c r="I92">
        <v>6.4</v>
      </c>
      <c r="J92" s="5">
        <f>BBDD_fashion_boutique[[#This Row],[markdown_percentage]]/100</f>
        <v>6.4000000000000001E-2</v>
      </c>
      <c r="K92" s="2">
        <v>99.44</v>
      </c>
      <c r="L92" s="2">
        <f>BBDD_fashion_boutique[[#This Row],[original_price]]-BBDD_fashion_boutique[[#This Row],[current_price]]</f>
        <v>6.7999999999999972</v>
      </c>
      <c r="M92" s="1">
        <v>45544</v>
      </c>
      <c r="N92" s="1" t="str">
        <f>PROPER(TEXT(BBDD_fashion_boutique[[#This Row],[purchase_date]],"dddd"))</f>
        <v>Lunes</v>
      </c>
      <c r="O92" s="1" t="str">
        <f>PROPER(TEXT(BBDD_fashion_boutique[[#This Row],[purchase_date]],"mmmm"))</f>
        <v>Septiembre</v>
      </c>
      <c r="P92" s="4">
        <v>50</v>
      </c>
      <c r="Q92" s="2">
        <v>1.5</v>
      </c>
      <c r="R92" t="str">
        <f>IF(BBDD_fashion_boutique[[#This Row],[stock_quantity]]&gt;9,"Ok",IF(BBDD_fashion_boutique[[#This Row],[stock_quantity]]=0,"Agotado","Pocas Unidades"))</f>
        <v>Ok</v>
      </c>
      <c r="S92" s="3">
        <f>IF(BBDD_fashion_boutique[[#This Row],[customer_rating]]="","No valorado",BBDD_fashion_boutique[[#This Row],[customer_rating]])</f>
        <v>1.5</v>
      </c>
      <c r="T92" t="s">
        <v>24</v>
      </c>
      <c r="V92">
        <f>IF(BBDD_fashion_boutique[[#This Row],[is_returned]]="False",0,1)</f>
        <v>0</v>
      </c>
      <c r="W92">
        <f>IF(BBDD_fashion_boutique[[#This Row],[is_returned]]="True",0,BBDD_fashion_boutique[[#This Row],[current_price]])</f>
        <v>99.44</v>
      </c>
      <c r="X92" t="str">
        <f>IF(BBDD_fashion_boutique[[#This Row],[return_reason]]="","No return",BBDD_fashion_boutique[[#This Row],[return_reason]])</f>
        <v>No return</v>
      </c>
      <c r="Y92">
        <f>IF(IFERROR(VLOOKUP(BBDD_fashion_boutique[[#This Row],[product_id]],A93:A2268,1,FALSE),0),1,0)</f>
        <v>0</v>
      </c>
    </row>
    <row r="93" spans="1:25" x14ac:dyDescent="0.3">
      <c r="A93" t="s">
        <v>152</v>
      </c>
      <c r="B93" t="s">
        <v>32</v>
      </c>
      <c r="C93" t="s">
        <v>20</v>
      </c>
      <c r="D93" t="s">
        <v>28</v>
      </c>
      <c r="F93" t="str">
        <f>IF(BBDD_fashion_boutique[[#This Row],[category]]="Accessories","Accesorio",IF(BBDD_fashion_boutique[[#This Row],[size]]="","Desconocido",BBDD_fashion_boutique[[#This Row],[size]]))</f>
        <v>Accesorio</v>
      </c>
      <c r="G93" t="s">
        <v>76</v>
      </c>
      <c r="H93" s="2">
        <v>30.95</v>
      </c>
      <c r="I93">
        <v>0</v>
      </c>
      <c r="J93" s="5">
        <f>BBDD_fashion_boutique[[#This Row],[markdown_percentage]]/100</f>
        <v>0</v>
      </c>
      <c r="K93" s="2">
        <v>30.95</v>
      </c>
      <c r="L93" s="2">
        <f>BBDD_fashion_boutique[[#This Row],[original_price]]-BBDD_fashion_boutique[[#This Row],[current_price]]</f>
        <v>0</v>
      </c>
      <c r="M93" s="1">
        <v>45875</v>
      </c>
      <c r="N93" s="1" t="str">
        <f>PROPER(TEXT(BBDD_fashion_boutique[[#This Row],[purchase_date]],"dddd"))</f>
        <v>Miércoles</v>
      </c>
      <c r="O93" s="1" t="str">
        <f>PROPER(TEXT(BBDD_fashion_boutique[[#This Row],[purchase_date]],"mmmm"))</f>
        <v>Agosto</v>
      </c>
      <c r="P93" s="4">
        <v>27</v>
      </c>
      <c r="Q93" s="2">
        <v>3.1</v>
      </c>
      <c r="R93" t="str">
        <f>IF(BBDD_fashion_boutique[[#This Row],[stock_quantity]]&gt;9,"Ok",IF(BBDD_fashion_boutique[[#This Row],[stock_quantity]]=0,"Agotado","Pocas Unidades"))</f>
        <v>Ok</v>
      </c>
      <c r="S93" s="3">
        <f>IF(BBDD_fashion_boutique[[#This Row],[customer_rating]]="","No valorado",BBDD_fashion_boutique[[#This Row],[customer_rating]])</f>
        <v>3.1</v>
      </c>
      <c r="T93" t="s">
        <v>41</v>
      </c>
      <c r="U93" t="s">
        <v>121</v>
      </c>
      <c r="V93">
        <f>IF(BBDD_fashion_boutique[[#This Row],[is_returned]]="False",0,1)</f>
        <v>1</v>
      </c>
      <c r="W93">
        <f>IF(BBDD_fashion_boutique[[#This Row],[is_returned]]="True",0,BBDD_fashion_boutique[[#This Row],[current_price]])</f>
        <v>0</v>
      </c>
      <c r="X93" t="str">
        <f>IF(BBDD_fashion_boutique[[#This Row],[return_reason]]="","No return",BBDD_fashion_boutique[[#This Row],[return_reason]])</f>
        <v>Changed Mind</v>
      </c>
      <c r="Y93">
        <f>IF(IFERROR(VLOOKUP(BBDD_fashion_boutique[[#This Row],[product_id]],A94:A2269,1,FALSE),0),1,0)</f>
        <v>0</v>
      </c>
    </row>
    <row r="94" spans="1:25" x14ac:dyDescent="0.3">
      <c r="A94" t="s">
        <v>153</v>
      </c>
      <c r="B94" t="s">
        <v>35</v>
      </c>
      <c r="C94" t="s">
        <v>20</v>
      </c>
      <c r="D94" t="s">
        <v>68</v>
      </c>
      <c r="E94" t="s">
        <v>45</v>
      </c>
      <c r="F94" t="str">
        <f>IF(BBDD_fashion_boutique[[#This Row],[category]]="Accessories","Accesorio",IF(BBDD_fashion_boutique[[#This Row],[size]]="","Desconocido",BBDD_fashion_boutique[[#This Row],[size]]))</f>
        <v>S</v>
      </c>
      <c r="G94" t="s">
        <v>33</v>
      </c>
      <c r="H94" s="2">
        <v>76.92</v>
      </c>
      <c r="I94">
        <v>49.5</v>
      </c>
      <c r="J94" s="5">
        <f>BBDD_fashion_boutique[[#This Row],[markdown_percentage]]/100</f>
        <v>0.495</v>
      </c>
      <c r="K94" s="2">
        <v>38.840000000000003</v>
      </c>
      <c r="L94" s="2">
        <f>BBDD_fashion_boutique[[#This Row],[original_price]]-BBDD_fashion_boutique[[#This Row],[current_price]]</f>
        <v>38.08</v>
      </c>
      <c r="M94" s="1">
        <v>45875</v>
      </c>
      <c r="N94" s="1" t="str">
        <f>PROPER(TEXT(BBDD_fashion_boutique[[#This Row],[purchase_date]],"dddd"))</f>
        <v>Miércoles</v>
      </c>
      <c r="O94" s="1" t="str">
        <f>PROPER(TEXT(BBDD_fashion_boutique[[#This Row],[purchase_date]],"mmmm"))</f>
        <v>Agosto</v>
      </c>
      <c r="P94" s="4">
        <v>7</v>
      </c>
      <c r="Q94" s="2">
        <v>1.1000000000000001</v>
      </c>
      <c r="R94" t="str">
        <f>IF(BBDD_fashion_boutique[[#This Row],[stock_quantity]]&gt;9,"Ok",IF(BBDD_fashion_boutique[[#This Row],[stock_quantity]]=0,"Agotado","Pocas Unidades"))</f>
        <v>Pocas Unidades</v>
      </c>
      <c r="S94" s="3">
        <f>IF(BBDD_fashion_boutique[[#This Row],[customer_rating]]="","No valorado",BBDD_fashion_boutique[[#This Row],[customer_rating]])</f>
        <v>1.1000000000000001</v>
      </c>
      <c r="T94" t="s">
        <v>24</v>
      </c>
      <c r="V94">
        <f>IF(BBDD_fashion_boutique[[#This Row],[is_returned]]="False",0,1)</f>
        <v>0</v>
      </c>
      <c r="W94">
        <f>IF(BBDD_fashion_boutique[[#This Row],[is_returned]]="True",0,BBDD_fashion_boutique[[#This Row],[current_price]])</f>
        <v>38.840000000000003</v>
      </c>
      <c r="X94" t="str">
        <f>IF(BBDD_fashion_boutique[[#This Row],[return_reason]]="","No return",BBDD_fashion_boutique[[#This Row],[return_reason]])</f>
        <v>No return</v>
      </c>
      <c r="Y94">
        <f>IF(IFERROR(VLOOKUP(BBDD_fashion_boutique[[#This Row],[product_id]],A95:A2270,1,FALSE),0),1,0)</f>
        <v>0</v>
      </c>
    </row>
    <row r="95" spans="1:25" x14ac:dyDescent="0.3">
      <c r="A95" t="s">
        <v>154</v>
      </c>
      <c r="B95" t="s">
        <v>44</v>
      </c>
      <c r="C95" t="s">
        <v>54</v>
      </c>
      <c r="D95" t="s">
        <v>39</v>
      </c>
      <c r="E95" t="s">
        <v>61</v>
      </c>
      <c r="F95" t="str">
        <f>IF(BBDD_fashion_boutique[[#This Row],[category]]="Accessories","Accesorio",IF(BBDD_fashion_boutique[[#This Row],[size]]="","Desconocido",BBDD_fashion_boutique[[#This Row],[size]]))</f>
        <v>XS</v>
      </c>
      <c r="G95" t="s">
        <v>62</v>
      </c>
      <c r="H95" s="2">
        <v>80.64</v>
      </c>
      <c r="I95">
        <v>0</v>
      </c>
      <c r="J95" s="5">
        <f>BBDD_fashion_boutique[[#This Row],[markdown_percentage]]/100</f>
        <v>0</v>
      </c>
      <c r="K95" s="2">
        <v>80.64</v>
      </c>
      <c r="L95" s="2">
        <f>BBDD_fashion_boutique[[#This Row],[original_price]]-BBDD_fashion_boutique[[#This Row],[current_price]]</f>
        <v>0</v>
      </c>
      <c r="M95" s="1">
        <v>45875</v>
      </c>
      <c r="N95" s="1" t="str">
        <f>PROPER(TEXT(BBDD_fashion_boutique[[#This Row],[purchase_date]],"dddd"))</f>
        <v>Miércoles</v>
      </c>
      <c r="O95" s="1" t="str">
        <f>PROPER(TEXT(BBDD_fashion_boutique[[#This Row],[purchase_date]],"mmmm"))</f>
        <v>Agosto</v>
      </c>
      <c r="P95" s="4">
        <v>26</v>
      </c>
      <c r="R95" t="str">
        <f>IF(BBDD_fashion_boutique[[#This Row],[stock_quantity]]&gt;9,"Ok",IF(BBDD_fashion_boutique[[#This Row],[stock_quantity]]=0,"Agotado","Pocas Unidades"))</f>
        <v>Ok</v>
      </c>
      <c r="S95" s="3" t="str">
        <f>IF(BBDD_fashion_boutique[[#This Row],[customer_rating]]="","No valorado",BBDD_fashion_boutique[[#This Row],[customer_rating]])</f>
        <v>No valorado</v>
      </c>
      <c r="T95" t="s">
        <v>24</v>
      </c>
      <c r="V95">
        <f>IF(BBDD_fashion_boutique[[#This Row],[is_returned]]="False",0,1)</f>
        <v>0</v>
      </c>
      <c r="W95">
        <f>IF(BBDD_fashion_boutique[[#This Row],[is_returned]]="True",0,BBDD_fashion_boutique[[#This Row],[current_price]])</f>
        <v>80.64</v>
      </c>
      <c r="X95" t="str">
        <f>IF(BBDD_fashion_boutique[[#This Row],[return_reason]]="","No return",BBDD_fashion_boutique[[#This Row],[return_reason]])</f>
        <v>No return</v>
      </c>
      <c r="Y95">
        <f>IF(IFERROR(VLOOKUP(BBDD_fashion_boutique[[#This Row],[product_id]],A96:A2271,1,FALSE),0),1,0)</f>
        <v>0</v>
      </c>
    </row>
    <row r="96" spans="1:25" x14ac:dyDescent="0.3">
      <c r="A96" t="s">
        <v>155</v>
      </c>
      <c r="B96" t="s">
        <v>44</v>
      </c>
      <c r="C96" t="s">
        <v>20</v>
      </c>
      <c r="D96" t="s">
        <v>39</v>
      </c>
      <c r="E96" t="s">
        <v>61</v>
      </c>
      <c r="F96" t="str">
        <f>IF(BBDD_fashion_boutique[[#This Row],[category]]="Accessories","Accesorio",IF(BBDD_fashion_boutique[[#This Row],[size]]="","Desconocido",BBDD_fashion_boutique[[#This Row],[size]]))</f>
        <v>XS</v>
      </c>
      <c r="G96" t="s">
        <v>62</v>
      </c>
      <c r="H96" s="2">
        <v>32.46</v>
      </c>
      <c r="I96">
        <v>52.4</v>
      </c>
      <c r="J96" s="5">
        <f>BBDD_fashion_boutique[[#This Row],[markdown_percentage]]/100</f>
        <v>0.52400000000000002</v>
      </c>
      <c r="K96" s="2">
        <v>15.45</v>
      </c>
      <c r="L96" s="2">
        <f>BBDD_fashion_boutique[[#This Row],[original_price]]-BBDD_fashion_boutique[[#This Row],[current_price]]</f>
        <v>17.010000000000002</v>
      </c>
      <c r="M96" s="1">
        <v>45875</v>
      </c>
      <c r="N96" s="1" t="str">
        <f>PROPER(TEXT(BBDD_fashion_boutique[[#This Row],[purchase_date]],"dddd"))</f>
        <v>Miércoles</v>
      </c>
      <c r="O96" s="1" t="str">
        <f>PROPER(TEXT(BBDD_fashion_boutique[[#This Row],[purchase_date]],"mmmm"))</f>
        <v>Agosto</v>
      </c>
      <c r="P96" s="4">
        <v>14</v>
      </c>
      <c r="Q96" s="2">
        <v>3.9</v>
      </c>
      <c r="R96" t="str">
        <f>IF(BBDD_fashion_boutique[[#This Row],[stock_quantity]]&gt;9,"Ok",IF(BBDD_fashion_boutique[[#This Row],[stock_quantity]]=0,"Agotado","Pocas Unidades"))</f>
        <v>Ok</v>
      </c>
      <c r="S96" s="3">
        <f>IF(BBDD_fashion_boutique[[#This Row],[customer_rating]]="","No valorado",BBDD_fashion_boutique[[#This Row],[customer_rating]])</f>
        <v>3.9</v>
      </c>
      <c r="T96" t="s">
        <v>24</v>
      </c>
      <c r="V96">
        <f>IF(BBDD_fashion_boutique[[#This Row],[is_returned]]="False",0,1)</f>
        <v>0</v>
      </c>
      <c r="W96">
        <f>IF(BBDD_fashion_boutique[[#This Row],[is_returned]]="True",0,BBDD_fashion_boutique[[#This Row],[current_price]])</f>
        <v>15.45</v>
      </c>
      <c r="X96" t="str">
        <f>IF(BBDD_fashion_boutique[[#This Row],[return_reason]]="","No return",BBDD_fashion_boutique[[#This Row],[return_reason]])</f>
        <v>No return</v>
      </c>
      <c r="Y96">
        <f>IF(IFERROR(VLOOKUP(BBDD_fashion_boutique[[#This Row],[product_id]],A97:A2272,1,FALSE),0),1,0)</f>
        <v>0</v>
      </c>
    </row>
    <row r="97" spans="1:25" x14ac:dyDescent="0.3">
      <c r="A97" t="s">
        <v>156</v>
      </c>
      <c r="B97" t="s">
        <v>32</v>
      </c>
      <c r="C97" t="s">
        <v>67</v>
      </c>
      <c r="D97" t="s">
        <v>68</v>
      </c>
      <c r="F97" t="str">
        <f>IF(BBDD_fashion_boutique[[#This Row],[category]]="Accessories","Accesorio",IF(BBDD_fashion_boutique[[#This Row],[size]]="","Desconocido",BBDD_fashion_boutique[[#This Row],[size]]))</f>
        <v>Accesorio</v>
      </c>
      <c r="G97" t="s">
        <v>33</v>
      </c>
      <c r="H97" s="2">
        <v>54.79</v>
      </c>
      <c r="I97">
        <v>0</v>
      </c>
      <c r="J97" s="5">
        <f>BBDD_fashion_boutique[[#This Row],[markdown_percentage]]/100</f>
        <v>0</v>
      </c>
      <c r="K97" s="2">
        <v>54.79</v>
      </c>
      <c r="L97" s="2">
        <f>BBDD_fashion_boutique[[#This Row],[original_price]]-BBDD_fashion_boutique[[#This Row],[current_price]]</f>
        <v>0</v>
      </c>
      <c r="M97" s="1">
        <v>45875</v>
      </c>
      <c r="N97" s="1" t="str">
        <f>PROPER(TEXT(BBDD_fashion_boutique[[#This Row],[purchase_date]],"dddd"))</f>
        <v>Miércoles</v>
      </c>
      <c r="O97" s="1" t="str">
        <f>PROPER(TEXT(BBDD_fashion_boutique[[#This Row],[purchase_date]],"mmmm"))</f>
        <v>Agosto</v>
      </c>
      <c r="P97" s="4">
        <v>12</v>
      </c>
      <c r="Q97" s="2">
        <v>4.5</v>
      </c>
      <c r="R97" t="str">
        <f>IF(BBDD_fashion_boutique[[#This Row],[stock_quantity]]&gt;9,"Ok",IF(BBDD_fashion_boutique[[#This Row],[stock_quantity]]=0,"Agotado","Pocas Unidades"))</f>
        <v>Ok</v>
      </c>
      <c r="S97" s="3">
        <f>IF(BBDD_fashion_boutique[[#This Row],[customer_rating]]="","No valorado",BBDD_fashion_boutique[[#This Row],[customer_rating]])</f>
        <v>4.5</v>
      </c>
      <c r="T97" t="s">
        <v>24</v>
      </c>
      <c r="V97">
        <f>IF(BBDD_fashion_boutique[[#This Row],[is_returned]]="False",0,1)</f>
        <v>0</v>
      </c>
      <c r="W97">
        <f>IF(BBDD_fashion_boutique[[#This Row],[is_returned]]="True",0,BBDD_fashion_boutique[[#This Row],[current_price]])</f>
        <v>54.79</v>
      </c>
      <c r="X97" t="str">
        <f>IF(BBDD_fashion_boutique[[#This Row],[return_reason]]="","No return",BBDD_fashion_boutique[[#This Row],[return_reason]])</f>
        <v>No return</v>
      </c>
      <c r="Y97">
        <f>IF(IFERROR(VLOOKUP(BBDD_fashion_boutique[[#This Row],[product_id]],A98:A2273,1,FALSE),0),1,0)</f>
        <v>0</v>
      </c>
    </row>
    <row r="98" spans="1:25" x14ac:dyDescent="0.3">
      <c r="A98" t="s">
        <v>157</v>
      </c>
      <c r="B98" t="s">
        <v>44</v>
      </c>
      <c r="C98" t="s">
        <v>54</v>
      </c>
      <c r="D98" t="s">
        <v>28</v>
      </c>
      <c r="E98" t="s">
        <v>64</v>
      </c>
      <c r="F98" t="str">
        <f>IF(BBDD_fashion_boutique[[#This Row],[category]]="Accessories","Accesorio",IF(BBDD_fashion_boutique[[#This Row],[size]]="","Desconocido",BBDD_fashion_boutique[[#This Row],[size]]))</f>
        <v>M</v>
      </c>
      <c r="G98" t="s">
        <v>30</v>
      </c>
      <c r="H98" s="2">
        <v>71.14</v>
      </c>
      <c r="I98">
        <v>56.4</v>
      </c>
      <c r="J98" s="5">
        <f>BBDD_fashion_boutique[[#This Row],[markdown_percentage]]/100</f>
        <v>0.56399999999999995</v>
      </c>
      <c r="K98" s="2">
        <v>31.02</v>
      </c>
      <c r="L98" s="2">
        <f>BBDD_fashion_boutique[[#This Row],[original_price]]-BBDD_fashion_boutique[[#This Row],[current_price]]</f>
        <v>40.120000000000005</v>
      </c>
      <c r="M98" s="1">
        <v>45875</v>
      </c>
      <c r="N98" s="1" t="str">
        <f>PROPER(TEXT(BBDD_fashion_boutique[[#This Row],[purchase_date]],"dddd"))</f>
        <v>Miércoles</v>
      </c>
      <c r="O98" s="1" t="str">
        <f>PROPER(TEXT(BBDD_fashion_boutique[[#This Row],[purchase_date]],"mmmm"))</f>
        <v>Agosto</v>
      </c>
      <c r="P98" s="4">
        <v>12</v>
      </c>
      <c r="Q98" s="2">
        <v>3.4</v>
      </c>
      <c r="R98" t="str">
        <f>IF(BBDD_fashion_boutique[[#This Row],[stock_quantity]]&gt;9,"Ok",IF(BBDD_fashion_boutique[[#This Row],[stock_quantity]]=0,"Agotado","Pocas Unidades"))</f>
        <v>Ok</v>
      </c>
      <c r="S98" s="3">
        <f>IF(BBDD_fashion_boutique[[#This Row],[customer_rating]]="","No valorado",BBDD_fashion_boutique[[#This Row],[customer_rating]])</f>
        <v>3.4</v>
      </c>
      <c r="T98" t="s">
        <v>24</v>
      </c>
      <c r="V98">
        <f>IF(BBDD_fashion_boutique[[#This Row],[is_returned]]="False",0,1)</f>
        <v>0</v>
      </c>
      <c r="W98">
        <f>IF(BBDD_fashion_boutique[[#This Row],[is_returned]]="True",0,BBDD_fashion_boutique[[#This Row],[current_price]])</f>
        <v>31.02</v>
      </c>
      <c r="X98" t="str">
        <f>IF(BBDD_fashion_boutique[[#This Row],[return_reason]]="","No return",BBDD_fashion_boutique[[#This Row],[return_reason]])</f>
        <v>No return</v>
      </c>
      <c r="Y98">
        <f>IF(IFERROR(VLOOKUP(BBDD_fashion_boutique[[#This Row],[product_id]],A99:A2274,1,FALSE),0),1,0)</f>
        <v>0</v>
      </c>
    </row>
    <row r="99" spans="1:25" x14ac:dyDescent="0.3">
      <c r="A99" t="s">
        <v>158</v>
      </c>
      <c r="B99" t="s">
        <v>44</v>
      </c>
      <c r="C99" t="s">
        <v>59</v>
      </c>
      <c r="D99" t="s">
        <v>68</v>
      </c>
      <c r="E99" t="s">
        <v>55</v>
      </c>
      <c r="F99" t="str">
        <f>IF(BBDD_fashion_boutique[[#This Row],[category]]="Accessories","Accesorio",IF(BBDD_fashion_boutique[[#This Row],[size]]="","Desconocido",BBDD_fashion_boutique[[#This Row],[size]]))</f>
        <v>XXL</v>
      </c>
      <c r="G99" t="s">
        <v>70</v>
      </c>
      <c r="H99" s="2">
        <v>57.85</v>
      </c>
      <c r="I99">
        <v>0</v>
      </c>
      <c r="J99" s="5">
        <f>BBDD_fashion_boutique[[#This Row],[markdown_percentage]]/100</f>
        <v>0</v>
      </c>
      <c r="K99" s="2">
        <v>57.85</v>
      </c>
      <c r="L99" s="2">
        <f>BBDD_fashion_boutique[[#This Row],[original_price]]-BBDD_fashion_boutique[[#This Row],[current_price]]</f>
        <v>0</v>
      </c>
      <c r="M99" s="1">
        <v>45875</v>
      </c>
      <c r="N99" s="1" t="str">
        <f>PROPER(TEXT(BBDD_fashion_boutique[[#This Row],[purchase_date]],"dddd"))</f>
        <v>Miércoles</v>
      </c>
      <c r="O99" s="1" t="str">
        <f>PROPER(TEXT(BBDD_fashion_boutique[[#This Row],[purchase_date]],"mmmm"))</f>
        <v>Agosto</v>
      </c>
      <c r="P99" s="4">
        <v>36</v>
      </c>
      <c r="Q99" s="2">
        <v>3.5</v>
      </c>
      <c r="R99" t="str">
        <f>IF(BBDD_fashion_boutique[[#This Row],[stock_quantity]]&gt;9,"Ok",IF(BBDD_fashion_boutique[[#This Row],[stock_quantity]]=0,"Agotado","Pocas Unidades"))</f>
        <v>Ok</v>
      </c>
      <c r="S99" s="3">
        <f>IF(BBDD_fashion_boutique[[#This Row],[customer_rating]]="","No valorado",BBDD_fashion_boutique[[#This Row],[customer_rating]])</f>
        <v>3.5</v>
      </c>
      <c r="T99" t="s">
        <v>24</v>
      </c>
      <c r="V99">
        <f>IF(BBDD_fashion_boutique[[#This Row],[is_returned]]="False",0,1)</f>
        <v>0</v>
      </c>
      <c r="W99">
        <f>IF(BBDD_fashion_boutique[[#This Row],[is_returned]]="True",0,BBDD_fashion_boutique[[#This Row],[current_price]])</f>
        <v>57.85</v>
      </c>
      <c r="X99" t="str">
        <f>IF(BBDD_fashion_boutique[[#This Row],[return_reason]]="","No return",BBDD_fashion_boutique[[#This Row],[return_reason]])</f>
        <v>No return</v>
      </c>
      <c r="Y99">
        <f>IF(IFERROR(VLOOKUP(BBDD_fashion_boutique[[#This Row],[product_id]],A100:A2275,1,FALSE),0),1,0)</f>
        <v>0</v>
      </c>
    </row>
    <row r="100" spans="1:25" x14ac:dyDescent="0.3">
      <c r="A100" t="s">
        <v>159</v>
      </c>
      <c r="B100" t="s">
        <v>44</v>
      </c>
      <c r="C100" t="s">
        <v>20</v>
      </c>
      <c r="D100" t="s">
        <v>68</v>
      </c>
      <c r="E100" t="s">
        <v>61</v>
      </c>
      <c r="F100" t="str">
        <f>IF(BBDD_fashion_boutique[[#This Row],[category]]="Accessories","Accesorio",IF(BBDD_fashion_boutique[[#This Row],[size]]="","Desconocido",BBDD_fashion_boutique[[#This Row],[size]]))</f>
        <v>XS</v>
      </c>
      <c r="G100" t="s">
        <v>52</v>
      </c>
      <c r="H100" s="2">
        <v>33.369999999999997</v>
      </c>
      <c r="I100">
        <v>3</v>
      </c>
      <c r="J100" s="5">
        <f>BBDD_fashion_boutique[[#This Row],[markdown_percentage]]/100</f>
        <v>0.03</v>
      </c>
      <c r="K100" s="2">
        <v>32.369999999999997</v>
      </c>
      <c r="L100" s="2">
        <f>BBDD_fashion_boutique[[#This Row],[original_price]]-BBDD_fashion_boutique[[#This Row],[current_price]]</f>
        <v>1</v>
      </c>
      <c r="M100" s="1">
        <v>45875</v>
      </c>
      <c r="N100" s="1" t="str">
        <f>PROPER(TEXT(BBDD_fashion_boutique[[#This Row],[purchase_date]],"dddd"))</f>
        <v>Miércoles</v>
      </c>
      <c r="O100" s="1" t="str">
        <f>PROPER(TEXT(BBDD_fashion_boutique[[#This Row],[purchase_date]],"mmmm"))</f>
        <v>Agosto</v>
      </c>
      <c r="P100" s="4">
        <v>40</v>
      </c>
      <c r="Q100" s="2">
        <v>1.3</v>
      </c>
      <c r="R100" t="str">
        <f>IF(BBDD_fashion_boutique[[#This Row],[stock_quantity]]&gt;9,"Ok",IF(BBDD_fashion_boutique[[#This Row],[stock_quantity]]=0,"Agotado","Pocas Unidades"))</f>
        <v>Ok</v>
      </c>
      <c r="S100" s="3">
        <f>IF(BBDD_fashion_boutique[[#This Row],[customer_rating]]="","No valorado",BBDD_fashion_boutique[[#This Row],[customer_rating]])</f>
        <v>1.3</v>
      </c>
      <c r="T100" t="s">
        <v>24</v>
      </c>
      <c r="V100">
        <f>IF(BBDD_fashion_boutique[[#This Row],[is_returned]]="False",0,1)</f>
        <v>0</v>
      </c>
      <c r="W100">
        <f>IF(BBDD_fashion_boutique[[#This Row],[is_returned]]="True",0,BBDD_fashion_boutique[[#This Row],[current_price]])</f>
        <v>32.369999999999997</v>
      </c>
      <c r="X100" t="str">
        <f>IF(BBDD_fashion_boutique[[#This Row],[return_reason]]="","No return",BBDD_fashion_boutique[[#This Row],[return_reason]])</f>
        <v>No return</v>
      </c>
      <c r="Y100">
        <f>IF(IFERROR(VLOOKUP(BBDD_fashion_boutique[[#This Row],[product_id]],A101:A2276,1,FALSE),0),1,0)</f>
        <v>0</v>
      </c>
    </row>
    <row r="101" spans="1:25" x14ac:dyDescent="0.3">
      <c r="A101" t="s">
        <v>160</v>
      </c>
      <c r="B101" t="s">
        <v>26</v>
      </c>
      <c r="C101" t="s">
        <v>67</v>
      </c>
      <c r="D101" t="s">
        <v>68</v>
      </c>
      <c r="E101" t="s">
        <v>29</v>
      </c>
      <c r="F101" t="str">
        <f>IF(BBDD_fashion_boutique[[#This Row],[category]]="Accessories","Accesorio",IF(BBDD_fashion_boutique[[#This Row],[size]]="","Desconocido",BBDD_fashion_boutique[[#This Row],[size]]))</f>
        <v>L</v>
      </c>
      <c r="G101" t="s">
        <v>33</v>
      </c>
      <c r="H101" s="2">
        <v>91.83</v>
      </c>
      <c r="I101">
        <v>0</v>
      </c>
      <c r="J101" s="5">
        <f>BBDD_fashion_boutique[[#This Row],[markdown_percentage]]/100</f>
        <v>0</v>
      </c>
      <c r="K101" s="2">
        <v>91.83</v>
      </c>
      <c r="L101" s="2">
        <f>BBDD_fashion_boutique[[#This Row],[original_price]]-BBDD_fashion_boutique[[#This Row],[current_price]]</f>
        <v>0</v>
      </c>
      <c r="M101" s="1">
        <v>45875</v>
      </c>
      <c r="N101" s="1" t="str">
        <f>PROPER(TEXT(BBDD_fashion_boutique[[#This Row],[purchase_date]],"dddd"))</f>
        <v>Miércoles</v>
      </c>
      <c r="O101" s="1" t="str">
        <f>PROPER(TEXT(BBDD_fashion_boutique[[#This Row],[purchase_date]],"mmmm"))</f>
        <v>Agosto</v>
      </c>
      <c r="P101" s="4">
        <v>39</v>
      </c>
      <c r="Q101" s="2">
        <v>4.9000000000000004</v>
      </c>
      <c r="R101" t="str">
        <f>IF(BBDD_fashion_boutique[[#This Row],[stock_quantity]]&gt;9,"Ok",IF(BBDD_fashion_boutique[[#This Row],[stock_quantity]]=0,"Agotado","Pocas Unidades"))</f>
        <v>Ok</v>
      </c>
      <c r="S101" s="3">
        <f>IF(BBDD_fashion_boutique[[#This Row],[customer_rating]]="","No valorado",BBDD_fashion_boutique[[#This Row],[customer_rating]])</f>
        <v>4.9000000000000004</v>
      </c>
      <c r="T101" t="s">
        <v>24</v>
      </c>
      <c r="V101">
        <f>IF(BBDD_fashion_boutique[[#This Row],[is_returned]]="False",0,1)</f>
        <v>0</v>
      </c>
      <c r="W101">
        <f>IF(BBDD_fashion_boutique[[#This Row],[is_returned]]="True",0,BBDD_fashion_boutique[[#This Row],[current_price]])</f>
        <v>91.83</v>
      </c>
      <c r="X101" t="str">
        <f>IF(BBDD_fashion_boutique[[#This Row],[return_reason]]="","No return",BBDD_fashion_boutique[[#This Row],[return_reason]])</f>
        <v>No return</v>
      </c>
      <c r="Y101">
        <f>IF(IFERROR(VLOOKUP(BBDD_fashion_boutique[[#This Row],[product_id]],A102:A2277,1,FALSE),0),1,0)</f>
        <v>0</v>
      </c>
    </row>
    <row r="102" spans="1:25" x14ac:dyDescent="0.3">
      <c r="A102" t="s">
        <v>161</v>
      </c>
      <c r="B102" t="s">
        <v>44</v>
      </c>
      <c r="C102" t="s">
        <v>20</v>
      </c>
      <c r="D102" t="s">
        <v>39</v>
      </c>
      <c r="E102" t="s">
        <v>29</v>
      </c>
      <c r="F102" t="str">
        <f>IF(BBDD_fashion_boutique[[#This Row],[category]]="Accessories","Accesorio",IF(BBDD_fashion_boutique[[#This Row],[size]]="","Desconocido",BBDD_fashion_boutique[[#This Row],[size]]))</f>
        <v>L</v>
      </c>
      <c r="G102" t="s">
        <v>40</v>
      </c>
      <c r="H102" s="2">
        <v>60.12</v>
      </c>
      <c r="I102">
        <v>19.5</v>
      </c>
      <c r="J102" s="5">
        <f>BBDD_fashion_boutique[[#This Row],[markdown_percentage]]/100</f>
        <v>0.19500000000000001</v>
      </c>
      <c r="K102" s="2">
        <v>48.4</v>
      </c>
      <c r="L102" s="2">
        <f>BBDD_fashion_boutique[[#This Row],[original_price]]-BBDD_fashion_boutique[[#This Row],[current_price]]</f>
        <v>11.719999999999999</v>
      </c>
      <c r="M102" s="1">
        <v>45875</v>
      </c>
      <c r="N102" s="1" t="str">
        <f>PROPER(TEXT(BBDD_fashion_boutique[[#This Row],[purchase_date]],"dddd"))</f>
        <v>Miércoles</v>
      </c>
      <c r="O102" s="1" t="str">
        <f>PROPER(TEXT(BBDD_fashion_boutique[[#This Row],[purchase_date]],"mmmm"))</f>
        <v>Agosto</v>
      </c>
      <c r="P102" s="4">
        <v>42</v>
      </c>
      <c r="Q102" s="2">
        <v>1</v>
      </c>
      <c r="R102" t="str">
        <f>IF(BBDD_fashion_boutique[[#This Row],[stock_quantity]]&gt;9,"Ok",IF(BBDD_fashion_boutique[[#This Row],[stock_quantity]]=0,"Agotado","Pocas Unidades"))</f>
        <v>Ok</v>
      </c>
      <c r="S102" s="3">
        <f>IF(BBDD_fashion_boutique[[#This Row],[customer_rating]]="","No valorado",BBDD_fashion_boutique[[#This Row],[customer_rating]])</f>
        <v>1</v>
      </c>
      <c r="T102" t="s">
        <v>24</v>
      </c>
      <c r="V102">
        <f>IF(BBDD_fashion_boutique[[#This Row],[is_returned]]="False",0,1)</f>
        <v>0</v>
      </c>
      <c r="W102">
        <f>IF(BBDD_fashion_boutique[[#This Row],[is_returned]]="True",0,BBDD_fashion_boutique[[#This Row],[current_price]])</f>
        <v>48.4</v>
      </c>
      <c r="X102" t="str">
        <f>IF(BBDD_fashion_boutique[[#This Row],[return_reason]]="","No return",BBDD_fashion_boutique[[#This Row],[return_reason]])</f>
        <v>No return</v>
      </c>
      <c r="Y102">
        <f>IF(IFERROR(VLOOKUP(BBDD_fashion_boutique[[#This Row],[product_id]],A103:A2278,1,FALSE),0),1,0)</f>
        <v>0</v>
      </c>
    </row>
    <row r="103" spans="1:25" x14ac:dyDescent="0.3">
      <c r="A103" t="s">
        <v>162</v>
      </c>
      <c r="B103" t="s">
        <v>48</v>
      </c>
      <c r="C103" t="s">
        <v>37</v>
      </c>
      <c r="D103" t="s">
        <v>28</v>
      </c>
      <c r="E103" t="s">
        <v>45</v>
      </c>
      <c r="F103" t="str">
        <f>IF(BBDD_fashion_boutique[[#This Row],[category]]="Accessories","Accesorio",IF(BBDD_fashion_boutique[[#This Row],[size]]="","Desconocido",BBDD_fashion_boutique[[#This Row],[size]]))</f>
        <v>S</v>
      </c>
      <c r="G103" t="s">
        <v>40</v>
      </c>
      <c r="H103" s="2">
        <v>163.5</v>
      </c>
      <c r="I103">
        <v>0</v>
      </c>
      <c r="J103" s="5">
        <f>BBDD_fashion_boutique[[#This Row],[markdown_percentage]]/100</f>
        <v>0</v>
      </c>
      <c r="K103" s="2">
        <v>163.5</v>
      </c>
      <c r="L103" s="2">
        <f>BBDD_fashion_boutique[[#This Row],[original_price]]-BBDD_fashion_boutique[[#This Row],[current_price]]</f>
        <v>0</v>
      </c>
      <c r="M103" s="1">
        <v>45875</v>
      </c>
      <c r="N103" s="1" t="str">
        <f>PROPER(TEXT(BBDD_fashion_boutique[[#This Row],[purchase_date]],"dddd"))</f>
        <v>Miércoles</v>
      </c>
      <c r="O103" s="1" t="str">
        <f>PROPER(TEXT(BBDD_fashion_boutique[[#This Row],[purchase_date]],"mmmm"))</f>
        <v>Agosto</v>
      </c>
      <c r="P103" s="4">
        <v>34</v>
      </c>
      <c r="Q103" s="2">
        <v>4.9000000000000004</v>
      </c>
      <c r="R103" t="str">
        <f>IF(BBDD_fashion_boutique[[#This Row],[stock_quantity]]&gt;9,"Ok",IF(BBDD_fashion_boutique[[#This Row],[stock_quantity]]=0,"Agotado","Pocas Unidades"))</f>
        <v>Ok</v>
      </c>
      <c r="S103" s="3">
        <f>IF(BBDD_fashion_boutique[[#This Row],[customer_rating]]="","No valorado",BBDD_fashion_boutique[[#This Row],[customer_rating]])</f>
        <v>4.9000000000000004</v>
      </c>
      <c r="T103" t="s">
        <v>24</v>
      </c>
      <c r="V103">
        <f>IF(BBDD_fashion_boutique[[#This Row],[is_returned]]="False",0,1)</f>
        <v>0</v>
      </c>
      <c r="W103">
        <f>IF(BBDD_fashion_boutique[[#This Row],[is_returned]]="True",0,BBDD_fashion_boutique[[#This Row],[current_price]])</f>
        <v>163.5</v>
      </c>
      <c r="X103" t="str">
        <f>IF(BBDD_fashion_boutique[[#This Row],[return_reason]]="","No return",BBDD_fashion_boutique[[#This Row],[return_reason]])</f>
        <v>No return</v>
      </c>
      <c r="Y103">
        <f>IF(IFERROR(VLOOKUP(BBDD_fashion_boutique[[#This Row],[product_id]],A104:A2279,1,FALSE),0),1,0)</f>
        <v>0</v>
      </c>
    </row>
    <row r="104" spans="1:25" x14ac:dyDescent="0.3">
      <c r="A104" t="s">
        <v>163</v>
      </c>
      <c r="B104" t="s">
        <v>48</v>
      </c>
      <c r="C104" t="s">
        <v>27</v>
      </c>
      <c r="D104" t="s">
        <v>21</v>
      </c>
      <c r="E104" t="s">
        <v>45</v>
      </c>
      <c r="F104" t="str">
        <f>IF(BBDD_fashion_boutique[[#This Row],[category]]="Accessories","Accesorio",IF(BBDD_fashion_boutique[[#This Row],[size]]="","Desconocido",BBDD_fashion_boutique[[#This Row],[size]]))</f>
        <v>S</v>
      </c>
      <c r="G104" t="s">
        <v>62</v>
      </c>
      <c r="H104" s="2">
        <v>126.37</v>
      </c>
      <c r="I104">
        <v>0</v>
      </c>
      <c r="J104" s="5">
        <f>BBDD_fashion_boutique[[#This Row],[markdown_percentage]]/100</f>
        <v>0</v>
      </c>
      <c r="K104" s="2">
        <v>126.37</v>
      </c>
      <c r="L104" s="2">
        <f>BBDD_fashion_boutique[[#This Row],[original_price]]-BBDD_fashion_boutique[[#This Row],[current_price]]</f>
        <v>0</v>
      </c>
      <c r="M104" s="1">
        <v>45604</v>
      </c>
      <c r="N104" s="1" t="str">
        <f>PROPER(TEXT(BBDD_fashion_boutique[[#This Row],[purchase_date]],"dddd"))</f>
        <v>Viernes</v>
      </c>
      <c r="O104" s="1" t="str">
        <f>PROPER(TEXT(BBDD_fashion_boutique[[#This Row],[purchase_date]],"mmmm"))</f>
        <v>Noviembre</v>
      </c>
      <c r="P104" s="4">
        <v>25</v>
      </c>
      <c r="Q104" s="2">
        <v>1.8</v>
      </c>
      <c r="R104" t="str">
        <f>IF(BBDD_fashion_boutique[[#This Row],[stock_quantity]]&gt;9,"Ok",IF(BBDD_fashion_boutique[[#This Row],[stock_quantity]]=0,"Agotado","Pocas Unidades"))</f>
        <v>Ok</v>
      </c>
      <c r="S104" s="3">
        <f>IF(BBDD_fashion_boutique[[#This Row],[customer_rating]]="","No valorado",BBDD_fashion_boutique[[#This Row],[customer_rating]])</f>
        <v>1.8</v>
      </c>
      <c r="T104" t="s">
        <v>24</v>
      </c>
      <c r="V104">
        <f>IF(BBDD_fashion_boutique[[#This Row],[is_returned]]="False",0,1)</f>
        <v>0</v>
      </c>
      <c r="W104">
        <f>IF(BBDD_fashion_boutique[[#This Row],[is_returned]]="True",0,BBDD_fashion_boutique[[#This Row],[current_price]])</f>
        <v>126.37</v>
      </c>
      <c r="X104" t="str">
        <f>IF(BBDD_fashion_boutique[[#This Row],[return_reason]]="","No return",BBDD_fashion_boutique[[#This Row],[return_reason]])</f>
        <v>No return</v>
      </c>
      <c r="Y104">
        <f>IF(IFERROR(VLOOKUP(BBDD_fashion_boutique[[#This Row],[product_id]],A105:A2280,1,FALSE),0),1,0)</f>
        <v>0</v>
      </c>
    </row>
    <row r="105" spans="1:25" x14ac:dyDescent="0.3">
      <c r="A105" t="s">
        <v>164</v>
      </c>
      <c r="B105" t="s">
        <v>44</v>
      </c>
      <c r="C105" t="s">
        <v>27</v>
      </c>
      <c r="D105" t="s">
        <v>28</v>
      </c>
      <c r="E105" t="s">
        <v>29</v>
      </c>
      <c r="F105" t="str">
        <f>IF(BBDD_fashion_boutique[[#This Row],[category]]="Accessories","Accesorio",IF(BBDD_fashion_boutique[[#This Row],[size]]="","Desconocido",BBDD_fashion_boutique[[#This Row],[size]]))</f>
        <v>L</v>
      </c>
      <c r="G105" t="s">
        <v>70</v>
      </c>
      <c r="H105" s="2">
        <v>50.01</v>
      </c>
      <c r="I105">
        <v>58.2</v>
      </c>
      <c r="J105" s="5">
        <f>BBDD_fashion_boutique[[#This Row],[markdown_percentage]]/100</f>
        <v>0.58200000000000007</v>
      </c>
      <c r="K105" s="2">
        <v>20.9</v>
      </c>
      <c r="L105" s="2">
        <f>BBDD_fashion_boutique[[#This Row],[original_price]]-BBDD_fashion_boutique[[#This Row],[current_price]]</f>
        <v>29.11</v>
      </c>
      <c r="M105" s="1">
        <v>45875</v>
      </c>
      <c r="N105" s="1" t="str">
        <f>PROPER(TEXT(BBDD_fashion_boutique[[#This Row],[purchase_date]],"dddd"))</f>
        <v>Miércoles</v>
      </c>
      <c r="O105" s="1" t="str">
        <f>PROPER(TEXT(BBDD_fashion_boutique[[#This Row],[purchase_date]],"mmmm"))</f>
        <v>Agosto</v>
      </c>
      <c r="P105" s="4">
        <v>32</v>
      </c>
      <c r="Q105" s="2">
        <v>4.8</v>
      </c>
      <c r="R105" t="str">
        <f>IF(BBDD_fashion_boutique[[#This Row],[stock_quantity]]&gt;9,"Ok",IF(BBDD_fashion_boutique[[#This Row],[stock_quantity]]=0,"Agotado","Pocas Unidades"))</f>
        <v>Ok</v>
      </c>
      <c r="S105" s="3">
        <f>IF(BBDD_fashion_boutique[[#This Row],[customer_rating]]="","No valorado",BBDD_fashion_boutique[[#This Row],[customer_rating]])</f>
        <v>4.8</v>
      </c>
      <c r="T105" t="s">
        <v>24</v>
      </c>
      <c r="V105">
        <f>IF(BBDD_fashion_boutique[[#This Row],[is_returned]]="False",0,1)</f>
        <v>0</v>
      </c>
      <c r="W105">
        <f>IF(BBDD_fashion_boutique[[#This Row],[is_returned]]="True",0,BBDD_fashion_boutique[[#This Row],[current_price]])</f>
        <v>20.9</v>
      </c>
      <c r="X105" t="str">
        <f>IF(BBDD_fashion_boutique[[#This Row],[return_reason]]="","No return",BBDD_fashion_boutique[[#This Row],[return_reason]])</f>
        <v>No return</v>
      </c>
      <c r="Y105">
        <f>IF(IFERROR(VLOOKUP(BBDD_fashion_boutique[[#This Row],[product_id]],A106:A2281,1,FALSE),0),1,0)</f>
        <v>0</v>
      </c>
    </row>
    <row r="106" spans="1:25" x14ac:dyDescent="0.3">
      <c r="A106" t="s">
        <v>165</v>
      </c>
      <c r="B106" t="s">
        <v>35</v>
      </c>
      <c r="C106" t="s">
        <v>54</v>
      </c>
      <c r="D106" t="s">
        <v>28</v>
      </c>
      <c r="E106" t="s">
        <v>45</v>
      </c>
      <c r="F106" t="str">
        <f>IF(BBDD_fashion_boutique[[#This Row],[category]]="Accessories","Accesorio",IF(BBDD_fashion_boutique[[#This Row],[size]]="","Desconocido",BBDD_fashion_boutique[[#This Row],[size]]))</f>
        <v>S</v>
      </c>
      <c r="G106" t="s">
        <v>23</v>
      </c>
      <c r="H106" s="2">
        <v>84.31</v>
      </c>
      <c r="I106">
        <v>0</v>
      </c>
      <c r="J106" s="5">
        <f>BBDD_fashion_boutique[[#This Row],[markdown_percentage]]/100</f>
        <v>0</v>
      </c>
      <c r="K106" s="2">
        <v>84.31</v>
      </c>
      <c r="L106" s="2">
        <f>BBDD_fashion_boutique[[#This Row],[original_price]]-BBDD_fashion_boutique[[#This Row],[current_price]]</f>
        <v>0</v>
      </c>
      <c r="M106" s="1">
        <v>45875</v>
      </c>
      <c r="N106" s="1" t="str">
        <f>PROPER(TEXT(BBDD_fashion_boutique[[#This Row],[purchase_date]],"dddd"))</f>
        <v>Miércoles</v>
      </c>
      <c r="O106" s="1" t="str">
        <f>PROPER(TEXT(BBDD_fashion_boutique[[#This Row],[purchase_date]],"mmmm"))</f>
        <v>Agosto</v>
      </c>
      <c r="P106" s="4">
        <v>10</v>
      </c>
      <c r="Q106" s="2">
        <v>3.9</v>
      </c>
      <c r="R106" t="str">
        <f>IF(BBDD_fashion_boutique[[#This Row],[stock_quantity]]&gt;9,"Ok",IF(BBDD_fashion_boutique[[#This Row],[stock_quantity]]=0,"Agotado","Pocas Unidades"))</f>
        <v>Ok</v>
      </c>
      <c r="S106" s="3">
        <f>IF(BBDD_fashion_boutique[[#This Row],[customer_rating]]="","No valorado",BBDD_fashion_boutique[[#This Row],[customer_rating]])</f>
        <v>3.9</v>
      </c>
      <c r="T106" t="s">
        <v>24</v>
      </c>
      <c r="V106">
        <f>IF(BBDD_fashion_boutique[[#This Row],[is_returned]]="False",0,1)</f>
        <v>0</v>
      </c>
      <c r="W106">
        <f>IF(BBDD_fashion_boutique[[#This Row],[is_returned]]="True",0,BBDD_fashion_boutique[[#This Row],[current_price]])</f>
        <v>84.31</v>
      </c>
      <c r="X106" t="str">
        <f>IF(BBDD_fashion_boutique[[#This Row],[return_reason]]="","No return",BBDD_fashion_boutique[[#This Row],[return_reason]])</f>
        <v>No return</v>
      </c>
      <c r="Y106">
        <f>IF(IFERROR(VLOOKUP(BBDD_fashion_boutique[[#This Row],[product_id]],A107:A2282,1,FALSE),0),1,0)</f>
        <v>0</v>
      </c>
    </row>
    <row r="107" spans="1:25" x14ac:dyDescent="0.3">
      <c r="A107" t="s">
        <v>166</v>
      </c>
      <c r="B107" t="s">
        <v>44</v>
      </c>
      <c r="C107" t="s">
        <v>37</v>
      </c>
      <c r="D107" t="s">
        <v>21</v>
      </c>
      <c r="E107" t="s">
        <v>22</v>
      </c>
      <c r="F107" t="str">
        <f>IF(BBDD_fashion_boutique[[#This Row],[category]]="Accessories","Accesorio",IF(BBDD_fashion_boutique[[#This Row],[size]]="","Desconocido",BBDD_fashion_boutique[[#This Row],[size]]))</f>
        <v>XL</v>
      </c>
      <c r="G107" t="s">
        <v>62</v>
      </c>
      <c r="H107" s="2">
        <v>100.98</v>
      </c>
      <c r="I107">
        <v>0</v>
      </c>
      <c r="J107" s="5">
        <f>BBDD_fashion_boutique[[#This Row],[markdown_percentage]]/100</f>
        <v>0</v>
      </c>
      <c r="K107" s="2">
        <v>100.98</v>
      </c>
      <c r="L107" s="2">
        <f>BBDD_fashion_boutique[[#This Row],[original_price]]-BBDD_fashion_boutique[[#This Row],[current_price]]</f>
        <v>0</v>
      </c>
      <c r="M107" s="1">
        <v>45825</v>
      </c>
      <c r="N107" s="1" t="str">
        <f>PROPER(TEXT(BBDD_fashion_boutique[[#This Row],[purchase_date]],"dddd"))</f>
        <v>Martes</v>
      </c>
      <c r="O107" s="1" t="str">
        <f>PROPER(TEXT(BBDD_fashion_boutique[[#This Row],[purchase_date]],"mmmm"))</f>
        <v>Junio</v>
      </c>
      <c r="P107" s="4">
        <v>21</v>
      </c>
      <c r="Q107" s="2">
        <v>2.8</v>
      </c>
      <c r="R107" t="str">
        <f>IF(BBDD_fashion_boutique[[#This Row],[stock_quantity]]&gt;9,"Ok",IF(BBDD_fashion_boutique[[#This Row],[stock_quantity]]=0,"Agotado","Pocas Unidades"))</f>
        <v>Ok</v>
      </c>
      <c r="S107" s="3">
        <f>IF(BBDD_fashion_boutique[[#This Row],[customer_rating]]="","No valorado",BBDD_fashion_boutique[[#This Row],[customer_rating]])</f>
        <v>2.8</v>
      </c>
      <c r="T107" t="s">
        <v>24</v>
      </c>
      <c r="V107">
        <f>IF(BBDD_fashion_boutique[[#This Row],[is_returned]]="False",0,1)</f>
        <v>0</v>
      </c>
      <c r="W107">
        <f>IF(BBDD_fashion_boutique[[#This Row],[is_returned]]="True",0,BBDD_fashion_boutique[[#This Row],[current_price]])</f>
        <v>100.98</v>
      </c>
      <c r="X107" t="str">
        <f>IF(BBDD_fashion_boutique[[#This Row],[return_reason]]="","No return",BBDD_fashion_boutique[[#This Row],[return_reason]])</f>
        <v>No return</v>
      </c>
      <c r="Y107">
        <f>IF(IFERROR(VLOOKUP(BBDD_fashion_boutique[[#This Row],[product_id]],A108:A2283,1,FALSE),0),1,0)</f>
        <v>0</v>
      </c>
    </row>
    <row r="108" spans="1:25" x14ac:dyDescent="0.3">
      <c r="A108" t="s">
        <v>167</v>
      </c>
      <c r="B108" t="s">
        <v>44</v>
      </c>
      <c r="C108" t="s">
        <v>37</v>
      </c>
      <c r="D108" t="s">
        <v>68</v>
      </c>
      <c r="E108" t="s">
        <v>64</v>
      </c>
      <c r="F108" t="str">
        <f>IF(BBDD_fashion_boutique[[#This Row],[category]]="Accessories","Accesorio",IF(BBDD_fashion_boutique[[#This Row],[size]]="","Desconocido",BBDD_fashion_boutique[[#This Row],[size]]))</f>
        <v>M</v>
      </c>
      <c r="G108" t="s">
        <v>62</v>
      </c>
      <c r="H108" s="2">
        <v>38.020000000000003</v>
      </c>
      <c r="I108">
        <v>0</v>
      </c>
      <c r="J108" s="5">
        <f>BBDD_fashion_boutique[[#This Row],[markdown_percentage]]/100</f>
        <v>0</v>
      </c>
      <c r="K108" s="2">
        <v>38.020000000000003</v>
      </c>
      <c r="L108" s="2">
        <f>BBDD_fashion_boutique[[#This Row],[original_price]]-BBDD_fashion_boutique[[#This Row],[current_price]]</f>
        <v>0</v>
      </c>
      <c r="M108" s="1">
        <v>45875</v>
      </c>
      <c r="N108" s="1" t="str">
        <f>PROPER(TEXT(BBDD_fashion_boutique[[#This Row],[purchase_date]],"dddd"))</f>
        <v>Miércoles</v>
      </c>
      <c r="O108" s="1" t="str">
        <f>PROPER(TEXT(BBDD_fashion_boutique[[#This Row],[purchase_date]],"mmmm"))</f>
        <v>Agosto</v>
      </c>
      <c r="P108" s="4">
        <v>44</v>
      </c>
      <c r="Q108" s="2">
        <v>4.7</v>
      </c>
      <c r="R108" t="str">
        <f>IF(BBDD_fashion_boutique[[#This Row],[stock_quantity]]&gt;9,"Ok",IF(BBDD_fashion_boutique[[#This Row],[stock_quantity]]=0,"Agotado","Pocas Unidades"))</f>
        <v>Ok</v>
      </c>
      <c r="S108" s="3">
        <f>IF(BBDD_fashion_boutique[[#This Row],[customer_rating]]="","No valorado",BBDD_fashion_boutique[[#This Row],[customer_rating]])</f>
        <v>4.7</v>
      </c>
      <c r="T108" t="s">
        <v>24</v>
      </c>
      <c r="V108">
        <f>IF(BBDD_fashion_boutique[[#This Row],[is_returned]]="False",0,1)</f>
        <v>0</v>
      </c>
      <c r="W108">
        <f>IF(BBDD_fashion_boutique[[#This Row],[is_returned]]="True",0,BBDD_fashion_boutique[[#This Row],[current_price]])</f>
        <v>38.020000000000003</v>
      </c>
      <c r="X108" t="str">
        <f>IF(BBDD_fashion_boutique[[#This Row],[return_reason]]="","No return",BBDD_fashion_boutique[[#This Row],[return_reason]])</f>
        <v>No return</v>
      </c>
      <c r="Y108">
        <f>IF(IFERROR(VLOOKUP(BBDD_fashion_boutique[[#This Row],[product_id]],A109:A2284,1,FALSE),0),1,0)</f>
        <v>0</v>
      </c>
    </row>
    <row r="109" spans="1:25" x14ac:dyDescent="0.3">
      <c r="A109" t="s">
        <v>168</v>
      </c>
      <c r="B109" t="s">
        <v>44</v>
      </c>
      <c r="C109" t="s">
        <v>54</v>
      </c>
      <c r="D109" t="s">
        <v>39</v>
      </c>
      <c r="E109" t="s">
        <v>22</v>
      </c>
      <c r="F109" t="str">
        <f>IF(BBDD_fashion_boutique[[#This Row],[category]]="Accessories","Accesorio",IF(BBDD_fashion_boutique[[#This Row],[size]]="","Desconocido",BBDD_fashion_boutique[[#This Row],[size]]))</f>
        <v>XL</v>
      </c>
      <c r="G109" t="s">
        <v>50</v>
      </c>
      <c r="H109" s="2">
        <v>63.85</v>
      </c>
      <c r="I109">
        <v>0</v>
      </c>
      <c r="J109" s="5">
        <f>BBDD_fashion_boutique[[#This Row],[markdown_percentage]]/100</f>
        <v>0</v>
      </c>
      <c r="K109" s="2">
        <v>63.85</v>
      </c>
      <c r="L109" s="2">
        <f>BBDD_fashion_boutique[[#This Row],[original_price]]-BBDD_fashion_boutique[[#This Row],[current_price]]</f>
        <v>0</v>
      </c>
      <c r="M109" s="1">
        <v>45875</v>
      </c>
      <c r="N109" s="1" t="str">
        <f>PROPER(TEXT(BBDD_fashion_boutique[[#This Row],[purchase_date]],"dddd"))</f>
        <v>Miércoles</v>
      </c>
      <c r="O109" s="1" t="str">
        <f>PROPER(TEXT(BBDD_fashion_boutique[[#This Row],[purchase_date]],"mmmm"))</f>
        <v>Agosto</v>
      </c>
      <c r="P109" s="4">
        <v>41</v>
      </c>
      <c r="R109" t="str">
        <f>IF(BBDD_fashion_boutique[[#This Row],[stock_quantity]]&gt;9,"Ok",IF(BBDD_fashion_boutique[[#This Row],[stock_quantity]]=0,"Agotado","Pocas Unidades"))</f>
        <v>Ok</v>
      </c>
      <c r="S109" s="3" t="str">
        <f>IF(BBDD_fashion_boutique[[#This Row],[customer_rating]]="","No valorado",BBDD_fashion_boutique[[#This Row],[customer_rating]])</f>
        <v>No valorado</v>
      </c>
      <c r="T109" t="s">
        <v>24</v>
      </c>
      <c r="V109">
        <f>IF(BBDD_fashion_boutique[[#This Row],[is_returned]]="False",0,1)</f>
        <v>0</v>
      </c>
      <c r="W109">
        <f>IF(BBDD_fashion_boutique[[#This Row],[is_returned]]="True",0,BBDD_fashion_boutique[[#This Row],[current_price]])</f>
        <v>63.85</v>
      </c>
      <c r="X109" t="str">
        <f>IF(BBDD_fashion_boutique[[#This Row],[return_reason]]="","No return",BBDD_fashion_boutique[[#This Row],[return_reason]])</f>
        <v>No return</v>
      </c>
      <c r="Y109">
        <f>IF(IFERROR(VLOOKUP(BBDD_fashion_boutique[[#This Row],[product_id]],A110:A2285,1,FALSE),0),1,0)</f>
        <v>0</v>
      </c>
    </row>
    <row r="110" spans="1:25" x14ac:dyDescent="0.3">
      <c r="A110" t="s">
        <v>169</v>
      </c>
      <c r="B110" t="s">
        <v>35</v>
      </c>
      <c r="C110" t="s">
        <v>54</v>
      </c>
      <c r="D110" t="s">
        <v>39</v>
      </c>
      <c r="E110" t="s">
        <v>61</v>
      </c>
      <c r="F110" t="str">
        <f>IF(BBDD_fashion_boutique[[#This Row],[category]]="Accessories","Accesorio",IF(BBDD_fashion_boutique[[#This Row],[size]]="","Desconocido",BBDD_fashion_boutique[[#This Row],[size]]))</f>
        <v>XS</v>
      </c>
      <c r="G110" t="s">
        <v>70</v>
      </c>
      <c r="H110" s="2">
        <v>183.15</v>
      </c>
      <c r="I110">
        <v>0</v>
      </c>
      <c r="J110" s="5">
        <f>BBDD_fashion_boutique[[#This Row],[markdown_percentage]]/100</f>
        <v>0</v>
      </c>
      <c r="K110" s="2">
        <v>183.15</v>
      </c>
      <c r="L110" s="2">
        <f>BBDD_fashion_boutique[[#This Row],[original_price]]-BBDD_fashion_boutique[[#This Row],[current_price]]</f>
        <v>0</v>
      </c>
      <c r="M110" s="1">
        <v>45875</v>
      </c>
      <c r="N110" s="1" t="str">
        <f>PROPER(TEXT(BBDD_fashion_boutique[[#This Row],[purchase_date]],"dddd"))</f>
        <v>Miércoles</v>
      </c>
      <c r="O110" s="1" t="str">
        <f>PROPER(TEXT(BBDD_fashion_boutique[[#This Row],[purchase_date]],"mmmm"))</f>
        <v>Agosto</v>
      </c>
      <c r="P110" s="4">
        <v>23</v>
      </c>
      <c r="Q110" s="2">
        <v>4.0999999999999996</v>
      </c>
      <c r="R110" t="str">
        <f>IF(BBDD_fashion_boutique[[#This Row],[stock_quantity]]&gt;9,"Ok",IF(BBDD_fashion_boutique[[#This Row],[stock_quantity]]=0,"Agotado","Pocas Unidades"))</f>
        <v>Ok</v>
      </c>
      <c r="S110" s="3">
        <f>IF(BBDD_fashion_boutique[[#This Row],[customer_rating]]="","No valorado",BBDD_fashion_boutique[[#This Row],[customer_rating]])</f>
        <v>4.0999999999999996</v>
      </c>
      <c r="T110" t="s">
        <v>24</v>
      </c>
      <c r="V110">
        <f>IF(BBDD_fashion_boutique[[#This Row],[is_returned]]="False",0,1)</f>
        <v>0</v>
      </c>
      <c r="W110">
        <f>IF(BBDD_fashion_boutique[[#This Row],[is_returned]]="True",0,BBDD_fashion_boutique[[#This Row],[current_price]])</f>
        <v>183.15</v>
      </c>
      <c r="X110" t="str">
        <f>IF(BBDD_fashion_boutique[[#This Row],[return_reason]]="","No return",BBDD_fashion_boutique[[#This Row],[return_reason]])</f>
        <v>No return</v>
      </c>
      <c r="Y110">
        <f>IF(IFERROR(VLOOKUP(BBDD_fashion_boutique[[#This Row],[product_id]],A111:A2286,1,FALSE),0),1,0)</f>
        <v>0</v>
      </c>
    </row>
    <row r="111" spans="1:25" x14ac:dyDescent="0.3">
      <c r="A111" t="s">
        <v>170</v>
      </c>
      <c r="B111" t="s">
        <v>48</v>
      </c>
      <c r="C111" t="s">
        <v>20</v>
      </c>
      <c r="D111" t="s">
        <v>28</v>
      </c>
      <c r="E111" t="s">
        <v>45</v>
      </c>
      <c r="F111" t="str">
        <f>IF(BBDD_fashion_boutique[[#This Row],[category]]="Accessories","Accesorio",IF(BBDD_fashion_boutique[[#This Row],[size]]="","Desconocido",BBDD_fashion_boutique[[#This Row],[size]]))</f>
        <v>S</v>
      </c>
      <c r="G111" t="s">
        <v>46</v>
      </c>
      <c r="H111" s="2">
        <v>91</v>
      </c>
      <c r="I111">
        <v>59.5</v>
      </c>
      <c r="J111" s="5">
        <f>BBDD_fashion_boutique[[#This Row],[markdown_percentage]]/100</f>
        <v>0.59499999999999997</v>
      </c>
      <c r="K111" s="2">
        <v>36.86</v>
      </c>
      <c r="L111" s="2">
        <f>BBDD_fashion_boutique[[#This Row],[original_price]]-BBDD_fashion_boutique[[#This Row],[current_price]]</f>
        <v>54.14</v>
      </c>
      <c r="M111" s="1">
        <v>45875</v>
      </c>
      <c r="N111" s="1" t="str">
        <f>PROPER(TEXT(BBDD_fashion_boutique[[#This Row],[purchase_date]],"dddd"))</f>
        <v>Miércoles</v>
      </c>
      <c r="O111" s="1" t="str">
        <f>PROPER(TEXT(BBDD_fashion_boutique[[#This Row],[purchase_date]],"mmmm"))</f>
        <v>Agosto</v>
      </c>
      <c r="P111" s="4">
        <v>5</v>
      </c>
      <c r="Q111" s="2">
        <v>3.9</v>
      </c>
      <c r="R111" t="str">
        <f>IF(BBDD_fashion_boutique[[#This Row],[stock_quantity]]&gt;9,"Ok",IF(BBDD_fashion_boutique[[#This Row],[stock_quantity]]=0,"Agotado","Pocas Unidades"))</f>
        <v>Pocas Unidades</v>
      </c>
      <c r="S111" s="3">
        <f>IF(BBDD_fashion_boutique[[#This Row],[customer_rating]]="","No valorado",BBDD_fashion_boutique[[#This Row],[customer_rating]])</f>
        <v>3.9</v>
      </c>
      <c r="T111" t="s">
        <v>24</v>
      </c>
      <c r="V111">
        <f>IF(BBDD_fashion_boutique[[#This Row],[is_returned]]="False",0,1)</f>
        <v>0</v>
      </c>
      <c r="W111">
        <f>IF(BBDD_fashion_boutique[[#This Row],[is_returned]]="True",0,BBDD_fashion_boutique[[#This Row],[current_price]])</f>
        <v>36.86</v>
      </c>
      <c r="X111" t="str">
        <f>IF(BBDD_fashion_boutique[[#This Row],[return_reason]]="","No return",BBDD_fashion_boutique[[#This Row],[return_reason]])</f>
        <v>No return</v>
      </c>
      <c r="Y111">
        <f>IF(IFERROR(VLOOKUP(BBDD_fashion_boutique[[#This Row],[product_id]],A112:A2287,1,FALSE),0),1,0)</f>
        <v>0</v>
      </c>
    </row>
    <row r="112" spans="1:25" x14ac:dyDescent="0.3">
      <c r="A112" t="s">
        <v>171</v>
      </c>
      <c r="B112" t="s">
        <v>19</v>
      </c>
      <c r="C112" t="s">
        <v>27</v>
      </c>
      <c r="D112" t="s">
        <v>21</v>
      </c>
      <c r="E112" t="s">
        <v>29</v>
      </c>
      <c r="F112" t="str">
        <f>IF(BBDD_fashion_boutique[[#This Row],[category]]="Accessories","Accesorio",IF(BBDD_fashion_boutique[[#This Row],[size]]="","Desconocido",BBDD_fashion_boutique[[#This Row],[size]]))</f>
        <v>L</v>
      </c>
      <c r="G112" t="s">
        <v>33</v>
      </c>
      <c r="H112" s="2">
        <v>92.83</v>
      </c>
      <c r="I112">
        <v>0</v>
      </c>
      <c r="J112" s="5">
        <f>BBDD_fashion_boutique[[#This Row],[markdown_percentage]]/100</f>
        <v>0</v>
      </c>
      <c r="K112" s="2">
        <v>92.83</v>
      </c>
      <c r="L112" s="2">
        <f>BBDD_fashion_boutique[[#This Row],[original_price]]-BBDD_fashion_boutique[[#This Row],[current_price]]</f>
        <v>0</v>
      </c>
      <c r="M112" s="1">
        <v>45858</v>
      </c>
      <c r="N112" s="1" t="str">
        <f>PROPER(TEXT(BBDD_fashion_boutique[[#This Row],[purchase_date]],"dddd"))</f>
        <v>Domingo</v>
      </c>
      <c r="O112" s="1" t="str">
        <f>PROPER(TEXT(BBDD_fashion_boutique[[#This Row],[purchase_date]],"mmmm"))</f>
        <v>Julio</v>
      </c>
      <c r="P112" s="4">
        <v>9</v>
      </c>
      <c r="Q112" s="2">
        <v>1.2</v>
      </c>
      <c r="R112" t="str">
        <f>IF(BBDD_fashion_boutique[[#This Row],[stock_quantity]]&gt;9,"Ok",IF(BBDD_fashion_boutique[[#This Row],[stock_quantity]]=0,"Agotado","Pocas Unidades"))</f>
        <v>Pocas Unidades</v>
      </c>
      <c r="S112" s="3">
        <f>IF(BBDD_fashion_boutique[[#This Row],[customer_rating]]="","No valorado",BBDD_fashion_boutique[[#This Row],[customer_rating]])</f>
        <v>1.2</v>
      </c>
      <c r="T112" t="s">
        <v>24</v>
      </c>
      <c r="V112">
        <f>IF(BBDD_fashion_boutique[[#This Row],[is_returned]]="False",0,1)</f>
        <v>0</v>
      </c>
      <c r="W112">
        <f>IF(BBDD_fashion_boutique[[#This Row],[is_returned]]="True",0,BBDD_fashion_boutique[[#This Row],[current_price]])</f>
        <v>92.83</v>
      </c>
      <c r="X112" t="str">
        <f>IF(BBDD_fashion_boutique[[#This Row],[return_reason]]="","No return",BBDD_fashion_boutique[[#This Row],[return_reason]])</f>
        <v>No return</v>
      </c>
      <c r="Y112">
        <f>IF(IFERROR(VLOOKUP(BBDD_fashion_boutique[[#This Row],[product_id]],A113:A2288,1,FALSE),0),1,0)</f>
        <v>0</v>
      </c>
    </row>
    <row r="113" spans="1:25" x14ac:dyDescent="0.3">
      <c r="A113" t="s">
        <v>172</v>
      </c>
      <c r="B113" t="s">
        <v>32</v>
      </c>
      <c r="C113" t="s">
        <v>37</v>
      </c>
      <c r="D113" t="s">
        <v>28</v>
      </c>
      <c r="F113" t="str">
        <f>IF(BBDD_fashion_boutique[[#This Row],[category]]="Accessories","Accesorio",IF(BBDD_fashion_boutique[[#This Row],[size]]="","Desconocido",BBDD_fashion_boutique[[#This Row],[size]]))</f>
        <v>Accesorio</v>
      </c>
      <c r="G113" t="s">
        <v>76</v>
      </c>
      <c r="H113" s="2">
        <v>34.450000000000003</v>
      </c>
      <c r="I113">
        <v>0</v>
      </c>
      <c r="J113" s="5">
        <f>BBDD_fashion_boutique[[#This Row],[markdown_percentage]]/100</f>
        <v>0</v>
      </c>
      <c r="K113" s="2">
        <v>34.450000000000003</v>
      </c>
      <c r="L113" s="2">
        <f>BBDD_fashion_boutique[[#This Row],[original_price]]-BBDD_fashion_boutique[[#This Row],[current_price]]</f>
        <v>0</v>
      </c>
      <c r="M113" s="1">
        <v>45875</v>
      </c>
      <c r="N113" s="1" t="str">
        <f>PROPER(TEXT(BBDD_fashion_boutique[[#This Row],[purchase_date]],"dddd"))</f>
        <v>Miércoles</v>
      </c>
      <c r="O113" s="1" t="str">
        <f>PROPER(TEXT(BBDD_fashion_boutique[[#This Row],[purchase_date]],"mmmm"))</f>
        <v>Agosto</v>
      </c>
      <c r="P113" s="4">
        <v>4</v>
      </c>
      <c r="Q113" s="2">
        <v>4.5</v>
      </c>
      <c r="R113" t="str">
        <f>IF(BBDD_fashion_boutique[[#This Row],[stock_quantity]]&gt;9,"Ok",IF(BBDD_fashion_boutique[[#This Row],[stock_quantity]]=0,"Agotado","Pocas Unidades"))</f>
        <v>Pocas Unidades</v>
      </c>
      <c r="S113" s="3">
        <f>IF(BBDD_fashion_boutique[[#This Row],[customer_rating]]="","No valorado",BBDD_fashion_boutique[[#This Row],[customer_rating]])</f>
        <v>4.5</v>
      </c>
      <c r="T113" t="s">
        <v>24</v>
      </c>
      <c r="V113">
        <f>IF(BBDD_fashion_boutique[[#This Row],[is_returned]]="False",0,1)</f>
        <v>0</v>
      </c>
      <c r="W113">
        <f>IF(BBDD_fashion_boutique[[#This Row],[is_returned]]="True",0,BBDD_fashion_boutique[[#This Row],[current_price]])</f>
        <v>34.450000000000003</v>
      </c>
      <c r="X113" t="str">
        <f>IF(BBDD_fashion_boutique[[#This Row],[return_reason]]="","No return",BBDD_fashion_boutique[[#This Row],[return_reason]])</f>
        <v>No return</v>
      </c>
      <c r="Y113">
        <f>IF(IFERROR(VLOOKUP(BBDD_fashion_boutique[[#This Row],[product_id]],A114:A2289,1,FALSE),0),1,0)</f>
        <v>0</v>
      </c>
    </row>
    <row r="114" spans="1:25" x14ac:dyDescent="0.3">
      <c r="A114" t="s">
        <v>173</v>
      </c>
      <c r="B114" t="s">
        <v>48</v>
      </c>
      <c r="C114" t="s">
        <v>54</v>
      </c>
      <c r="D114" t="s">
        <v>39</v>
      </c>
      <c r="E114" t="s">
        <v>45</v>
      </c>
      <c r="F114" t="str">
        <f>IF(BBDD_fashion_boutique[[#This Row],[category]]="Accessories","Accesorio",IF(BBDD_fashion_boutique[[#This Row],[size]]="","Desconocido",BBDD_fashion_boutique[[#This Row],[size]]))</f>
        <v>S</v>
      </c>
      <c r="G114" t="s">
        <v>72</v>
      </c>
      <c r="H114" s="2">
        <v>128.15</v>
      </c>
      <c r="I114">
        <v>50</v>
      </c>
      <c r="J114" s="5">
        <f>BBDD_fashion_boutique[[#This Row],[markdown_percentage]]/100</f>
        <v>0.5</v>
      </c>
      <c r="K114" s="2">
        <v>64.08</v>
      </c>
      <c r="L114" s="2">
        <f>BBDD_fashion_boutique[[#This Row],[original_price]]-BBDD_fashion_boutique[[#This Row],[current_price]]</f>
        <v>64.070000000000007</v>
      </c>
      <c r="M114" s="1">
        <v>45875</v>
      </c>
      <c r="N114" s="1" t="str">
        <f>PROPER(TEXT(BBDD_fashion_boutique[[#This Row],[purchase_date]],"dddd"))</f>
        <v>Miércoles</v>
      </c>
      <c r="O114" s="1" t="str">
        <f>PROPER(TEXT(BBDD_fashion_boutique[[#This Row],[purchase_date]],"mmmm"))</f>
        <v>Agosto</v>
      </c>
      <c r="P114" s="4">
        <v>28</v>
      </c>
      <c r="Q114" s="2">
        <v>3.2</v>
      </c>
      <c r="R114" t="str">
        <f>IF(BBDD_fashion_boutique[[#This Row],[stock_quantity]]&gt;9,"Ok",IF(BBDD_fashion_boutique[[#This Row],[stock_quantity]]=0,"Agotado","Pocas Unidades"))</f>
        <v>Ok</v>
      </c>
      <c r="S114" s="3">
        <f>IF(BBDD_fashion_boutique[[#This Row],[customer_rating]]="","No valorado",BBDD_fashion_boutique[[#This Row],[customer_rating]])</f>
        <v>3.2</v>
      </c>
      <c r="T114" t="s">
        <v>24</v>
      </c>
      <c r="V114">
        <f>IF(BBDD_fashion_boutique[[#This Row],[is_returned]]="False",0,1)</f>
        <v>0</v>
      </c>
      <c r="W114">
        <f>IF(BBDD_fashion_boutique[[#This Row],[is_returned]]="True",0,BBDD_fashion_boutique[[#This Row],[current_price]])</f>
        <v>64.08</v>
      </c>
      <c r="X114" t="str">
        <f>IF(BBDD_fashion_boutique[[#This Row],[return_reason]]="","No return",BBDD_fashion_boutique[[#This Row],[return_reason]])</f>
        <v>No return</v>
      </c>
      <c r="Y114">
        <f>IF(IFERROR(VLOOKUP(BBDD_fashion_boutique[[#This Row],[product_id]],A115:A2290,1,FALSE),0),1,0)</f>
        <v>0</v>
      </c>
    </row>
    <row r="115" spans="1:25" x14ac:dyDescent="0.3">
      <c r="A115" t="s">
        <v>174</v>
      </c>
      <c r="B115" t="s">
        <v>26</v>
      </c>
      <c r="C115" t="s">
        <v>49</v>
      </c>
      <c r="D115" t="s">
        <v>68</v>
      </c>
      <c r="E115" t="s">
        <v>55</v>
      </c>
      <c r="F115" t="str">
        <f>IF(BBDD_fashion_boutique[[#This Row],[category]]="Accessories","Accesorio",IF(BBDD_fashion_boutique[[#This Row],[size]]="","Desconocido",BBDD_fashion_boutique[[#This Row],[size]]))</f>
        <v>XXL</v>
      </c>
      <c r="G115" t="s">
        <v>23</v>
      </c>
      <c r="H115" s="2">
        <v>99.62</v>
      </c>
      <c r="I115">
        <v>33.799999999999997</v>
      </c>
      <c r="J115" s="5">
        <f>BBDD_fashion_boutique[[#This Row],[markdown_percentage]]/100</f>
        <v>0.33799999999999997</v>
      </c>
      <c r="K115" s="2">
        <v>65.95</v>
      </c>
      <c r="L115" s="2">
        <f>BBDD_fashion_boutique[[#This Row],[original_price]]-BBDD_fashion_boutique[[#This Row],[current_price]]</f>
        <v>33.67</v>
      </c>
      <c r="M115" s="1">
        <v>45875</v>
      </c>
      <c r="N115" s="1" t="str">
        <f>PROPER(TEXT(BBDD_fashion_boutique[[#This Row],[purchase_date]],"dddd"))</f>
        <v>Miércoles</v>
      </c>
      <c r="O115" s="1" t="str">
        <f>PROPER(TEXT(BBDD_fashion_boutique[[#This Row],[purchase_date]],"mmmm"))</f>
        <v>Agosto</v>
      </c>
      <c r="P115" s="4">
        <v>27</v>
      </c>
      <c r="Q115" s="2">
        <v>2.1</v>
      </c>
      <c r="R115" t="str">
        <f>IF(BBDD_fashion_boutique[[#This Row],[stock_quantity]]&gt;9,"Ok",IF(BBDD_fashion_boutique[[#This Row],[stock_quantity]]=0,"Agotado","Pocas Unidades"))</f>
        <v>Ok</v>
      </c>
      <c r="S115" s="3">
        <f>IF(BBDD_fashion_boutique[[#This Row],[customer_rating]]="","No valorado",BBDD_fashion_boutique[[#This Row],[customer_rating]])</f>
        <v>2.1</v>
      </c>
      <c r="T115" t="s">
        <v>24</v>
      </c>
      <c r="V115">
        <f>IF(BBDD_fashion_boutique[[#This Row],[is_returned]]="False",0,1)</f>
        <v>0</v>
      </c>
      <c r="W115">
        <f>IF(BBDD_fashion_boutique[[#This Row],[is_returned]]="True",0,BBDD_fashion_boutique[[#This Row],[current_price]])</f>
        <v>65.95</v>
      </c>
      <c r="X115" t="str">
        <f>IF(BBDD_fashion_boutique[[#This Row],[return_reason]]="","No return",BBDD_fashion_boutique[[#This Row],[return_reason]])</f>
        <v>No return</v>
      </c>
      <c r="Y115">
        <f>IF(IFERROR(VLOOKUP(BBDD_fashion_boutique[[#This Row],[product_id]],A116:A2291,1,FALSE),0),1,0)</f>
        <v>0</v>
      </c>
    </row>
    <row r="116" spans="1:25" x14ac:dyDescent="0.3">
      <c r="A116" t="s">
        <v>175</v>
      </c>
      <c r="B116" t="s">
        <v>44</v>
      </c>
      <c r="C116" t="s">
        <v>81</v>
      </c>
      <c r="D116" t="s">
        <v>28</v>
      </c>
      <c r="E116" t="s">
        <v>45</v>
      </c>
      <c r="F116" t="str">
        <f>IF(BBDD_fashion_boutique[[#This Row],[category]]="Accessories","Accesorio",IF(BBDD_fashion_boutique[[#This Row],[size]]="","Desconocido",BBDD_fashion_boutique[[#This Row],[size]]))</f>
        <v>S</v>
      </c>
      <c r="G116" t="s">
        <v>30</v>
      </c>
      <c r="H116" s="2">
        <v>87.39</v>
      </c>
      <c r="I116">
        <v>25.5</v>
      </c>
      <c r="J116" s="5">
        <f>BBDD_fashion_boutique[[#This Row],[markdown_percentage]]/100</f>
        <v>0.255</v>
      </c>
      <c r="K116" s="2">
        <v>65.11</v>
      </c>
      <c r="L116" s="2">
        <f>BBDD_fashion_boutique[[#This Row],[original_price]]-BBDD_fashion_boutique[[#This Row],[current_price]]</f>
        <v>22.28</v>
      </c>
      <c r="M116" s="1">
        <v>45875</v>
      </c>
      <c r="N116" s="1" t="str">
        <f>PROPER(TEXT(BBDD_fashion_boutique[[#This Row],[purchase_date]],"dddd"))</f>
        <v>Miércoles</v>
      </c>
      <c r="O116" s="1" t="str">
        <f>PROPER(TEXT(BBDD_fashion_boutique[[#This Row],[purchase_date]],"mmmm"))</f>
        <v>Agosto</v>
      </c>
      <c r="P116" s="4">
        <v>8</v>
      </c>
      <c r="Q116" s="2">
        <v>2.2999999999999998</v>
      </c>
      <c r="R116" t="str">
        <f>IF(BBDD_fashion_boutique[[#This Row],[stock_quantity]]&gt;9,"Ok",IF(BBDD_fashion_boutique[[#This Row],[stock_quantity]]=0,"Agotado","Pocas Unidades"))</f>
        <v>Pocas Unidades</v>
      </c>
      <c r="S116" s="3">
        <f>IF(BBDD_fashion_boutique[[#This Row],[customer_rating]]="","No valorado",BBDD_fashion_boutique[[#This Row],[customer_rating]])</f>
        <v>2.2999999999999998</v>
      </c>
      <c r="T116" t="s">
        <v>24</v>
      </c>
      <c r="V116">
        <f>IF(BBDD_fashion_boutique[[#This Row],[is_returned]]="False",0,1)</f>
        <v>0</v>
      </c>
      <c r="W116">
        <f>IF(BBDD_fashion_boutique[[#This Row],[is_returned]]="True",0,BBDD_fashion_boutique[[#This Row],[current_price]])</f>
        <v>65.11</v>
      </c>
      <c r="X116" t="str">
        <f>IF(BBDD_fashion_boutique[[#This Row],[return_reason]]="","No return",BBDD_fashion_boutique[[#This Row],[return_reason]])</f>
        <v>No return</v>
      </c>
      <c r="Y116">
        <f>IF(IFERROR(VLOOKUP(BBDD_fashion_boutique[[#This Row],[product_id]],A117:A2292,1,FALSE),0),1,0)</f>
        <v>0</v>
      </c>
    </row>
    <row r="117" spans="1:25" x14ac:dyDescent="0.3">
      <c r="A117" t="s">
        <v>176</v>
      </c>
      <c r="B117" t="s">
        <v>26</v>
      </c>
      <c r="C117" t="s">
        <v>20</v>
      </c>
      <c r="D117" t="s">
        <v>21</v>
      </c>
      <c r="E117" t="s">
        <v>55</v>
      </c>
      <c r="F117" t="str">
        <f>IF(BBDD_fashion_boutique[[#This Row],[category]]="Accessories","Accesorio",IF(BBDD_fashion_boutique[[#This Row],[size]]="","Desconocido",BBDD_fashion_boutique[[#This Row],[size]]))</f>
        <v>XXL</v>
      </c>
      <c r="G117" t="s">
        <v>76</v>
      </c>
      <c r="H117" s="2">
        <v>49.67</v>
      </c>
      <c r="I117">
        <v>0</v>
      </c>
      <c r="J117" s="5">
        <f>BBDD_fashion_boutique[[#This Row],[markdown_percentage]]/100</f>
        <v>0</v>
      </c>
      <c r="K117" s="2">
        <v>49.67</v>
      </c>
      <c r="L117" s="2">
        <f>BBDD_fashion_boutique[[#This Row],[original_price]]-BBDD_fashion_boutique[[#This Row],[current_price]]</f>
        <v>0</v>
      </c>
      <c r="M117" s="1">
        <v>45541</v>
      </c>
      <c r="N117" s="1" t="str">
        <f>PROPER(TEXT(BBDD_fashion_boutique[[#This Row],[purchase_date]],"dddd"))</f>
        <v>Viernes</v>
      </c>
      <c r="O117" s="1" t="str">
        <f>PROPER(TEXT(BBDD_fashion_boutique[[#This Row],[purchase_date]],"mmmm"))</f>
        <v>Septiembre</v>
      </c>
      <c r="P117" s="4">
        <v>37</v>
      </c>
      <c r="Q117" s="2">
        <v>2.2999999999999998</v>
      </c>
      <c r="R117" t="str">
        <f>IF(BBDD_fashion_boutique[[#This Row],[stock_quantity]]&gt;9,"Ok",IF(BBDD_fashion_boutique[[#This Row],[stock_quantity]]=0,"Agotado","Pocas Unidades"))</f>
        <v>Ok</v>
      </c>
      <c r="S117" s="3">
        <f>IF(BBDD_fashion_boutique[[#This Row],[customer_rating]]="","No valorado",BBDD_fashion_boutique[[#This Row],[customer_rating]])</f>
        <v>2.2999999999999998</v>
      </c>
      <c r="T117" t="s">
        <v>24</v>
      </c>
      <c r="V117">
        <f>IF(BBDD_fashion_boutique[[#This Row],[is_returned]]="False",0,1)</f>
        <v>0</v>
      </c>
      <c r="W117">
        <f>IF(BBDD_fashion_boutique[[#This Row],[is_returned]]="True",0,BBDD_fashion_boutique[[#This Row],[current_price]])</f>
        <v>49.67</v>
      </c>
      <c r="X117" t="str">
        <f>IF(BBDD_fashion_boutique[[#This Row],[return_reason]]="","No return",BBDD_fashion_boutique[[#This Row],[return_reason]])</f>
        <v>No return</v>
      </c>
      <c r="Y117">
        <f>IF(IFERROR(VLOOKUP(BBDD_fashion_boutique[[#This Row],[product_id]],A118:A2293,1,FALSE),0),1,0)</f>
        <v>0</v>
      </c>
    </row>
    <row r="118" spans="1:25" x14ac:dyDescent="0.3">
      <c r="A118" t="s">
        <v>177</v>
      </c>
      <c r="B118" t="s">
        <v>32</v>
      </c>
      <c r="C118" t="s">
        <v>27</v>
      </c>
      <c r="D118" t="s">
        <v>39</v>
      </c>
      <c r="F118" t="str">
        <f>IF(BBDD_fashion_boutique[[#This Row],[category]]="Accessories","Accesorio",IF(BBDD_fashion_boutique[[#This Row],[size]]="","Desconocido",BBDD_fashion_boutique[[#This Row],[size]]))</f>
        <v>Accesorio</v>
      </c>
      <c r="G118" t="s">
        <v>76</v>
      </c>
      <c r="H118" s="2">
        <v>72.040000000000006</v>
      </c>
      <c r="I118">
        <v>0</v>
      </c>
      <c r="J118" s="5">
        <f>BBDD_fashion_boutique[[#This Row],[markdown_percentage]]/100</f>
        <v>0</v>
      </c>
      <c r="K118" s="2">
        <v>72.040000000000006</v>
      </c>
      <c r="L118" s="2">
        <f>BBDD_fashion_boutique[[#This Row],[original_price]]-BBDD_fashion_boutique[[#This Row],[current_price]]</f>
        <v>0</v>
      </c>
      <c r="M118" s="1">
        <v>45875</v>
      </c>
      <c r="N118" s="1" t="str">
        <f>PROPER(TEXT(BBDD_fashion_boutique[[#This Row],[purchase_date]],"dddd"))</f>
        <v>Miércoles</v>
      </c>
      <c r="O118" s="1" t="str">
        <f>PROPER(TEXT(BBDD_fashion_boutique[[#This Row],[purchase_date]],"mmmm"))</f>
        <v>Agosto</v>
      </c>
      <c r="P118" s="4">
        <v>48</v>
      </c>
      <c r="R118" t="str">
        <f>IF(BBDD_fashion_boutique[[#This Row],[stock_quantity]]&gt;9,"Ok",IF(BBDD_fashion_boutique[[#This Row],[stock_quantity]]=0,"Agotado","Pocas Unidades"))</f>
        <v>Ok</v>
      </c>
      <c r="S118" s="3" t="str">
        <f>IF(BBDD_fashion_boutique[[#This Row],[customer_rating]]="","No valorado",BBDD_fashion_boutique[[#This Row],[customer_rating]])</f>
        <v>No valorado</v>
      </c>
      <c r="T118" t="s">
        <v>41</v>
      </c>
      <c r="U118" t="s">
        <v>131</v>
      </c>
      <c r="V118">
        <f>IF(BBDD_fashion_boutique[[#This Row],[is_returned]]="False",0,1)</f>
        <v>1</v>
      </c>
      <c r="W118">
        <f>IF(BBDD_fashion_boutique[[#This Row],[is_returned]]="True",0,BBDD_fashion_boutique[[#This Row],[current_price]])</f>
        <v>0</v>
      </c>
      <c r="X118" t="str">
        <f>IF(BBDD_fashion_boutique[[#This Row],[return_reason]]="","No return",BBDD_fashion_boutique[[#This Row],[return_reason]])</f>
        <v>Wrong Item</v>
      </c>
      <c r="Y118">
        <f>IF(IFERROR(VLOOKUP(BBDD_fashion_boutique[[#This Row],[product_id]],A119:A2294,1,FALSE),0),1,0)</f>
        <v>0</v>
      </c>
    </row>
    <row r="119" spans="1:25" x14ac:dyDescent="0.3">
      <c r="A119" t="s">
        <v>178</v>
      </c>
      <c r="B119" t="s">
        <v>48</v>
      </c>
      <c r="C119" t="s">
        <v>20</v>
      </c>
      <c r="D119" t="s">
        <v>21</v>
      </c>
      <c r="E119" t="s">
        <v>64</v>
      </c>
      <c r="F119" t="str">
        <f>IF(BBDD_fashion_boutique[[#This Row],[category]]="Accessories","Accesorio",IF(BBDD_fashion_boutique[[#This Row],[size]]="","Desconocido",BBDD_fashion_boutique[[#This Row],[size]]))</f>
        <v>M</v>
      </c>
      <c r="G119" t="s">
        <v>70</v>
      </c>
      <c r="H119" s="2">
        <v>133.82</v>
      </c>
      <c r="I119">
        <v>0</v>
      </c>
      <c r="J119" s="5">
        <f>BBDD_fashion_boutique[[#This Row],[markdown_percentage]]/100</f>
        <v>0</v>
      </c>
      <c r="K119" s="2">
        <v>133.82</v>
      </c>
      <c r="L119" s="2">
        <f>BBDD_fashion_boutique[[#This Row],[original_price]]-BBDD_fashion_boutique[[#This Row],[current_price]]</f>
        <v>0</v>
      </c>
      <c r="M119" s="1">
        <v>45621</v>
      </c>
      <c r="N119" s="1" t="str">
        <f>PROPER(TEXT(BBDD_fashion_boutique[[#This Row],[purchase_date]],"dddd"))</f>
        <v>Lunes</v>
      </c>
      <c r="O119" s="1" t="str">
        <f>PROPER(TEXT(BBDD_fashion_boutique[[#This Row],[purchase_date]],"mmmm"))</f>
        <v>Noviembre</v>
      </c>
      <c r="P119" s="4">
        <v>12</v>
      </c>
      <c r="Q119" s="2">
        <v>1.7</v>
      </c>
      <c r="R119" t="str">
        <f>IF(BBDD_fashion_boutique[[#This Row],[stock_quantity]]&gt;9,"Ok",IF(BBDD_fashion_boutique[[#This Row],[stock_quantity]]=0,"Agotado","Pocas Unidades"))</f>
        <v>Ok</v>
      </c>
      <c r="S119" s="3">
        <f>IF(BBDD_fashion_boutique[[#This Row],[customer_rating]]="","No valorado",BBDD_fashion_boutique[[#This Row],[customer_rating]])</f>
        <v>1.7</v>
      </c>
      <c r="T119" t="s">
        <v>24</v>
      </c>
      <c r="V119">
        <f>IF(BBDD_fashion_boutique[[#This Row],[is_returned]]="False",0,1)</f>
        <v>0</v>
      </c>
      <c r="W119">
        <f>IF(BBDD_fashion_boutique[[#This Row],[is_returned]]="True",0,BBDD_fashion_boutique[[#This Row],[current_price]])</f>
        <v>133.82</v>
      </c>
      <c r="X119" t="str">
        <f>IF(BBDD_fashion_boutique[[#This Row],[return_reason]]="","No return",BBDD_fashion_boutique[[#This Row],[return_reason]])</f>
        <v>No return</v>
      </c>
      <c r="Y119">
        <f>IF(IFERROR(VLOOKUP(BBDD_fashion_boutique[[#This Row],[product_id]],A120:A2295,1,FALSE),0),1,0)</f>
        <v>0</v>
      </c>
    </row>
    <row r="120" spans="1:25" x14ac:dyDescent="0.3">
      <c r="A120" t="s">
        <v>179</v>
      </c>
      <c r="B120" t="s">
        <v>44</v>
      </c>
      <c r="C120" t="s">
        <v>27</v>
      </c>
      <c r="D120" t="s">
        <v>28</v>
      </c>
      <c r="E120" t="s">
        <v>45</v>
      </c>
      <c r="F120" t="str">
        <f>IF(BBDD_fashion_boutique[[#This Row],[category]]="Accessories","Accesorio",IF(BBDD_fashion_boutique[[#This Row],[size]]="","Desconocido",BBDD_fashion_boutique[[#This Row],[size]]))</f>
        <v>S</v>
      </c>
      <c r="G120" t="s">
        <v>33</v>
      </c>
      <c r="H120" s="2">
        <v>62.93</v>
      </c>
      <c r="I120">
        <v>0</v>
      </c>
      <c r="J120" s="5">
        <f>BBDD_fashion_boutique[[#This Row],[markdown_percentage]]/100</f>
        <v>0</v>
      </c>
      <c r="K120" s="2">
        <v>62.93</v>
      </c>
      <c r="L120" s="2">
        <f>BBDD_fashion_boutique[[#This Row],[original_price]]-BBDD_fashion_boutique[[#This Row],[current_price]]</f>
        <v>0</v>
      </c>
      <c r="M120" s="1">
        <v>45875</v>
      </c>
      <c r="N120" s="1" t="str">
        <f>PROPER(TEXT(BBDD_fashion_boutique[[#This Row],[purchase_date]],"dddd"))</f>
        <v>Miércoles</v>
      </c>
      <c r="O120" s="1" t="str">
        <f>PROPER(TEXT(BBDD_fashion_boutique[[#This Row],[purchase_date]],"mmmm"))</f>
        <v>Agosto</v>
      </c>
      <c r="P120" s="4">
        <v>49</v>
      </c>
      <c r="R120" t="str">
        <f>IF(BBDD_fashion_boutique[[#This Row],[stock_quantity]]&gt;9,"Ok",IF(BBDD_fashion_boutique[[#This Row],[stock_quantity]]=0,"Agotado","Pocas Unidades"))</f>
        <v>Ok</v>
      </c>
      <c r="S120" s="3" t="str">
        <f>IF(BBDD_fashion_boutique[[#This Row],[customer_rating]]="","No valorado",BBDD_fashion_boutique[[#This Row],[customer_rating]])</f>
        <v>No valorado</v>
      </c>
      <c r="T120" t="s">
        <v>24</v>
      </c>
      <c r="V120">
        <f>IF(BBDD_fashion_boutique[[#This Row],[is_returned]]="False",0,1)</f>
        <v>0</v>
      </c>
      <c r="W120">
        <f>IF(BBDD_fashion_boutique[[#This Row],[is_returned]]="True",0,BBDD_fashion_boutique[[#This Row],[current_price]])</f>
        <v>62.93</v>
      </c>
      <c r="X120" t="str">
        <f>IF(BBDD_fashion_boutique[[#This Row],[return_reason]]="","No return",BBDD_fashion_boutique[[#This Row],[return_reason]])</f>
        <v>No return</v>
      </c>
      <c r="Y120">
        <f>IF(IFERROR(VLOOKUP(BBDD_fashion_boutique[[#This Row],[product_id]],A121:A2296,1,FALSE),0),1,0)</f>
        <v>0</v>
      </c>
    </row>
    <row r="121" spans="1:25" x14ac:dyDescent="0.3">
      <c r="A121" t="s">
        <v>180</v>
      </c>
      <c r="B121" t="s">
        <v>19</v>
      </c>
      <c r="C121" t="s">
        <v>20</v>
      </c>
      <c r="D121" t="s">
        <v>21</v>
      </c>
      <c r="E121" t="s">
        <v>29</v>
      </c>
      <c r="F121" t="str">
        <f>IF(BBDD_fashion_boutique[[#This Row],[category]]="Accessories","Accesorio",IF(BBDD_fashion_boutique[[#This Row],[size]]="","Desconocido",BBDD_fashion_boutique[[#This Row],[size]]))</f>
        <v>L</v>
      </c>
      <c r="G121" t="s">
        <v>23</v>
      </c>
      <c r="H121" s="2">
        <v>248.58</v>
      </c>
      <c r="I121">
        <v>0</v>
      </c>
      <c r="J121" s="5">
        <f>BBDD_fashion_boutique[[#This Row],[markdown_percentage]]/100</f>
        <v>0</v>
      </c>
      <c r="K121" s="2">
        <v>248.58</v>
      </c>
      <c r="L121" s="2">
        <f>BBDD_fashion_boutique[[#This Row],[original_price]]-BBDD_fashion_boutique[[#This Row],[current_price]]</f>
        <v>0</v>
      </c>
      <c r="M121" s="1">
        <v>45842</v>
      </c>
      <c r="N121" s="1" t="str">
        <f>PROPER(TEXT(BBDD_fashion_boutique[[#This Row],[purchase_date]],"dddd"))</f>
        <v>Viernes</v>
      </c>
      <c r="O121" s="1" t="str">
        <f>PROPER(TEXT(BBDD_fashion_boutique[[#This Row],[purchase_date]],"mmmm"))</f>
        <v>Julio</v>
      </c>
      <c r="P121" s="4">
        <v>27</v>
      </c>
      <c r="Q121" s="2">
        <v>1.5</v>
      </c>
      <c r="R121" t="str">
        <f>IF(BBDD_fashion_boutique[[#This Row],[stock_quantity]]&gt;9,"Ok",IF(BBDD_fashion_boutique[[#This Row],[stock_quantity]]=0,"Agotado","Pocas Unidades"))</f>
        <v>Ok</v>
      </c>
      <c r="S121" s="3">
        <f>IF(BBDD_fashion_boutique[[#This Row],[customer_rating]]="","No valorado",BBDD_fashion_boutique[[#This Row],[customer_rating]])</f>
        <v>1.5</v>
      </c>
      <c r="T121" t="s">
        <v>24</v>
      </c>
      <c r="V121">
        <f>IF(BBDD_fashion_boutique[[#This Row],[is_returned]]="False",0,1)</f>
        <v>0</v>
      </c>
      <c r="W121">
        <f>IF(BBDD_fashion_boutique[[#This Row],[is_returned]]="True",0,BBDD_fashion_boutique[[#This Row],[current_price]])</f>
        <v>248.58</v>
      </c>
      <c r="X121" t="str">
        <f>IF(BBDD_fashion_boutique[[#This Row],[return_reason]]="","No return",BBDD_fashion_boutique[[#This Row],[return_reason]])</f>
        <v>No return</v>
      </c>
      <c r="Y121">
        <f>IF(IFERROR(VLOOKUP(BBDD_fashion_boutique[[#This Row],[product_id]],A122:A2297,1,FALSE),0),1,0)</f>
        <v>0</v>
      </c>
    </row>
    <row r="122" spans="1:25" x14ac:dyDescent="0.3">
      <c r="A122" t="s">
        <v>181</v>
      </c>
      <c r="B122" t="s">
        <v>35</v>
      </c>
      <c r="C122" t="s">
        <v>27</v>
      </c>
      <c r="D122" t="s">
        <v>39</v>
      </c>
      <c r="E122" t="s">
        <v>55</v>
      </c>
      <c r="F122" t="str">
        <f>IF(BBDD_fashion_boutique[[#This Row],[category]]="Accessories","Accesorio",IF(BBDD_fashion_boutique[[#This Row],[size]]="","Desconocido",BBDD_fashion_boutique[[#This Row],[size]]))</f>
        <v>XXL</v>
      </c>
      <c r="G122" t="s">
        <v>70</v>
      </c>
      <c r="H122" s="2">
        <v>61.08</v>
      </c>
      <c r="I122">
        <v>0</v>
      </c>
      <c r="J122" s="5">
        <f>BBDD_fashion_boutique[[#This Row],[markdown_percentage]]/100</f>
        <v>0</v>
      </c>
      <c r="K122" s="2">
        <v>61.08</v>
      </c>
      <c r="L122" s="2">
        <f>BBDD_fashion_boutique[[#This Row],[original_price]]-BBDD_fashion_boutique[[#This Row],[current_price]]</f>
        <v>0</v>
      </c>
      <c r="M122" s="1">
        <v>45875</v>
      </c>
      <c r="N122" s="1" t="str">
        <f>PROPER(TEXT(BBDD_fashion_boutique[[#This Row],[purchase_date]],"dddd"))</f>
        <v>Miércoles</v>
      </c>
      <c r="O122" s="1" t="str">
        <f>PROPER(TEXT(BBDD_fashion_boutique[[#This Row],[purchase_date]],"mmmm"))</f>
        <v>Agosto</v>
      </c>
      <c r="P122" s="4">
        <v>27</v>
      </c>
      <c r="R122" t="str">
        <f>IF(BBDD_fashion_boutique[[#This Row],[stock_quantity]]&gt;9,"Ok",IF(BBDD_fashion_boutique[[#This Row],[stock_quantity]]=0,"Agotado","Pocas Unidades"))</f>
        <v>Ok</v>
      </c>
      <c r="S122" s="3" t="str">
        <f>IF(BBDD_fashion_boutique[[#This Row],[customer_rating]]="","No valorado",BBDD_fashion_boutique[[#This Row],[customer_rating]])</f>
        <v>No valorado</v>
      </c>
      <c r="T122" t="s">
        <v>41</v>
      </c>
      <c r="U122" t="s">
        <v>121</v>
      </c>
      <c r="V122">
        <f>IF(BBDD_fashion_boutique[[#This Row],[is_returned]]="False",0,1)</f>
        <v>1</v>
      </c>
      <c r="W122">
        <f>IF(BBDD_fashion_boutique[[#This Row],[is_returned]]="True",0,BBDD_fashion_boutique[[#This Row],[current_price]])</f>
        <v>0</v>
      </c>
      <c r="X122" t="str">
        <f>IF(BBDD_fashion_boutique[[#This Row],[return_reason]]="","No return",BBDD_fashion_boutique[[#This Row],[return_reason]])</f>
        <v>Changed Mind</v>
      </c>
      <c r="Y122">
        <f>IF(IFERROR(VLOOKUP(BBDD_fashion_boutique[[#This Row],[product_id]],A123:A2298,1,FALSE),0),1,0)</f>
        <v>0</v>
      </c>
    </row>
    <row r="123" spans="1:25" x14ac:dyDescent="0.3">
      <c r="A123" t="s">
        <v>182</v>
      </c>
      <c r="B123" t="s">
        <v>44</v>
      </c>
      <c r="C123" t="s">
        <v>67</v>
      </c>
      <c r="D123" t="s">
        <v>28</v>
      </c>
      <c r="E123" t="s">
        <v>45</v>
      </c>
      <c r="F123" t="str">
        <f>IF(BBDD_fashion_boutique[[#This Row],[category]]="Accessories","Accesorio",IF(BBDD_fashion_boutique[[#This Row],[size]]="","Desconocido",BBDD_fashion_boutique[[#This Row],[size]]))</f>
        <v>S</v>
      </c>
      <c r="G123" t="s">
        <v>23</v>
      </c>
      <c r="H123" s="2">
        <v>109.12</v>
      </c>
      <c r="I123">
        <v>0</v>
      </c>
      <c r="J123" s="5">
        <f>BBDD_fashion_boutique[[#This Row],[markdown_percentage]]/100</f>
        <v>0</v>
      </c>
      <c r="K123" s="2">
        <v>109.12</v>
      </c>
      <c r="L123" s="2">
        <f>BBDD_fashion_boutique[[#This Row],[original_price]]-BBDD_fashion_boutique[[#This Row],[current_price]]</f>
        <v>0</v>
      </c>
      <c r="M123" s="1">
        <v>45875</v>
      </c>
      <c r="N123" s="1" t="str">
        <f>PROPER(TEXT(BBDD_fashion_boutique[[#This Row],[purchase_date]],"dddd"))</f>
        <v>Miércoles</v>
      </c>
      <c r="O123" s="1" t="str">
        <f>PROPER(TEXT(BBDD_fashion_boutique[[#This Row],[purchase_date]],"mmmm"))</f>
        <v>Agosto</v>
      </c>
      <c r="P123" s="4">
        <v>34</v>
      </c>
      <c r="R123" t="str">
        <f>IF(BBDD_fashion_boutique[[#This Row],[stock_quantity]]&gt;9,"Ok",IF(BBDD_fashion_boutique[[#This Row],[stock_quantity]]=0,"Agotado","Pocas Unidades"))</f>
        <v>Ok</v>
      </c>
      <c r="S123" s="3" t="str">
        <f>IF(BBDD_fashion_boutique[[#This Row],[customer_rating]]="","No valorado",BBDD_fashion_boutique[[#This Row],[customer_rating]])</f>
        <v>No valorado</v>
      </c>
      <c r="T123" t="s">
        <v>24</v>
      </c>
      <c r="V123">
        <f>IF(BBDD_fashion_boutique[[#This Row],[is_returned]]="False",0,1)</f>
        <v>0</v>
      </c>
      <c r="W123">
        <f>IF(BBDD_fashion_boutique[[#This Row],[is_returned]]="True",0,BBDD_fashion_boutique[[#This Row],[current_price]])</f>
        <v>109.12</v>
      </c>
      <c r="X123" t="str">
        <f>IF(BBDD_fashion_boutique[[#This Row],[return_reason]]="","No return",BBDD_fashion_boutique[[#This Row],[return_reason]])</f>
        <v>No return</v>
      </c>
      <c r="Y123">
        <f>IF(IFERROR(VLOOKUP(BBDD_fashion_boutique[[#This Row],[product_id]],A124:A2299,1,FALSE),0),1,0)</f>
        <v>0</v>
      </c>
    </row>
    <row r="124" spans="1:25" x14ac:dyDescent="0.3">
      <c r="A124" t="s">
        <v>183</v>
      </c>
      <c r="B124" t="s">
        <v>19</v>
      </c>
      <c r="C124" t="s">
        <v>20</v>
      </c>
      <c r="D124" t="s">
        <v>28</v>
      </c>
      <c r="E124" t="s">
        <v>55</v>
      </c>
      <c r="F124" t="str">
        <f>IF(BBDD_fashion_boutique[[#This Row],[category]]="Accessories","Accesorio",IF(BBDD_fashion_boutique[[#This Row],[size]]="","Desconocido",BBDD_fashion_boutique[[#This Row],[size]]))</f>
        <v>XXL</v>
      </c>
      <c r="G124" t="s">
        <v>72</v>
      </c>
      <c r="H124" s="2">
        <v>82.91</v>
      </c>
      <c r="I124">
        <v>45.9</v>
      </c>
      <c r="J124" s="5">
        <f>BBDD_fashion_boutique[[#This Row],[markdown_percentage]]/100</f>
        <v>0.45899999999999996</v>
      </c>
      <c r="K124" s="2">
        <v>44.85</v>
      </c>
      <c r="L124" s="2">
        <f>BBDD_fashion_boutique[[#This Row],[original_price]]-BBDD_fashion_boutique[[#This Row],[current_price]]</f>
        <v>38.059999999999995</v>
      </c>
      <c r="M124" s="1">
        <v>45875</v>
      </c>
      <c r="N124" s="1" t="str">
        <f>PROPER(TEXT(BBDD_fashion_boutique[[#This Row],[purchase_date]],"dddd"))</f>
        <v>Miércoles</v>
      </c>
      <c r="O124" s="1" t="str">
        <f>PROPER(TEXT(BBDD_fashion_boutique[[#This Row],[purchase_date]],"mmmm"))</f>
        <v>Agosto</v>
      </c>
      <c r="P124" s="4">
        <v>24</v>
      </c>
      <c r="R124" t="str">
        <f>IF(BBDD_fashion_boutique[[#This Row],[stock_quantity]]&gt;9,"Ok",IF(BBDD_fashion_boutique[[#This Row],[stock_quantity]]=0,"Agotado","Pocas Unidades"))</f>
        <v>Ok</v>
      </c>
      <c r="S124" s="3" t="str">
        <f>IF(BBDD_fashion_boutique[[#This Row],[customer_rating]]="","No valorado",BBDD_fashion_boutique[[#This Row],[customer_rating]])</f>
        <v>No valorado</v>
      </c>
      <c r="T124" t="s">
        <v>41</v>
      </c>
      <c r="U124" t="s">
        <v>89</v>
      </c>
      <c r="V124">
        <f>IF(BBDD_fashion_boutique[[#This Row],[is_returned]]="False",0,1)</f>
        <v>1</v>
      </c>
      <c r="W124">
        <f>IF(BBDD_fashion_boutique[[#This Row],[is_returned]]="True",0,BBDD_fashion_boutique[[#This Row],[current_price]])</f>
        <v>0</v>
      </c>
      <c r="X124" t="str">
        <f>IF(BBDD_fashion_boutique[[#This Row],[return_reason]]="","No return",BBDD_fashion_boutique[[#This Row],[return_reason]])</f>
        <v>Quality Issue</v>
      </c>
      <c r="Y124">
        <f>IF(IFERROR(VLOOKUP(BBDD_fashion_boutique[[#This Row],[product_id]],A125:A2300,1,FALSE),0),1,0)</f>
        <v>0</v>
      </c>
    </row>
    <row r="125" spans="1:25" x14ac:dyDescent="0.3">
      <c r="A125" t="s">
        <v>184</v>
      </c>
      <c r="B125" t="s">
        <v>35</v>
      </c>
      <c r="C125" t="s">
        <v>54</v>
      </c>
      <c r="D125" t="s">
        <v>68</v>
      </c>
      <c r="E125" t="s">
        <v>61</v>
      </c>
      <c r="F125" t="str">
        <f>IF(BBDD_fashion_boutique[[#This Row],[category]]="Accessories","Accesorio",IF(BBDD_fashion_boutique[[#This Row],[size]]="","Desconocido",BBDD_fashion_boutique[[#This Row],[size]]))</f>
        <v>XS</v>
      </c>
      <c r="G125" t="s">
        <v>72</v>
      </c>
      <c r="H125" s="2">
        <v>113.53</v>
      </c>
      <c r="I125">
        <v>10.9</v>
      </c>
      <c r="J125" s="5">
        <f>BBDD_fashion_boutique[[#This Row],[markdown_percentage]]/100</f>
        <v>0.109</v>
      </c>
      <c r="K125" s="2">
        <v>101.16</v>
      </c>
      <c r="L125" s="2">
        <f>BBDD_fashion_boutique[[#This Row],[original_price]]-BBDD_fashion_boutique[[#This Row],[current_price]]</f>
        <v>12.370000000000005</v>
      </c>
      <c r="M125" s="1">
        <v>45875</v>
      </c>
      <c r="N125" s="1" t="str">
        <f>PROPER(TEXT(BBDD_fashion_boutique[[#This Row],[purchase_date]],"dddd"))</f>
        <v>Miércoles</v>
      </c>
      <c r="O125" s="1" t="str">
        <f>PROPER(TEXT(BBDD_fashion_boutique[[#This Row],[purchase_date]],"mmmm"))</f>
        <v>Agosto</v>
      </c>
      <c r="P125" s="4">
        <v>40</v>
      </c>
      <c r="Q125" s="2">
        <v>2.8</v>
      </c>
      <c r="R125" t="str">
        <f>IF(BBDD_fashion_boutique[[#This Row],[stock_quantity]]&gt;9,"Ok",IF(BBDD_fashion_boutique[[#This Row],[stock_quantity]]=0,"Agotado","Pocas Unidades"))</f>
        <v>Ok</v>
      </c>
      <c r="S125" s="3">
        <f>IF(BBDD_fashion_boutique[[#This Row],[customer_rating]]="","No valorado",BBDD_fashion_boutique[[#This Row],[customer_rating]])</f>
        <v>2.8</v>
      </c>
      <c r="T125" t="s">
        <v>24</v>
      </c>
      <c r="V125">
        <f>IF(BBDD_fashion_boutique[[#This Row],[is_returned]]="False",0,1)</f>
        <v>0</v>
      </c>
      <c r="W125">
        <f>IF(BBDD_fashion_boutique[[#This Row],[is_returned]]="True",0,BBDD_fashion_boutique[[#This Row],[current_price]])</f>
        <v>101.16</v>
      </c>
      <c r="X125" t="str">
        <f>IF(BBDD_fashion_boutique[[#This Row],[return_reason]]="","No return",BBDD_fashion_boutique[[#This Row],[return_reason]])</f>
        <v>No return</v>
      </c>
      <c r="Y125">
        <f>IF(IFERROR(VLOOKUP(BBDD_fashion_boutique[[#This Row],[product_id]],A126:A2301,1,FALSE),0),1,0)</f>
        <v>0</v>
      </c>
    </row>
    <row r="126" spans="1:25" x14ac:dyDescent="0.3">
      <c r="A126" t="s">
        <v>185</v>
      </c>
      <c r="B126" t="s">
        <v>32</v>
      </c>
      <c r="C126" t="s">
        <v>27</v>
      </c>
      <c r="D126" t="s">
        <v>28</v>
      </c>
      <c r="F126" t="str">
        <f>IF(BBDD_fashion_boutique[[#This Row],[category]]="Accessories","Accesorio",IF(BBDD_fashion_boutique[[#This Row],[size]]="","Desconocido",BBDD_fashion_boutique[[#This Row],[size]]))</f>
        <v>Accesorio</v>
      </c>
      <c r="G126" t="s">
        <v>76</v>
      </c>
      <c r="H126" s="2">
        <v>38.89</v>
      </c>
      <c r="I126">
        <v>51.5</v>
      </c>
      <c r="J126" s="5">
        <f>BBDD_fashion_boutique[[#This Row],[markdown_percentage]]/100</f>
        <v>0.51500000000000001</v>
      </c>
      <c r="K126" s="2">
        <v>18.86</v>
      </c>
      <c r="L126" s="2">
        <f>BBDD_fashion_boutique[[#This Row],[original_price]]-BBDD_fashion_boutique[[#This Row],[current_price]]</f>
        <v>20.03</v>
      </c>
      <c r="M126" s="1">
        <v>45875</v>
      </c>
      <c r="N126" s="1" t="str">
        <f>PROPER(TEXT(BBDD_fashion_boutique[[#This Row],[purchase_date]],"dddd"))</f>
        <v>Miércoles</v>
      </c>
      <c r="O126" s="1" t="str">
        <f>PROPER(TEXT(BBDD_fashion_boutique[[#This Row],[purchase_date]],"mmmm"))</f>
        <v>Agosto</v>
      </c>
      <c r="P126" s="4">
        <v>28</v>
      </c>
      <c r="Q126" s="2">
        <v>4.3</v>
      </c>
      <c r="R126" t="str">
        <f>IF(BBDD_fashion_boutique[[#This Row],[stock_quantity]]&gt;9,"Ok",IF(BBDD_fashion_boutique[[#This Row],[stock_quantity]]=0,"Agotado","Pocas Unidades"))</f>
        <v>Ok</v>
      </c>
      <c r="S126" s="3">
        <f>IF(BBDD_fashion_boutique[[#This Row],[customer_rating]]="","No valorado",BBDD_fashion_boutique[[#This Row],[customer_rating]])</f>
        <v>4.3</v>
      </c>
      <c r="T126" t="s">
        <v>24</v>
      </c>
      <c r="V126">
        <f>IF(BBDD_fashion_boutique[[#This Row],[is_returned]]="False",0,1)</f>
        <v>0</v>
      </c>
      <c r="W126">
        <f>IF(BBDD_fashion_boutique[[#This Row],[is_returned]]="True",0,BBDD_fashion_boutique[[#This Row],[current_price]])</f>
        <v>18.86</v>
      </c>
      <c r="X126" t="str">
        <f>IF(BBDD_fashion_boutique[[#This Row],[return_reason]]="","No return",BBDD_fashion_boutique[[#This Row],[return_reason]])</f>
        <v>No return</v>
      </c>
      <c r="Y126">
        <f>IF(IFERROR(VLOOKUP(BBDD_fashion_boutique[[#This Row],[product_id]],A127:A2302,1,FALSE),0),1,0)</f>
        <v>0</v>
      </c>
    </row>
    <row r="127" spans="1:25" x14ac:dyDescent="0.3">
      <c r="A127" t="s">
        <v>186</v>
      </c>
      <c r="B127" t="s">
        <v>48</v>
      </c>
      <c r="C127" t="s">
        <v>67</v>
      </c>
      <c r="D127" t="s">
        <v>21</v>
      </c>
      <c r="E127" t="s">
        <v>55</v>
      </c>
      <c r="F127" t="str">
        <f>IF(BBDD_fashion_boutique[[#This Row],[category]]="Accessories","Accesorio",IF(BBDD_fashion_boutique[[#This Row],[size]]="","Desconocido",BBDD_fashion_boutique[[#This Row],[size]]))</f>
        <v>XXL</v>
      </c>
      <c r="G127" t="s">
        <v>33</v>
      </c>
      <c r="H127" s="2">
        <v>53.01</v>
      </c>
      <c r="I127">
        <v>45.9</v>
      </c>
      <c r="J127" s="5">
        <f>BBDD_fashion_boutique[[#This Row],[markdown_percentage]]/100</f>
        <v>0.45899999999999996</v>
      </c>
      <c r="K127" s="2">
        <v>28.68</v>
      </c>
      <c r="L127" s="2">
        <f>BBDD_fashion_boutique[[#This Row],[original_price]]-BBDD_fashion_boutique[[#This Row],[current_price]]</f>
        <v>24.33</v>
      </c>
      <c r="M127" s="1">
        <v>45671</v>
      </c>
      <c r="N127" s="1" t="str">
        <f>PROPER(TEXT(BBDD_fashion_boutique[[#This Row],[purchase_date]],"dddd"))</f>
        <v>Martes</v>
      </c>
      <c r="O127" s="1" t="str">
        <f>PROPER(TEXT(BBDD_fashion_boutique[[#This Row],[purchase_date]],"mmmm"))</f>
        <v>Enero</v>
      </c>
      <c r="P127" s="4">
        <v>37</v>
      </c>
      <c r="Q127" s="2">
        <v>3.7</v>
      </c>
      <c r="R127" t="str">
        <f>IF(BBDD_fashion_boutique[[#This Row],[stock_quantity]]&gt;9,"Ok",IF(BBDD_fashion_boutique[[#This Row],[stock_quantity]]=0,"Agotado","Pocas Unidades"))</f>
        <v>Ok</v>
      </c>
      <c r="S127" s="3">
        <f>IF(BBDD_fashion_boutique[[#This Row],[customer_rating]]="","No valorado",BBDD_fashion_boutique[[#This Row],[customer_rating]])</f>
        <v>3.7</v>
      </c>
      <c r="T127" t="s">
        <v>24</v>
      </c>
      <c r="V127">
        <f>IF(BBDD_fashion_boutique[[#This Row],[is_returned]]="False",0,1)</f>
        <v>0</v>
      </c>
      <c r="W127">
        <f>IF(BBDD_fashion_boutique[[#This Row],[is_returned]]="True",0,BBDD_fashion_boutique[[#This Row],[current_price]])</f>
        <v>28.68</v>
      </c>
      <c r="X127" t="str">
        <f>IF(BBDD_fashion_boutique[[#This Row],[return_reason]]="","No return",BBDD_fashion_boutique[[#This Row],[return_reason]])</f>
        <v>No return</v>
      </c>
      <c r="Y127">
        <f>IF(IFERROR(VLOOKUP(BBDD_fashion_boutique[[#This Row],[product_id]],A128:A2303,1,FALSE),0),1,0)</f>
        <v>0</v>
      </c>
    </row>
    <row r="128" spans="1:25" x14ac:dyDescent="0.3">
      <c r="A128" t="s">
        <v>187</v>
      </c>
      <c r="B128" t="s">
        <v>35</v>
      </c>
      <c r="C128" t="s">
        <v>59</v>
      </c>
      <c r="D128" t="s">
        <v>21</v>
      </c>
      <c r="E128" t="s">
        <v>55</v>
      </c>
      <c r="F128" t="str">
        <f>IF(BBDD_fashion_boutique[[#This Row],[category]]="Accessories","Accesorio",IF(BBDD_fashion_boutique[[#This Row],[size]]="","Desconocido",BBDD_fashion_boutique[[#This Row],[size]]))</f>
        <v>XXL</v>
      </c>
      <c r="G128" t="s">
        <v>50</v>
      </c>
      <c r="H128" s="2">
        <v>81.64</v>
      </c>
      <c r="I128">
        <v>0</v>
      </c>
      <c r="J128" s="5">
        <f>BBDD_fashion_boutique[[#This Row],[markdown_percentage]]/100</f>
        <v>0</v>
      </c>
      <c r="K128" s="2">
        <v>81.64</v>
      </c>
      <c r="L128" s="2">
        <f>BBDD_fashion_boutique[[#This Row],[original_price]]-BBDD_fashion_boutique[[#This Row],[current_price]]</f>
        <v>0</v>
      </c>
      <c r="M128" s="1">
        <v>45632</v>
      </c>
      <c r="N128" s="1" t="str">
        <f>PROPER(TEXT(BBDD_fashion_boutique[[#This Row],[purchase_date]],"dddd"))</f>
        <v>Viernes</v>
      </c>
      <c r="O128" s="1" t="str">
        <f>PROPER(TEXT(BBDD_fashion_boutique[[#This Row],[purchase_date]],"mmmm"))</f>
        <v>Diciembre</v>
      </c>
      <c r="P128" s="4">
        <v>50</v>
      </c>
      <c r="Q128" s="2">
        <v>1.1000000000000001</v>
      </c>
      <c r="R128" t="str">
        <f>IF(BBDD_fashion_boutique[[#This Row],[stock_quantity]]&gt;9,"Ok",IF(BBDD_fashion_boutique[[#This Row],[stock_quantity]]=0,"Agotado","Pocas Unidades"))</f>
        <v>Ok</v>
      </c>
      <c r="S128" s="3">
        <f>IF(BBDD_fashion_boutique[[#This Row],[customer_rating]]="","No valorado",BBDD_fashion_boutique[[#This Row],[customer_rating]])</f>
        <v>1.1000000000000001</v>
      </c>
      <c r="T128" t="s">
        <v>24</v>
      </c>
      <c r="V128">
        <f>IF(BBDD_fashion_boutique[[#This Row],[is_returned]]="False",0,1)</f>
        <v>0</v>
      </c>
      <c r="W128">
        <f>IF(BBDD_fashion_boutique[[#This Row],[is_returned]]="True",0,BBDD_fashion_boutique[[#This Row],[current_price]])</f>
        <v>81.64</v>
      </c>
      <c r="X128" t="str">
        <f>IF(BBDD_fashion_boutique[[#This Row],[return_reason]]="","No return",BBDD_fashion_boutique[[#This Row],[return_reason]])</f>
        <v>No return</v>
      </c>
      <c r="Y128">
        <f>IF(IFERROR(VLOOKUP(BBDD_fashion_boutique[[#This Row],[product_id]],A129:A2304,1,FALSE),0),1,0)</f>
        <v>0</v>
      </c>
    </row>
    <row r="129" spans="1:25" x14ac:dyDescent="0.3">
      <c r="A129" t="s">
        <v>188</v>
      </c>
      <c r="B129" t="s">
        <v>35</v>
      </c>
      <c r="C129" t="s">
        <v>59</v>
      </c>
      <c r="D129" t="s">
        <v>21</v>
      </c>
      <c r="E129" t="s">
        <v>55</v>
      </c>
      <c r="F129" t="str">
        <f>IF(BBDD_fashion_boutique[[#This Row],[category]]="Accessories","Accesorio",IF(BBDD_fashion_boutique[[#This Row],[size]]="","Desconocido",BBDD_fashion_boutique[[#This Row],[size]]))</f>
        <v>XXL</v>
      </c>
      <c r="G129" t="s">
        <v>40</v>
      </c>
      <c r="H129" s="2">
        <v>125.24</v>
      </c>
      <c r="I129">
        <v>21.5</v>
      </c>
      <c r="J129" s="5">
        <f>BBDD_fashion_boutique[[#This Row],[markdown_percentage]]/100</f>
        <v>0.215</v>
      </c>
      <c r="K129" s="2">
        <v>98.31</v>
      </c>
      <c r="L129" s="2">
        <f>BBDD_fashion_boutique[[#This Row],[original_price]]-BBDD_fashion_boutique[[#This Row],[current_price]]</f>
        <v>26.929999999999993</v>
      </c>
      <c r="M129" s="1">
        <v>45541</v>
      </c>
      <c r="N129" s="1" t="str">
        <f>PROPER(TEXT(BBDD_fashion_boutique[[#This Row],[purchase_date]],"dddd"))</f>
        <v>Viernes</v>
      </c>
      <c r="O129" s="1" t="str">
        <f>PROPER(TEXT(BBDD_fashion_boutique[[#This Row],[purchase_date]],"mmmm"))</f>
        <v>Septiembre</v>
      </c>
      <c r="P129" s="4">
        <v>7</v>
      </c>
      <c r="Q129" s="2">
        <v>2.9</v>
      </c>
      <c r="R129" t="str">
        <f>IF(BBDD_fashion_boutique[[#This Row],[stock_quantity]]&gt;9,"Ok",IF(BBDD_fashion_boutique[[#This Row],[stock_quantity]]=0,"Agotado","Pocas Unidades"))</f>
        <v>Pocas Unidades</v>
      </c>
      <c r="S129" s="3">
        <f>IF(BBDD_fashion_boutique[[#This Row],[customer_rating]]="","No valorado",BBDD_fashion_boutique[[#This Row],[customer_rating]])</f>
        <v>2.9</v>
      </c>
      <c r="T129" t="s">
        <v>24</v>
      </c>
      <c r="V129">
        <f>IF(BBDD_fashion_boutique[[#This Row],[is_returned]]="False",0,1)</f>
        <v>0</v>
      </c>
      <c r="W129">
        <f>IF(BBDD_fashion_boutique[[#This Row],[is_returned]]="True",0,BBDD_fashion_boutique[[#This Row],[current_price]])</f>
        <v>98.31</v>
      </c>
      <c r="X129" t="str">
        <f>IF(BBDD_fashion_boutique[[#This Row],[return_reason]]="","No return",BBDD_fashion_boutique[[#This Row],[return_reason]])</f>
        <v>No return</v>
      </c>
      <c r="Y129">
        <f>IF(IFERROR(VLOOKUP(BBDD_fashion_boutique[[#This Row],[product_id]],A130:A2305,1,FALSE),0),1,0)</f>
        <v>0</v>
      </c>
    </row>
    <row r="130" spans="1:25" x14ac:dyDescent="0.3">
      <c r="A130" t="s">
        <v>189</v>
      </c>
      <c r="B130" t="s">
        <v>19</v>
      </c>
      <c r="C130" t="s">
        <v>59</v>
      </c>
      <c r="D130" t="s">
        <v>21</v>
      </c>
      <c r="E130" t="s">
        <v>61</v>
      </c>
      <c r="F130" t="str">
        <f>IF(BBDD_fashion_boutique[[#This Row],[category]]="Accessories","Accesorio",IF(BBDD_fashion_boutique[[#This Row],[size]]="","Desconocido",BBDD_fashion_boutique[[#This Row],[size]]))</f>
        <v>XS</v>
      </c>
      <c r="G130" t="s">
        <v>30</v>
      </c>
      <c r="H130" s="2">
        <v>98.61</v>
      </c>
      <c r="I130">
        <v>0</v>
      </c>
      <c r="J130" s="5">
        <f>BBDD_fashion_boutique[[#This Row],[markdown_percentage]]/100</f>
        <v>0</v>
      </c>
      <c r="K130" s="2">
        <v>98.61</v>
      </c>
      <c r="L130" s="2">
        <f>BBDD_fashion_boutique[[#This Row],[original_price]]-BBDD_fashion_boutique[[#This Row],[current_price]]</f>
        <v>0</v>
      </c>
      <c r="M130" s="1">
        <v>45721</v>
      </c>
      <c r="N130" s="1" t="str">
        <f>PROPER(TEXT(BBDD_fashion_boutique[[#This Row],[purchase_date]],"dddd"))</f>
        <v>Miércoles</v>
      </c>
      <c r="O130" s="1" t="str">
        <f>PROPER(TEXT(BBDD_fashion_boutique[[#This Row],[purchase_date]],"mmmm"))</f>
        <v>Marzo</v>
      </c>
      <c r="P130" s="4">
        <v>1</v>
      </c>
      <c r="Q130" s="2">
        <v>2.6</v>
      </c>
      <c r="R130" t="str">
        <f>IF(BBDD_fashion_boutique[[#This Row],[stock_quantity]]&gt;9,"Ok",IF(BBDD_fashion_boutique[[#This Row],[stock_quantity]]=0,"Agotado","Pocas Unidades"))</f>
        <v>Pocas Unidades</v>
      </c>
      <c r="S130" s="3">
        <f>IF(BBDD_fashion_boutique[[#This Row],[customer_rating]]="","No valorado",BBDD_fashion_boutique[[#This Row],[customer_rating]])</f>
        <v>2.6</v>
      </c>
      <c r="T130" t="s">
        <v>24</v>
      </c>
      <c r="V130">
        <f>IF(BBDD_fashion_boutique[[#This Row],[is_returned]]="False",0,1)</f>
        <v>0</v>
      </c>
      <c r="W130">
        <f>IF(BBDD_fashion_boutique[[#This Row],[is_returned]]="True",0,BBDD_fashion_boutique[[#This Row],[current_price]])</f>
        <v>98.61</v>
      </c>
      <c r="X130" t="str">
        <f>IF(BBDD_fashion_boutique[[#This Row],[return_reason]]="","No return",BBDD_fashion_boutique[[#This Row],[return_reason]])</f>
        <v>No return</v>
      </c>
      <c r="Y130">
        <f>IF(IFERROR(VLOOKUP(BBDD_fashion_boutique[[#This Row],[product_id]],A131:A2306,1,FALSE),0),1,0)</f>
        <v>0</v>
      </c>
    </row>
    <row r="131" spans="1:25" x14ac:dyDescent="0.3">
      <c r="A131" t="s">
        <v>190</v>
      </c>
      <c r="B131" t="s">
        <v>35</v>
      </c>
      <c r="C131" t="s">
        <v>67</v>
      </c>
      <c r="D131" t="s">
        <v>39</v>
      </c>
      <c r="E131" t="s">
        <v>61</v>
      </c>
      <c r="F131" t="str">
        <f>IF(BBDD_fashion_boutique[[#This Row],[category]]="Accessories","Accesorio",IF(BBDD_fashion_boutique[[#This Row],[size]]="","Desconocido",BBDD_fashion_boutique[[#This Row],[size]]))</f>
        <v>XS</v>
      </c>
      <c r="G131" t="s">
        <v>50</v>
      </c>
      <c r="H131" s="2">
        <v>77.540000000000006</v>
      </c>
      <c r="I131">
        <v>0</v>
      </c>
      <c r="J131" s="5">
        <f>BBDD_fashion_boutique[[#This Row],[markdown_percentage]]/100</f>
        <v>0</v>
      </c>
      <c r="K131" s="2">
        <v>77.540000000000006</v>
      </c>
      <c r="L131" s="2">
        <f>BBDD_fashion_boutique[[#This Row],[original_price]]-BBDD_fashion_boutique[[#This Row],[current_price]]</f>
        <v>0</v>
      </c>
      <c r="M131" s="1">
        <v>45875</v>
      </c>
      <c r="N131" s="1" t="str">
        <f>PROPER(TEXT(BBDD_fashion_boutique[[#This Row],[purchase_date]],"dddd"))</f>
        <v>Miércoles</v>
      </c>
      <c r="O131" s="1" t="str">
        <f>PROPER(TEXT(BBDD_fashion_boutique[[#This Row],[purchase_date]],"mmmm"))</f>
        <v>Agosto</v>
      </c>
      <c r="P131" s="4">
        <v>36</v>
      </c>
      <c r="Q131" s="2">
        <v>3.4</v>
      </c>
      <c r="R131" t="str">
        <f>IF(BBDD_fashion_boutique[[#This Row],[stock_quantity]]&gt;9,"Ok",IF(BBDD_fashion_boutique[[#This Row],[stock_quantity]]=0,"Agotado","Pocas Unidades"))</f>
        <v>Ok</v>
      </c>
      <c r="S131" s="3">
        <f>IF(BBDD_fashion_boutique[[#This Row],[customer_rating]]="","No valorado",BBDD_fashion_boutique[[#This Row],[customer_rating]])</f>
        <v>3.4</v>
      </c>
      <c r="T131" t="s">
        <v>24</v>
      </c>
      <c r="V131">
        <f>IF(BBDD_fashion_boutique[[#This Row],[is_returned]]="False",0,1)</f>
        <v>0</v>
      </c>
      <c r="W131">
        <f>IF(BBDD_fashion_boutique[[#This Row],[is_returned]]="True",0,BBDD_fashion_boutique[[#This Row],[current_price]])</f>
        <v>77.540000000000006</v>
      </c>
      <c r="X131" t="str">
        <f>IF(BBDD_fashion_boutique[[#This Row],[return_reason]]="","No return",BBDD_fashion_boutique[[#This Row],[return_reason]])</f>
        <v>No return</v>
      </c>
      <c r="Y131">
        <f>IF(IFERROR(VLOOKUP(BBDD_fashion_boutique[[#This Row],[product_id]],A132:A2307,1,FALSE),0),1,0)</f>
        <v>0</v>
      </c>
    </row>
    <row r="132" spans="1:25" x14ac:dyDescent="0.3">
      <c r="A132" t="s">
        <v>191</v>
      </c>
      <c r="B132" t="s">
        <v>48</v>
      </c>
      <c r="C132" t="s">
        <v>37</v>
      </c>
      <c r="D132" t="s">
        <v>21</v>
      </c>
      <c r="E132" t="s">
        <v>22</v>
      </c>
      <c r="F132" t="str">
        <f>IF(BBDD_fashion_boutique[[#This Row],[category]]="Accessories","Accesorio",IF(BBDD_fashion_boutique[[#This Row],[size]]="","Desconocido",BBDD_fashion_boutique[[#This Row],[size]]))</f>
        <v>XL</v>
      </c>
      <c r="G132" t="s">
        <v>72</v>
      </c>
      <c r="H132" s="2">
        <v>79.13</v>
      </c>
      <c r="I132">
        <v>0</v>
      </c>
      <c r="J132" s="5">
        <f>BBDD_fashion_boutique[[#This Row],[markdown_percentage]]/100</f>
        <v>0</v>
      </c>
      <c r="K132" s="2">
        <v>79.13</v>
      </c>
      <c r="L132" s="2">
        <f>BBDD_fashion_boutique[[#This Row],[original_price]]-BBDD_fashion_boutique[[#This Row],[current_price]]</f>
        <v>0</v>
      </c>
      <c r="M132" s="1">
        <v>45612</v>
      </c>
      <c r="N132" s="1" t="str">
        <f>PROPER(TEXT(BBDD_fashion_boutique[[#This Row],[purchase_date]],"dddd"))</f>
        <v>Sábado</v>
      </c>
      <c r="O132" s="1" t="str">
        <f>PROPER(TEXT(BBDD_fashion_boutique[[#This Row],[purchase_date]],"mmmm"))</f>
        <v>Noviembre</v>
      </c>
      <c r="P132" s="4">
        <v>11</v>
      </c>
      <c r="Q132" s="2">
        <v>3.6</v>
      </c>
      <c r="R132" t="str">
        <f>IF(BBDD_fashion_boutique[[#This Row],[stock_quantity]]&gt;9,"Ok",IF(BBDD_fashion_boutique[[#This Row],[stock_quantity]]=0,"Agotado","Pocas Unidades"))</f>
        <v>Ok</v>
      </c>
      <c r="S132" s="3">
        <f>IF(BBDD_fashion_boutique[[#This Row],[customer_rating]]="","No valorado",BBDD_fashion_boutique[[#This Row],[customer_rating]])</f>
        <v>3.6</v>
      </c>
      <c r="T132" t="s">
        <v>24</v>
      </c>
      <c r="V132">
        <f>IF(BBDD_fashion_boutique[[#This Row],[is_returned]]="False",0,1)</f>
        <v>0</v>
      </c>
      <c r="W132">
        <f>IF(BBDD_fashion_boutique[[#This Row],[is_returned]]="True",0,BBDD_fashion_boutique[[#This Row],[current_price]])</f>
        <v>79.13</v>
      </c>
      <c r="X132" t="str">
        <f>IF(BBDD_fashion_boutique[[#This Row],[return_reason]]="","No return",BBDD_fashion_boutique[[#This Row],[return_reason]])</f>
        <v>No return</v>
      </c>
      <c r="Y132">
        <f>IF(IFERROR(VLOOKUP(BBDD_fashion_boutique[[#This Row],[product_id]],A133:A2308,1,FALSE),0),1,0)</f>
        <v>0</v>
      </c>
    </row>
    <row r="133" spans="1:25" x14ac:dyDescent="0.3">
      <c r="A133" t="s">
        <v>192</v>
      </c>
      <c r="B133" t="s">
        <v>44</v>
      </c>
      <c r="C133" t="s">
        <v>49</v>
      </c>
      <c r="D133" t="s">
        <v>21</v>
      </c>
      <c r="E133" t="s">
        <v>45</v>
      </c>
      <c r="F133" t="str">
        <f>IF(BBDD_fashion_boutique[[#This Row],[category]]="Accessories","Accesorio",IF(BBDD_fashion_boutique[[#This Row],[size]]="","Desconocido",BBDD_fashion_boutique[[#This Row],[size]]))</f>
        <v>S</v>
      </c>
      <c r="G133" t="s">
        <v>52</v>
      </c>
      <c r="H133" s="2">
        <v>96.11</v>
      </c>
      <c r="I133">
        <v>0</v>
      </c>
      <c r="J133" s="5">
        <f>BBDD_fashion_boutique[[#This Row],[markdown_percentage]]/100</f>
        <v>0</v>
      </c>
      <c r="K133" s="2">
        <v>96.11</v>
      </c>
      <c r="L133" s="2">
        <f>BBDD_fashion_boutique[[#This Row],[original_price]]-BBDD_fashion_boutique[[#This Row],[current_price]]</f>
        <v>0</v>
      </c>
      <c r="M133" s="1">
        <v>45759</v>
      </c>
      <c r="N133" s="1" t="str">
        <f>PROPER(TEXT(BBDD_fashion_boutique[[#This Row],[purchase_date]],"dddd"))</f>
        <v>Sábado</v>
      </c>
      <c r="O133" s="1" t="str">
        <f>PROPER(TEXT(BBDD_fashion_boutique[[#This Row],[purchase_date]],"mmmm"))</f>
        <v>Abril</v>
      </c>
      <c r="P133" s="4">
        <v>13</v>
      </c>
      <c r="Q133" s="2">
        <v>4.2</v>
      </c>
      <c r="R133" t="str">
        <f>IF(BBDD_fashion_boutique[[#This Row],[stock_quantity]]&gt;9,"Ok",IF(BBDD_fashion_boutique[[#This Row],[stock_quantity]]=0,"Agotado","Pocas Unidades"))</f>
        <v>Ok</v>
      </c>
      <c r="S133" s="3">
        <f>IF(BBDD_fashion_boutique[[#This Row],[customer_rating]]="","No valorado",BBDD_fashion_boutique[[#This Row],[customer_rating]])</f>
        <v>4.2</v>
      </c>
      <c r="T133" t="s">
        <v>24</v>
      </c>
      <c r="V133">
        <f>IF(BBDD_fashion_boutique[[#This Row],[is_returned]]="False",0,1)</f>
        <v>0</v>
      </c>
      <c r="W133">
        <f>IF(BBDD_fashion_boutique[[#This Row],[is_returned]]="True",0,BBDD_fashion_boutique[[#This Row],[current_price]])</f>
        <v>96.11</v>
      </c>
      <c r="X133" t="str">
        <f>IF(BBDD_fashion_boutique[[#This Row],[return_reason]]="","No return",BBDD_fashion_boutique[[#This Row],[return_reason]])</f>
        <v>No return</v>
      </c>
      <c r="Y133">
        <f>IF(IFERROR(VLOOKUP(BBDD_fashion_boutique[[#This Row],[product_id]],A134:A2309,1,FALSE),0),1,0)</f>
        <v>0</v>
      </c>
    </row>
    <row r="134" spans="1:25" x14ac:dyDescent="0.3">
      <c r="A134" t="s">
        <v>193</v>
      </c>
      <c r="B134" t="s">
        <v>26</v>
      </c>
      <c r="C134" t="s">
        <v>49</v>
      </c>
      <c r="D134" t="s">
        <v>21</v>
      </c>
      <c r="E134" t="s">
        <v>22</v>
      </c>
      <c r="F134" t="str">
        <f>IF(BBDD_fashion_boutique[[#This Row],[category]]="Accessories","Accesorio",IF(BBDD_fashion_boutique[[#This Row],[size]]="","Desconocido",BBDD_fashion_boutique[[#This Row],[size]]))</f>
        <v>XL</v>
      </c>
      <c r="G134" t="s">
        <v>40</v>
      </c>
      <c r="H134" s="2">
        <v>116.61</v>
      </c>
      <c r="I134">
        <v>0</v>
      </c>
      <c r="J134" s="5">
        <f>BBDD_fashion_boutique[[#This Row],[markdown_percentage]]/100</f>
        <v>0</v>
      </c>
      <c r="K134" s="2">
        <v>116.61</v>
      </c>
      <c r="L134" s="2">
        <f>BBDD_fashion_boutique[[#This Row],[original_price]]-BBDD_fashion_boutique[[#This Row],[current_price]]</f>
        <v>0</v>
      </c>
      <c r="M134" s="1">
        <v>45600</v>
      </c>
      <c r="N134" s="1" t="str">
        <f>PROPER(TEXT(BBDD_fashion_boutique[[#This Row],[purchase_date]],"dddd"))</f>
        <v>Lunes</v>
      </c>
      <c r="O134" s="1" t="str">
        <f>PROPER(TEXT(BBDD_fashion_boutique[[#This Row],[purchase_date]],"mmmm"))</f>
        <v>Noviembre</v>
      </c>
      <c r="P134" s="4">
        <v>31</v>
      </c>
      <c r="R134" t="str">
        <f>IF(BBDD_fashion_boutique[[#This Row],[stock_quantity]]&gt;9,"Ok",IF(BBDD_fashion_boutique[[#This Row],[stock_quantity]]=0,"Agotado","Pocas Unidades"))</f>
        <v>Ok</v>
      </c>
      <c r="S134" s="3" t="str">
        <f>IF(BBDD_fashion_boutique[[#This Row],[customer_rating]]="","No valorado",BBDD_fashion_boutique[[#This Row],[customer_rating]])</f>
        <v>No valorado</v>
      </c>
      <c r="T134" t="s">
        <v>24</v>
      </c>
      <c r="V134">
        <f>IF(BBDD_fashion_boutique[[#This Row],[is_returned]]="False",0,1)</f>
        <v>0</v>
      </c>
      <c r="W134">
        <f>IF(BBDD_fashion_boutique[[#This Row],[is_returned]]="True",0,BBDD_fashion_boutique[[#This Row],[current_price]])</f>
        <v>116.61</v>
      </c>
      <c r="X134" t="str">
        <f>IF(BBDD_fashion_boutique[[#This Row],[return_reason]]="","No return",BBDD_fashion_boutique[[#This Row],[return_reason]])</f>
        <v>No return</v>
      </c>
      <c r="Y134">
        <f>IF(IFERROR(VLOOKUP(BBDD_fashion_boutique[[#This Row],[product_id]],A135:A2310,1,FALSE),0),1,0)</f>
        <v>0</v>
      </c>
    </row>
    <row r="135" spans="1:25" x14ac:dyDescent="0.3">
      <c r="A135" t="s">
        <v>194</v>
      </c>
      <c r="B135" t="s">
        <v>32</v>
      </c>
      <c r="C135" t="s">
        <v>59</v>
      </c>
      <c r="D135" t="s">
        <v>28</v>
      </c>
      <c r="F135" t="str">
        <f>IF(BBDD_fashion_boutique[[#This Row],[category]]="Accessories","Accesorio",IF(BBDD_fashion_boutique[[#This Row],[size]]="","Desconocido",BBDD_fashion_boutique[[#This Row],[size]]))</f>
        <v>Accesorio</v>
      </c>
      <c r="G135" t="s">
        <v>50</v>
      </c>
      <c r="H135" s="2">
        <v>57.8</v>
      </c>
      <c r="I135">
        <v>27</v>
      </c>
      <c r="J135" s="5">
        <f>BBDD_fashion_boutique[[#This Row],[markdown_percentage]]/100</f>
        <v>0.27</v>
      </c>
      <c r="K135" s="2">
        <v>42.19</v>
      </c>
      <c r="L135" s="2">
        <f>BBDD_fashion_boutique[[#This Row],[original_price]]-BBDD_fashion_boutique[[#This Row],[current_price]]</f>
        <v>15.61</v>
      </c>
      <c r="M135" s="1">
        <v>45875</v>
      </c>
      <c r="N135" s="1" t="str">
        <f>PROPER(TEXT(BBDD_fashion_boutique[[#This Row],[purchase_date]],"dddd"))</f>
        <v>Miércoles</v>
      </c>
      <c r="O135" s="1" t="str">
        <f>PROPER(TEXT(BBDD_fashion_boutique[[#This Row],[purchase_date]],"mmmm"))</f>
        <v>Agosto</v>
      </c>
      <c r="P135" s="4">
        <v>9</v>
      </c>
      <c r="Q135" s="2">
        <v>1.8</v>
      </c>
      <c r="R135" t="str">
        <f>IF(BBDD_fashion_boutique[[#This Row],[stock_quantity]]&gt;9,"Ok",IF(BBDD_fashion_boutique[[#This Row],[stock_quantity]]=0,"Agotado","Pocas Unidades"))</f>
        <v>Pocas Unidades</v>
      </c>
      <c r="S135" s="3">
        <f>IF(BBDD_fashion_boutique[[#This Row],[customer_rating]]="","No valorado",BBDD_fashion_boutique[[#This Row],[customer_rating]])</f>
        <v>1.8</v>
      </c>
      <c r="T135" t="s">
        <v>24</v>
      </c>
      <c r="V135">
        <f>IF(BBDD_fashion_boutique[[#This Row],[is_returned]]="False",0,1)</f>
        <v>0</v>
      </c>
      <c r="W135">
        <f>IF(BBDD_fashion_boutique[[#This Row],[is_returned]]="True",0,BBDD_fashion_boutique[[#This Row],[current_price]])</f>
        <v>42.19</v>
      </c>
      <c r="X135" t="str">
        <f>IF(BBDD_fashion_boutique[[#This Row],[return_reason]]="","No return",BBDD_fashion_boutique[[#This Row],[return_reason]])</f>
        <v>No return</v>
      </c>
      <c r="Y135">
        <f>IF(IFERROR(VLOOKUP(BBDD_fashion_boutique[[#This Row],[product_id]],A136:A2311,1,FALSE),0),1,0)</f>
        <v>0</v>
      </c>
    </row>
    <row r="136" spans="1:25" x14ac:dyDescent="0.3">
      <c r="A136" t="s">
        <v>195</v>
      </c>
      <c r="B136" t="s">
        <v>26</v>
      </c>
      <c r="C136" t="s">
        <v>54</v>
      </c>
      <c r="D136" t="s">
        <v>21</v>
      </c>
      <c r="E136" t="s">
        <v>45</v>
      </c>
      <c r="F136" t="str">
        <f>IF(BBDD_fashion_boutique[[#This Row],[category]]="Accessories","Accesorio",IF(BBDD_fashion_boutique[[#This Row],[size]]="","Desconocido",BBDD_fashion_boutique[[#This Row],[size]]))</f>
        <v>S</v>
      </c>
      <c r="G136" t="s">
        <v>40</v>
      </c>
      <c r="H136" s="2">
        <v>110.78</v>
      </c>
      <c r="I136">
        <v>0</v>
      </c>
      <c r="J136" s="5">
        <f>BBDD_fashion_boutique[[#This Row],[markdown_percentage]]/100</f>
        <v>0</v>
      </c>
      <c r="K136" s="2">
        <v>110.78</v>
      </c>
      <c r="L136" s="2">
        <f>BBDD_fashion_boutique[[#This Row],[original_price]]-BBDD_fashion_boutique[[#This Row],[current_price]]</f>
        <v>0</v>
      </c>
      <c r="M136" s="1">
        <v>45670</v>
      </c>
      <c r="N136" s="1" t="str">
        <f>PROPER(TEXT(BBDD_fashion_boutique[[#This Row],[purchase_date]],"dddd"))</f>
        <v>Lunes</v>
      </c>
      <c r="O136" s="1" t="str">
        <f>PROPER(TEXT(BBDD_fashion_boutique[[#This Row],[purchase_date]],"mmmm"))</f>
        <v>Enero</v>
      </c>
      <c r="P136" s="4">
        <v>9</v>
      </c>
      <c r="Q136" s="2">
        <v>1.4</v>
      </c>
      <c r="R136" t="str">
        <f>IF(BBDD_fashion_boutique[[#This Row],[stock_quantity]]&gt;9,"Ok",IF(BBDD_fashion_boutique[[#This Row],[stock_quantity]]=0,"Agotado","Pocas Unidades"))</f>
        <v>Pocas Unidades</v>
      </c>
      <c r="S136" s="3">
        <f>IF(BBDD_fashion_boutique[[#This Row],[customer_rating]]="","No valorado",BBDD_fashion_boutique[[#This Row],[customer_rating]])</f>
        <v>1.4</v>
      </c>
      <c r="T136" t="s">
        <v>24</v>
      </c>
      <c r="V136">
        <f>IF(BBDD_fashion_boutique[[#This Row],[is_returned]]="False",0,1)</f>
        <v>0</v>
      </c>
      <c r="W136">
        <f>IF(BBDD_fashion_boutique[[#This Row],[is_returned]]="True",0,BBDD_fashion_boutique[[#This Row],[current_price]])</f>
        <v>110.78</v>
      </c>
      <c r="X136" t="str">
        <f>IF(BBDD_fashion_boutique[[#This Row],[return_reason]]="","No return",BBDD_fashion_boutique[[#This Row],[return_reason]])</f>
        <v>No return</v>
      </c>
      <c r="Y136">
        <f>IF(IFERROR(VLOOKUP(BBDD_fashion_boutique[[#This Row],[product_id]],A137:A2312,1,FALSE),0),1,0)</f>
        <v>0</v>
      </c>
    </row>
    <row r="137" spans="1:25" x14ac:dyDescent="0.3">
      <c r="A137" t="s">
        <v>196</v>
      </c>
      <c r="B137" t="s">
        <v>26</v>
      </c>
      <c r="C137" t="s">
        <v>67</v>
      </c>
      <c r="D137" t="s">
        <v>21</v>
      </c>
      <c r="E137" t="s">
        <v>29</v>
      </c>
      <c r="F137" t="str">
        <f>IF(BBDD_fashion_boutique[[#This Row],[category]]="Accessories","Accesorio",IF(BBDD_fashion_boutique[[#This Row],[size]]="","Desconocido",BBDD_fashion_boutique[[#This Row],[size]]))</f>
        <v>L</v>
      </c>
      <c r="G137" t="s">
        <v>33</v>
      </c>
      <c r="H137" s="2">
        <v>112.63</v>
      </c>
      <c r="I137">
        <v>0</v>
      </c>
      <c r="J137" s="5">
        <f>BBDD_fashion_boutique[[#This Row],[markdown_percentage]]/100</f>
        <v>0</v>
      </c>
      <c r="K137" s="2">
        <v>112.63</v>
      </c>
      <c r="L137" s="2">
        <f>BBDD_fashion_boutique[[#This Row],[original_price]]-BBDD_fashion_boutique[[#This Row],[current_price]]</f>
        <v>0</v>
      </c>
      <c r="M137" s="1">
        <v>45579</v>
      </c>
      <c r="N137" s="1" t="str">
        <f>PROPER(TEXT(BBDD_fashion_boutique[[#This Row],[purchase_date]],"dddd"))</f>
        <v>Lunes</v>
      </c>
      <c r="O137" s="1" t="str">
        <f>PROPER(TEXT(BBDD_fashion_boutique[[#This Row],[purchase_date]],"mmmm"))</f>
        <v>Octubre</v>
      </c>
      <c r="P137" s="4">
        <v>50</v>
      </c>
      <c r="Q137" s="2">
        <v>3.6</v>
      </c>
      <c r="R137" t="str">
        <f>IF(BBDD_fashion_boutique[[#This Row],[stock_quantity]]&gt;9,"Ok",IF(BBDD_fashion_boutique[[#This Row],[stock_quantity]]=0,"Agotado","Pocas Unidades"))</f>
        <v>Ok</v>
      </c>
      <c r="S137" s="3">
        <f>IF(BBDD_fashion_boutique[[#This Row],[customer_rating]]="","No valorado",BBDD_fashion_boutique[[#This Row],[customer_rating]])</f>
        <v>3.6</v>
      </c>
      <c r="T137" t="s">
        <v>41</v>
      </c>
      <c r="U137" t="s">
        <v>89</v>
      </c>
      <c r="V137">
        <f>IF(BBDD_fashion_boutique[[#This Row],[is_returned]]="False",0,1)</f>
        <v>1</v>
      </c>
      <c r="W137">
        <f>IF(BBDD_fashion_boutique[[#This Row],[is_returned]]="True",0,BBDD_fashion_boutique[[#This Row],[current_price]])</f>
        <v>0</v>
      </c>
      <c r="X137" t="str">
        <f>IF(BBDD_fashion_boutique[[#This Row],[return_reason]]="","No return",BBDD_fashion_boutique[[#This Row],[return_reason]])</f>
        <v>Quality Issue</v>
      </c>
      <c r="Y137">
        <f>IF(IFERROR(VLOOKUP(BBDD_fashion_boutique[[#This Row],[product_id]],A138:A2313,1,FALSE),0),1,0)</f>
        <v>0</v>
      </c>
    </row>
    <row r="138" spans="1:25" x14ac:dyDescent="0.3">
      <c r="A138" t="s">
        <v>197</v>
      </c>
      <c r="B138" t="s">
        <v>26</v>
      </c>
      <c r="C138" t="s">
        <v>54</v>
      </c>
      <c r="D138" t="s">
        <v>68</v>
      </c>
      <c r="E138" t="s">
        <v>61</v>
      </c>
      <c r="F138" t="str">
        <f>IF(BBDD_fashion_boutique[[#This Row],[category]]="Accessories","Accesorio",IF(BBDD_fashion_boutique[[#This Row],[size]]="","Desconocido",BBDD_fashion_boutique[[#This Row],[size]]))</f>
        <v>XS</v>
      </c>
      <c r="G138" t="s">
        <v>72</v>
      </c>
      <c r="H138" s="2">
        <v>89.36</v>
      </c>
      <c r="I138">
        <v>0</v>
      </c>
      <c r="J138" s="5">
        <f>BBDD_fashion_boutique[[#This Row],[markdown_percentage]]/100</f>
        <v>0</v>
      </c>
      <c r="K138" s="2">
        <v>89.36</v>
      </c>
      <c r="L138" s="2">
        <f>BBDD_fashion_boutique[[#This Row],[original_price]]-BBDD_fashion_boutique[[#This Row],[current_price]]</f>
        <v>0</v>
      </c>
      <c r="M138" s="1">
        <v>45875</v>
      </c>
      <c r="N138" s="1" t="str">
        <f>PROPER(TEXT(BBDD_fashion_boutique[[#This Row],[purchase_date]],"dddd"))</f>
        <v>Miércoles</v>
      </c>
      <c r="O138" s="1" t="str">
        <f>PROPER(TEXT(BBDD_fashion_boutique[[#This Row],[purchase_date]],"mmmm"))</f>
        <v>Agosto</v>
      </c>
      <c r="P138" s="4">
        <v>24</v>
      </c>
      <c r="Q138" s="2">
        <v>4.3</v>
      </c>
      <c r="R138" t="str">
        <f>IF(BBDD_fashion_boutique[[#This Row],[stock_quantity]]&gt;9,"Ok",IF(BBDD_fashion_boutique[[#This Row],[stock_quantity]]=0,"Agotado","Pocas Unidades"))</f>
        <v>Ok</v>
      </c>
      <c r="S138" s="3">
        <f>IF(BBDD_fashion_boutique[[#This Row],[customer_rating]]="","No valorado",BBDD_fashion_boutique[[#This Row],[customer_rating]])</f>
        <v>4.3</v>
      </c>
      <c r="T138" t="s">
        <v>41</v>
      </c>
      <c r="U138" t="s">
        <v>84</v>
      </c>
      <c r="V138">
        <f>IF(BBDD_fashion_boutique[[#This Row],[is_returned]]="False",0,1)</f>
        <v>1</v>
      </c>
      <c r="W138">
        <f>IF(BBDD_fashion_boutique[[#This Row],[is_returned]]="True",0,BBDD_fashion_boutique[[#This Row],[current_price]])</f>
        <v>0</v>
      </c>
      <c r="X138" t="str">
        <f>IF(BBDD_fashion_boutique[[#This Row],[return_reason]]="","No return",BBDD_fashion_boutique[[#This Row],[return_reason]])</f>
        <v>Damaged</v>
      </c>
      <c r="Y138">
        <f>IF(IFERROR(VLOOKUP(BBDD_fashion_boutique[[#This Row],[product_id]],A139:A2314,1,FALSE),0),1,0)</f>
        <v>0</v>
      </c>
    </row>
    <row r="139" spans="1:25" x14ac:dyDescent="0.3">
      <c r="A139" t="s">
        <v>198</v>
      </c>
      <c r="B139" t="s">
        <v>19</v>
      </c>
      <c r="C139" t="s">
        <v>81</v>
      </c>
      <c r="D139" t="s">
        <v>39</v>
      </c>
      <c r="E139" t="s">
        <v>64</v>
      </c>
      <c r="F139" t="str">
        <f>IF(BBDD_fashion_boutique[[#This Row],[category]]="Accessories","Accesorio",IF(BBDD_fashion_boutique[[#This Row],[size]]="","Desconocido",BBDD_fashion_boutique[[#This Row],[size]]))</f>
        <v>M</v>
      </c>
      <c r="G139" t="s">
        <v>30</v>
      </c>
      <c r="H139" s="2">
        <v>127.99</v>
      </c>
      <c r="I139">
        <v>0</v>
      </c>
      <c r="J139" s="5">
        <f>BBDD_fashion_boutique[[#This Row],[markdown_percentage]]/100</f>
        <v>0</v>
      </c>
      <c r="K139" s="2">
        <v>127.99</v>
      </c>
      <c r="L139" s="2">
        <f>BBDD_fashion_boutique[[#This Row],[original_price]]-BBDD_fashion_boutique[[#This Row],[current_price]]</f>
        <v>0</v>
      </c>
      <c r="M139" s="1">
        <v>45875</v>
      </c>
      <c r="N139" s="1" t="str">
        <f>PROPER(TEXT(BBDD_fashion_boutique[[#This Row],[purchase_date]],"dddd"))</f>
        <v>Miércoles</v>
      </c>
      <c r="O139" s="1" t="str">
        <f>PROPER(TEXT(BBDD_fashion_boutique[[#This Row],[purchase_date]],"mmmm"))</f>
        <v>Agosto</v>
      </c>
      <c r="P139" s="4">
        <v>16</v>
      </c>
      <c r="R139" t="str">
        <f>IF(BBDD_fashion_boutique[[#This Row],[stock_quantity]]&gt;9,"Ok",IF(BBDD_fashion_boutique[[#This Row],[stock_quantity]]=0,"Agotado","Pocas Unidades"))</f>
        <v>Ok</v>
      </c>
      <c r="S139" s="3" t="str">
        <f>IF(BBDD_fashion_boutique[[#This Row],[customer_rating]]="","No valorado",BBDD_fashion_boutique[[#This Row],[customer_rating]])</f>
        <v>No valorado</v>
      </c>
      <c r="T139" t="s">
        <v>24</v>
      </c>
      <c r="V139">
        <f>IF(BBDD_fashion_boutique[[#This Row],[is_returned]]="False",0,1)</f>
        <v>0</v>
      </c>
      <c r="W139">
        <f>IF(BBDD_fashion_boutique[[#This Row],[is_returned]]="True",0,BBDD_fashion_boutique[[#This Row],[current_price]])</f>
        <v>127.99</v>
      </c>
      <c r="X139" t="str">
        <f>IF(BBDD_fashion_boutique[[#This Row],[return_reason]]="","No return",BBDD_fashion_boutique[[#This Row],[return_reason]])</f>
        <v>No return</v>
      </c>
      <c r="Y139">
        <f>IF(IFERROR(VLOOKUP(BBDD_fashion_boutique[[#This Row],[product_id]],A140:A2315,1,FALSE),0),1,0)</f>
        <v>0</v>
      </c>
    </row>
    <row r="140" spans="1:25" x14ac:dyDescent="0.3">
      <c r="A140" t="s">
        <v>199</v>
      </c>
      <c r="B140" t="s">
        <v>44</v>
      </c>
      <c r="C140" t="s">
        <v>20</v>
      </c>
      <c r="D140" t="s">
        <v>28</v>
      </c>
      <c r="E140" t="s">
        <v>55</v>
      </c>
      <c r="F140" t="str">
        <f>IF(BBDD_fashion_boutique[[#This Row],[category]]="Accessories","Accesorio",IF(BBDD_fashion_boutique[[#This Row],[size]]="","Desconocido",BBDD_fashion_boutique[[#This Row],[size]]))</f>
        <v>XXL</v>
      </c>
      <c r="G140" t="s">
        <v>62</v>
      </c>
      <c r="H140" s="2">
        <v>54.88</v>
      </c>
      <c r="I140">
        <v>58.8</v>
      </c>
      <c r="J140" s="5">
        <f>BBDD_fashion_boutique[[#This Row],[markdown_percentage]]/100</f>
        <v>0.58799999999999997</v>
      </c>
      <c r="K140" s="2">
        <v>22.61</v>
      </c>
      <c r="L140" s="2">
        <f>BBDD_fashion_boutique[[#This Row],[original_price]]-BBDD_fashion_boutique[[#This Row],[current_price]]</f>
        <v>32.270000000000003</v>
      </c>
      <c r="M140" s="1">
        <v>45875</v>
      </c>
      <c r="N140" s="1" t="str">
        <f>PROPER(TEXT(BBDD_fashion_boutique[[#This Row],[purchase_date]],"dddd"))</f>
        <v>Miércoles</v>
      </c>
      <c r="O140" s="1" t="str">
        <f>PROPER(TEXT(BBDD_fashion_boutique[[#This Row],[purchase_date]],"mmmm"))</f>
        <v>Agosto</v>
      </c>
      <c r="P140" s="4">
        <v>50</v>
      </c>
      <c r="Q140" s="2">
        <v>3.5</v>
      </c>
      <c r="R140" t="str">
        <f>IF(BBDD_fashion_boutique[[#This Row],[stock_quantity]]&gt;9,"Ok",IF(BBDD_fashion_boutique[[#This Row],[stock_quantity]]=0,"Agotado","Pocas Unidades"))</f>
        <v>Ok</v>
      </c>
      <c r="S140" s="3">
        <f>IF(BBDD_fashion_boutique[[#This Row],[customer_rating]]="","No valorado",BBDD_fashion_boutique[[#This Row],[customer_rating]])</f>
        <v>3.5</v>
      </c>
      <c r="T140" t="s">
        <v>24</v>
      </c>
      <c r="V140">
        <f>IF(BBDD_fashion_boutique[[#This Row],[is_returned]]="False",0,1)</f>
        <v>0</v>
      </c>
      <c r="W140">
        <f>IF(BBDD_fashion_boutique[[#This Row],[is_returned]]="True",0,BBDD_fashion_boutique[[#This Row],[current_price]])</f>
        <v>22.61</v>
      </c>
      <c r="X140" t="str">
        <f>IF(BBDD_fashion_boutique[[#This Row],[return_reason]]="","No return",BBDD_fashion_boutique[[#This Row],[return_reason]])</f>
        <v>No return</v>
      </c>
      <c r="Y140">
        <f>IF(IFERROR(VLOOKUP(BBDD_fashion_boutique[[#This Row],[product_id]],A141:A2316,1,FALSE),0),1,0)</f>
        <v>0</v>
      </c>
    </row>
    <row r="141" spans="1:25" x14ac:dyDescent="0.3">
      <c r="A141" t="s">
        <v>200</v>
      </c>
      <c r="B141" t="s">
        <v>35</v>
      </c>
      <c r="C141" t="s">
        <v>27</v>
      </c>
      <c r="D141" t="s">
        <v>21</v>
      </c>
      <c r="E141" t="s">
        <v>29</v>
      </c>
      <c r="F141" t="str">
        <f>IF(BBDD_fashion_boutique[[#This Row],[category]]="Accessories","Accesorio",IF(BBDD_fashion_boutique[[#This Row],[size]]="","Desconocido",BBDD_fashion_boutique[[#This Row],[size]]))</f>
        <v>L</v>
      </c>
      <c r="G141" t="s">
        <v>40</v>
      </c>
      <c r="H141" s="2">
        <v>154.13</v>
      </c>
      <c r="I141">
        <v>0</v>
      </c>
      <c r="J141" s="5">
        <f>BBDD_fashion_boutique[[#This Row],[markdown_percentage]]/100</f>
        <v>0</v>
      </c>
      <c r="K141" s="2">
        <v>154.13</v>
      </c>
      <c r="L141" s="2">
        <f>BBDD_fashion_boutique[[#This Row],[original_price]]-BBDD_fashion_boutique[[#This Row],[current_price]]</f>
        <v>0</v>
      </c>
      <c r="M141" s="1">
        <v>45566</v>
      </c>
      <c r="N141" s="1" t="str">
        <f>PROPER(TEXT(BBDD_fashion_boutique[[#This Row],[purchase_date]],"dddd"))</f>
        <v>Martes</v>
      </c>
      <c r="O141" s="1" t="str">
        <f>PROPER(TEXT(BBDD_fashion_boutique[[#This Row],[purchase_date]],"mmmm"))</f>
        <v>Octubre</v>
      </c>
      <c r="P141" s="4">
        <v>31</v>
      </c>
      <c r="Q141" s="2">
        <v>4.0999999999999996</v>
      </c>
      <c r="R141" t="str">
        <f>IF(BBDD_fashion_boutique[[#This Row],[stock_quantity]]&gt;9,"Ok",IF(BBDD_fashion_boutique[[#This Row],[stock_quantity]]=0,"Agotado","Pocas Unidades"))</f>
        <v>Ok</v>
      </c>
      <c r="S141" s="3">
        <f>IF(BBDD_fashion_boutique[[#This Row],[customer_rating]]="","No valorado",BBDD_fashion_boutique[[#This Row],[customer_rating]])</f>
        <v>4.0999999999999996</v>
      </c>
      <c r="T141" t="s">
        <v>41</v>
      </c>
      <c r="U141" t="s">
        <v>79</v>
      </c>
      <c r="V141">
        <f>IF(BBDD_fashion_boutique[[#This Row],[is_returned]]="False",0,1)</f>
        <v>1</v>
      </c>
      <c r="W141">
        <f>IF(BBDD_fashion_boutique[[#This Row],[is_returned]]="True",0,BBDD_fashion_boutique[[#This Row],[current_price]])</f>
        <v>0</v>
      </c>
      <c r="X141" t="str">
        <f>IF(BBDD_fashion_boutique[[#This Row],[return_reason]]="","No return",BBDD_fashion_boutique[[#This Row],[return_reason]])</f>
        <v>Size Issue</v>
      </c>
      <c r="Y141">
        <f>IF(IFERROR(VLOOKUP(BBDD_fashion_boutique[[#This Row],[product_id]],A142:A2317,1,FALSE),0),1,0)</f>
        <v>0</v>
      </c>
    </row>
    <row r="142" spans="1:25" x14ac:dyDescent="0.3">
      <c r="A142" t="s">
        <v>201</v>
      </c>
      <c r="B142" t="s">
        <v>48</v>
      </c>
      <c r="C142" t="s">
        <v>59</v>
      </c>
      <c r="D142" t="s">
        <v>21</v>
      </c>
      <c r="E142" t="s">
        <v>61</v>
      </c>
      <c r="F142" t="str">
        <f>IF(BBDD_fashion_boutique[[#This Row],[category]]="Accessories","Accesorio",IF(BBDD_fashion_boutique[[#This Row],[size]]="","Desconocido",BBDD_fashion_boutique[[#This Row],[size]]))</f>
        <v>XS</v>
      </c>
      <c r="G142" t="s">
        <v>46</v>
      </c>
      <c r="H142" s="2">
        <v>131.5</v>
      </c>
      <c r="I142">
        <v>0</v>
      </c>
      <c r="J142" s="5">
        <f>BBDD_fashion_boutique[[#This Row],[markdown_percentage]]/100</f>
        <v>0</v>
      </c>
      <c r="K142" s="2">
        <v>131.5</v>
      </c>
      <c r="L142" s="2">
        <f>BBDD_fashion_boutique[[#This Row],[original_price]]-BBDD_fashion_boutique[[#This Row],[current_price]]</f>
        <v>0</v>
      </c>
      <c r="M142" s="1">
        <v>45599</v>
      </c>
      <c r="N142" s="1" t="str">
        <f>PROPER(TEXT(BBDD_fashion_boutique[[#This Row],[purchase_date]],"dddd"))</f>
        <v>Domingo</v>
      </c>
      <c r="O142" s="1" t="str">
        <f>PROPER(TEXT(BBDD_fashion_boutique[[#This Row],[purchase_date]],"mmmm"))</f>
        <v>Noviembre</v>
      </c>
      <c r="P142" s="4">
        <v>5</v>
      </c>
      <c r="R142" t="str">
        <f>IF(BBDD_fashion_boutique[[#This Row],[stock_quantity]]&gt;9,"Ok",IF(BBDD_fashion_boutique[[#This Row],[stock_quantity]]=0,"Agotado","Pocas Unidades"))</f>
        <v>Pocas Unidades</v>
      </c>
      <c r="S142" s="3" t="str">
        <f>IF(BBDD_fashion_boutique[[#This Row],[customer_rating]]="","No valorado",BBDD_fashion_boutique[[#This Row],[customer_rating]])</f>
        <v>No valorado</v>
      </c>
      <c r="T142" t="s">
        <v>24</v>
      </c>
      <c r="V142">
        <f>IF(BBDD_fashion_boutique[[#This Row],[is_returned]]="False",0,1)</f>
        <v>0</v>
      </c>
      <c r="W142">
        <f>IF(BBDD_fashion_boutique[[#This Row],[is_returned]]="True",0,BBDD_fashion_boutique[[#This Row],[current_price]])</f>
        <v>131.5</v>
      </c>
      <c r="X142" t="str">
        <f>IF(BBDD_fashion_boutique[[#This Row],[return_reason]]="","No return",BBDD_fashion_boutique[[#This Row],[return_reason]])</f>
        <v>No return</v>
      </c>
      <c r="Y142">
        <f>IF(IFERROR(VLOOKUP(BBDD_fashion_boutique[[#This Row],[product_id]],A143:A2318,1,FALSE),0),1,0)</f>
        <v>0</v>
      </c>
    </row>
    <row r="143" spans="1:25" x14ac:dyDescent="0.3">
      <c r="A143" t="s">
        <v>202</v>
      </c>
      <c r="B143" t="s">
        <v>19</v>
      </c>
      <c r="C143" t="s">
        <v>67</v>
      </c>
      <c r="D143" t="s">
        <v>68</v>
      </c>
      <c r="E143" t="s">
        <v>64</v>
      </c>
      <c r="F143" t="str">
        <f>IF(BBDD_fashion_boutique[[#This Row],[category]]="Accessories","Accesorio",IF(BBDD_fashion_boutique[[#This Row],[size]]="","Desconocido",BBDD_fashion_boutique[[#This Row],[size]]))</f>
        <v>M</v>
      </c>
      <c r="G143" t="s">
        <v>50</v>
      </c>
      <c r="H143" s="2">
        <v>133.26</v>
      </c>
      <c r="I143">
        <v>0</v>
      </c>
      <c r="J143" s="5">
        <f>BBDD_fashion_boutique[[#This Row],[markdown_percentage]]/100</f>
        <v>0</v>
      </c>
      <c r="K143" s="2">
        <v>133.26</v>
      </c>
      <c r="L143" s="2">
        <f>BBDD_fashion_boutique[[#This Row],[original_price]]-BBDD_fashion_boutique[[#This Row],[current_price]]</f>
        <v>0</v>
      </c>
      <c r="M143" s="1">
        <v>45875</v>
      </c>
      <c r="N143" s="1" t="str">
        <f>PROPER(TEXT(BBDD_fashion_boutique[[#This Row],[purchase_date]],"dddd"))</f>
        <v>Miércoles</v>
      </c>
      <c r="O143" s="1" t="str">
        <f>PROPER(TEXT(BBDD_fashion_boutique[[#This Row],[purchase_date]],"mmmm"))</f>
        <v>Agosto</v>
      </c>
      <c r="P143" s="4">
        <v>29</v>
      </c>
      <c r="Q143" s="2">
        <v>1.3</v>
      </c>
      <c r="R143" t="str">
        <f>IF(BBDD_fashion_boutique[[#This Row],[stock_quantity]]&gt;9,"Ok",IF(BBDD_fashion_boutique[[#This Row],[stock_quantity]]=0,"Agotado","Pocas Unidades"))</f>
        <v>Ok</v>
      </c>
      <c r="S143" s="3">
        <f>IF(BBDD_fashion_boutique[[#This Row],[customer_rating]]="","No valorado",BBDD_fashion_boutique[[#This Row],[customer_rating]])</f>
        <v>1.3</v>
      </c>
      <c r="T143" t="s">
        <v>24</v>
      </c>
      <c r="V143">
        <f>IF(BBDD_fashion_boutique[[#This Row],[is_returned]]="False",0,1)</f>
        <v>0</v>
      </c>
      <c r="W143">
        <f>IF(BBDD_fashion_boutique[[#This Row],[is_returned]]="True",0,BBDD_fashion_boutique[[#This Row],[current_price]])</f>
        <v>133.26</v>
      </c>
      <c r="X143" t="str">
        <f>IF(BBDD_fashion_boutique[[#This Row],[return_reason]]="","No return",BBDD_fashion_boutique[[#This Row],[return_reason]])</f>
        <v>No return</v>
      </c>
      <c r="Y143">
        <f>IF(IFERROR(VLOOKUP(BBDD_fashion_boutique[[#This Row],[product_id]],A144:A2319,1,FALSE),0),1,0)</f>
        <v>0</v>
      </c>
    </row>
    <row r="144" spans="1:25" x14ac:dyDescent="0.3">
      <c r="A144" t="s">
        <v>203</v>
      </c>
      <c r="B144" t="s">
        <v>35</v>
      </c>
      <c r="C144" t="s">
        <v>81</v>
      </c>
      <c r="D144" t="s">
        <v>28</v>
      </c>
      <c r="E144" t="s">
        <v>22</v>
      </c>
      <c r="F144" t="str">
        <f>IF(BBDD_fashion_boutique[[#This Row],[category]]="Accessories","Accesorio",IF(BBDD_fashion_boutique[[#This Row],[size]]="","Desconocido",BBDD_fashion_boutique[[#This Row],[size]]))</f>
        <v>XL</v>
      </c>
      <c r="G144" t="s">
        <v>23</v>
      </c>
      <c r="H144" s="2">
        <v>173.91</v>
      </c>
      <c r="I144">
        <v>0</v>
      </c>
      <c r="J144" s="5">
        <f>BBDD_fashion_boutique[[#This Row],[markdown_percentage]]/100</f>
        <v>0</v>
      </c>
      <c r="K144" s="2">
        <v>173.91</v>
      </c>
      <c r="L144" s="2">
        <f>BBDD_fashion_boutique[[#This Row],[original_price]]-BBDD_fashion_boutique[[#This Row],[current_price]]</f>
        <v>0</v>
      </c>
      <c r="M144" s="1">
        <v>45875</v>
      </c>
      <c r="N144" s="1" t="str">
        <f>PROPER(TEXT(BBDD_fashion_boutique[[#This Row],[purchase_date]],"dddd"))</f>
        <v>Miércoles</v>
      </c>
      <c r="O144" s="1" t="str">
        <f>PROPER(TEXT(BBDD_fashion_boutique[[#This Row],[purchase_date]],"mmmm"))</f>
        <v>Agosto</v>
      </c>
      <c r="P144" s="4">
        <v>21</v>
      </c>
      <c r="R144" t="str">
        <f>IF(BBDD_fashion_boutique[[#This Row],[stock_quantity]]&gt;9,"Ok",IF(BBDD_fashion_boutique[[#This Row],[stock_quantity]]=0,"Agotado","Pocas Unidades"))</f>
        <v>Ok</v>
      </c>
      <c r="S144" s="3" t="str">
        <f>IF(BBDD_fashion_boutique[[#This Row],[customer_rating]]="","No valorado",BBDD_fashion_boutique[[#This Row],[customer_rating]])</f>
        <v>No valorado</v>
      </c>
      <c r="T144" t="s">
        <v>24</v>
      </c>
      <c r="V144">
        <f>IF(BBDD_fashion_boutique[[#This Row],[is_returned]]="False",0,1)</f>
        <v>0</v>
      </c>
      <c r="W144">
        <f>IF(BBDD_fashion_boutique[[#This Row],[is_returned]]="True",0,BBDD_fashion_boutique[[#This Row],[current_price]])</f>
        <v>173.91</v>
      </c>
      <c r="X144" t="str">
        <f>IF(BBDD_fashion_boutique[[#This Row],[return_reason]]="","No return",BBDD_fashion_boutique[[#This Row],[return_reason]])</f>
        <v>No return</v>
      </c>
      <c r="Y144">
        <f>IF(IFERROR(VLOOKUP(BBDD_fashion_boutique[[#This Row],[product_id]],A145:A2320,1,FALSE),0),1,0)</f>
        <v>0</v>
      </c>
    </row>
    <row r="145" spans="1:25" x14ac:dyDescent="0.3">
      <c r="A145" t="s">
        <v>204</v>
      </c>
      <c r="B145" t="s">
        <v>26</v>
      </c>
      <c r="C145" t="s">
        <v>54</v>
      </c>
      <c r="D145" t="s">
        <v>21</v>
      </c>
      <c r="E145" t="s">
        <v>29</v>
      </c>
      <c r="F145" t="str">
        <f>IF(BBDD_fashion_boutique[[#This Row],[category]]="Accessories","Accesorio",IF(BBDD_fashion_boutique[[#This Row],[size]]="","Desconocido",BBDD_fashion_boutique[[#This Row],[size]]))</f>
        <v>L</v>
      </c>
      <c r="G145" t="s">
        <v>62</v>
      </c>
      <c r="H145" s="2">
        <v>102.99</v>
      </c>
      <c r="I145">
        <v>0</v>
      </c>
      <c r="J145" s="5">
        <f>BBDD_fashion_boutique[[#This Row],[markdown_percentage]]/100</f>
        <v>0</v>
      </c>
      <c r="K145" s="2">
        <v>102.99</v>
      </c>
      <c r="L145" s="2">
        <f>BBDD_fashion_boutique[[#This Row],[original_price]]-BBDD_fashion_boutique[[#This Row],[current_price]]</f>
        <v>0</v>
      </c>
      <c r="M145" s="1">
        <v>45854</v>
      </c>
      <c r="N145" s="1" t="str">
        <f>PROPER(TEXT(BBDD_fashion_boutique[[#This Row],[purchase_date]],"dddd"))</f>
        <v>Miércoles</v>
      </c>
      <c r="O145" s="1" t="str">
        <f>PROPER(TEXT(BBDD_fashion_boutique[[#This Row],[purchase_date]],"mmmm"))</f>
        <v>Julio</v>
      </c>
      <c r="P145" s="4">
        <v>41</v>
      </c>
      <c r="Q145" s="2">
        <v>3.9</v>
      </c>
      <c r="R145" t="str">
        <f>IF(BBDD_fashion_boutique[[#This Row],[stock_quantity]]&gt;9,"Ok",IF(BBDD_fashion_boutique[[#This Row],[stock_quantity]]=0,"Agotado","Pocas Unidades"))</f>
        <v>Ok</v>
      </c>
      <c r="S145" s="3">
        <f>IF(BBDD_fashion_boutique[[#This Row],[customer_rating]]="","No valorado",BBDD_fashion_boutique[[#This Row],[customer_rating]])</f>
        <v>3.9</v>
      </c>
      <c r="T145" t="s">
        <v>24</v>
      </c>
      <c r="V145">
        <f>IF(BBDD_fashion_boutique[[#This Row],[is_returned]]="False",0,1)</f>
        <v>0</v>
      </c>
      <c r="W145">
        <f>IF(BBDD_fashion_boutique[[#This Row],[is_returned]]="True",0,BBDD_fashion_boutique[[#This Row],[current_price]])</f>
        <v>102.99</v>
      </c>
      <c r="X145" t="str">
        <f>IF(BBDD_fashion_boutique[[#This Row],[return_reason]]="","No return",BBDD_fashion_boutique[[#This Row],[return_reason]])</f>
        <v>No return</v>
      </c>
      <c r="Y145">
        <f>IF(IFERROR(VLOOKUP(BBDD_fashion_boutique[[#This Row],[product_id]],A146:A2321,1,FALSE),0),1,0)</f>
        <v>0</v>
      </c>
    </row>
    <row r="146" spans="1:25" x14ac:dyDescent="0.3">
      <c r="A146" t="s">
        <v>205</v>
      </c>
      <c r="B146" t="s">
        <v>19</v>
      </c>
      <c r="C146" t="s">
        <v>20</v>
      </c>
      <c r="D146" t="s">
        <v>21</v>
      </c>
      <c r="E146" t="s">
        <v>29</v>
      </c>
      <c r="F146" t="str">
        <f>IF(BBDD_fashion_boutique[[#This Row],[category]]="Accessories","Accesorio",IF(BBDD_fashion_boutique[[#This Row],[size]]="","Desconocido",BBDD_fashion_boutique[[#This Row],[size]]))</f>
        <v>L</v>
      </c>
      <c r="G146" t="s">
        <v>62</v>
      </c>
      <c r="H146" s="2">
        <v>87.78</v>
      </c>
      <c r="I146">
        <v>45.3</v>
      </c>
      <c r="J146" s="5">
        <f>BBDD_fashion_boutique[[#This Row],[markdown_percentage]]/100</f>
        <v>0.45299999999999996</v>
      </c>
      <c r="K146" s="2">
        <v>48.02</v>
      </c>
      <c r="L146" s="2">
        <f>BBDD_fashion_boutique[[#This Row],[original_price]]-BBDD_fashion_boutique[[#This Row],[current_price]]</f>
        <v>39.76</v>
      </c>
      <c r="M146" s="1">
        <v>45705</v>
      </c>
      <c r="N146" s="1" t="str">
        <f>PROPER(TEXT(BBDD_fashion_boutique[[#This Row],[purchase_date]],"dddd"))</f>
        <v>Lunes</v>
      </c>
      <c r="O146" s="1" t="str">
        <f>PROPER(TEXT(BBDD_fashion_boutique[[#This Row],[purchase_date]],"mmmm"))</f>
        <v>Febrero</v>
      </c>
      <c r="P146" s="4">
        <v>34</v>
      </c>
      <c r="Q146" s="2">
        <v>1.8</v>
      </c>
      <c r="R146" t="str">
        <f>IF(BBDD_fashion_boutique[[#This Row],[stock_quantity]]&gt;9,"Ok",IF(BBDD_fashion_boutique[[#This Row],[stock_quantity]]=0,"Agotado","Pocas Unidades"))</f>
        <v>Ok</v>
      </c>
      <c r="S146" s="3">
        <f>IF(BBDD_fashion_boutique[[#This Row],[customer_rating]]="","No valorado",BBDD_fashion_boutique[[#This Row],[customer_rating]])</f>
        <v>1.8</v>
      </c>
      <c r="T146" t="s">
        <v>24</v>
      </c>
      <c r="V146">
        <f>IF(BBDD_fashion_boutique[[#This Row],[is_returned]]="False",0,1)</f>
        <v>0</v>
      </c>
      <c r="W146">
        <f>IF(BBDD_fashion_boutique[[#This Row],[is_returned]]="True",0,BBDD_fashion_boutique[[#This Row],[current_price]])</f>
        <v>48.02</v>
      </c>
      <c r="X146" t="str">
        <f>IF(BBDD_fashion_boutique[[#This Row],[return_reason]]="","No return",BBDD_fashion_boutique[[#This Row],[return_reason]])</f>
        <v>No return</v>
      </c>
      <c r="Y146">
        <f>IF(IFERROR(VLOOKUP(BBDD_fashion_boutique[[#This Row],[product_id]],A147:A2322,1,FALSE),0),1,0)</f>
        <v>0</v>
      </c>
    </row>
    <row r="147" spans="1:25" x14ac:dyDescent="0.3">
      <c r="A147" t="s">
        <v>206</v>
      </c>
      <c r="B147" t="s">
        <v>26</v>
      </c>
      <c r="C147" t="s">
        <v>27</v>
      </c>
      <c r="D147" t="s">
        <v>28</v>
      </c>
      <c r="F147" t="str">
        <f>IF(BBDD_fashion_boutique[[#This Row],[category]]="Accessories","Accesorio",IF(BBDD_fashion_boutique[[#This Row],[size]]="","Desconocido",BBDD_fashion_boutique[[#This Row],[size]]))</f>
        <v>Desconocido</v>
      </c>
      <c r="G147" t="s">
        <v>62</v>
      </c>
      <c r="H147" s="2">
        <v>91.8</v>
      </c>
      <c r="I147">
        <v>15.8</v>
      </c>
      <c r="J147" s="5">
        <f>BBDD_fashion_boutique[[#This Row],[markdown_percentage]]/100</f>
        <v>0.158</v>
      </c>
      <c r="K147" s="2">
        <v>77.3</v>
      </c>
      <c r="L147" s="2">
        <f>BBDD_fashion_boutique[[#This Row],[original_price]]-BBDD_fashion_boutique[[#This Row],[current_price]]</f>
        <v>14.5</v>
      </c>
      <c r="M147" s="1">
        <v>45875</v>
      </c>
      <c r="N147" s="1" t="str">
        <f>PROPER(TEXT(BBDD_fashion_boutique[[#This Row],[purchase_date]],"dddd"))</f>
        <v>Miércoles</v>
      </c>
      <c r="O147" s="1" t="str">
        <f>PROPER(TEXT(BBDD_fashion_boutique[[#This Row],[purchase_date]],"mmmm"))</f>
        <v>Agosto</v>
      </c>
      <c r="P147" s="4">
        <v>30</v>
      </c>
      <c r="Q147" s="2">
        <v>4.2</v>
      </c>
      <c r="R147" t="str">
        <f>IF(BBDD_fashion_boutique[[#This Row],[stock_quantity]]&gt;9,"Ok",IF(BBDD_fashion_boutique[[#This Row],[stock_quantity]]=0,"Agotado","Pocas Unidades"))</f>
        <v>Ok</v>
      </c>
      <c r="S147" s="3">
        <f>IF(BBDD_fashion_boutique[[#This Row],[customer_rating]]="","No valorado",BBDD_fashion_boutique[[#This Row],[customer_rating]])</f>
        <v>4.2</v>
      </c>
      <c r="T147" t="s">
        <v>24</v>
      </c>
      <c r="V147">
        <f>IF(BBDD_fashion_boutique[[#This Row],[is_returned]]="False",0,1)</f>
        <v>0</v>
      </c>
      <c r="W147">
        <f>IF(BBDD_fashion_boutique[[#This Row],[is_returned]]="True",0,BBDD_fashion_boutique[[#This Row],[current_price]])</f>
        <v>77.3</v>
      </c>
      <c r="X147" t="str">
        <f>IF(BBDD_fashion_boutique[[#This Row],[return_reason]]="","No return",BBDD_fashion_boutique[[#This Row],[return_reason]])</f>
        <v>No return</v>
      </c>
      <c r="Y147">
        <f>IF(IFERROR(VLOOKUP(BBDD_fashion_boutique[[#This Row],[product_id]],A148:A2323,1,FALSE),0),1,0)</f>
        <v>0</v>
      </c>
    </row>
    <row r="148" spans="1:25" x14ac:dyDescent="0.3">
      <c r="A148" t="s">
        <v>207</v>
      </c>
      <c r="B148" t="s">
        <v>26</v>
      </c>
      <c r="C148" t="s">
        <v>20</v>
      </c>
      <c r="D148" t="s">
        <v>28</v>
      </c>
      <c r="E148" t="s">
        <v>29</v>
      </c>
      <c r="F148" t="str">
        <f>IF(BBDD_fashion_boutique[[#This Row],[category]]="Accessories","Accesorio",IF(BBDD_fashion_boutique[[#This Row],[size]]="","Desconocido",BBDD_fashion_boutique[[#This Row],[size]]))</f>
        <v>L</v>
      </c>
      <c r="G148" t="s">
        <v>40</v>
      </c>
      <c r="H148" s="2">
        <v>107.32</v>
      </c>
      <c r="I148">
        <v>25.4</v>
      </c>
      <c r="J148" s="5">
        <f>BBDD_fashion_boutique[[#This Row],[markdown_percentage]]/100</f>
        <v>0.254</v>
      </c>
      <c r="K148" s="2">
        <v>80.06</v>
      </c>
      <c r="L148" s="2">
        <f>BBDD_fashion_boutique[[#This Row],[original_price]]-BBDD_fashion_boutique[[#This Row],[current_price]]</f>
        <v>27.259999999999991</v>
      </c>
      <c r="M148" s="1">
        <v>45875</v>
      </c>
      <c r="N148" s="1" t="str">
        <f>PROPER(TEXT(BBDD_fashion_boutique[[#This Row],[purchase_date]],"dddd"))</f>
        <v>Miércoles</v>
      </c>
      <c r="O148" s="1" t="str">
        <f>PROPER(TEXT(BBDD_fashion_boutique[[#This Row],[purchase_date]],"mmmm"))</f>
        <v>Agosto</v>
      </c>
      <c r="P148" s="4">
        <v>50</v>
      </c>
      <c r="Q148" s="2">
        <v>4.4000000000000004</v>
      </c>
      <c r="R148" t="str">
        <f>IF(BBDD_fashion_boutique[[#This Row],[stock_quantity]]&gt;9,"Ok",IF(BBDD_fashion_boutique[[#This Row],[stock_quantity]]=0,"Agotado","Pocas Unidades"))</f>
        <v>Ok</v>
      </c>
      <c r="S148" s="3">
        <f>IF(BBDD_fashion_boutique[[#This Row],[customer_rating]]="","No valorado",BBDD_fashion_boutique[[#This Row],[customer_rating]])</f>
        <v>4.4000000000000004</v>
      </c>
      <c r="T148" t="s">
        <v>24</v>
      </c>
      <c r="V148">
        <f>IF(BBDD_fashion_boutique[[#This Row],[is_returned]]="False",0,1)</f>
        <v>0</v>
      </c>
      <c r="W148">
        <f>IF(BBDD_fashion_boutique[[#This Row],[is_returned]]="True",0,BBDD_fashion_boutique[[#This Row],[current_price]])</f>
        <v>80.06</v>
      </c>
      <c r="X148" t="str">
        <f>IF(BBDD_fashion_boutique[[#This Row],[return_reason]]="","No return",BBDD_fashion_boutique[[#This Row],[return_reason]])</f>
        <v>No return</v>
      </c>
      <c r="Y148">
        <f>IF(IFERROR(VLOOKUP(BBDD_fashion_boutique[[#This Row],[product_id]],A149:A2324,1,FALSE),0),1,0)</f>
        <v>0</v>
      </c>
    </row>
    <row r="149" spans="1:25" x14ac:dyDescent="0.3">
      <c r="A149" t="s">
        <v>208</v>
      </c>
      <c r="B149" t="s">
        <v>44</v>
      </c>
      <c r="C149" t="s">
        <v>37</v>
      </c>
      <c r="D149" t="s">
        <v>21</v>
      </c>
      <c r="E149" t="s">
        <v>55</v>
      </c>
      <c r="F149" t="str">
        <f>IF(BBDD_fashion_boutique[[#This Row],[category]]="Accessories","Accesorio",IF(BBDD_fashion_boutique[[#This Row],[size]]="","Desconocido",BBDD_fashion_boutique[[#This Row],[size]]))</f>
        <v>XXL</v>
      </c>
      <c r="G149" t="s">
        <v>76</v>
      </c>
      <c r="H149" s="2">
        <v>67.69</v>
      </c>
      <c r="I149">
        <v>57.3</v>
      </c>
      <c r="J149" s="5">
        <f>BBDD_fashion_boutique[[#This Row],[markdown_percentage]]/100</f>
        <v>0.57299999999999995</v>
      </c>
      <c r="K149" s="2">
        <v>28.9</v>
      </c>
      <c r="L149" s="2">
        <f>BBDD_fashion_boutique[[#This Row],[original_price]]-BBDD_fashion_boutique[[#This Row],[current_price]]</f>
        <v>38.79</v>
      </c>
      <c r="M149" s="1">
        <v>45862</v>
      </c>
      <c r="N149" s="1" t="str">
        <f>PROPER(TEXT(BBDD_fashion_boutique[[#This Row],[purchase_date]],"dddd"))</f>
        <v>Jueves</v>
      </c>
      <c r="O149" s="1" t="str">
        <f>PROPER(TEXT(BBDD_fashion_boutique[[#This Row],[purchase_date]],"mmmm"))</f>
        <v>Julio</v>
      </c>
      <c r="P149" s="4">
        <v>50</v>
      </c>
      <c r="Q149" s="2">
        <v>4.5999999999999996</v>
      </c>
      <c r="R149" t="str">
        <f>IF(BBDD_fashion_boutique[[#This Row],[stock_quantity]]&gt;9,"Ok",IF(BBDD_fashion_boutique[[#This Row],[stock_quantity]]=0,"Agotado","Pocas Unidades"))</f>
        <v>Ok</v>
      </c>
      <c r="S149" s="3">
        <f>IF(BBDD_fashion_boutique[[#This Row],[customer_rating]]="","No valorado",BBDD_fashion_boutique[[#This Row],[customer_rating]])</f>
        <v>4.5999999999999996</v>
      </c>
      <c r="T149" t="s">
        <v>24</v>
      </c>
      <c r="V149">
        <f>IF(BBDD_fashion_boutique[[#This Row],[is_returned]]="False",0,1)</f>
        <v>0</v>
      </c>
      <c r="W149">
        <f>IF(BBDD_fashion_boutique[[#This Row],[is_returned]]="True",0,BBDD_fashion_boutique[[#This Row],[current_price]])</f>
        <v>28.9</v>
      </c>
      <c r="X149" t="str">
        <f>IF(BBDD_fashion_boutique[[#This Row],[return_reason]]="","No return",BBDD_fashion_boutique[[#This Row],[return_reason]])</f>
        <v>No return</v>
      </c>
      <c r="Y149">
        <f>IF(IFERROR(VLOOKUP(BBDD_fashion_boutique[[#This Row],[product_id]],A150:A2325,1,FALSE),0),1,0)</f>
        <v>0</v>
      </c>
    </row>
    <row r="150" spans="1:25" x14ac:dyDescent="0.3">
      <c r="A150" t="s">
        <v>209</v>
      </c>
      <c r="B150" t="s">
        <v>26</v>
      </c>
      <c r="C150" t="s">
        <v>59</v>
      </c>
      <c r="D150" t="s">
        <v>68</v>
      </c>
      <c r="E150" t="s">
        <v>64</v>
      </c>
      <c r="F150" t="str">
        <f>IF(BBDD_fashion_boutique[[#This Row],[category]]="Accessories","Accesorio",IF(BBDD_fashion_boutique[[#This Row],[size]]="","Desconocido",BBDD_fashion_boutique[[#This Row],[size]]))</f>
        <v>M</v>
      </c>
      <c r="G150" t="s">
        <v>62</v>
      </c>
      <c r="H150" s="2">
        <v>68.11</v>
      </c>
      <c r="I150">
        <v>46</v>
      </c>
      <c r="J150" s="5">
        <f>BBDD_fashion_boutique[[#This Row],[markdown_percentage]]/100</f>
        <v>0.46</v>
      </c>
      <c r="K150" s="2">
        <v>36.78</v>
      </c>
      <c r="L150" s="2">
        <f>BBDD_fashion_boutique[[#This Row],[original_price]]-BBDD_fashion_boutique[[#This Row],[current_price]]</f>
        <v>31.33</v>
      </c>
      <c r="M150" s="1">
        <v>45875</v>
      </c>
      <c r="N150" s="1" t="str">
        <f>PROPER(TEXT(BBDD_fashion_boutique[[#This Row],[purchase_date]],"dddd"))</f>
        <v>Miércoles</v>
      </c>
      <c r="O150" s="1" t="str">
        <f>PROPER(TEXT(BBDD_fashion_boutique[[#This Row],[purchase_date]],"mmmm"))</f>
        <v>Agosto</v>
      </c>
      <c r="P150" s="4">
        <v>3</v>
      </c>
      <c r="Q150" s="2">
        <v>2.5</v>
      </c>
      <c r="R150" t="str">
        <f>IF(BBDD_fashion_boutique[[#This Row],[stock_quantity]]&gt;9,"Ok",IF(BBDD_fashion_boutique[[#This Row],[stock_quantity]]=0,"Agotado","Pocas Unidades"))</f>
        <v>Pocas Unidades</v>
      </c>
      <c r="S150" s="3">
        <f>IF(BBDD_fashion_boutique[[#This Row],[customer_rating]]="","No valorado",BBDD_fashion_boutique[[#This Row],[customer_rating]])</f>
        <v>2.5</v>
      </c>
      <c r="T150" t="s">
        <v>24</v>
      </c>
      <c r="V150">
        <f>IF(BBDD_fashion_boutique[[#This Row],[is_returned]]="False",0,1)</f>
        <v>0</v>
      </c>
      <c r="W150">
        <f>IF(BBDD_fashion_boutique[[#This Row],[is_returned]]="True",0,BBDD_fashion_boutique[[#This Row],[current_price]])</f>
        <v>36.78</v>
      </c>
      <c r="X150" t="str">
        <f>IF(BBDD_fashion_boutique[[#This Row],[return_reason]]="","No return",BBDD_fashion_boutique[[#This Row],[return_reason]])</f>
        <v>No return</v>
      </c>
      <c r="Y150">
        <f>IF(IFERROR(VLOOKUP(BBDD_fashion_boutique[[#This Row],[product_id]],A151:A2326,1,FALSE),0),1,0)</f>
        <v>0</v>
      </c>
    </row>
    <row r="151" spans="1:25" x14ac:dyDescent="0.3">
      <c r="A151" t="s">
        <v>210</v>
      </c>
      <c r="B151" t="s">
        <v>35</v>
      </c>
      <c r="C151" t="s">
        <v>37</v>
      </c>
      <c r="D151" t="s">
        <v>21</v>
      </c>
      <c r="E151" t="s">
        <v>29</v>
      </c>
      <c r="F151" t="str">
        <f>IF(BBDD_fashion_boutique[[#This Row],[category]]="Accessories","Accesorio",IF(BBDD_fashion_boutique[[#This Row],[size]]="","Desconocido",BBDD_fashion_boutique[[#This Row],[size]]))</f>
        <v>L</v>
      </c>
      <c r="G151" t="s">
        <v>50</v>
      </c>
      <c r="H151" s="2">
        <v>94.29</v>
      </c>
      <c r="I151">
        <v>0</v>
      </c>
      <c r="J151" s="5">
        <f>BBDD_fashion_boutique[[#This Row],[markdown_percentage]]/100</f>
        <v>0</v>
      </c>
      <c r="K151" s="2">
        <v>94.29</v>
      </c>
      <c r="L151" s="2">
        <f>BBDD_fashion_boutique[[#This Row],[original_price]]-BBDD_fashion_boutique[[#This Row],[current_price]]</f>
        <v>0</v>
      </c>
      <c r="M151" s="1">
        <v>45550</v>
      </c>
      <c r="N151" s="1" t="str">
        <f>PROPER(TEXT(BBDD_fashion_boutique[[#This Row],[purchase_date]],"dddd"))</f>
        <v>Domingo</v>
      </c>
      <c r="O151" s="1" t="str">
        <f>PROPER(TEXT(BBDD_fashion_boutique[[#This Row],[purchase_date]],"mmmm"))</f>
        <v>Septiembre</v>
      </c>
      <c r="P151" s="4">
        <v>18</v>
      </c>
      <c r="Q151" s="2">
        <v>1.7</v>
      </c>
      <c r="R151" t="str">
        <f>IF(BBDD_fashion_boutique[[#This Row],[stock_quantity]]&gt;9,"Ok",IF(BBDD_fashion_boutique[[#This Row],[stock_quantity]]=0,"Agotado","Pocas Unidades"))</f>
        <v>Ok</v>
      </c>
      <c r="S151" s="3">
        <f>IF(BBDD_fashion_boutique[[#This Row],[customer_rating]]="","No valorado",BBDD_fashion_boutique[[#This Row],[customer_rating]])</f>
        <v>1.7</v>
      </c>
      <c r="T151" t="s">
        <v>24</v>
      </c>
      <c r="V151">
        <f>IF(BBDD_fashion_boutique[[#This Row],[is_returned]]="False",0,1)</f>
        <v>0</v>
      </c>
      <c r="W151">
        <f>IF(BBDD_fashion_boutique[[#This Row],[is_returned]]="True",0,BBDD_fashion_boutique[[#This Row],[current_price]])</f>
        <v>94.29</v>
      </c>
      <c r="X151" t="str">
        <f>IF(BBDD_fashion_boutique[[#This Row],[return_reason]]="","No return",BBDD_fashion_boutique[[#This Row],[return_reason]])</f>
        <v>No return</v>
      </c>
      <c r="Y151">
        <f>IF(IFERROR(VLOOKUP(BBDD_fashion_boutique[[#This Row],[product_id]],A152:A2327,1,FALSE),0),1,0)</f>
        <v>0</v>
      </c>
    </row>
    <row r="152" spans="1:25" x14ac:dyDescent="0.3">
      <c r="A152" t="s">
        <v>211</v>
      </c>
      <c r="B152" t="s">
        <v>26</v>
      </c>
      <c r="C152" t="s">
        <v>59</v>
      </c>
      <c r="D152" t="s">
        <v>28</v>
      </c>
      <c r="E152" t="s">
        <v>22</v>
      </c>
      <c r="F152" t="str">
        <f>IF(BBDD_fashion_boutique[[#This Row],[category]]="Accessories","Accesorio",IF(BBDD_fashion_boutique[[#This Row],[size]]="","Desconocido",BBDD_fashion_boutique[[#This Row],[size]]))</f>
        <v>XL</v>
      </c>
      <c r="G152" t="s">
        <v>46</v>
      </c>
      <c r="H152" s="2">
        <v>94.97</v>
      </c>
      <c r="I152">
        <v>0</v>
      </c>
      <c r="J152" s="5">
        <f>BBDD_fashion_boutique[[#This Row],[markdown_percentage]]/100</f>
        <v>0</v>
      </c>
      <c r="K152" s="2">
        <v>94.97</v>
      </c>
      <c r="L152" s="2">
        <f>BBDD_fashion_boutique[[#This Row],[original_price]]-BBDD_fashion_boutique[[#This Row],[current_price]]</f>
        <v>0</v>
      </c>
      <c r="M152" s="1">
        <v>45875</v>
      </c>
      <c r="N152" s="1" t="str">
        <f>PROPER(TEXT(BBDD_fashion_boutique[[#This Row],[purchase_date]],"dddd"))</f>
        <v>Miércoles</v>
      </c>
      <c r="O152" s="1" t="str">
        <f>PROPER(TEXT(BBDD_fashion_boutique[[#This Row],[purchase_date]],"mmmm"))</f>
        <v>Agosto</v>
      </c>
      <c r="P152" s="4">
        <v>46</v>
      </c>
      <c r="Q152" s="2">
        <v>4.3</v>
      </c>
      <c r="R152" t="str">
        <f>IF(BBDD_fashion_boutique[[#This Row],[stock_quantity]]&gt;9,"Ok",IF(BBDD_fashion_boutique[[#This Row],[stock_quantity]]=0,"Agotado","Pocas Unidades"))</f>
        <v>Ok</v>
      </c>
      <c r="S152" s="3">
        <f>IF(BBDD_fashion_boutique[[#This Row],[customer_rating]]="","No valorado",BBDD_fashion_boutique[[#This Row],[customer_rating]])</f>
        <v>4.3</v>
      </c>
      <c r="T152" t="s">
        <v>24</v>
      </c>
      <c r="V152">
        <f>IF(BBDD_fashion_boutique[[#This Row],[is_returned]]="False",0,1)</f>
        <v>0</v>
      </c>
      <c r="W152">
        <f>IF(BBDD_fashion_boutique[[#This Row],[is_returned]]="True",0,BBDD_fashion_boutique[[#This Row],[current_price]])</f>
        <v>94.97</v>
      </c>
      <c r="X152" t="str">
        <f>IF(BBDD_fashion_boutique[[#This Row],[return_reason]]="","No return",BBDD_fashion_boutique[[#This Row],[return_reason]])</f>
        <v>No return</v>
      </c>
      <c r="Y152">
        <f>IF(IFERROR(VLOOKUP(BBDD_fashion_boutique[[#This Row],[product_id]],A153:A2328,1,FALSE),0),1,0)</f>
        <v>0</v>
      </c>
    </row>
    <row r="153" spans="1:25" x14ac:dyDescent="0.3">
      <c r="A153" t="s">
        <v>212</v>
      </c>
      <c r="B153" t="s">
        <v>35</v>
      </c>
      <c r="C153" t="s">
        <v>37</v>
      </c>
      <c r="D153" t="s">
        <v>28</v>
      </c>
      <c r="E153" t="s">
        <v>64</v>
      </c>
      <c r="F153" t="str">
        <f>IF(BBDD_fashion_boutique[[#This Row],[category]]="Accessories","Accesorio",IF(BBDD_fashion_boutique[[#This Row],[size]]="","Desconocido",BBDD_fashion_boutique[[#This Row],[size]]))</f>
        <v>M</v>
      </c>
      <c r="G153" t="s">
        <v>70</v>
      </c>
      <c r="H153" s="2">
        <v>65.87</v>
      </c>
      <c r="I153">
        <v>11.4</v>
      </c>
      <c r="J153" s="5">
        <f>BBDD_fashion_boutique[[#This Row],[markdown_percentage]]/100</f>
        <v>0.114</v>
      </c>
      <c r="K153" s="2">
        <v>58.36</v>
      </c>
      <c r="L153" s="2">
        <f>BBDD_fashion_boutique[[#This Row],[original_price]]-BBDD_fashion_boutique[[#This Row],[current_price]]</f>
        <v>7.5100000000000051</v>
      </c>
      <c r="M153" s="1">
        <v>45875</v>
      </c>
      <c r="N153" s="1" t="str">
        <f>PROPER(TEXT(BBDD_fashion_boutique[[#This Row],[purchase_date]],"dddd"))</f>
        <v>Miércoles</v>
      </c>
      <c r="O153" s="1" t="str">
        <f>PROPER(TEXT(BBDD_fashion_boutique[[#This Row],[purchase_date]],"mmmm"))</f>
        <v>Agosto</v>
      </c>
      <c r="P153" s="4">
        <v>15</v>
      </c>
      <c r="Q153" s="2">
        <v>3.9</v>
      </c>
      <c r="R153" t="str">
        <f>IF(BBDD_fashion_boutique[[#This Row],[stock_quantity]]&gt;9,"Ok",IF(BBDD_fashion_boutique[[#This Row],[stock_quantity]]=0,"Agotado","Pocas Unidades"))</f>
        <v>Ok</v>
      </c>
      <c r="S153" s="3">
        <f>IF(BBDD_fashion_boutique[[#This Row],[customer_rating]]="","No valorado",BBDD_fashion_boutique[[#This Row],[customer_rating]])</f>
        <v>3.9</v>
      </c>
      <c r="T153" t="s">
        <v>24</v>
      </c>
      <c r="V153">
        <f>IF(BBDD_fashion_boutique[[#This Row],[is_returned]]="False",0,1)</f>
        <v>0</v>
      </c>
      <c r="W153">
        <f>IF(BBDD_fashion_boutique[[#This Row],[is_returned]]="True",0,BBDD_fashion_boutique[[#This Row],[current_price]])</f>
        <v>58.36</v>
      </c>
      <c r="X153" t="str">
        <f>IF(BBDD_fashion_boutique[[#This Row],[return_reason]]="","No return",BBDD_fashion_boutique[[#This Row],[return_reason]])</f>
        <v>No return</v>
      </c>
      <c r="Y153">
        <f>IF(IFERROR(VLOOKUP(BBDD_fashion_boutique[[#This Row],[product_id]],A154:A2329,1,FALSE),0),1,0)</f>
        <v>0</v>
      </c>
    </row>
    <row r="154" spans="1:25" x14ac:dyDescent="0.3">
      <c r="A154" t="s">
        <v>213</v>
      </c>
      <c r="B154" t="s">
        <v>48</v>
      </c>
      <c r="C154" t="s">
        <v>20</v>
      </c>
      <c r="D154" t="s">
        <v>28</v>
      </c>
      <c r="E154" t="s">
        <v>55</v>
      </c>
      <c r="F154" t="str">
        <f>IF(BBDD_fashion_boutique[[#This Row],[category]]="Accessories","Accesorio",IF(BBDD_fashion_boutique[[#This Row],[size]]="","Desconocido",BBDD_fashion_boutique[[#This Row],[size]]))</f>
        <v>XXL</v>
      </c>
      <c r="G154" t="s">
        <v>50</v>
      </c>
      <c r="H154" s="2">
        <v>155.06</v>
      </c>
      <c r="I154">
        <v>29.4</v>
      </c>
      <c r="J154" s="5">
        <f>BBDD_fashion_boutique[[#This Row],[markdown_percentage]]/100</f>
        <v>0.29399999999999998</v>
      </c>
      <c r="K154" s="2">
        <v>109.47</v>
      </c>
      <c r="L154" s="2">
        <f>BBDD_fashion_boutique[[#This Row],[original_price]]-BBDD_fashion_boutique[[#This Row],[current_price]]</f>
        <v>45.59</v>
      </c>
      <c r="M154" s="1">
        <v>45875</v>
      </c>
      <c r="N154" s="1" t="str">
        <f>PROPER(TEXT(BBDD_fashion_boutique[[#This Row],[purchase_date]],"dddd"))</f>
        <v>Miércoles</v>
      </c>
      <c r="O154" s="1" t="str">
        <f>PROPER(TEXT(BBDD_fashion_boutique[[#This Row],[purchase_date]],"mmmm"))</f>
        <v>Agosto</v>
      </c>
      <c r="P154" s="4">
        <v>5</v>
      </c>
      <c r="Q154" s="2">
        <v>3.6</v>
      </c>
      <c r="R154" t="str">
        <f>IF(BBDD_fashion_boutique[[#This Row],[stock_quantity]]&gt;9,"Ok",IF(BBDD_fashion_boutique[[#This Row],[stock_quantity]]=0,"Agotado","Pocas Unidades"))</f>
        <v>Pocas Unidades</v>
      </c>
      <c r="S154" s="3">
        <f>IF(BBDD_fashion_boutique[[#This Row],[customer_rating]]="","No valorado",BBDD_fashion_boutique[[#This Row],[customer_rating]])</f>
        <v>3.6</v>
      </c>
      <c r="T154" t="s">
        <v>24</v>
      </c>
      <c r="V154">
        <f>IF(BBDD_fashion_boutique[[#This Row],[is_returned]]="False",0,1)</f>
        <v>0</v>
      </c>
      <c r="W154">
        <f>IF(BBDD_fashion_boutique[[#This Row],[is_returned]]="True",0,BBDD_fashion_boutique[[#This Row],[current_price]])</f>
        <v>109.47</v>
      </c>
      <c r="X154" t="str">
        <f>IF(BBDD_fashion_boutique[[#This Row],[return_reason]]="","No return",BBDD_fashion_boutique[[#This Row],[return_reason]])</f>
        <v>No return</v>
      </c>
      <c r="Y154">
        <f>IF(IFERROR(VLOOKUP(BBDD_fashion_boutique[[#This Row],[product_id]],A155:A2330,1,FALSE),0),1,0)</f>
        <v>0</v>
      </c>
    </row>
    <row r="155" spans="1:25" x14ac:dyDescent="0.3">
      <c r="A155" t="s">
        <v>214</v>
      </c>
      <c r="B155" t="s">
        <v>19</v>
      </c>
      <c r="C155" t="s">
        <v>20</v>
      </c>
      <c r="D155" t="s">
        <v>28</v>
      </c>
      <c r="E155" t="s">
        <v>29</v>
      </c>
      <c r="F155" t="str">
        <f>IF(BBDD_fashion_boutique[[#This Row],[category]]="Accessories","Accesorio",IF(BBDD_fashion_boutique[[#This Row],[size]]="","Desconocido",BBDD_fashion_boutique[[#This Row],[size]]))</f>
        <v>L</v>
      </c>
      <c r="G155" t="s">
        <v>76</v>
      </c>
      <c r="H155" s="2">
        <v>172.59</v>
      </c>
      <c r="I155">
        <v>0</v>
      </c>
      <c r="J155" s="5">
        <f>BBDD_fashion_boutique[[#This Row],[markdown_percentage]]/100</f>
        <v>0</v>
      </c>
      <c r="K155" s="2">
        <v>172.59</v>
      </c>
      <c r="L155" s="2">
        <f>BBDD_fashion_boutique[[#This Row],[original_price]]-BBDD_fashion_boutique[[#This Row],[current_price]]</f>
        <v>0</v>
      </c>
      <c r="M155" s="1">
        <v>45875</v>
      </c>
      <c r="N155" s="1" t="str">
        <f>PROPER(TEXT(BBDD_fashion_boutique[[#This Row],[purchase_date]],"dddd"))</f>
        <v>Miércoles</v>
      </c>
      <c r="O155" s="1" t="str">
        <f>PROPER(TEXT(BBDD_fashion_boutique[[#This Row],[purchase_date]],"mmmm"))</f>
        <v>Agosto</v>
      </c>
      <c r="P155" s="4">
        <v>1</v>
      </c>
      <c r="Q155" s="2">
        <v>2.1</v>
      </c>
      <c r="R155" t="str">
        <f>IF(BBDD_fashion_boutique[[#This Row],[stock_quantity]]&gt;9,"Ok",IF(BBDD_fashion_boutique[[#This Row],[stock_quantity]]=0,"Agotado","Pocas Unidades"))</f>
        <v>Pocas Unidades</v>
      </c>
      <c r="S155" s="3">
        <f>IF(BBDD_fashion_boutique[[#This Row],[customer_rating]]="","No valorado",BBDD_fashion_boutique[[#This Row],[customer_rating]])</f>
        <v>2.1</v>
      </c>
      <c r="T155" t="s">
        <v>24</v>
      </c>
      <c r="V155">
        <f>IF(BBDD_fashion_boutique[[#This Row],[is_returned]]="False",0,1)</f>
        <v>0</v>
      </c>
      <c r="W155">
        <f>IF(BBDD_fashion_boutique[[#This Row],[is_returned]]="True",0,BBDD_fashion_boutique[[#This Row],[current_price]])</f>
        <v>172.59</v>
      </c>
      <c r="X155" t="str">
        <f>IF(BBDD_fashion_boutique[[#This Row],[return_reason]]="","No return",BBDD_fashion_boutique[[#This Row],[return_reason]])</f>
        <v>No return</v>
      </c>
      <c r="Y155">
        <f>IF(IFERROR(VLOOKUP(BBDD_fashion_boutique[[#This Row],[product_id]],A156:A2331,1,FALSE),0),1,0)</f>
        <v>0</v>
      </c>
    </row>
    <row r="156" spans="1:25" x14ac:dyDescent="0.3">
      <c r="A156" t="s">
        <v>215</v>
      </c>
      <c r="B156" t="s">
        <v>48</v>
      </c>
      <c r="C156" t="s">
        <v>54</v>
      </c>
      <c r="D156" t="s">
        <v>68</v>
      </c>
      <c r="E156" t="s">
        <v>64</v>
      </c>
      <c r="F156" t="str">
        <f>IF(BBDD_fashion_boutique[[#This Row],[category]]="Accessories","Accesorio",IF(BBDD_fashion_boutique[[#This Row],[size]]="","Desconocido",BBDD_fashion_boutique[[#This Row],[size]]))</f>
        <v>M</v>
      </c>
      <c r="G156" t="s">
        <v>50</v>
      </c>
      <c r="H156" s="2">
        <v>68.72</v>
      </c>
      <c r="I156">
        <v>0</v>
      </c>
      <c r="J156" s="5">
        <f>BBDD_fashion_boutique[[#This Row],[markdown_percentage]]/100</f>
        <v>0</v>
      </c>
      <c r="K156" s="2">
        <v>68.72</v>
      </c>
      <c r="L156" s="2">
        <f>BBDD_fashion_boutique[[#This Row],[original_price]]-BBDD_fashion_boutique[[#This Row],[current_price]]</f>
        <v>0</v>
      </c>
      <c r="M156" s="1">
        <v>45875</v>
      </c>
      <c r="N156" s="1" t="str">
        <f>PROPER(TEXT(BBDD_fashion_boutique[[#This Row],[purchase_date]],"dddd"))</f>
        <v>Miércoles</v>
      </c>
      <c r="O156" s="1" t="str">
        <f>PROPER(TEXT(BBDD_fashion_boutique[[#This Row],[purchase_date]],"mmmm"))</f>
        <v>Agosto</v>
      </c>
      <c r="P156" s="4">
        <v>28</v>
      </c>
      <c r="Q156" s="2">
        <v>1.7</v>
      </c>
      <c r="R156" t="str">
        <f>IF(BBDD_fashion_boutique[[#This Row],[stock_quantity]]&gt;9,"Ok",IF(BBDD_fashion_boutique[[#This Row],[stock_quantity]]=0,"Agotado","Pocas Unidades"))</f>
        <v>Ok</v>
      </c>
      <c r="S156" s="3">
        <f>IF(BBDD_fashion_boutique[[#This Row],[customer_rating]]="","No valorado",BBDD_fashion_boutique[[#This Row],[customer_rating]])</f>
        <v>1.7</v>
      </c>
      <c r="T156" t="s">
        <v>41</v>
      </c>
      <c r="U156" t="s">
        <v>89</v>
      </c>
      <c r="V156">
        <f>IF(BBDD_fashion_boutique[[#This Row],[is_returned]]="False",0,1)</f>
        <v>1</v>
      </c>
      <c r="W156">
        <f>IF(BBDD_fashion_boutique[[#This Row],[is_returned]]="True",0,BBDD_fashion_boutique[[#This Row],[current_price]])</f>
        <v>0</v>
      </c>
      <c r="X156" t="str">
        <f>IF(BBDD_fashion_boutique[[#This Row],[return_reason]]="","No return",BBDD_fashion_boutique[[#This Row],[return_reason]])</f>
        <v>Quality Issue</v>
      </c>
      <c r="Y156">
        <f>IF(IFERROR(VLOOKUP(BBDD_fashion_boutique[[#This Row],[product_id]],A157:A2332,1,FALSE),0),1,0)</f>
        <v>0</v>
      </c>
    </row>
    <row r="157" spans="1:25" x14ac:dyDescent="0.3">
      <c r="A157" t="s">
        <v>216</v>
      </c>
      <c r="B157" t="s">
        <v>26</v>
      </c>
      <c r="C157" t="s">
        <v>37</v>
      </c>
      <c r="D157" t="s">
        <v>21</v>
      </c>
      <c r="E157" t="s">
        <v>22</v>
      </c>
      <c r="F157" t="str">
        <f>IF(BBDD_fashion_boutique[[#This Row],[category]]="Accessories","Accesorio",IF(BBDD_fashion_boutique[[#This Row],[size]]="","Desconocido",BBDD_fashion_boutique[[#This Row],[size]]))</f>
        <v>XL</v>
      </c>
      <c r="G157" t="s">
        <v>50</v>
      </c>
      <c r="H157" s="2">
        <v>28.78</v>
      </c>
      <c r="I157">
        <v>0</v>
      </c>
      <c r="J157" s="5">
        <f>BBDD_fashion_boutique[[#This Row],[markdown_percentage]]/100</f>
        <v>0</v>
      </c>
      <c r="K157" s="2">
        <v>28.78</v>
      </c>
      <c r="L157" s="2">
        <f>BBDD_fashion_boutique[[#This Row],[original_price]]-BBDD_fashion_boutique[[#This Row],[current_price]]</f>
        <v>0</v>
      </c>
      <c r="M157" s="1">
        <v>45568</v>
      </c>
      <c r="N157" s="1" t="str">
        <f>PROPER(TEXT(BBDD_fashion_boutique[[#This Row],[purchase_date]],"dddd"))</f>
        <v>Jueves</v>
      </c>
      <c r="O157" s="1" t="str">
        <f>PROPER(TEXT(BBDD_fashion_boutique[[#This Row],[purchase_date]],"mmmm"))</f>
        <v>Octubre</v>
      </c>
      <c r="P157" s="4">
        <v>21</v>
      </c>
      <c r="R157" t="str">
        <f>IF(BBDD_fashion_boutique[[#This Row],[stock_quantity]]&gt;9,"Ok",IF(BBDD_fashion_boutique[[#This Row],[stock_quantity]]=0,"Agotado","Pocas Unidades"))</f>
        <v>Ok</v>
      </c>
      <c r="S157" s="3" t="str">
        <f>IF(BBDD_fashion_boutique[[#This Row],[customer_rating]]="","No valorado",BBDD_fashion_boutique[[#This Row],[customer_rating]])</f>
        <v>No valorado</v>
      </c>
      <c r="T157" t="s">
        <v>24</v>
      </c>
      <c r="V157">
        <f>IF(BBDD_fashion_boutique[[#This Row],[is_returned]]="False",0,1)</f>
        <v>0</v>
      </c>
      <c r="W157">
        <f>IF(BBDD_fashion_boutique[[#This Row],[is_returned]]="True",0,BBDD_fashion_boutique[[#This Row],[current_price]])</f>
        <v>28.78</v>
      </c>
      <c r="X157" t="str">
        <f>IF(BBDD_fashion_boutique[[#This Row],[return_reason]]="","No return",BBDD_fashion_boutique[[#This Row],[return_reason]])</f>
        <v>No return</v>
      </c>
      <c r="Y157">
        <f>IF(IFERROR(VLOOKUP(BBDD_fashion_boutique[[#This Row],[product_id]],A158:A2333,1,FALSE),0),1,0)</f>
        <v>0</v>
      </c>
    </row>
    <row r="158" spans="1:25" x14ac:dyDescent="0.3">
      <c r="A158" t="s">
        <v>217</v>
      </c>
      <c r="B158" t="s">
        <v>19</v>
      </c>
      <c r="C158" t="s">
        <v>54</v>
      </c>
      <c r="D158" t="s">
        <v>28</v>
      </c>
      <c r="E158" t="s">
        <v>55</v>
      </c>
      <c r="F158" t="str">
        <f>IF(BBDD_fashion_boutique[[#This Row],[category]]="Accessories","Accesorio",IF(BBDD_fashion_boutique[[#This Row],[size]]="","Desconocido",BBDD_fashion_boutique[[#This Row],[size]]))</f>
        <v>XXL</v>
      </c>
      <c r="G158" t="s">
        <v>33</v>
      </c>
      <c r="H158" s="2">
        <v>110.32</v>
      </c>
      <c r="I158">
        <v>28.3</v>
      </c>
      <c r="J158" s="5">
        <f>BBDD_fashion_boutique[[#This Row],[markdown_percentage]]/100</f>
        <v>0.28300000000000003</v>
      </c>
      <c r="K158" s="2">
        <v>79.099999999999994</v>
      </c>
      <c r="L158" s="2">
        <f>BBDD_fashion_boutique[[#This Row],[original_price]]-BBDD_fashion_boutique[[#This Row],[current_price]]</f>
        <v>31.22</v>
      </c>
      <c r="M158" s="1">
        <v>45875</v>
      </c>
      <c r="N158" s="1" t="str">
        <f>PROPER(TEXT(BBDD_fashion_boutique[[#This Row],[purchase_date]],"dddd"))</f>
        <v>Miércoles</v>
      </c>
      <c r="O158" s="1" t="str">
        <f>PROPER(TEXT(BBDD_fashion_boutique[[#This Row],[purchase_date]],"mmmm"))</f>
        <v>Agosto</v>
      </c>
      <c r="P158" s="4">
        <v>49</v>
      </c>
      <c r="Q158" s="2">
        <v>3.3</v>
      </c>
      <c r="R158" t="str">
        <f>IF(BBDD_fashion_boutique[[#This Row],[stock_quantity]]&gt;9,"Ok",IF(BBDD_fashion_boutique[[#This Row],[stock_quantity]]=0,"Agotado","Pocas Unidades"))</f>
        <v>Ok</v>
      </c>
      <c r="S158" s="3">
        <f>IF(BBDD_fashion_boutique[[#This Row],[customer_rating]]="","No valorado",BBDD_fashion_boutique[[#This Row],[customer_rating]])</f>
        <v>3.3</v>
      </c>
      <c r="T158" t="s">
        <v>24</v>
      </c>
      <c r="V158">
        <f>IF(BBDD_fashion_boutique[[#This Row],[is_returned]]="False",0,1)</f>
        <v>0</v>
      </c>
      <c r="W158">
        <f>IF(BBDD_fashion_boutique[[#This Row],[is_returned]]="True",0,BBDD_fashion_boutique[[#This Row],[current_price]])</f>
        <v>79.099999999999994</v>
      </c>
      <c r="X158" t="str">
        <f>IF(BBDD_fashion_boutique[[#This Row],[return_reason]]="","No return",BBDD_fashion_boutique[[#This Row],[return_reason]])</f>
        <v>No return</v>
      </c>
      <c r="Y158">
        <f>IF(IFERROR(VLOOKUP(BBDD_fashion_boutique[[#This Row],[product_id]],A159:A2334,1,FALSE),0),1,0)</f>
        <v>0</v>
      </c>
    </row>
    <row r="159" spans="1:25" x14ac:dyDescent="0.3">
      <c r="A159" t="s">
        <v>218</v>
      </c>
      <c r="B159" t="s">
        <v>35</v>
      </c>
      <c r="C159" t="s">
        <v>49</v>
      </c>
      <c r="D159" t="s">
        <v>68</v>
      </c>
      <c r="E159" t="s">
        <v>55</v>
      </c>
      <c r="F159" t="str">
        <f>IF(BBDD_fashion_boutique[[#This Row],[category]]="Accessories","Accesorio",IF(BBDD_fashion_boutique[[#This Row],[size]]="","Desconocido",BBDD_fashion_boutique[[#This Row],[size]]))</f>
        <v>XXL</v>
      </c>
      <c r="G159" t="s">
        <v>33</v>
      </c>
      <c r="H159" s="2">
        <v>194.24</v>
      </c>
      <c r="I159">
        <v>0</v>
      </c>
      <c r="J159" s="5">
        <f>BBDD_fashion_boutique[[#This Row],[markdown_percentage]]/100</f>
        <v>0</v>
      </c>
      <c r="K159" s="2">
        <v>194.24</v>
      </c>
      <c r="L159" s="2">
        <f>BBDD_fashion_boutique[[#This Row],[original_price]]-BBDD_fashion_boutique[[#This Row],[current_price]]</f>
        <v>0</v>
      </c>
      <c r="M159" s="1">
        <v>45875</v>
      </c>
      <c r="N159" s="1" t="str">
        <f>PROPER(TEXT(BBDD_fashion_boutique[[#This Row],[purchase_date]],"dddd"))</f>
        <v>Miércoles</v>
      </c>
      <c r="O159" s="1" t="str">
        <f>PROPER(TEXT(BBDD_fashion_boutique[[#This Row],[purchase_date]],"mmmm"))</f>
        <v>Agosto</v>
      </c>
      <c r="P159" s="4">
        <v>17</v>
      </c>
      <c r="Q159" s="2">
        <v>1.2</v>
      </c>
      <c r="R159" t="str">
        <f>IF(BBDD_fashion_boutique[[#This Row],[stock_quantity]]&gt;9,"Ok",IF(BBDD_fashion_boutique[[#This Row],[stock_quantity]]=0,"Agotado","Pocas Unidades"))</f>
        <v>Ok</v>
      </c>
      <c r="S159" s="3">
        <f>IF(BBDD_fashion_boutique[[#This Row],[customer_rating]]="","No valorado",BBDD_fashion_boutique[[#This Row],[customer_rating]])</f>
        <v>1.2</v>
      </c>
      <c r="T159" t="s">
        <v>41</v>
      </c>
      <c r="U159" t="s">
        <v>121</v>
      </c>
      <c r="V159">
        <f>IF(BBDD_fashion_boutique[[#This Row],[is_returned]]="False",0,1)</f>
        <v>1</v>
      </c>
      <c r="W159">
        <f>IF(BBDD_fashion_boutique[[#This Row],[is_returned]]="True",0,BBDD_fashion_boutique[[#This Row],[current_price]])</f>
        <v>0</v>
      </c>
      <c r="X159" t="str">
        <f>IF(BBDD_fashion_boutique[[#This Row],[return_reason]]="","No return",BBDD_fashion_boutique[[#This Row],[return_reason]])</f>
        <v>Changed Mind</v>
      </c>
      <c r="Y159">
        <f>IF(IFERROR(VLOOKUP(BBDD_fashion_boutique[[#This Row],[product_id]],A160:A2335,1,FALSE),0),1,0)</f>
        <v>0</v>
      </c>
    </row>
    <row r="160" spans="1:25" x14ac:dyDescent="0.3">
      <c r="A160" t="s">
        <v>219</v>
      </c>
      <c r="B160" t="s">
        <v>35</v>
      </c>
      <c r="C160" t="s">
        <v>67</v>
      </c>
      <c r="D160" t="s">
        <v>39</v>
      </c>
      <c r="E160" t="s">
        <v>61</v>
      </c>
      <c r="F160" t="str">
        <f>IF(BBDD_fashion_boutique[[#This Row],[category]]="Accessories","Accesorio",IF(BBDD_fashion_boutique[[#This Row],[size]]="","Desconocido",BBDD_fashion_boutique[[#This Row],[size]]))</f>
        <v>XS</v>
      </c>
      <c r="G160" t="s">
        <v>62</v>
      </c>
      <c r="H160" s="2">
        <v>175.91</v>
      </c>
      <c r="I160">
        <v>0</v>
      </c>
      <c r="J160" s="5">
        <f>BBDD_fashion_boutique[[#This Row],[markdown_percentage]]/100</f>
        <v>0</v>
      </c>
      <c r="K160" s="2">
        <v>175.91</v>
      </c>
      <c r="L160" s="2">
        <f>BBDD_fashion_boutique[[#This Row],[original_price]]-BBDD_fashion_boutique[[#This Row],[current_price]]</f>
        <v>0</v>
      </c>
      <c r="M160" s="1">
        <v>45875</v>
      </c>
      <c r="N160" s="1" t="str">
        <f>PROPER(TEXT(BBDD_fashion_boutique[[#This Row],[purchase_date]],"dddd"))</f>
        <v>Miércoles</v>
      </c>
      <c r="O160" s="1" t="str">
        <f>PROPER(TEXT(BBDD_fashion_boutique[[#This Row],[purchase_date]],"mmmm"))</f>
        <v>Agosto</v>
      </c>
      <c r="P160" s="4">
        <v>4</v>
      </c>
      <c r="Q160" s="2">
        <v>2.8</v>
      </c>
      <c r="R160" t="str">
        <f>IF(BBDD_fashion_boutique[[#This Row],[stock_quantity]]&gt;9,"Ok",IF(BBDD_fashion_boutique[[#This Row],[stock_quantity]]=0,"Agotado","Pocas Unidades"))</f>
        <v>Pocas Unidades</v>
      </c>
      <c r="S160" s="3">
        <f>IF(BBDD_fashion_boutique[[#This Row],[customer_rating]]="","No valorado",BBDD_fashion_boutique[[#This Row],[customer_rating]])</f>
        <v>2.8</v>
      </c>
      <c r="T160" t="s">
        <v>24</v>
      </c>
      <c r="V160">
        <f>IF(BBDD_fashion_boutique[[#This Row],[is_returned]]="False",0,1)</f>
        <v>0</v>
      </c>
      <c r="W160">
        <f>IF(BBDD_fashion_boutique[[#This Row],[is_returned]]="True",0,BBDD_fashion_boutique[[#This Row],[current_price]])</f>
        <v>175.91</v>
      </c>
      <c r="X160" t="str">
        <f>IF(BBDD_fashion_boutique[[#This Row],[return_reason]]="","No return",BBDD_fashion_boutique[[#This Row],[return_reason]])</f>
        <v>No return</v>
      </c>
      <c r="Y160">
        <f>IF(IFERROR(VLOOKUP(BBDD_fashion_boutique[[#This Row],[product_id]],A161:A2336,1,FALSE),0),1,0)</f>
        <v>0</v>
      </c>
    </row>
    <row r="161" spans="1:25" x14ac:dyDescent="0.3">
      <c r="A161" t="s">
        <v>220</v>
      </c>
      <c r="B161" t="s">
        <v>44</v>
      </c>
      <c r="C161" t="s">
        <v>49</v>
      </c>
      <c r="D161" t="s">
        <v>28</v>
      </c>
      <c r="E161" t="s">
        <v>55</v>
      </c>
      <c r="F161" t="str">
        <f>IF(BBDD_fashion_boutique[[#This Row],[category]]="Accessories","Accesorio",IF(BBDD_fashion_boutique[[#This Row],[size]]="","Desconocido",BBDD_fashion_boutique[[#This Row],[size]]))</f>
        <v>XXL</v>
      </c>
      <c r="G161" t="s">
        <v>46</v>
      </c>
      <c r="H161" s="2">
        <v>79.34</v>
      </c>
      <c r="I161">
        <v>0</v>
      </c>
      <c r="J161" s="5">
        <f>BBDD_fashion_boutique[[#This Row],[markdown_percentage]]/100</f>
        <v>0</v>
      </c>
      <c r="K161" s="2">
        <v>79.34</v>
      </c>
      <c r="L161" s="2">
        <f>BBDD_fashion_boutique[[#This Row],[original_price]]-BBDD_fashion_boutique[[#This Row],[current_price]]</f>
        <v>0</v>
      </c>
      <c r="M161" s="1">
        <v>45875</v>
      </c>
      <c r="N161" s="1" t="str">
        <f>PROPER(TEXT(BBDD_fashion_boutique[[#This Row],[purchase_date]],"dddd"))</f>
        <v>Miércoles</v>
      </c>
      <c r="O161" s="1" t="str">
        <f>PROPER(TEXT(BBDD_fashion_boutique[[#This Row],[purchase_date]],"mmmm"))</f>
        <v>Agosto</v>
      </c>
      <c r="P161" s="4">
        <v>30</v>
      </c>
      <c r="Q161" s="2">
        <v>4.4000000000000004</v>
      </c>
      <c r="R161" t="str">
        <f>IF(BBDD_fashion_boutique[[#This Row],[stock_quantity]]&gt;9,"Ok",IF(BBDD_fashion_boutique[[#This Row],[stock_quantity]]=0,"Agotado","Pocas Unidades"))</f>
        <v>Ok</v>
      </c>
      <c r="S161" s="3">
        <f>IF(BBDD_fashion_boutique[[#This Row],[customer_rating]]="","No valorado",BBDD_fashion_boutique[[#This Row],[customer_rating]])</f>
        <v>4.4000000000000004</v>
      </c>
      <c r="T161" t="s">
        <v>24</v>
      </c>
      <c r="V161">
        <f>IF(BBDD_fashion_boutique[[#This Row],[is_returned]]="False",0,1)</f>
        <v>0</v>
      </c>
      <c r="W161">
        <f>IF(BBDD_fashion_boutique[[#This Row],[is_returned]]="True",0,BBDD_fashion_boutique[[#This Row],[current_price]])</f>
        <v>79.34</v>
      </c>
      <c r="X161" t="str">
        <f>IF(BBDD_fashion_boutique[[#This Row],[return_reason]]="","No return",BBDD_fashion_boutique[[#This Row],[return_reason]])</f>
        <v>No return</v>
      </c>
      <c r="Y161">
        <f>IF(IFERROR(VLOOKUP(BBDD_fashion_boutique[[#This Row],[product_id]],A162:A2337,1,FALSE),0),1,0)</f>
        <v>0</v>
      </c>
    </row>
    <row r="162" spans="1:25" x14ac:dyDescent="0.3">
      <c r="A162" t="s">
        <v>221</v>
      </c>
      <c r="B162" t="s">
        <v>44</v>
      </c>
      <c r="C162" t="s">
        <v>54</v>
      </c>
      <c r="D162" t="s">
        <v>68</v>
      </c>
      <c r="E162" t="s">
        <v>64</v>
      </c>
      <c r="F162" t="str">
        <f>IF(BBDD_fashion_boutique[[#This Row],[category]]="Accessories","Accesorio",IF(BBDD_fashion_boutique[[#This Row],[size]]="","Desconocido",BBDD_fashion_boutique[[#This Row],[size]]))</f>
        <v>M</v>
      </c>
      <c r="G162" t="s">
        <v>52</v>
      </c>
      <c r="H162" s="2">
        <v>111.88</v>
      </c>
      <c r="I162">
        <v>0</v>
      </c>
      <c r="J162" s="5">
        <f>BBDD_fashion_boutique[[#This Row],[markdown_percentage]]/100</f>
        <v>0</v>
      </c>
      <c r="K162" s="2">
        <v>111.88</v>
      </c>
      <c r="L162" s="2">
        <f>BBDD_fashion_boutique[[#This Row],[original_price]]-BBDD_fashion_boutique[[#This Row],[current_price]]</f>
        <v>0</v>
      </c>
      <c r="M162" s="1">
        <v>45875</v>
      </c>
      <c r="N162" s="1" t="str">
        <f>PROPER(TEXT(BBDD_fashion_boutique[[#This Row],[purchase_date]],"dddd"))</f>
        <v>Miércoles</v>
      </c>
      <c r="O162" s="1" t="str">
        <f>PROPER(TEXT(BBDD_fashion_boutique[[#This Row],[purchase_date]],"mmmm"))</f>
        <v>Agosto</v>
      </c>
      <c r="P162" s="4">
        <v>41</v>
      </c>
      <c r="Q162" s="2">
        <v>4.5</v>
      </c>
      <c r="R162" t="str">
        <f>IF(BBDD_fashion_boutique[[#This Row],[stock_quantity]]&gt;9,"Ok",IF(BBDD_fashion_boutique[[#This Row],[stock_quantity]]=0,"Agotado","Pocas Unidades"))</f>
        <v>Ok</v>
      </c>
      <c r="S162" s="3">
        <f>IF(BBDD_fashion_boutique[[#This Row],[customer_rating]]="","No valorado",BBDD_fashion_boutique[[#This Row],[customer_rating]])</f>
        <v>4.5</v>
      </c>
      <c r="T162" t="s">
        <v>24</v>
      </c>
      <c r="V162">
        <f>IF(BBDD_fashion_boutique[[#This Row],[is_returned]]="False",0,1)</f>
        <v>0</v>
      </c>
      <c r="W162">
        <f>IF(BBDD_fashion_boutique[[#This Row],[is_returned]]="True",0,BBDD_fashion_boutique[[#This Row],[current_price]])</f>
        <v>111.88</v>
      </c>
      <c r="X162" t="str">
        <f>IF(BBDD_fashion_boutique[[#This Row],[return_reason]]="","No return",BBDD_fashion_boutique[[#This Row],[return_reason]])</f>
        <v>No return</v>
      </c>
      <c r="Y162">
        <f>IF(IFERROR(VLOOKUP(BBDD_fashion_boutique[[#This Row],[product_id]],A163:A2338,1,FALSE),0),1,0)</f>
        <v>0</v>
      </c>
    </row>
    <row r="163" spans="1:25" x14ac:dyDescent="0.3">
      <c r="A163" t="s">
        <v>222</v>
      </c>
      <c r="B163" t="s">
        <v>32</v>
      </c>
      <c r="C163" t="s">
        <v>67</v>
      </c>
      <c r="D163" t="s">
        <v>21</v>
      </c>
      <c r="F163" t="str">
        <f>IF(BBDD_fashion_boutique[[#This Row],[category]]="Accessories","Accesorio",IF(BBDD_fashion_boutique[[#This Row],[size]]="","Desconocido",BBDD_fashion_boutique[[#This Row],[size]]))</f>
        <v>Accesorio</v>
      </c>
      <c r="G163" t="s">
        <v>70</v>
      </c>
      <c r="H163" s="2">
        <v>42.84</v>
      </c>
      <c r="I163">
        <v>40.6</v>
      </c>
      <c r="J163" s="5">
        <f>BBDD_fashion_boutique[[#This Row],[markdown_percentage]]/100</f>
        <v>0.40600000000000003</v>
      </c>
      <c r="K163" s="2">
        <v>25.45</v>
      </c>
      <c r="L163" s="2">
        <f>BBDD_fashion_boutique[[#This Row],[original_price]]-BBDD_fashion_boutique[[#This Row],[current_price]]</f>
        <v>17.390000000000004</v>
      </c>
      <c r="M163" s="1">
        <v>45547</v>
      </c>
      <c r="N163" s="1" t="str">
        <f>PROPER(TEXT(BBDD_fashion_boutique[[#This Row],[purchase_date]],"dddd"))</f>
        <v>Jueves</v>
      </c>
      <c r="O163" s="1" t="str">
        <f>PROPER(TEXT(BBDD_fashion_boutique[[#This Row],[purchase_date]],"mmmm"))</f>
        <v>Septiembre</v>
      </c>
      <c r="P163" s="4">
        <v>18</v>
      </c>
      <c r="Q163" s="2">
        <v>2.6</v>
      </c>
      <c r="R163" t="str">
        <f>IF(BBDD_fashion_boutique[[#This Row],[stock_quantity]]&gt;9,"Ok",IF(BBDD_fashion_boutique[[#This Row],[stock_quantity]]=0,"Agotado","Pocas Unidades"))</f>
        <v>Ok</v>
      </c>
      <c r="S163" s="3">
        <f>IF(BBDD_fashion_boutique[[#This Row],[customer_rating]]="","No valorado",BBDD_fashion_boutique[[#This Row],[customer_rating]])</f>
        <v>2.6</v>
      </c>
      <c r="T163" t="s">
        <v>24</v>
      </c>
      <c r="V163">
        <f>IF(BBDD_fashion_boutique[[#This Row],[is_returned]]="False",0,1)</f>
        <v>0</v>
      </c>
      <c r="W163">
        <f>IF(BBDD_fashion_boutique[[#This Row],[is_returned]]="True",0,BBDD_fashion_boutique[[#This Row],[current_price]])</f>
        <v>25.45</v>
      </c>
      <c r="X163" t="str">
        <f>IF(BBDD_fashion_boutique[[#This Row],[return_reason]]="","No return",BBDD_fashion_boutique[[#This Row],[return_reason]])</f>
        <v>No return</v>
      </c>
      <c r="Y163">
        <f>IF(IFERROR(VLOOKUP(BBDD_fashion_boutique[[#This Row],[product_id]],A164:A2339,1,FALSE),0),1,0)</f>
        <v>0</v>
      </c>
    </row>
    <row r="164" spans="1:25" x14ac:dyDescent="0.3">
      <c r="A164" t="s">
        <v>223</v>
      </c>
      <c r="B164" t="s">
        <v>44</v>
      </c>
      <c r="C164" t="s">
        <v>67</v>
      </c>
      <c r="D164" t="s">
        <v>21</v>
      </c>
      <c r="E164" t="s">
        <v>55</v>
      </c>
      <c r="F164" t="str">
        <f>IF(BBDD_fashion_boutique[[#This Row],[category]]="Accessories","Accesorio",IF(BBDD_fashion_boutique[[#This Row],[size]]="","Desconocido",BBDD_fashion_boutique[[#This Row],[size]]))</f>
        <v>XXL</v>
      </c>
      <c r="G164" t="s">
        <v>70</v>
      </c>
      <c r="H164" s="2">
        <v>26.28</v>
      </c>
      <c r="I164">
        <v>1.1000000000000001</v>
      </c>
      <c r="J164" s="5">
        <f>BBDD_fashion_boutique[[#This Row],[markdown_percentage]]/100</f>
        <v>1.1000000000000001E-2</v>
      </c>
      <c r="K164" s="2">
        <v>25.99</v>
      </c>
      <c r="L164" s="2">
        <f>BBDD_fashion_boutique[[#This Row],[original_price]]-BBDD_fashion_boutique[[#This Row],[current_price]]</f>
        <v>0.2900000000000027</v>
      </c>
      <c r="M164" s="1">
        <v>45828</v>
      </c>
      <c r="N164" s="1" t="str">
        <f>PROPER(TEXT(BBDD_fashion_boutique[[#This Row],[purchase_date]],"dddd"))</f>
        <v>Viernes</v>
      </c>
      <c r="O164" s="1" t="str">
        <f>PROPER(TEXT(BBDD_fashion_boutique[[#This Row],[purchase_date]],"mmmm"))</f>
        <v>Junio</v>
      </c>
      <c r="P164" s="4">
        <v>35</v>
      </c>
      <c r="Q164" s="2">
        <v>5</v>
      </c>
      <c r="R164" t="str">
        <f>IF(BBDD_fashion_boutique[[#This Row],[stock_quantity]]&gt;9,"Ok",IF(BBDD_fashion_boutique[[#This Row],[stock_quantity]]=0,"Agotado","Pocas Unidades"))</f>
        <v>Ok</v>
      </c>
      <c r="S164" s="3">
        <f>IF(BBDD_fashion_boutique[[#This Row],[customer_rating]]="","No valorado",BBDD_fashion_boutique[[#This Row],[customer_rating]])</f>
        <v>5</v>
      </c>
      <c r="T164" t="s">
        <v>24</v>
      </c>
      <c r="V164">
        <f>IF(BBDD_fashion_boutique[[#This Row],[is_returned]]="False",0,1)</f>
        <v>0</v>
      </c>
      <c r="W164">
        <f>IF(BBDD_fashion_boutique[[#This Row],[is_returned]]="True",0,BBDD_fashion_boutique[[#This Row],[current_price]])</f>
        <v>25.99</v>
      </c>
      <c r="X164" t="str">
        <f>IF(BBDD_fashion_boutique[[#This Row],[return_reason]]="","No return",BBDD_fashion_boutique[[#This Row],[return_reason]])</f>
        <v>No return</v>
      </c>
      <c r="Y164">
        <f>IF(IFERROR(VLOOKUP(BBDD_fashion_boutique[[#This Row],[product_id]],A165:A2340,1,FALSE),0),1,0)</f>
        <v>0</v>
      </c>
    </row>
    <row r="165" spans="1:25" x14ac:dyDescent="0.3">
      <c r="A165" t="s">
        <v>224</v>
      </c>
      <c r="B165" t="s">
        <v>32</v>
      </c>
      <c r="C165" t="s">
        <v>54</v>
      </c>
      <c r="D165" t="s">
        <v>21</v>
      </c>
      <c r="F165" t="str">
        <f>IF(BBDD_fashion_boutique[[#This Row],[category]]="Accessories","Accesorio",IF(BBDD_fashion_boutique[[#This Row],[size]]="","Desconocido",BBDD_fashion_boutique[[#This Row],[size]]))</f>
        <v>Accesorio</v>
      </c>
      <c r="G165" t="s">
        <v>52</v>
      </c>
      <c r="H165" s="2">
        <v>23.11</v>
      </c>
      <c r="I165">
        <v>0</v>
      </c>
      <c r="J165" s="5">
        <f>BBDD_fashion_boutique[[#This Row],[markdown_percentage]]/100</f>
        <v>0</v>
      </c>
      <c r="K165" s="2">
        <v>23.11</v>
      </c>
      <c r="L165" s="2">
        <f>BBDD_fashion_boutique[[#This Row],[original_price]]-BBDD_fashion_boutique[[#This Row],[current_price]]</f>
        <v>0</v>
      </c>
      <c r="M165" s="1">
        <v>45552</v>
      </c>
      <c r="N165" s="1" t="str">
        <f>PROPER(TEXT(BBDD_fashion_boutique[[#This Row],[purchase_date]],"dddd"))</f>
        <v>Martes</v>
      </c>
      <c r="O165" s="1" t="str">
        <f>PROPER(TEXT(BBDD_fashion_boutique[[#This Row],[purchase_date]],"mmmm"))</f>
        <v>Septiembre</v>
      </c>
      <c r="P165" s="4">
        <v>2</v>
      </c>
      <c r="Q165" s="2">
        <v>1.4</v>
      </c>
      <c r="R165" t="str">
        <f>IF(BBDD_fashion_boutique[[#This Row],[stock_quantity]]&gt;9,"Ok",IF(BBDD_fashion_boutique[[#This Row],[stock_quantity]]=0,"Agotado","Pocas Unidades"))</f>
        <v>Pocas Unidades</v>
      </c>
      <c r="S165" s="3">
        <f>IF(BBDD_fashion_boutique[[#This Row],[customer_rating]]="","No valorado",BBDD_fashion_boutique[[#This Row],[customer_rating]])</f>
        <v>1.4</v>
      </c>
      <c r="T165" t="s">
        <v>24</v>
      </c>
      <c r="V165">
        <f>IF(BBDD_fashion_boutique[[#This Row],[is_returned]]="False",0,1)</f>
        <v>0</v>
      </c>
      <c r="W165">
        <f>IF(BBDD_fashion_boutique[[#This Row],[is_returned]]="True",0,BBDD_fashion_boutique[[#This Row],[current_price]])</f>
        <v>23.11</v>
      </c>
      <c r="X165" t="str">
        <f>IF(BBDD_fashion_boutique[[#This Row],[return_reason]]="","No return",BBDD_fashion_boutique[[#This Row],[return_reason]])</f>
        <v>No return</v>
      </c>
      <c r="Y165">
        <f>IF(IFERROR(VLOOKUP(BBDD_fashion_boutique[[#This Row],[product_id]],A166:A2341,1,FALSE),0),1,0)</f>
        <v>0</v>
      </c>
    </row>
    <row r="166" spans="1:25" x14ac:dyDescent="0.3">
      <c r="A166" t="s">
        <v>225</v>
      </c>
      <c r="B166" t="s">
        <v>35</v>
      </c>
      <c r="C166" t="s">
        <v>20</v>
      </c>
      <c r="D166" t="s">
        <v>28</v>
      </c>
      <c r="E166" t="s">
        <v>64</v>
      </c>
      <c r="F166" t="str">
        <f>IF(BBDD_fashion_boutique[[#This Row],[category]]="Accessories","Accesorio",IF(BBDD_fashion_boutique[[#This Row],[size]]="","Desconocido",BBDD_fashion_boutique[[#This Row],[size]]))</f>
        <v>M</v>
      </c>
      <c r="G166" t="s">
        <v>40</v>
      </c>
      <c r="H166" s="2">
        <v>168.36</v>
      </c>
      <c r="I166">
        <v>0</v>
      </c>
      <c r="J166" s="5">
        <f>BBDD_fashion_boutique[[#This Row],[markdown_percentage]]/100</f>
        <v>0</v>
      </c>
      <c r="K166" s="2">
        <v>168.36</v>
      </c>
      <c r="L166" s="2">
        <f>BBDD_fashion_boutique[[#This Row],[original_price]]-BBDD_fashion_boutique[[#This Row],[current_price]]</f>
        <v>0</v>
      </c>
      <c r="M166" s="1">
        <v>45875</v>
      </c>
      <c r="N166" s="1" t="str">
        <f>PROPER(TEXT(BBDD_fashion_boutique[[#This Row],[purchase_date]],"dddd"))</f>
        <v>Miércoles</v>
      </c>
      <c r="O166" s="1" t="str">
        <f>PROPER(TEXT(BBDD_fashion_boutique[[#This Row],[purchase_date]],"mmmm"))</f>
        <v>Agosto</v>
      </c>
      <c r="P166" s="4">
        <v>47</v>
      </c>
      <c r="R166" t="str">
        <f>IF(BBDD_fashion_boutique[[#This Row],[stock_quantity]]&gt;9,"Ok",IF(BBDD_fashion_boutique[[#This Row],[stock_quantity]]=0,"Agotado","Pocas Unidades"))</f>
        <v>Ok</v>
      </c>
      <c r="S166" s="3" t="str">
        <f>IF(BBDD_fashion_boutique[[#This Row],[customer_rating]]="","No valorado",BBDD_fashion_boutique[[#This Row],[customer_rating]])</f>
        <v>No valorado</v>
      </c>
      <c r="T166" t="s">
        <v>41</v>
      </c>
      <c r="U166" t="s">
        <v>84</v>
      </c>
      <c r="V166">
        <f>IF(BBDD_fashion_boutique[[#This Row],[is_returned]]="False",0,1)</f>
        <v>1</v>
      </c>
      <c r="W166">
        <f>IF(BBDD_fashion_boutique[[#This Row],[is_returned]]="True",0,BBDD_fashion_boutique[[#This Row],[current_price]])</f>
        <v>0</v>
      </c>
      <c r="X166" t="str">
        <f>IF(BBDD_fashion_boutique[[#This Row],[return_reason]]="","No return",BBDD_fashion_boutique[[#This Row],[return_reason]])</f>
        <v>Damaged</v>
      </c>
      <c r="Y166">
        <f>IF(IFERROR(VLOOKUP(BBDD_fashion_boutique[[#This Row],[product_id]],A167:A2342,1,FALSE),0),1,0)</f>
        <v>0</v>
      </c>
    </row>
    <row r="167" spans="1:25" x14ac:dyDescent="0.3">
      <c r="A167" t="s">
        <v>226</v>
      </c>
      <c r="B167" t="s">
        <v>35</v>
      </c>
      <c r="C167" t="s">
        <v>67</v>
      </c>
      <c r="D167" t="s">
        <v>39</v>
      </c>
      <c r="E167" t="s">
        <v>22</v>
      </c>
      <c r="F167" t="str">
        <f>IF(BBDD_fashion_boutique[[#This Row],[category]]="Accessories","Accesorio",IF(BBDD_fashion_boutique[[#This Row],[size]]="","Desconocido",BBDD_fashion_boutique[[#This Row],[size]]))</f>
        <v>XL</v>
      </c>
      <c r="G167" t="s">
        <v>52</v>
      </c>
      <c r="H167" s="2">
        <v>99.26</v>
      </c>
      <c r="I167">
        <v>0</v>
      </c>
      <c r="J167" s="5">
        <f>BBDD_fashion_boutique[[#This Row],[markdown_percentage]]/100</f>
        <v>0</v>
      </c>
      <c r="K167" s="2">
        <v>99.26</v>
      </c>
      <c r="L167" s="2">
        <f>BBDD_fashion_boutique[[#This Row],[original_price]]-BBDD_fashion_boutique[[#This Row],[current_price]]</f>
        <v>0</v>
      </c>
      <c r="M167" s="1">
        <v>45875</v>
      </c>
      <c r="N167" s="1" t="str">
        <f>PROPER(TEXT(BBDD_fashion_boutique[[#This Row],[purchase_date]],"dddd"))</f>
        <v>Miércoles</v>
      </c>
      <c r="O167" s="1" t="str">
        <f>PROPER(TEXT(BBDD_fashion_boutique[[#This Row],[purchase_date]],"mmmm"))</f>
        <v>Agosto</v>
      </c>
      <c r="P167" s="4">
        <v>33</v>
      </c>
      <c r="R167" t="str">
        <f>IF(BBDD_fashion_boutique[[#This Row],[stock_quantity]]&gt;9,"Ok",IF(BBDD_fashion_boutique[[#This Row],[stock_quantity]]=0,"Agotado","Pocas Unidades"))</f>
        <v>Ok</v>
      </c>
      <c r="S167" s="3" t="str">
        <f>IF(BBDD_fashion_boutique[[#This Row],[customer_rating]]="","No valorado",BBDD_fashion_boutique[[#This Row],[customer_rating]])</f>
        <v>No valorado</v>
      </c>
      <c r="T167" t="s">
        <v>41</v>
      </c>
      <c r="U167" t="s">
        <v>89</v>
      </c>
      <c r="V167">
        <f>IF(BBDD_fashion_boutique[[#This Row],[is_returned]]="False",0,1)</f>
        <v>1</v>
      </c>
      <c r="W167">
        <f>IF(BBDD_fashion_boutique[[#This Row],[is_returned]]="True",0,BBDD_fashion_boutique[[#This Row],[current_price]])</f>
        <v>0</v>
      </c>
      <c r="X167" t="str">
        <f>IF(BBDD_fashion_boutique[[#This Row],[return_reason]]="","No return",BBDD_fashion_boutique[[#This Row],[return_reason]])</f>
        <v>Quality Issue</v>
      </c>
      <c r="Y167">
        <f>IF(IFERROR(VLOOKUP(BBDD_fashion_boutique[[#This Row],[product_id]],A168:A2343,1,FALSE),0),1,0)</f>
        <v>0</v>
      </c>
    </row>
    <row r="168" spans="1:25" x14ac:dyDescent="0.3">
      <c r="A168" t="s">
        <v>227</v>
      </c>
      <c r="B168" t="s">
        <v>32</v>
      </c>
      <c r="C168" t="s">
        <v>49</v>
      </c>
      <c r="D168" t="s">
        <v>21</v>
      </c>
      <c r="F168" t="str">
        <f>IF(BBDD_fashion_boutique[[#This Row],[category]]="Accessories","Accesorio",IF(BBDD_fashion_boutique[[#This Row],[size]]="","Desconocido",BBDD_fashion_boutique[[#This Row],[size]]))</f>
        <v>Accesorio</v>
      </c>
      <c r="G168" t="s">
        <v>33</v>
      </c>
      <c r="H168" s="2">
        <v>53.66</v>
      </c>
      <c r="I168">
        <v>0</v>
      </c>
      <c r="J168" s="5">
        <f>BBDD_fashion_boutique[[#This Row],[markdown_percentage]]/100</f>
        <v>0</v>
      </c>
      <c r="K168" s="2">
        <v>53.66</v>
      </c>
      <c r="L168" s="2">
        <f>BBDD_fashion_boutique[[#This Row],[original_price]]-BBDD_fashion_boutique[[#This Row],[current_price]]</f>
        <v>0</v>
      </c>
      <c r="M168" s="1">
        <v>45645</v>
      </c>
      <c r="N168" s="1" t="str">
        <f>PROPER(TEXT(BBDD_fashion_boutique[[#This Row],[purchase_date]],"dddd"))</f>
        <v>Jueves</v>
      </c>
      <c r="O168" s="1" t="str">
        <f>PROPER(TEXT(BBDD_fashion_boutique[[#This Row],[purchase_date]],"mmmm"))</f>
        <v>Diciembre</v>
      </c>
      <c r="P168" s="4">
        <v>40</v>
      </c>
      <c r="Q168" s="2">
        <v>2.8</v>
      </c>
      <c r="R168" t="str">
        <f>IF(BBDD_fashion_boutique[[#This Row],[stock_quantity]]&gt;9,"Ok",IF(BBDD_fashion_boutique[[#This Row],[stock_quantity]]=0,"Agotado","Pocas Unidades"))</f>
        <v>Ok</v>
      </c>
      <c r="S168" s="3">
        <f>IF(BBDD_fashion_boutique[[#This Row],[customer_rating]]="","No valorado",BBDD_fashion_boutique[[#This Row],[customer_rating]])</f>
        <v>2.8</v>
      </c>
      <c r="T168" t="s">
        <v>24</v>
      </c>
      <c r="V168">
        <f>IF(BBDD_fashion_boutique[[#This Row],[is_returned]]="False",0,1)</f>
        <v>0</v>
      </c>
      <c r="W168">
        <f>IF(BBDD_fashion_boutique[[#This Row],[is_returned]]="True",0,BBDD_fashion_boutique[[#This Row],[current_price]])</f>
        <v>53.66</v>
      </c>
      <c r="X168" t="str">
        <f>IF(BBDD_fashion_boutique[[#This Row],[return_reason]]="","No return",BBDD_fashion_boutique[[#This Row],[return_reason]])</f>
        <v>No return</v>
      </c>
      <c r="Y168">
        <f>IF(IFERROR(VLOOKUP(BBDD_fashion_boutique[[#This Row],[product_id]],A169:A2344,1,FALSE),0),1,0)</f>
        <v>0</v>
      </c>
    </row>
    <row r="169" spans="1:25" x14ac:dyDescent="0.3">
      <c r="A169" t="s">
        <v>228</v>
      </c>
      <c r="B169" t="s">
        <v>32</v>
      </c>
      <c r="C169" t="s">
        <v>59</v>
      </c>
      <c r="D169" t="s">
        <v>68</v>
      </c>
      <c r="F169" t="str">
        <f>IF(BBDD_fashion_boutique[[#This Row],[category]]="Accessories","Accesorio",IF(BBDD_fashion_boutique[[#This Row],[size]]="","Desconocido",BBDD_fashion_boutique[[#This Row],[size]]))</f>
        <v>Accesorio</v>
      </c>
      <c r="G169" t="s">
        <v>46</v>
      </c>
      <c r="H169" s="2">
        <v>69.709999999999994</v>
      </c>
      <c r="I169">
        <v>18</v>
      </c>
      <c r="J169" s="5">
        <f>BBDD_fashion_boutique[[#This Row],[markdown_percentage]]/100</f>
        <v>0.18</v>
      </c>
      <c r="K169" s="2">
        <v>57.16</v>
      </c>
      <c r="L169" s="2">
        <f>BBDD_fashion_boutique[[#This Row],[original_price]]-BBDD_fashion_boutique[[#This Row],[current_price]]</f>
        <v>12.549999999999997</v>
      </c>
      <c r="M169" s="1">
        <v>45875</v>
      </c>
      <c r="N169" s="1" t="str">
        <f>PROPER(TEXT(BBDD_fashion_boutique[[#This Row],[purchase_date]],"dddd"))</f>
        <v>Miércoles</v>
      </c>
      <c r="O169" s="1" t="str">
        <f>PROPER(TEXT(BBDD_fashion_boutique[[#This Row],[purchase_date]],"mmmm"))</f>
        <v>Agosto</v>
      </c>
      <c r="P169" s="4">
        <v>34</v>
      </c>
      <c r="Q169" s="2">
        <v>4.2</v>
      </c>
      <c r="R169" t="str">
        <f>IF(BBDD_fashion_boutique[[#This Row],[stock_quantity]]&gt;9,"Ok",IF(BBDD_fashion_boutique[[#This Row],[stock_quantity]]=0,"Agotado","Pocas Unidades"))</f>
        <v>Ok</v>
      </c>
      <c r="S169" s="3">
        <f>IF(BBDD_fashion_boutique[[#This Row],[customer_rating]]="","No valorado",BBDD_fashion_boutique[[#This Row],[customer_rating]])</f>
        <v>4.2</v>
      </c>
      <c r="T169" t="s">
        <v>41</v>
      </c>
      <c r="U169" t="s">
        <v>42</v>
      </c>
      <c r="V169">
        <f>IF(BBDD_fashion_boutique[[#This Row],[is_returned]]="False",0,1)</f>
        <v>1</v>
      </c>
      <c r="W169">
        <f>IF(BBDD_fashion_boutique[[#This Row],[is_returned]]="True",0,BBDD_fashion_boutique[[#This Row],[current_price]])</f>
        <v>0</v>
      </c>
      <c r="X169" t="str">
        <f>IF(BBDD_fashion_boutique[[#This Row],[return_reason]]="","No return",BBDD_fashion_boutique[[#This Row],[return_reason]])</f>
        <v>Color Mismatch</v>
      </c>
      <c r="Y169">
        <f>IF(IFERROR(VLOOKUP(BBDD_fashion_boutique[[#This Row],[product_id]],A170:A2345,1,FALSE),0),1,0)</f>
        <v>0</v>
      </c>
    </row>
    <row r="170" spans="1:25" x14ac:dyDescent="0.3">
      <c r="A170" t="s">
        <v>229</v>
      </c>
      <c r="B170" t="s">
        <v>48</v>
      </c>
      <c r="C170" t="s">
        <v>81</v>
      </c>
      <c r="D170" t="s">
        <v>39</v>
      </c>
      <c r="E170" t="s">
        <v>55</v>
      </c>
      <c r="F170" t="str">
        <f>IF(BBDD_fashion_boutique[[#This Row],[category]]="Accessories","Accesorio",IF(BBDD_fashion_boutique[[#This Row],[size]]="","Desconocido",BBDD_fashion_boutique[[#This Row],[size]]))</f>
        <v>XXL</v>
      </c>
      <c r="G170" t="s">
        <v>46</v>
      </c>
      <c r="H170" s="2">
        <v>60.3</v>
      </c>
      <c r="I170">
        <v>21.4</v>
      </c>
      <c r="J170" s="5">
        <f>BBDD_fashion_boutique[[#This Row],[markdown_percentage]]/100</f>
        <v>0.214</v>
      </c>
      <c r="K170" s="2">
        <v>47.4</v>
      </c>
      <c r="L170" s="2">
        <f>BBDD_fashion_boutique[[#This Row],[original_price]]-BBDD_fashion_boutique[[#This Row],[current_price]]</f>
        <v>12.899999999999999</v>
      </c>
      <c r="M170" s="1">
        <v>45875</v>
      </c>
      <c r="N170" s="1" t="str">
        <f>PROPER(TEXT(BBDD_fashion_boutique[[#This Row],[purchase_date]],"dddd"))</f>
        <v>Miércoles</v>
      </c>
      <c r="O170" s="1" t="str">
        <f>PROPER(TEXT(BBDD_fashion_boutique[[#This Row],[purchase_date]],"mmmm"))</f>
        <v>Agosto</v>
      </c>
      <c r="P170" s="4">
        <v>4</v>
      </c>
      <c r="Q170" s="2">
        <v>3.6</v>
      </c>
      <c r="R170" t="str">
        <f>IF(BBDD_fashion_boutique[[#This Row],[stock_quantity]]&gt;9,"Ok",IF(BBDD_fashion_boutique[[#This Row],[stock_quantity]]=0,"Agotado","Pocas Unidades"))</f>
        <v>Pocas Unidades</v>
      </c>
      <c r="S170" s="3">
        <f>IF(BBDD_fashion_boutique[[#This Row],[customer_rating]]="","No valorado",BBDD_fashion_boutique[[#This Row],[customer_rating]])</f>
        <v>3.6</v>
      </c>
      <c r="T170" t="s">
        <v>24</v>
      </c>
      <c r="V170">
        <f>IF(BBDD_fashion_boutique[[#This Row],[is_returned]]="False",0,1)</f>
        <v>0</v>
      </c>
      <c r="W170">
        <f>IF(BBDD_fashion_boutique[[#This Row],[is_returned]]="True",0,BBDD_fashion_boutique[[#This Row],[current_price]])</f>
        <v>47.4</v>
      </c>
      <c r="X170" t="str">
        <f>IF(BBDD_fashion_boutique[[#This Row],[return_reason]]="","No return",BBDD_fashion_boutique[[#This Row],[return_reason]])</f>
        <v>No return</v>
      </c>
      <c r="Y170">
        <f>IF(IFERROR(VLOOKUP(BBDD_fashion_boutique[[#This Row],[product_id]],A171:A2346,1,FALSE),0),1,0)</f>
        <v>0</v>
      </c>
    </row>
    <row r="171" spans="1:25" x14ac:dyDescent="0.3">
      <c r="A171" t="s">
        <v>230</v>
      </c>
      <c r="B171" t="s">
        <v>35</v>
      </c>
      <c r="C171" t="s">
        <v>37</v>
      </c>
      <c r="D171" t="s">
        <v>28</v>
      </c>
      <c r="E171" t="s">
        <v>55</v>
      </c>
      <c r="F171" t="str">
        <f>IF(BBDD_fashion_boutique[[#This Row],[category]]="Accessories","Accesorio",IF(BBDD_fashion_boutique[[#This Row],[size]]="","Desconocido",BBDD_fashion_boutique[[#This Row],[size]]))</f>
        <v>XXL</v>
      </c>
      <c r="G171" t="s">
        <v>23</v>
      </c>
      <c r="H171" s="2">
        <v>113.58</v>
      </c>
      <c r="I171">
        <v>0</v>
      </c>
      <c r="J171" s="5">
        <f>BBDD_fashion_boutique[[#This Row],[markdown_percentage]]/100</f>
        <v>0</v>
      </c>
      <c r="K171" s="2">
        <v>113.58</v>
      </c>
      <c r="L171" s="2">
        <f>BBDD_fashion_boutique[[#This Row],[original_price]]-BBDD_fashion_boutique[[#This Row],[current_price]]</f>
        <v>0</v>
      </c>
      <c r="M171" s="1">
        <v>45875</v>
      </c>
      <c r="N171" s="1" t="str">
        <f>PROPER(TEXT(BBDD_fashion_boutique[[#This Row],[purchase_date]],"dddd"))</f>
        <v>Miércoles</v>
      </c>
      <c r="O171" s="1" t="str">
        <f>PROPER(TEXT(BBDD_fashion_boutique[[#This Row],[purchase_date]],"mmmm"))</f>
        <v>Agosto</v>
      </c>
      <c r="P171" s="4">
        <v>33</v>
      </c>
      <c r="Q171" s="2">
        <v>4.9000000000000004</v>
      </c>
      <c r="R171" t="str">
        <f>IF(BBDD_fashion_boutique[[#This Row],[stock_quantity]]&gt;9,"Ok",IF(BBDD_fashion_boutique[[#This Row],[stock_quantity]]=0,"Agotado","Pocas Unidades"))</f>
        <v>Ok</v>
      </c>
      <c r="S171" s="3">
        <f>IF(BBDD_fashion_boutique[[#This Row],[customer_rating]]="","No valorado",BBDD_fashion_boutique[[#This Row],[customer_rating]])</f>
        <v>4.9000000000000004</v>
      </c>
      <c r="T171" t="s">
        <v>41</v>
      </c>
      <c r="U171" t="s">
        <v>131</v>
      </c>
      <c r="V171">
        <f>IF(BBDD_fashion_boutique[[#This Row],[is_returned]]="False",0,1)</f>
        <v>1</v>
      </c>
      <c r="W171">
        <f>IF(BBDD_fashion_boutique[[#This Row],[is_returned]]="True",0,BBDD_fashion_boutique[[#This Row],[current_price]])</f>
        <v>0</v>
      </c>
      <c r="X171" t="str">
        <f>IF(BBDD_fashion_boutique[[#This Row],[return_reason]]="","No return",BBDD_fashion_boutique[[#This Row],[return_reason]])</f>
        <v>Wrong Item</v>
      </c>
      <c r="Y171">
        <f>IF(IFERROR(VLOOKUP(BBDD_fashion_boutique[[#This Row],[product_id]],A172:A2347,1,FALSE),0),1,0)</f>
        <v>0</v>
      </c>
    </row>
    <row r="172" spans="1:25" x14ac:dyDescent="0.3">
      <c r="A172" t="s">
        <v>231</v>
      </c>
      <c r="B172" t="s">
        <v>44</v>
      </c>
      <c r="C172" t="s">
        <v>59</v>
      </c>
      <c r="D172" t="s">
        <v>39</v>
      </c>
      <c r="E172" t="s">
        <v>61</v>
      </c>
      <c r="F172" t="str">
        <f>IF(BBDD_fashion_boutique[[#This Row],[category]]="Accessories","Accesorio",IF(BBDD_fashion_boutique[[#This Row],[size]]="","Desconocido",BBDD_fashion_boutique[[#This Row],[size]]))</f>
        <v>XS</v>
      </c>
      <c r="G172" t="s">
        <v>76</v>
      </c>
      <c r="H172" s="2">
        <v>54.86</v>
      </c>
      <c r="I172">
        <v>1.7</v>
      </c>
      <c r="J172" s="5">
        <f>BBDD_fashion_boutique[[#This Row],[markdown_percentage]]/100</f>
        <v>1.7000000000000001E-2</v>
      </c>
      <c r="K172" s="2">
        <v>53.93</v>
      </c>
      <c r="L172" s="2">
        <f>BBDD_fashion_boutique[[#This Row],[original_price]]-BBDD_fashion_boutique[[#This Row],[current_price]]</f>
        <v>0.92999999999999972</v>
      </c>
      <c r="M172" s="1">
        <v>45875</v>
      </c>
      <c r="N172" s="1" t="str">
        <f>PROPER(TEXT(BBDD_fashion_boutique[[#This Row],[purchase_date]],"dddd"))</f>
        <v>Miércoles</v>
      </c>
      <c r="O172" s="1" t="str">
        <f>PROPER(TEXT(BBDD_fashion_boutique[[#This Row],[purchase_date]],"mmmm"))</f>
        <v>Agosto</v>
      </c>
      <c r="P172" s="4">
        <v>40</v>
      </c>
      <c r="Q172" s="2">
        <v>2.5</v>
      </c>
      <c r="R172" t="str">
        <f>IF(BBDD_fashion_boutique[[#This Row],[stock_quantity]]&gt;9,"Ok",IF(BBDD_fashion_boutique[[#This Row],[stock_quantity]]=0,"Agotado","Pocas Unidades"))</f>
        <v>Ok</v>
      </c>
      <c r="S172" s="3">
        <f>IF(BBDD_fashion_boutique[[#This Row],[customer_rating]]="","No valorado",BBDD_fashion_boutique[[#This Row],[customer_rating]])</f>
        <v>2.5</v>
      </c>
      <c r="T172" t="s">
        <v>24</v>
      </c>
      <c r="V172">
        <f>IF(BBDD_fashion_boutique[[#This Row],[is_returned]]="False",0,1)</f>
        <v>0</v>
      </c>
      <c r="W172">
        <f>IF(BBDD_fashion_boutique[[#This Row],[is_returned]]="True",0,BBDD_fashion_boutique[[#This Row],[current_price]])</f>
        <v>53.93</v>
      </c>
      <c r="X172" t="str">
        <f>IF(BBDD_fashion_boutique[[#This Row],[return_reason]]="","No return",BBDD_fashion_boutique[[#This Row],[return_reason]])</f>
        <v>No return</v>
      </c>
      <c r="Y172">
        <f>IF(IFERROR(VLOOKUP(BBDD_fashion_boutique[[#This Row],[product_id]],A173:A2348,1,FALSE),0),1,0)</f>
        <v>0</v>
      </c>
    </row>
    <row r="173" spans="1:25" x14ac:dyDescent="0.3">
      <c r="A173" t="s">
        <v>232</v>
      </c>
      <c r="B173" t="s">
        <v>26</v>
      </c>
      <c r="C173" t="s">
        <v>20</v>
      </c>
      <c r="D173" t="s">
        <v>28</v>
      </c>
      <c r="E173" t="s">
        <v>61</v>
      </c>
      <c r="F173" t="str">
        <f>IF(BBDD_fashion_boutique[[#This Row],[category]]="Accessories","Accesorio",IF(BBDD_fashion_boutique[[#This Row],[size]]="","Desconocido",BBDD_fashion_boutique[[#This Row],[size]]))</f>
        <v>XS</v>
      </c>
      <c r="G173" t="s">
        <v>23</v>
      </c>
      <c r="H173" s="2">
        <v>92.25</v>
      </c>
      <c r="I173">
        <v>0</v>
      </c>
      <c r="J173" s="5">
        <f>BBDD_fashion_boutique[[#This Row],[markdown_percentage]]/100</f>
        <v>0</v>
      </c>
      <c r="K173" s="2">
        <v>92.25</v>
      </c>
      <c r="L173" s="2">
        <f>BBDD_fashion_boutique[[#This Row],[original_price]]-BBDD_fashion_boutique[[#This Row],[current_price]]</f>
        <v>0</v>
      </c>
      <c r="M173" s="1">
        <v>45875</v>
      </c>
      <c r="N173" s="1" t="str">
        <f>PROPER(TEXT(BBDD_fashion_boutique[[#This Row],[purchase_date]],"dddd"))</f>
        <v>Miércoles</v>
      </c>
      <c r="O173" s="1" t="str">
        <f>PROPER(TEXT(BBDD_fashion_boutique[[#This Row],[purchase_date]],"mmmm"))</f>
        <v>Agosto</v>
      </c>
      <c r="P173" s="4">
        <v>13</v>
      </c>
      <c r="Q173" s="2">
        <v>2.8</v>
      </c>
      <c r="R173" t="str">
        <f>IF(BBDD_fashion_boutique[[#This Row],[stock_quantity]]&gt;9,"Ok",IF(BBDD_fashion_boutique[[#This Row],[stock_quantity]]=0,"Agotado","Pocas Unidades"))</f>
        <v>Ok</v>
      </c>
      <c r="S173" s="3">
        <f>IF(BBDD_fashion_boutique[[#This Row],[customer_rating]]="","No valorado",BBDD_fashion_boutique[[#This Row],[customer_rating]])</f>
        <v>2.8</v>
      </c>
      <c r="T173" t="s">
        <v>41</v>
      </c>
      <c r="U173" t="s">
        <v>84</v>
      </c>
      <c r="V173">
        <f>IF(BBDD_fashion_boutique[[#This Row],[is_returned]]="False",0,1)</f>
        <v>1</v>
      </c>
      <c r="W173">
        <f>IF(BBDD_fashion_boutique[[#This Row],[is_returned]]="True",0,BBDD_fashion_boutique[[#This Row],[current_price]])</f>
        <v>0</v>
      </c>
      <c r="X173" t="str">
        <f>IF(BBDD_fashion_boutique[[#This Row],[return_reason]]="","No return",BBDD_fashion_boutique[[#This Row],[return_reason]])</f>
        <v>Damaged</v>
      </c>
      <c r="Y173">
        <f>IF(IFERROR(VLOOKUP(BBDD_fashion_boutique[[#This Row],[product_id]],A174:A2349,1,FALSE),0),1,0)</f>
        <v>0</v>
      </c>
    </row>
    <row r="174" spans="1:25" x14ac:dyDescent="0.3">
      <c r="A174" t="s">
        <v>233</v>
      </c>
      <c r="B174" t="s">
        <v>32</v>
      </c>
      <c r="C174" t="s">
        <v>59</v>
      </c>
      <c r="D174" t="s">
        <v>28</v>
      </c>
      <c r="F174" t="str">
        <f>IF(BBDD_fashion_boutique[[#This Row],[category]]="Accessories","Accesorio",IF(BBDD_fashion_boutique[[#This Row],[size]]="","Desconocido",BBDD_fashion_boutique[[#This Row],[size]]))</f>
        <v>Accesorio</v>
      </c>
      <c r="G174" t="s">
        <v>40</v>
      </c>
      <c r="H174" s="2">
        <v>54.07</v>
      </c>
      <c r="I174">
        <v>0</v>
      </c>
      <c r="J174" s="5">
        <f>BBDD_fashion_boutique[[#This Row],[markdown_percentage]]/100</f>
        <v>0</v>
      </c>
      <c r="K174" s="2">
        <v>54.07</v>
      </c>
      <c r="L174" s="2">
        <f>BBDD_fashion_boutique[[#This Row],[original_price]]-BBDD_fashion_boutique[[#This Row],[current_price]]</f>
        <v>0</v>
      </c>
      <c r="M174" s="1">
        <v>45875</v>
      </c>
      <c r="N174" s="1" t="str">
        <f>PROPER(TEXT(BBDD_fashion_boutique[[#This Row],[purchase_date]],"dddd"))</f>
        <v>Miércoles</v>
      </c>
      <c r="O174" s="1" t="str">
        <f>PROPER(TEXT(BBDD_fashion_boutique[[#This Row],[purchase_date]],"mmmm"))</f>
        <v>Agosto</v>
      </c>
      <c r="P174" s="4">
        <v>47</v>
      </c>
      <c r="Q174" s="2">
        <v>4.5999999999999996</v>
      </c>
      <c r="R174" t="str">
        <f>IF(BBDD_fashion_boutique[[#This Row],[stock_quantity]]&gt;9,"Ok",IF(BBDD_fashion_boutique[[#This Row],[stock_quantity]]=0,"Agotado","Pocas Unidades"))</f>
        <v>Ok</v>
      </c>
      <c r="S174" s="3">
        <f>IF(BBDD_fashion_boutique[[#This Row],[customer_rating]]="","No valorado",BBDD_fashion_boutique[[#This Row],[customer_rating]])</f>
        <v>4.5999999999999996</v>
      </c>
      <c r="T174" t="s">
        <v>24</v>
      </c>
      <c r="V174">
        <f>IF(BBDD_fashion_boutique[[#This Row],[is_returned]]="False",0,1)</f>
        <v>0</v>
      </c>
      <c r="W174">
        <f>IF(BBDD_fashion_boutique[[#This Row],[is_returned]]="True",0,BBDD_fashion_boutique[[#This Row],[current_price]])</f>
        <v>54.07</v>
      </c>
      <c r="X174" t="str">
        <f>IF(BBDD_fashion_boutique[[#This Row],[return_reason]]="","No return",BBDD_fashion_boutique[[#This Row],[return_reason]])</f>
        <v>No return</v>
      </c>
      <c r="Y174">
        <f>IF(IFERROR(VLOOKUP(BBDD_fashion_boutique[[#This Row],[product_id]],A175:A2350,1,FALSE),0),1,0)</f>
        <v>0</v>
      </c>
    </row>
    <row r="175" spans="1:25" x14ac:dyDescent="0.3">
      <c r="A175" t="s">
        <v>234</v>
      </c>
      <c r="B175" t="s">
        <v>35</v>
      </c>
      <c r="C175" t="s">
        <v>37</v>
      </c>
      <c r="D175" t="s">
        <v>28</v>
      </c>
      <c r="E175" t="s">
        <v>22</v>
      </c>
      <c r="F175" t="str">
        <f>IF(BBDD_fashion_boutique[[#This Row],[category]]="Accessories","Accesorio",IF(BBDD_fashion_boutique[[#This Row],[size]]="","Desconocido",BBDD_fashion_boutique[[#This Row],[size]]))</f>
        <v>XL</v>
      </c>
      <c r="G175" t="s">
        <v>23</v>
      </c>
      <c r="H175" s="2">
        <v>104.4</v>
      </c>
      <c r="I175">
        <v>0</v>
      </c>
      <c r="J175" s="5">
        <f>BBDD_fashion_boutique[[#This Row],[markdown_percentage]]/100</f>
        <v>0</v>
      </c>
      <c r="K175" s="2">
        <v>104.4</v>
      </c>
      <c r="L175" s="2">
        <f>BBDD_fashion_boutique[[#This Row],[original_price]]-BBDD_fashion_boutique[[#This Row],[current_price]]</f>
        <v>0</v>
      </c>
      <c r="M175" s="1">
        <v>45875</v>
      </c>
      <c r="N175" s="1" t="str">
        <f>PROPER(TEXT(BBDD_fashion_boutique[[#This Row],[purchase_date]],"dddd"))</f>
        <v>Miércoles</v>
      </c>
      <c r="O175" s="1" t="str">
        <f>PROPER(TEXT(BBDD_fashion_boutique[[#This Row],[purchase_date]],"mmmm"))</f>
        <v>Agosto</v>
      </c>
      <c r="P175" s="4">
        <v>41</v>
      </c>
      <c r="Q175" s="2">
        <v>3.4</v>
      </c>
      <c r="R175" t="str">
        <f>IF(BBDD_fashion_boutique[[#This Row],[stock_quantity]]&gt;9,"Ok",IF(BBDD_fashion_boutique[[#This Row],[stock_quantity]]=0,"Agotado","Pocas Unidades"))</f>
        <v>Ok</v>
      </c>
      <c r="S175" s="3">
        <f>IF(BBDD_fashion_boutique[[#This Row],[customer_rating]]="","No valorado",BBDD_fashion_boutique[[#This Row],[customer_rating]])</f>
        <v>3.4</v>
      </c>
      <c r="T175" t="s">
        <v>24</v>
      </c>
      <c r="V175">
        <f>IF(BBDD_fashion_boutique[[#This Row],[is_returned]]="False",0,1)</f>
        <v>0</v>
      </c>
      <c r="W175">
        <f>IF(BBDD_fashion_boutique[[#This Row],[is_returned]]="True",0,BBDD_fashion_boutique[[#This Row],[current_price]])</f>
        <v>104.4</v>
      </c>
      <c r="X175" t="str">
        <f>IF(BBDD_fashion_boutique[[#This Row],[return_reason]]="","No return",BBDD_fashion_boutique[[#This Row],[return_reason]])</f>
        <v>No return</v>
      </c>
      <c r="Y175">
        <f>IF(IFERROR(VLOOKUP(BBDD_fashion_boutique[[#This Row],[product_id]],A176:A2351,1,FALSE),0),1,0)</f>
        <v>0</v>
      </c>
    </row>
    <row r="176" spans="1:25" x14ac:dyDescent="0.3">
      <c r="A176" t="s">
        <v>235</v>
      </c>
      <c r="B176" t="s">
        <v>48</v>
      </c>
      <c r="C176" t="s">
        <v>59</v>
      </c>
      <c r="D176" t="s">
        <v>21</v>
      </c>
      <c r="E176" t="s">
        <v>64</v>
      </c>
      <c r="F176" t="str">
        <f>IF(BBDD_fashion_boutique[[#This Row],[category]]="Accessories","Accesorio",IF(BBDD_fashion_boutique[[#This Row],[size]]="","Desconocido",BBDD_fashion_boutique[[#This Row],[size]]))</f>
        <v>M</v>
      </c>
      <c r="G176" t="s">
        <v>46</v>
      </c>
      <c r="H176" s="2">
        <v>45.97</v>
      </c>
      <c r="I176">
        <v>0</v>
      </c>
      <c r="J176" s="5">
        <f>BBDD_fashion_boutique[[#This Row],[markdown_percentage]]/100</f>
        <v>0</v>
      </c>
      <c r="K176" s="2">
        <v>45.97</v>
      </c>
      <c r="L176" s="2">
        <f>BBDD_fashion_boutique[[#This Row],[original_price]]-BBDD_fashion_boutique[[#This Row],[current_price]]</f>
        <v>0</v>
      </c>
      <c r="M176" s="1">
        <v>45532</v>
      </c>
      <c r="N176" s="1" t="str">
        <f>PROPER(TEXT(BBDD_fashion_boutique[[#This Row],[purchase_date]],"dddd"))</f>
        <v>Miércoles</v>
      </c>
      <c r="O176" s="1" t="str">
        <f>PROPER(TEXT(BBDD_fashion_boutique[[#This Row],[purchase_date]],"mmmm"))</f>
        <v>Agosto</v>
      </c>
      <c r="P176" s="4">
        <v>37</v>
      </c>
      <c r="Q176" s="2">
        <v>3.2</v>
      </c>
      <c r="R176" t="str">
        <f>IF(BBDD_fashion_boutique[[#This Row],[stock_quantity]]&gt;9,"Ok",IF(BBDD_fashion_boutique[[#This Row],[stock_quantity]]=0,"Agotado","Pocas Unidades"))</f>
        <v>Ok</v>
      </c>
      <c r="S176" s="3">
        <f>IF(BBDD_fashion_boutique[[#This Row],[customer_rating]]="","No valorado",BBDD_fashion_boutique[[#This Row],[customer_rating]])</f>
        <v>3.2</v>
      </c>
      <c r="T176" t="s">
        <v>41</v>
      </c>
      <c r="U176" t="s">
        <v>89</v>
      </c>
      <c r="V176">
        <f>IF(BBDD_fashion_boutique[[#This Row],[is_returned]]="False",0,1)</f>
        <v>1</v>
      </c>
      <c r="W176">
        <f>IF(BBDD_fashion_boutique[[#This Row],[is_returned]]="True",0,BBDD_fashion_boutique[[#This Row],[current_price]])</f>
        <v>0</v>
      </c>
      <c r="X176" t="str">
        <f>IF(BBDD_fashion_boutique[[#This Row],[return_reason]]="","No return",BBDD_fashion_boutique[[#This Row],[return_reason]])</f>
        <v>Quality Issue</v>
      </c>
      <c r="Y176">
        <f>IF(IFERROR(VLOOKUP(BBDD_fashion_boutique[[#This Row],[product_id]],A177:A2352,1,FALSE),0),1,0)</f>
        <v>0</v>
      </c>
    </row>
    <row r="177" spans="1:25" x14ac:dyDescent="0.3">
      <c r="A177" t="s">
        <v>236</v>
      </c>
      <c r="B177" t="s">
        <v>26</v>
      </c>
      <c r="C177" t="s">
        <v>59</v>
      </c>
      <c r="D177" t="s">
        <v>68</v>
      </c>
      <c r="E177" t="s">
        <v>55</v>
      </c>
      <c r="F177" t="str">
        <f>IF(BBDD_fashion_boutique[[#This Row],[category]]="Accessories","Accesorio",IF(BBDD_fashion_boutique[[#This Row],[size]]="","Desconocido",BBDD_fashion_boutique[[#This Row],[size]]))</f>
        <v>XXL</v>
      </c>
      <c r="G177" t="s">
        <v>33</v>
      </c>
      <c r="H177" s="2">
        <v>28.79</v>
      </c>
      <c r="I177">
        <v>0</v>
      </c>
      <c r="J177" s="5">
        <f>BBDD_fashion_boutique[[#This Row],[markdown_percentage]]/100</f>
        <v>0</v>
      </c>
      <c r="K177" s="2">
        <v>28.79</v>
      </c>
      <c r="L177" s="2">
        <f>BBDD_fashion_boutique[[#This Row],[original_price]]-BBDD_fashion_boutique[[#This Row],[current_price]]</f>
        <v>0</v>
      </c>
      <c r="M177" s="1">
        <v>45875</v>
      </c>
      <c r="N177" s="1" t="str">
        <f>PROPER(TEXT(BBDD_fashion_boutique[[#This Row],[purchase_date]],"dddd"))</f>
        <v>Miércoles</v>
      </c>
      <c r="O177" s="1" t="str">
        <f>PROPER(TEXT(BBDD_fashion_boutique[[#This Row],[purchase_date]],"mmmm"))</f>
        <v>Agosto</v>
      </c>
      <c r="P177" s="4">
        <v>4</v>
      </c>
      <c r="Q177" s="2">
        <v>4.4000000000000004</v>
      </c>
      <c r="R177" t="str">
        <f>IF(BBDD_fashion_boutique[[#This Row],[stock_quantity]]&gt;9,"Ok",IF(BBDD_fashion_boutique[[#This Row],[stock_quantity]]=0,"Agotado","Pocas Unidades"))</f>
        <v>Pocas Unidades</v>
      </c>
      <c r="S177" s="3">
        <f>IF(BBDD_fashion_boutique[[#This Row],[customer_rating]]="","No valorado",BBDD_fashion_boutique[[#This Row],[customer_rating]])</f>
        <v>4.4000000000000004</v>
      </c>
      <c r="T177" t="s">
        <v>24</v>
      </c>
      <c r="V177">
        <f>IF(BBDD_fashion_boutique[[#This Row],[is_returned]]="False",0,1)</f>
        <v>0</v>
      </c>
      <c r="W177">
        <f>IF(BBDD_fashion_boutique[[#This Row],[is_returned]]="True",0,BBDD_fashion_boutique[[#This Row],[current_price]])</f>
        <v>28.79</v>
      </c>
      <c r="X177" t="str">
        <f>IF(BBDD_fashion_boutique[[#This Row],[return_reason]]="","No return",BBDD_fashion_boutique[[#This Row],[return_reason]])</f>
        <v>No return</v>
      </c>
      <c r="Y177">
        <f>IF(IFERROR(VLOOKUP(BBDD_fashion_boutique[[#This Row],[product_id]],A178:A2353,1,FALSE),0),1,0)</f>
        <v>0</v>
      </c>
    </row>
    <row r="178" spans="1:25" x14ac:dyDescent="0.3">
      <c r="A178" t="s">
        <v>237</v>
      </c>
      <c r="B178" t="s">
        <v>19</v>
      </c>
      <c r="C178" t="s">
        <v>27</v>
      </c>
      <c r="D178" t="s">
        <v>28</v>
      </c>
      <c r="E178" t="s">
        <v>64</v>
      </c>
      <c r="F178" t="str">
        <f>IF(BBDD_fashion_boutique[[#This Row],[category]]="Accessories","Accesorio",IF(BBDD_fashion_boutique[[#This Row],[size]]="","Desconocido",BBDD_fashion_boutique[[#This Row],[size]]))</f>
        <v>M</v>
      </c>
      <c r="G178" t="s">
        <v>46</v>
      </c>
      <c r="H178" s="2">
        <v>204.21</v>
      </c>
      <c r="I178">
        <v>0</v>
      </c>
      <c r="J178" s="5">
        <f>BBDD_fashion_boutique[[#This Row],[markdown_percentage]]/100</f>
        <v>0</v>
      </c>
      <c r="K178" s="2">
        <v>204.21</v>
      </c>
      <c r="L178" s="2">
        <f>BBDD_fashion_boutique[[#This Row],[original_price]]-BBDD_fashion_boutique[[#This Row],[current_price]]</f>
        <v>0</v>
      </c>
      <c r="M178" s="1">
        <v>45875</v>
      </c>
      <c r="N178" s="1" t="str">
        <f>PROPER(TEXT(BBDD_fashion_boutique[[#This Row],[purchase_date]],"dddd"))</f>
        <v>Miércoles</v>
      </c>
      <c r="O178" s="1" t="str">
        <f>PROPER(TEXT(BBDD_fashion_boutique[[#This Row],[purchase_date]],"mmmm"))</f>
        <v>Agosto</v>
      </c>
      <c r="P178" s="4">
        <v>5</v>
      </c>
      <c r="Q178" s="2">
        <v>3.3</v>
      </c>
      <c r="R178" t="str">
        <f>IF(BBDD_fashion_boutique[[#This Row],[stock_quantity]]&gt;9,"Ok",IF(BBDD_fashion_boutique[[#This Row],[stock_quantity]]=0,"Agotado","Pocas Unidades"))</f>
        <v>Pocas Unidades</v>
      </c>
      <c r="S178" s="3">
        <f>IF(BBDD_fashion_boutique[[#This Row],[customer_rating]]="","No valorado",BBDD_fashion_boutique[[#This Row],[customer_rating]])</f>
        <v>3.3</v>
      </c>
      <c r="T178" t="s">
        <v>24</v>
      </c>
      <c r="V178">
        <f>IF(BBDD_fashion_boutique[[#This Row],[is_returned]]="False",0,1)</f>
        <v>0</v>
      </c>
      <c r="W178">
        <f>IF(BBDD_fashion_boutique[[#This Row],[is_returned]]="True",0,BBDD_fashion_boutique[[#This Row],[current_price]])</f>
        <v>204.21</v>
      </c>
      <c r="X178" t="str">
        <f>IF(BBDD_fashion_boutique[[#This Row],[return_reason]]="","No return",BBDD_fashion_boutique[[#This Row],[return_reason]])</f>
        <v>No return</v>
      </c>
      <c r="Y178">
        <f>IF(IFERROR(VLOOKUP(BBDD_fashion_boutique[[#This Row],[product_id]],A179:A2354,1,FALSE),0),1,0)</f>
        <v>0</v>
      </c>
    </row>
    <row r="179" spans="1:25" x14ac:dyDescent="0.3">
      <c r="A179" t="s">
        <v>238</v>
      </c>
      <c r="B179" t="s">
        <v>35</v>
      </c>
      <c r="C179" t="s">
        <v>49</v>
      </c>
      <c r="D179" t="s">
        <v>39</v>
      </c>
      <c r="E179" t="s">
        <v>55</v>
      </c>
      <c r="F179" t="str">
        <f>IF(BBDD_fashion_boutique[[#This Row],[category]]="Accessories","Accesorio",IF(BBDD_fashion_boutique[[#This Row],[size]]="","Desconocido",BBDD_fashion_boutique[[#This Row],[size]]))</f>
        <v>XXL</v>
      </c>
      <c r="G179" t="s">
        <v>30</v>
      </c>
      <c r="H179" s="2">
        <v>190.75</v>
      </c>
      <c r="I179">
        <v>20</v>
      </c>
      <c r="J179" s="5">
        <f>BBDD_fashion_boutique[[#This Row],[markdown_percentage]]/100</f>
        <v>0.2</v>
      </c>
      <c r="K179" s="2">
        <v>152.6</v>
      </c>
      <c r="L179" s="2">
        <f>BBDD_fashion_boutique[[#This Row],[original_price]]-BBDD_fashion_boutique[[#This Row],[current_price]]</f>
        <v>38.150000000000006</v>
      </c>
      <c r="M179" s="1">
        <v>45875</v>
      </c>
      <c r="N179" s="1" t="str">
        <f>PROPER(TEXT(BBDD_fashion_boutique[[#This Row],[purchase_date]],"dddd"))</f>
        <v>Miércoles</v>
      </c>
      <c r="O179" s="1" t="str">
        <f>PROPER(TEXT(BBDD_fashion_boutique[[#This Row],[purchase_date]],"mmmm"))</f>
        <v>Agosto</v>
      </c>
      <c r="P179" s="4">
        <v>47</v>
      </c>
      <c r="R179" t="str">
        <f>IF(BBDD_fashion_boutique[[#This Row],[stock_quantity]]&gt;9,"Ok",IF(BBDD_fashion_boutique[[#This Row],[stock_quantity]]=0,"Agotado","Pocas Unidades"))</f>
        <v>Ok</v>
      </c>
      <c r="S179" s="3" t="str">
        <f>IF(BBDD_fashion_boutique[[#This Row],[customer_rating]]="","No valorado",BBDD_fashion_boutique[[#This Row],[customer_rating]])</f>
        <v>No valorado</v>
      </c>
      <c r="T179" t="s">
        <v>24</v>
      </c>
      <c r="V179">
        <f>IF(BBDD_fashion_boutique[[#This Row],[is_returned]]="False",0,1)</f>
        <v>0</v>
      </c>
      <c r="W179">
        <f>IF(BBDD_fashion_boutique[[#This Row],[is_returned]]="True",0,BBDD_fashion_boutique[[#This Row],[current_price]])</f>
        <v>152.6</v>
      </c>
      <c r="X179" t="str">
        <f>IF(BBDD_fashion_boutique[[#This Row],[return_reason]]="","No return",BBDD_fashion_boutique[[#This Row],[return_reason]])</f>
        <v>No return</v>
      </c>
      <c r="Y179">
        <f>IF(IFERROR(VLOOKUP(BBDD_fashion_boutique[[#This Row],[product_id]],A180:A2355,1,FALSE),0),1,0)</f>
        <v>0</v>
      </c>
    </row>
    <row r="180" spans="1:25" x14ac:dyDescent="0.3">
      <c r="A180" t="s">
        <v>239</v>
      </c>
      <c r="B180" t="s">
        <v>26</v>
      </c>
      <c r="C180" t="s">
        <v>81</v>
      </c>
      <c r="D180" t="s">
        <v>28</v>
      </c>
      <c r="E180" t="s">
        <v>61</v>
      </c>
      <c r="F180" t="str">
        <f>IF(BBDD_fashion_boutique[[#This Row],[category]]="Accessories","Accesorio",IF(BBDD_fashion_boutique[[#This Row],[size]]="","Desconocido",BBDD_fashion_boutique[[#This Row],[size]]))</f>
        <v>XS</v>
      </c>
      <c r="G180" t="s">
        <v>76</v>
      </c>
      <c r="H180" s="2">
        <v>33.01</v>
      </c>
      <c r="I180">
        <v>39.200000000000003</v>
      </c>
      <c r="J180" s="5">
        <f>BBDD_fashion_boutique[[#This Row],[markdown_percentage]]/100</f>
        <v>0.39200000000000002</v>
      </c>
      <c r="K180" s="2">
        <v>20.07</v>
      </c>
      <c r="L180" s="2">
        <f>BBDD_fashion_boutique[[#This Row],[original_price]]-BBDD_fashion_boutique[[#This Row],[current_price]]</f>
        <v>12.939999999999998</v>
      </c>
      <c r="M180" s="1">
        <v>45875</v>
      </c>
      <c r="N180" s="1" t="str">
        <f>PROPER(TEXT(BBDD_fashion_boutique[[#This Row],[purchase_date]],"dddd"))</f>
        <v>Miércoles</v>
      </c>
      <c r="O180" s="1" t="str">
        <f>PROPER(TEXT(BBDD_fashion_boutique[[#This Row],[purchase_date]],"mmmm"))</f>
        <v>Agosto</v>
      </c>
      <c r="P180" s="4">
        <v>16</v>
      </c>
      <c r="Q180" s="2">
        <v>3.7</v>
      </c>
      <c r="R180" t="str">
        <f>IF(BBDD_fashion_boutique[[#This Row],[stock_quantity]]&gt;9,"Ok",IF(BBDD_fashion_boutique[[#This Row],[stock_quantity]]=0,"Agotado","Pocas Unidades"))</f>
        <v>Ok</v>
      </c>
      <c r="S180" s="3">
        <f>IF(BBDD_fashion_boutique[[#This Row],[customer_rating]]="","No valorado",BBDD_fashion_boutique[[#This Row],[customer_rating]])</f>
        <v>3.7</v>
      </c>
      <c r="T180" t="s">
        <v>24</v>
      </c>
      <c r="V180">
        <f>IF(BBDD_fashion_boutique[[#This Row],[is_returned]]="False",0,1)</f>
        <v>0</v>
      </c>
      <c r="W180">
        <f>IF(BBDD_fashion_boutique[[#This Row],[is_returned]]="True",0,BBDD_fashion_boutique[[#This Row],[current_price]])</f>
        <v>20.07</v>
      </c>
      <c r="X180" t="str">
        <f>IF(BBDD_fashion_boutique[[#This Row],[return_reason]]="","No return",BBDD_fashion_boutique[[#This Row],[return_reason]])</f>
        <v>No return</v>
      </c>
      <c r="Y180">
        <f>IF(IFERROR(VLOOKUP(BBDD_fashion_boutique[[#This Row],[product_id]],A181:A2356,1,FALSE),0),1,0)</f>
        <v>0</v>
      </c>
    </row>
    <row r="181" spans="1:25" x14ac:dyDescent="0.3">
      <c r="A181" t="s">
        <v>240</v>
      </c>
      <c r="B181" t="s">
        <v>32</v>
      </c>
      <c r="C181" t="s">
        <v>37</v>
      </c>
      <c r="D181" t="s">
        <v>21</v>
      </c>
      <c r="F181" t="str">
        <f>IF(BBDD_fashion_boutique[[#This Row],[category]]="Accessories","Accesorio",IF(BBDD_fashion_boutique[[#This Row],[size]]="","Desconocido",BBDD_fashion_boutique[[#This Row],[size]]))</f>
        <v>Accesorio</v>
      </c>
      <c r="G181" t="s">
        <v>50</v>
      </c>
      <c r="H181" s="2">
        <v>47.61</v>
      </c>
      <c r="I181">
        <v>39.799999999999997</v>
      </c>
      <c r="J181" s="5">
        <f>BBDD_fashion_boutique[[#This Row],[markdown_percentage]]/100</f>
        <v>0.39799999999999996</v>
      </c>
      <c r="K181" s="2">
        <v>28.66</v>
      </c>
      <c r="L181" s="2">
        <f>BBDD_fashion_boutique[[#This Row],[original_price]]-BBDD_fashion_boutique[[#This Row],[current_price]]</f>
        <v>18.95</v>
      </c>
      <c r="M181" s="1">
        <v>45629</v>
      </c>
      <c r="N181" s="1" t="str">
        <f>PROPER(TEXT(BBDD_fashion_boutique[[#This Row],[purchase_date]],"dddd"))</f>
        <v>Martes</v>
      </c>
      <c r="O181" s="1" t="str">
        <f>PROPER(TEXT(BBDD_fashion_boutique[[#This Row],[purchase_date]],"mmmm"))</f>
        <v>Diciembre</v>
      </c>
      <c r="P181" s="4">
        <v>18</v>
      </c>
      <c r="Q181" s="2">
        <v>1.3</v>
      </c>
      <c r="R181" t="str">
        <f>IF(BBDD_fashion_boutique[[#This Row],[stock_quantity]]&gt;9,"Ok",IF(BBDD_fashion_boutique[[#This Row],[stock_quantity]]=0,"Agotado","Pocas Unidades"))</f>
        <v>Ok</v>
      </c>
      <c r="S181" s="3">
        <f>IF(BBDD_fashion_boutique[[#This Row],[customer_rating]]="","No valorado",BBDD_fashion_boutique[[#This Row],[customer_rating]])</f>
        <v>1.3</v>
      </c>
      <c r="T181" t="s">
        <v>24</v>
      </c>
      <c r="V181">
        <f>IF(BBDD_fashion_boutique[[#This Row],[is_returned]]="False",0,1)</f>
        <v>0</v>
      </c>
      <c r="W181">
        <f>IF(BBDD_fashion_boutique[[#This Row],[is_returned]]="True",0,BBDD_fashion_boutique[[#This Row],[current_price]])</f>
        <v>28.66</v>
      </c>
      <c r="X181" t="str">
        <f>IF(BBDD_fashion_boutique[[#This Row],[return_reason]]="","No return",BBDD_fashion_boutique[[#This Row],[return_reason]])</f>
        <v>No return</v>
      </c>
      <c r="Y181">
        <f>IF(IFERROR(VLOOKUP(BBDD_fashion_boutique[[#This Row],[product_id]],A182:A2357,1,FALSE),0),1,0)</f>
        <v>0</v>
      </c>
    </row>
    <row r="182" spans="1:25" x14ac:dyDescent="0.3">
      <c r="A182" t="s">
        <v>241</v>
      </c>
      <c r="B182" t="s">
        <v>19</v>
      </c>
      <c r="C182" t="s">
        <v>54</v>
      </c>
      <c r="D182" t="s">
        <v>21</v>
      </c>
      <c r="E182" t="s">
        <v>61</v>
      </c>
      <c r="F182" t="str">
        <f>IF(BBDD_fashion_boutique[[#This Row],[category]]="Accessories","Accesorio",IF(BBDD_fashion_boutique[[#This Row],[size]]="","Desconocido",BBDD_fashion_boutique[[#This Row],[size]]))</f>
        <v>XS</v>
      </c>
      <c r="G182" t="s">
        <v>23</v>
      </c>
      <c r="H182" s="2">
        <v>137.16</v>
      </c>
      <c r="I182">
        <v>0</v>
      </c>
      <c r="J182" s="5">
        <f>BBDD_fashion_boutique[[#This Row],[markdown_percentage]]/100</f>
        <v>0</v>
      </c>
      <c r="K182" s="2">
        <v>137.16</v>
      </c>
      <c r="L182" s="2">
        <f>BBDD_fashion_boutique[[#This Row],[original_price]]-BBDD_fashion_boutique[[#This Row],[current_price]]</f>
        <v>0</v>
      </c>
      <c r="M182" s="1">
        <v>45561</v>
      </c>
      <c r="N182" s="1" t="str">
        <f>PROPER(TEXT(BBDD_fashion_boutique[[#This Row],[purchase_date]],"dddd"))</f>
        <v>Jueves</v>
      </c>
      <c r="O182" s="1" t="str">
        <f>PROPER(TEXT(BBDD_fashion_boutique[[#This Row],[purchase_date]],"mmmm"))</f>
        <v>Septiembre</v>
      </c>
      <c r="P182" s="4">
        <v>34</v>
      </c>
      <c r="Q182" s="2">
        <v>3.2</v>
      </c>
      <c r="R182" t="str">
        <f>IF(BBDD_fashion_boutique[[#This Row],[stock_quantity]]&gt;9,"Ok",IF(BBDD_fashion_boutique[[#This Row],[stock_quantity]]=0,"Agotado","Pocas Unidades"))</f>
        <v>Ok</v>
      </c>
      <c r="S182" s="3">
        <f>IF(BBDD_fashion_boutique[[#This Row],[customer_rating]]="","No valorado",BBDD_fashion_boutique[[#This Row],[customer_rating]])</f>
        <v>3.2</v>
      </c>
      <c r="T182" t="s">
        <v>24</v>
      </c>
      <c r="V182">
        <f>IF(BBDD_fashion_boutique[[#This Row],[is_returned]]="False",0,1)</f>
        <v>0</v>
      </c>
      <c r="W182">
        <f>IF(BBDD_fashion_boutique[[#This Row],[is_returned]]="True",0,BBDD_fashion_boutique[[#This Row],[current_price]])</f>
        <v>137.16</v>
      </c>
      <c r="X182" t="str">
        <f>IF(BBDD_fashion_boutique[[#This Row],[return_reason]]="","No return",BBDD_fashion_boutique[[#This Row],[return_reason]])</f>
        <v>No return</v>
      </c>
      <c r="Y182">
        <f>IF(IFERROR(VLOOKUP(BBDD_fashion_boutique[[#This Row],[product_id]],A183:A2358,1,FALSE),0),1,0)</f>
        <v>0</v>
      </c>
    </row>
    <row r="183" spans="1:25" x14ac:dyDescent="0.3">
      <c r="A183" t="s">
        <v>242</v>
      </c>
      <c r="B183" t="s">
        <v>26</v>
      </c>
      <c r="C183" t="s">
        <v>67</v>
      </c>
      <c r="D183" t="s">
        <v>39</v>
      </c>
      <c r="E183" t="s">
        <v>64</v>
      </c>
      <c r="F183" t="str">
        <f>IF(BBDD_fashion_boutique[[#This Row],[category]]="Accessories","Accesorio",IF(BBDD_fashion_boutique[[#This Row],[size]]="","Desconocido",BBDD_fashion_boutique[[#This Row],[size]]))</f>
        <v>M</v>
      </c>
      <c r="G183" t="s">
        <v>70</v>
      </c>
      <c r="H183" s="2">
        <v>108.49</v>
      </c>
      <c r="I183">
        <v>0</v>
      </c>
      <c r="J183" s="5">
        <f>BBDD_fashion_boutique[[#This Row],[markdown_percentage]]/100</f>
        <v>0</v>
      </c>
      <c r="K183" s="2">
        <v>108.49</v>
      </c>
      <c r="L183" s="2">
        <f>BBDD_fashion_boutique[[#This Row],[original_price]]-BBDD_fashion_boutique[[#This Row],[current_price]]</f>
        <v>0</v>
      </c>
      <c r="M183" s="1">
        <v>45875</v>
      </c>
      <c r="N183" s="1" t="str">
        <f>PROPER(TEXT(BBDD_fashion_boutique[[#This Row],[purchase_date]],"dddd"))</f>
        <v>Miércoles</v>
      </c>
      <c r="O183" s="1" t="str">
        <f>PROPER(TEXT(BBDD_fashion_boutique[[#This Row],[purchase_date]],"mmmm"))</f>
        <v>Agosto</v>
      </c>
      <c r="P183" s="4">
        <v>7</v>
      </c>
      <c r="Q183" s="2">
        <v>3.3</v>
      </c>
      <c r="R183" t="str">
        <f>IF(BBDD_fashion_boutique[[#This Row],[stock_quantity]]&gt;9,"Ok",IF(BBDD_fashion_boutique[[#This Row],[stock_quantity]]=0,"Agotado","Pocas Unidades"))</f>
        <v>Pocas Unidades</v>
      </c>
      <c r="S183" s="3">
        <f>IF(BBDD_fashion_boutique[[#This Row],[customer_rating]]="","No valorado",BBDD_fashion_boutique[[#This Row],[customer_rating]])</f>
        <v>3.3</v>
      </c>
      <c r="T183" t="s">
        <v>24</v>
      </c>
      <c r="V183">
        <f>IF(BBDD_fashion_boutique[[#This Row],[is_returned]]="False",0,1)</f>
        <v>0</v>
      </c>
      <c r="W183">
        <f>IF(BBDD_fashion_boutique[[#This Row],[is_returned]]="True",0,BBDD_fashion_boutique[[#This Row],[current_price]])</f>
        <v>108.49</v>
      </c>
      <c r="X183" t="str">
        <f>IF(BBDD_fashion_boutique[[#This Row],[return_reason]]="","No return",BBDD_fashion_boutique[[#This Row],[return_reason]])</f>
        <v>No return</v>
      </c>
      <c r="Y183">
        <f>IF(IFERROR(VLOOKUP(BBDD_fashion_boutique[[#This Row],[product_id]],A184:A2359,1,FALSE),0),1,0)</f>
        <v>0</v>
      </c>
    </row>
    <row r="184" spans="1:25" x14ac:dyDescent="0.3">
      <c r="A184" t="s">
        <v>243</v>
      </c>
      <c r="B184" t="s">
        <v>26</v>
      </c>
      <c r="C184" t="s">
        <v>37</v>
      </c>
      <c r="D184" t="s">
        <v>28</v>
      </c>
      <c r="E184" t="s">
        <v>22</v>
      </c>
      <c r="F184" t="str">
        <f>IF(BBDD_fashion_boutique[[#This Row],[category]]="Accessories","Accesorio",IF(BBDD_fashion_boutique[[#This Row],[size]]="","Desconocido",BBDD_fashion_boutique[[#This Row],[size]]))</f>
        <v>XL</v>
      </c>
      <c r="G184" t="s">
        <v>52</v>
      </c>
      <c r="H184" s="2">
        <v>106.49</v>
      </c>
      <c r="I184">
        <v>0</v>
      </c>
      <c r="J184" s="5">
        <f>BBDD_fashion_boutique[[#This Row],[markdown_percentage]]/100</f>
        <v>0</v>
      </c>
      <c r="K184" s="2">
        <v>106.49</v>
      </c>
      <c r="L184" s="2">
        <f>BBDD_fashion_boutique[[#This Row],[original_price]]-BBDD_fashion_boutique[[#This Row],[current_price]]</f>
        <v>0</v>
      </c>
      <c r="M184" s="1">
        <v>45875</v>
      </c>
      <c r="N184" s="1" t="str">
        <f>PROPER(TEXT(BBDD_fashion_boutique[[#This Row],[purchase_date]],"dddd"))</f>
        <v>Miércoles</v>
      </c>
      <c r="O184" s="1" t="str">
        <f>PROPER(TEXT(BBDD_fashion_boutique[[#This Row],[purchase_date]],"mmmm"))</f>
        <v>Agosto</v>
      </c>
      <c r="P184" s="4">
        <v>23</v>
      </c>
      <c r="Q184" s="2">
        <v>4</v>
      </c>
      <c r="R184" t="str">
        <f>IF(BBDD_fashion_boutique[[#This Row],[stock_quantity]]&gt;9,"Ok",IF(BBDD_fashion_boutique[[#This Row],[stock_quantity]]=0,"Agotado","Pocas Unidades"))</f>
        <v>Ok</v>
      </c>
      <c r="S184" s="3">
        <f>IF(BBDD_fashion_boutique[[#This Row],[customer_rating]]="","No valorado",BBDD_fashion_boutique[[#This Row],[customer_rating]])</f>
        <v>4</v>
      </c>
      <c r="T184" t="s">
        <v>24</v>
      </c>
      <c r="V184">
        <f>IF(BBDD_fashion_boutique[[#This Row],[is_returned]]="False",0,1)</f>
        <v>0</v>
      </c>
      <c r="W184">
        <f>IF(BBDD_fashion_boutique[[#This Row],[is_returned]]="True",0,BBDD_fashion_boutique[[#This Row],[current_price]])</f>
        <v>106.49</v>
      </c>
      <c r="X184" t="str">
        <f>IF(BBDD_fashion_boutique[[#This Row],[return_reason]]="","No return",BBDD_fashion_boutique[[#This Row],[return_reason]])</f>
        <v>No return</v>
      </c>
      <c r="Y184">
        <f>IF(IFERROR(VLOOKUP(BBDD_fashion_boutique[[#This Row],[product_id]],A185:A2360,1,FALSE),0),1,0)</f>
        <v>0</v>
      </c>
    </row>
    <row r="185" spans="1:25" x14ac:dyDescent="0.3">
      <c r="A185" t="s">
        <v>244</v>
      </c>
      <c r="B185" t="s">
        <v>26</v>
      </c>
      <c r="C185" t="s">
        <v>49</v>
      </c>
      <c r="D185" t="s">
        <v>28</v>
      </c>
      <c r="E185" t="s">
        <v>55</v>
      </c>
      <c r="F185" t="str">
        <f>IF(BBDD_fashion_boutique[[#This Row],[category]]="Accessories","Accesorio",IF(BBDD_fashion_boutique[[#This Row],[size]]="","Desconocido",BBDD_fashion_boutique[[#This Row],[size]]))</f>
        <v>XXL</v>
      </c>
      <c r="G185" t="s">
        <v>30</v>
      </c>
      <c r="H185" s="2">
        <v>114.86</v>
      </c>
      <c r="I185">
        <v>0</v>
      </c>
      <c r="J185" s="5">
        <f>BBDD_fashion_boutique[[#This Row],[markdown_percentage]]/100</f>
        <v>0</v>
      </c>
      <c r="K185" s="2">
        <v>114.86</v>
      </c>
      <c r="L185" s="2">
        <f>BBDD_fashion_boutique[[#This Row],[original_price]]-BBDD_fashion_boutique[[#This Row],[current_price]]</f>
        <v>0</v>
      </c>
      <c r="M185" s="1">
        <v>45875</v>
      </c>
      <c r="N185" s="1" t="str">
        <f>PROPER(TEXT(BBDD_fashion_boutique[[#This Row],[purchase_date]],"dddd"))</f>
        <v>Miércoles</v>
      </c>
      <c r="O185" s="1" t="str">
        <f>PROPER(TEXT(BBDD_fashion_boutique[[#This Row],[purchase_date]],"mmmm"))</f>
        <v>Agosto</v>
      </c>
      <c r="P185" s="4">
        <v>48</v>
      </c>
      <c r="Q185" s="2">
        <v>1.1000000000000001</v>
      </c>
      <c r="R185" t="str">
        <f>IF(BBDD_fashion_boutique[[#This Row],[stock_quantity]]&gt;9,"Ok",IF(BBDD_fashion_boutique[[#This Row],[stock_quantity]]=0,"Agotado","Pocas Unidades"))</f>
        <v>Ok</v>
      </c>
      <c r="S185" s="3">
        <f>IF(BBDD_fashion_boutique[[#This Row],[customer_rating]]="","No valorado",BBDD_fashion_boutique[[#This Row],[customer_rating]])</f>
        <v>1.1000000000000001</v>
      </c>
      <c r="T185" t="s">
        <v>24</v>
      </c>
      <c r="V185">
        <f>IF(BBDD_fashion_boutique[[#This Row],[is_returned]]="False",0,1)</f>
        <v>0</v>
      </c>
      <c r="W185">
        <f>IF(BBDD_fashion_boutique[[#This Row],[is_returned]]="True",0,BBDD_fashion_boutique[[#This Row],[current_price]])</f>
        <v>114.86</v>
      </c>
      <c r="X185" t="str">
        <f>IF(BBDD_fashion_boutique[[#This Row],[return_reason]]="","No return",BBDD_fashion_boutique[[#This Row],[return_reason]])</f>
        <v>No return</v>
      </c>
      <c r="Y185">
        <f>IF(IFERROR(VLOOKUP(BBDD_fashion_boutique[[#This Row],[product_id]],A186:A2361,1,FALSE),0),1,0)</f>
        <v>0</v>
      </c>
    </row>
    <row r="186" spans="1:25" x14ac:dyDescent="0.3">
      <c r="A186" t="s">
        <v>245</v>
      </c>
      <c r="B186" t="s">
        <v>48</v>
      </c>
      <c r="C186" t="s">
        <v>20</v>
      </c>
      <c r="D186" t="s">
        <v>39</v>
      </c>
      <c r="E186" t="s">
        <v>29</v>
      </c>
      <c r="F186" t="str">
        <f>IF(BBDD_fashion_boutique[[#This Row],[category]]="Accessories","Accesorio",IF(BBDD_fashion_boutique[[#This Row],[size]]="","Desconocido",BBDD_fashion_boutique[[#This Row],[size]]))</f>
        <v>L</v>
      </c>
      <c r="G186" t="s">
        <v>50</v>
      </c>
      <c r="H186" s="2">
        <v>121.68</v>
      </c>
      <c r="I186">
        <v>0</v>
      </c>
      <c r="J186" s="5">
        <f>BBDD_fashion_boutique[[#This Row],[markdown_percentage]]/100</f>
        <v>0</v>
      </c>
      <c r="K186" s="2">
        <v>121.68</v>
      </c>
      <c r="L186" s="2">
        <f>BBDD_fashion_boutique[[#This Row],[original_price]]-BBDD_fashion_boutique[[#This Row],[current_price]]</f>
        <v>0</v>
      </c>
      <c r="M186" s="1">
        <v>45875</v>
      </c>
      <c r="N186" s="1" t="str">
        <f>PROPER(TEXT(BBDD_fashion_boutique[[#This Row],[purchase_date]],"dddd"))</f>
        <v>Miércoles</v>
      </c>
      <c r="O186" s="1" t="str">
        <f>PROPER(TEXT(BBDD_fashion_boutique[[#This Row],[purchase_date]],"mmmm"))</f>
        <v>Agosto</v>
      </c>
      <c r="P186" s="4">
        <v>9</v>
      </c>
      <c r="Q186" s="2">
        <v>1.5</v>
      </c>
      <c r="R186" t="str">
        <f>IF(BBDD_fashion_boutique[[#This Row],[stock_quantity]]&gt;9,"Ok",IF(BBDD_fashion_boutique[[#This Row],[stock_quantity]]=0,"Agotado","Pocas Unidades"))</f>
        <v>Pocas Unidades</v>
      </c>
      <c r="S186" s="3">
        <f>IF(BBDD_fashion_boutique[[#This Row],[customer_rating]]="","No valorado",BBDD_fashion_boutique[[#This Row],[customer_rating]])</f>
        <v>1.5</v>
      </c>
      <c r="T186" t="s">
        <v>24</v>
      </c>
      <c r="V186">
        <f>IF(BBDD_fashion_boutique[[#This Row],[is_returned]]="False",0,1)</f>
        <v>0</v>
      </c>
      <c r="W186">
        <f>IF(BBDD_fashion_boutique[[#This Row],[is_returned]]="True",0,BBDD_fashion_boutique[[#This Row],[current_price]])</f>
        <v>121.68</v>
      </c>
      <c r="X186" t="str">
        <f>IF(BBDD_fashion_boutique[[#This Row],[return_reason]]="","No return",BBDD_fashion_boutique[[#This Row],[return_reason]])</f>
        <v>No return</v>
      </c>
      <c r="Y186">
        <f>IF(IFERROR(VLOOKUP(BBDD_fashion_boutique[[#This Row],[product_id]],A187:A2362,1,FALSE),0),1,0)</f>
        <v>0</v>
      </c>
    </row>
    <row r="187" spans="1:25" x14ac:dyDescent="0.3">
      <c r="A187" t="s">
        <v>246</v>
      </c>
      <c r="B187" t="s">
        <v>44</v>
      </c>
      <c r="C187" t="s">
        <v>20</v>
      </c>
      <c r="D187" t="s">
        <v>68</v>
      </c>
      <c r="E187" t="s">
        <v>55</v>
      </c>
      <c r="F187" t="str">
        <f>IF(BBDD_fashion_boutique[[#This Row],[category]]="Accessories","Accesorio",IF(BBDD_fashion_boutique[[#This Row],[size]]="","Desconocido",BBDD_fashion_boutique[[#This Row],[size]]))</f>
        <v>XXL</v>
      </c>
      <c r="G187" t="s">
        <v>33</v>
      </c>
      <c r="H187" s="2">
        <v>74.08</v>
      </c>
      <c r="I187">
        <v>3.9</v>
      </c>
      <c r="J187" s="5">
        <f>BBDD_fashion_boutique[[#This Row],[markdown_percentage]]/100</f>
        <v>3.9E-2</v>
      </c>
      <c r="K187" s="2">
        <v>71.19</v>
      </c>
      <c r="L187" s="2">
        <f>BBDD_fashion_boutique[[#This Row],[original_price]]-BBDD_fashion_boutique[[#This Row],[current_price]]</f>
        <v>2.8900000000000006</v>
      </c>
      <c r="M187" s="1">
        <v>45875</v>
      </c>
      <c r="N187" s="1" t="str">
        <f>PROPER(TEXT(BBDD_fashion_boutique[[#This Row],[purchase_date]],"dddd"))</f>
        <v>Miércoles</v>
      </c>
      <c r="O187" s="1" t="str">
        <f>PROPER(TEXT(BBDD_fashion_boutique[[#This Row],[purchase_date]],"mmmm"))</f>
        <v>Agosto</v>
      </c>
      <c r="P187" s="4">
        <v>37</v>
      </c>
      <c r="Q187" s="2">
        <v>1.7</v>
      </c>
      <c r="R187" t="str">
        <f>IF(BBDD_fashion_boutique[[#This Row],[stock_quantity]]&gt;9,"Ok",IF(BBDD_fashion_boutique[[#This Row],[stock_quantity]]=0,"Agotado","Pocas Unidades"))</f>
        <v>Ok</v>
      </c>
      <c r="S187" s="3">
        <f>IF(BBDD_fashion_boutique[[#This Row],[customer_rating]]="","No valorado",BBDD_fashion_boutique[[#This Row],[customer_rating]])</f>
        <v>1.7</v>
      </c>
      <c r="T187" t="s">
        <v>24</v>
      </c>
      <c r="V187">
        <f>IF(BBDD_fashion_boutique[[#This Row],[is_returned]]="False",0,1)</f>
        <v>0</v>
      </c>
      <c r="W187">
        <f>IF(BBDD_fashion_boutique[[#This Row],[is_returned]]="True",0,BBDD_fashion_boutique[[#This Row],[current_price]])</f>
        <v>71.19</v>
      </c>
      <c r="X187" t="str">
        <f>IF(BBDD_fashion_boutique[[#This Row],[return_reason]]="","No return",BBDD_fashion_boutique[[#This Row],[return_reason]])</f>
        <v>No return</v>
      </c>
      <c r="Y187">
        <f>IF(IFERROR(VLOOKUP(BBDD_fashion_boutique[[#This Row],[product_id]],A188:A2363,1,FALSE),0),1,0)</f>
        <v>0</v>
      </c>
    </row>
    <row r="188" spans="1:25" x14ac:dyDescent="0.3">
      <c r="A188" t="s">
        <v>247</v>
      </c>
      <c r="B188" t="s">
        <v>26</v>
      </c>
      <c r="C188" t="s">
        <v>67</v>
      </c>
      <c r="D188" t="s">
        <v>39</v>
      </c>
      <c r="E188" t="s">
        <v>64</v>
      </c>
      <c r="F188" t="str">
        <f>IF(BBDD_fashion_boutique[[#This Row],[category]]="Accessories","Accesorio",IF(BBDD_fashion_boutique[[#This Row],[size]]="","Desconocido",BBDD_fashion_boutique[[#This Row],[size]]))</f>
        <v>M</v>
      </c>
      <c r="G188" t="s">
        <v>50</v>
      </c>
      <c r="H188" s="2">
        <v>92.37</v>
      </c>
      <c r="I188">
        <v>35.9</v>
      </c>
      <c r="J188" s="5">
        <f>BBDD_fashion_boutique[[#This Row],[markdown_percentage]]/100</f>
        <v>0.35899999999999999</v>
      </c>
      <c r="K188" s="2">
        <v>59.21</v>
      </c>
      <c r="L188" s="2">
        <f>BBDD_fashion_boutique[[#This Row],[original_price]]-BBDD_fashion_boutique[[#This Row],[current_price]]</f>
        <v>33.160000000000004</v>
      </c>
      <c r="M188" s="1">
        <v>45875</v>
      </c>
      <c r="N188" s="1" t="str">
        <f>PROPER(TEXT(BBDD_fashion_boutique[[#This Row],[purchase_date]],"dddd"))</f>
        <v>Miércoles</v>
      </c>
      <c r="O188" s="1" t="str">
        <f>PROPER(TEXT(BBDD_fashion_boutique[[#This Row],[purchase_date]],"mmmm"))</f>
        <v>Agosto</v>
      </c>
      <c r="P188" s="4">
        <v>20</v>
      </c>
      <c r="R188" t="str">
        <f>IF(BBDD_fashion_boutique[[#This Row],[stock_quantity]]&gt;9,"Ok",IF(BBDD_fashion_boutique[[#This Row],[stock_quantity]]=0,"Agotado","Pocas Unidades"))</f>
        <v>Ok</v>
      </c>
      <c r="S188" s="3" t="str">
        <f>IF(BBDD_fashion_boutique[[#This Row],[customer_rating]]="","No valorado",BBDD_fashion_boutique[[#This Row],[customer_rating]])</f>
        <v>No valorado</v>
      </c>
      <c r="T188" t="s">
        <v>24</v>
      </c>
      <c r="V188">
        <f>IF(BBDD_fashion_boutique[[#This Row],[is_returned]]="False",0,1)</f>
        <v>0</v>
      </c>
      <c r="W188">
        <f>IF(BBDD_fashion_boutique[[#This Row],[is_returned]]="True",0,BBDD_fashion_boutique[[#This Row],[current_price]])</f>
        <v>59.21</v>
      </c>
      <c r="X188" t="str">
        <f>IF(BBDD_fashion_boutique[[#This Row],[return_reason]]="","No return",BBDD_fashion_boutique[[#This Row],[return_reason]])</f>
        <v>No return</v>
      </c>
      <c r="Y188">
        <f>IF(IFERROR(VLOOKUP(BBDD_fashion_boutique[[#This Row],[product_id]],A189:A2364,1,FALSE),0),1,0)</f>
        <v>0</v>
      </c>
    </row>
    <row r="189" spans="1:25" x14ac:dyDescent="0.3">
      <c r="A189" t="s">
        <v>248</v>
      </c>
      <c r="B189" t="s">
        <v>26</v>
      </c>
      <c r="C189" t="s">
        <v>27</v>
      </c>
      <c r="D189" t="s">
        <v>68</v>
      </c>
      <c r="E189" t="s">
        <v>55</v>
      </c>
      <c r="F189" t="str">
        <f>IF(BBDD_fashion_boutique[[#This Row],[category]]="Accessories","Accesorio",IF(BBDD_fashion_boutique[[#This Row],[size]]="","Desconocido",BBDD_fashion_boutique[[#This Row],[size]]))</f>
        <v>XXL</v>
      </c>
      <c r="G189" t="s">
        <v>62</v>
      </c>
      <c r="H189" s="2">
        <v>34.06</v>
      </c>
      <c r="I189">
        <v>0</v>
      </c>
      <c r="J189" s="5">
        <f>BBDD_fashion_boutique[[#This Row],[markdown_percentage]]/100</f>
        <v>0</v>
      </c>
      <c r="K189" s="2">
        <v>34.06</v>
      </c>
      <c r="L189" s="2">
        <f>BBDD_fashion_boutique[[#This Row],[original_price]]-BBDD_fashion_boutique[[#This Row],[current_price]]</f>
        <v>0</v>
      </c>
      <c r="M189" s="1">
        <v>45875</v>
      </c>
      <c r="N189" s="1" t="str">
        <f>PROPER(TEXT(BBDD_fashion_boutique[[#This Row],[purchase_date]],"dddd"))</f>
        <v>Miércoles</v>
      </c>
      <c r="O189" s="1" t="str">
        <f>PROPER(TEXT(BBDD_fashion_boutique[[#This Row],[purchase_date]],"mmmm"))</f>
        <v>Agosto</v>
      </c>
      <c r="P189" s="4">
        <v>39</v>
      </c>
      <c r="Q189" s="2">
        <v>4.5</v>
      </c>
      <c r="R189" t="str">
        <f>IF(BBDD_fashion_boutique[[#This Row],[stock_quantity]]&gt;9,"Ok",IF(BBDD_fashion_boutique[[#This Row],[stock_quantity]]=0,"Agotado","Pocas Unidades"))</f>
        <v>Ok</v>
      </c>
      <c r="S189" s="3">
        <f>IF(BBDD_fashion_boutique[[#This Row],[customer_rating]]="","No valorado",BBDD_fashion_boutique[[#This Row],[customer_rating]])</f>
        <v>4.5</v>
      </c>
      <c r="T189" t="s">
        <v>24</v>
      </c>
      <c r="V189">
        <f>IF(BBDD_fashion_boutique[[#This Row],[is_returned]]="False",0,1)</f>
        <v>0</v>
      </c>
      <c r="W189">
        <f>IF(BBDD_fashion_boutique[[#This Row],[is_returned]]="True",0,BBDD_fashion_boutique[[#This Row],[current_price]])</f>
        <v>34.06</v>
      </c>
      <c r="X189" t="str">
        <f>IF(BBDD_fashion_boutique[[#This Row],[return_reason]]="","No return",BBDD_fashion_boutique[[#This Row],[return_reason]])</f>
        <v>No return</v>
      </c>
      <c r="Y189">
        <f>IF(IFERROR(VLOOKUP(BBDD_fashion_boutique[[#This Row],[product_id]],A190:A2365,1,FALSE),0),1,0)</f>
        <v>0</v>
      </c>
    </row>
    <row r="190" spans="1:25" x14ac:dyDescent="0.3">
      <c r="A190" t="s">
        <v>249</v>
      </c>
      <c r="B190" t="s">
        <v>48</v>
      </c>
      <c r="C190" t="s">
        <v>20</v>
      </c>
      <c r="D190" t="s">
        <v>68</v>
      </c>
      <c r="E190" t="s">
        <v>29</v>
      </c>
      <c r="F190" t="str">
        <f>IF(BBDD_fashion_boutique[[#This Row],[category]]="Accessories","Accesorio",IF(BBDD_fashion_boutique[[#This Row],[size]]="","Desconocido",BBDD_fashion_boutique[[#This Row],[size]]))</f>
        <v>L</v>
      </c>
      <c r="G190" t="s">
        <v>30</v>
      </c>
      <c r="H190" s="2">
        <v>173.42</v>
      </c>
      <c r="I190">
        <v>0</v>
      </c>
      <c r="J190" s="5">
        <f>BBDD_fashion_boutique[[#This Row],[markdown_percentage]]/100</f>
        <v>0</v>
      </c>
      <c r="K190" s="2">
        <v>173.42</v>
      </c>
      <c r="L190" s="2">
        <f>BBDD_fashion_boutique[[#This Row],[original_price]]-BBDD_fashion_boutique[[#This Row],[current_price]]</f>
        <v>0</v>
      </c>
      <c r="M190" s="1">
        <v>45875</v>
      </c>
      <c r="N190" s="1" t="str">
        <f>PROPER(TEXT(BBDD_fashion_boutique[[#This Row],[purchase_date]],"dddd"))</f>
        <v>Miércoles</v>
      </c>
      <c r="O190" s="1" t="str">
        <f>PROPER(TEXT(BBDD_fashion_boutique[[#This Row],[purchase_date]],"mmmm"))</f>
        <v>Agosto</v>
      </c>
      <c r="P190" s="4">
        <v>47</v>
      </c>
      <c r="Q190" s="2">
        <v>4.2</v>
      </c>
      <c r="R190" t="str">
        <f>IF(BBDD_fashion_boutique[[#This Row],[stock_quantity]]&gt;9,"Ok",IF(BBDD_fashion_boutique[[#This Row],[stock_quantity]]=0,"Agotado","Pocas Unidades"))</f>
        <v>Ok</v>
      </c>
      <c r="S190" s="3">
        <f>IF(BBDD_fashion_boutique[[#This Row],[customer_rating]]="","No valorado",BBDD_fashion_boutique[[#This Row],[customer_rating]])</f>
        <v>4.2</v>
      </c>
      <c r="T190" t="s">
        <v>24</v>
      </c>
      <c r="V190">
        <f>IF(BBDD_fashion_boutique[[#This Row],[is_returned]]="False",0,1)</f>
        <v>0</v>
      </c>
      <c r="W190">
        <f>IF(BBDD_fashion_boutique[[#This Row],[is_returned]]="True",0,BBDD_fashion_boutique[[#This Row],[current_price]])</f>
        <v>173.42</v>
      </c>
      <c r="X190" t="str">
        <f>IF(BBDD_fashion_boutique[[#This Row],[return_reason]]="","No return",BBDD_fashion_boutique[[#This Row],[return_reason]])</f>
        <v>No return</v>
      </c>
      <c r="Y190">
        <f>IF(IFERROR(VLOOKUP(BBDD_fashion_boutique[[#This Row],[product_id]],A191:A2366,1,FALSE),0),1,0)</f>
        <v>0</v>
      </c>
    </row>
    <row r="191" spans="1:25" x14ac:dyDescent="0.3">
      <c r="A191" t="s">
        <v>250</v>
      </c>
      <c r="B191" t="s">
        <v>44</v>
      </c>
      <c r="C191" t="s">
        <v>27</v>
      </c>
      <c r="D191" t="s">
        <v>21</v>
      </c>
      <c r="E191" t="s">
        <v>55</v>
      </c>
      <c r="F191" t="str">
        <f>IF(BBDD_fashion_boutique[[#This Row],[category]]="Accessories","Accesorio",IF(BBDD_fashion_boutique[[#This Row],[size]]="","Desconocido",BBDD_fashion_boutique[[#This Row],[size]]))</f>
        <v>XXL</v>
      </c>
      <c r="G191" t="s">
        <v>76</v>
      </c>
      <c r="H191" s="2">
        <v>66.510000000000005</v>
      </c>
      <c r="I191">
        <v>0</v>
      </c>
      <c r="J191" s="5">
        <f>BBDD_fashion_boutique[[#This Row],[markdown_percentage]]/100</f>
        <v>0</v>
      </c>
      <c r="K191" s="2">
        <v>66.510000000000005</v>
      </c>
      <c r="L191" s="2">
        <f>BBDD_fashion_boutique[[#This Row],[original_price]]-BBDD_fashion_boutique[[#This Row],[current_price]]</f>
        <v>0</v>
      </c>
      <c r="M191" s="1">
        <v>45569</v>
      </c>
      <c r="N191" s="1" t="str">
        <f>PROPER(TEXT(BBDD_fashion_boutique[[#This Row],[purchase_date]],"dddd"))</f>
        <v>Viernes</v>
      </c>
      <c r="O191" s="1" t="str">
        <f>PROPER(TEXT(BBDD_fashion_boutique[[#This Row],[purchase_date]],"mmmm"))</f>
        <v>Octubre</v>
      </c>
      <c r="P191" s="4">
        <v>32</v>
      </c>
      <c r="Q191" s="2">
        <v>2.1</v>
      </c>
      <c r="R191" t="str">
        <f>IF(BBDD_fashion_boutique[[#This Row],[stock_quantity]]&gt;9,"Ok",IF(BBDD_fashion_boutique[[#This Row],[stock_quantity]]=0,"Agotado","Pocas Unidades"))</f>
        <v>Ok</v>
      </c>
      <c r="S191" s="3">
        <f>IF(BBDD_fashion_boutique[[#This Row],[customer_rating]]="","No valorado",BBDD_fashion_boutique[[#This Row],[customer_rating]])</f>
        <v>2.1</v>
      </c>
      <c r="T191" t="s">
        <v>24</v>
      </c>
      <c r="V191">
        <f>IF(BBDD_fashion_boutique[[#This Row],[is_returned]]="False",0,1)</f>
        <v>0</v>
      </c>
      <c r="W191">
        <f>IF(BBDD_fashion_boutique[[#This Row],[is_returned]]="True",0,BBDD_fashion_boutique[[#This Row],[current_price]])</f>
        <v>66.510000000000005</v>
      </c>
      <c r="X191" t="str">
        <f>IF(BBDD_fashion_boutique[[#This Row],[return_reason]]="","No return",BBDD_fashion_boutique[[#This Row],[return_reason]])</f>
        <v>No return</v>
      </c>
      <c r="Y191">
        <f>IF(IFERROR(VLOOKUP(BBDD_fashion_boutique[[#This Row],[product_id]],A192:A2367,1,FALSE),0),1,0)</f>
        <v>0</v>
      </c>
    </row>
    <row r="192" spans="1:25" x14ac:dyDescent="0.3">
      <c r="A192" t="s">
        <v>251</v>
      </c>
      <c r="B192" t="s">
        <v>44</v>
      </c>
      <c r="C192" t="s">
        <v>27</v>
      </c>
      <c r="D192" t="s">
        <v>39</v>
      </c>
      <c r="E192" t="s">
        <v>55</v>
      </c>
      <c r="F192" t="str">
        <f>IF(BBDD_fashion_boutique[[#This Row],[category]]="Accessories","Accesorio",IF(BBDD_fashion_boutique[[#This Row],[size]]="","Desconocido",BBDD_fashion_boutique[[#This Row],[size]]))</f>
        <v>XXL</v>
      </c>
      <c r="G192" t="s">
        <v>50</v>
      </c>
      <c r="H192" s="2">
        <v>72.44</v>
      </c>
      <c r="I192">
        <v>7.1</v>
      </c>
      <c r="J192" s="5">
        <f>BBDD_fashion_boutique[[#This Row],[markdown_percentage]]/100</f>
        <v>7.0999999999999994E-2</v>
      </c>
      <c r="K192" s="2">
        <v>67.3</v>
      </c>
      <c r="L192" s="2">
        <f>BBDD_fashion_boutique[[#This Row],[original_price]]-BBDD_fashion_boutique[[#This Row],[current_price]]</f>
        <v>5.1400000000000006</v>
      </c>
      <c r="M192" s="1">
        <v>45875</v>
      </c>
      <c r="N192" s="1" t="str">
        <f>PROPER(TEXT(BBDD_fashion_boutique[[#This Row],[purchase_date]],"dddd"))</f>
        <v>Miércoles</v>
      </c>
      <c r="O192" s="1" t="str">
        <f>PROPER(TEXT(BBDD_fashion_boutique[[#This Row],[purchase_date]],"mmmm"))</f>
        <v>Agosto</v>
      </c>
      <c r="P192" s="4">
        <v>10</v>
      </c>
      <c r="Q192" s="2">
        <v>1.8</v>
      </c>
      <c r="R192" t="str">
        <f>IF(BBDD_fashion_boutique[[#This Row],[stock_quantity]]&gt;9,"Ok",IF(BBDD_fashion_boutique[[#This Row],[stock_quantity]]=0,"Agotado","Pocas Unidades"))</f>
        <v>Ok</v>
      </c>
      <c r="S192" s="3">
        <f>IF(BBDD_fashion_boutique[[#This Row],[customer_rating]]="","No valorado",BBDD_fashion_boutique[[#This Row],[customer_rating]])</f>
        <v>1.8</v>
      </c>
      <c r="T192" t="s">
        <v>24</v>
      </c>
      <c r="V192">
        <f>IF(BBDD_fashion_boutique[[#This Row],[is_returned]]="False",0,1)</f>
        <v>0</v>
      </c>
      <c r="W192">
        <f>IF(BBDD_fashion_boutique[[#This Row],[is_returned]]="True",0,BBDD_fashion_boutique[[#This Row],[current_price]])</f>
        <v>67.3</v>
      </c>
      <c r="X192" t="str">
        <f>IF(BBDD_fashion_boutique[[#This Row],[return_reason]]="","No return",BBDD_fashion_boutique[[#This Row],[return_reason]])</f>
        <v>No return</v>
      </c>
      <c r="Y192">
        <f>IF(IFERROR(VLOOKUP(BBDD_fashion_boutique[[#This Row],[product_id]],A193:A2368,1,FALSE),0),1,0)</f>
        <v>0</v>
      </c>
    </row>
    <row r="193" spans="1:25" x14ac:dyDescent="0.3">
      <c r="A193" t="s">
        <v>252</v>
      </c>
      <c r="B193" t="s">
        <v>26</v>
      </c>
      <c r="C193" t="s">
        <v>59</v>
      </c>
      <c r="D193" t="s">
        <v>39</v>
      </c>
      <c r="E193" t="s">
        <v>45</v>
      </c>
      <c r="F193" t="str">
        <f>IF(BBDD_fashion_boutique[[#This Row],[category]]="Accessories","Accesorio",IF(BBDD_fashion_boutique[[#This Row],[size]]="","Desconocido",BBDD_fashion_boutique[[#This Row],[size]]))</f>
        <v>S</v>
      </c>
      <c r="G193" t="s">
        <v>33</v>
      </c>
      <c r="H193" s="2">
        <v>81.2</v>
      </c>
      <c r="I193">
        <v>0</v>
      </c>
      <c r="J193" s="5">
        <f>BBDD_fashion_boutique[[#This Row],[markdown_percentage]]/100</f>
        <v>0</v>
      </c>
      <c r="K193" s="2">
        <v>81.2</v>
      </c>
      <c r="L193" s="2">
        <f>BBDD_fashion_boutique[[#This Row],[original_price]]-BBDD_fashion_boutique[[#This Row],[current_price]]</f>
        <v>0</v>
      </c>
      <c r="M193" s="1">
        <v>45875</v>
      </c>
      <c r="N193" s="1" t="str">
        <f>PROPER(TEXT(BBDD_fashion_boutique[[#This Row],[purchase_date]],"dddd"))</f>
        <v>Miércoles</v>
      </c>
      <c r="O193" s="1" t="str">
        <f>PROPER(TEXT(BBDD_fashion_boutique[[#This Row],[purchase_date]],"mmmm"))</f>
        <v>Agosto</v>
      </c>
      <c r="P193" s="4">
        <v>3</v>
      </c>
      <c r="Q193" s="2">
        <v>1.5</v>
      </c>
      <c r="R193" t="str">
        <f>IF(BBDD_fashion_boutique[[#This Row],[stock_quantity]]&gt;9,"Ok",IF(BBDD_fashion_boutique[[#This Row],[stock_quantity]]=0,"Agotado","Pocas Unidades"))</f>
        <v>Pocas Unidades</v>
      </c>
      <c r="S193" s="3">
        <f>IF(BBDD_fashion_boutique[[#This Row],[customer_rating]]="","No valorado",BBDD_fashion_boutique[[#This Row],[customer_rating]])</f>
        <v>1.5</v>
      </c>
      <c r="T193" t="s">
        <v>24</v>
      </c>
      <c r="V193">
        <f>IF(BBDD_fashion_boutique[[#This Row],[is_returned]]="False",0,1)</f>
        <v>0</v>
      </c>
      <c r="W193">
        <f>IF(BBDD_fashion_boutique[[#This Row],[is_returned]]="True",0,BBDD_fashion_boutique[[#This Row],[current_price]])</f>
        <v>81.2</v>
      </c>
      <c r="X193" t="str">
        <f>IF(BBDD_fashion_boutique[[#This Row],[return_reason]]="","No return",BBDD_fashion_boutique[[#This Row],[return_reason]])</f>
        <v>No return</v>
      </c>
      <c r="Y193">
        <f>IF(IFERROR(VLOOKUP(BBDD_fashion_boutique[[#This Row],[product_id]],A194:A2369,1,FALSE),0),1,0)</f>
        <v>0</v>
      </c>
    </row>
    <row r="194" spans="1:25" x14ac:dyDescent="0.3">
      <c r="A194" t="s">
        <v>253</v>
      </c>
      <c r="B194" t="s">
        <v>19</v>
      </c>
      <c r="C194" t="s">
        <v>67</v>
      </c>
      <c r="D194" t="s">
        <v>68</v>
      </c>
      <c r="E194" t="s">
        <v>55</v>
      </c>
      <c r="F194" t="str">
        <f>IF(BBDD_fashion_boutique[[#This Row],[category]]="Accessories","Accesorio",IF(BBDD_fashion_boutique[[#This Row],[size]]="","Desconocido",BBDD_fashion_boutique[[#This Row],[size]]))</f>
        <v>XXL</v>
      </c>
      <c r="G194" t="s">
        <v>23</v>
      </c>
      <c r="H194" s="2">
        <v>104.5</v>
      </c>
      <c r="I194">
        <v>12.3</v>
      </c>
      <c r="J194" s="5">
        <f>BBDD_fashion_boutique[[#This Row],[markdown_percentage]]/100</f>
        <v>0.12300000000000001</v>
      </c>
      <c r="K194" s="2">
        <v>91.65</v>
      </c>
      <c r="L194" s="2">
        <f>BBDD_fashion_boutique[[#This Row],[original_price]]-BBDD_fashion_boutique[[#This Row],[current_price]]</f>
        <v>12.849999999999994</v>
      </c>
      <c r="M194" s="1">
        <v>45875</v>
      </c>
      <c r="N194" s="1" t="str">
        <f>PROPER(TEXT(BBDD_fashion_boutique[[#This Row],[purchase_date]],"dddd"))</f>
        <v>Miércoles</v>
      </c>
      <c r="O194" s="1" t="str">
        <f>PROPER(TEXT(BBDD_fashion_boutique[[#This Row],[purchase_date]],"mmmm"))</f>
        <v>Agosto</v>
      </c>
      <c r="P194" s="4">
        <v>42</v>
      </c>
      <c r="R194" t="str">
        <f>IF(BBDD_fashion_boutique[[#This Row],[stock_quantity]]&gt;9,"Ok",IF(BBDD_fashion_boutique[[#This Row],[stock_quantity]]=0,"Agotado","Pocas Unidades"))</f>
        <v>Ok</v>
      </c>
      <c r="S194" s="3" t="str">
        <f>IF(BBDD_fashion_boutique[[#This Row],[customer_rating]]="","No valorado",BBDD_fashion_boutique[[#This Row],[customer_rating]])</f>
        <v>No valorado</v>
      </c>
      <c r="T194" t="s">
        <v>24</v>
      </c>
      <c r="V194">
        <f>IF(BBDD_fashion_boutique[[#This Row],[is_returned]]="False",0,1)</f>
        <v>0</v>
      </c>
      <c r="W194">
        <f>IF(BBDD_fashion_boutique[[#This Row],[is_returned]]="True",0,BBDD_fashion_boutique[[#This Row],[current_price]])</f>
        <v>91.65</v>
      </c>
      <c r="X194" t="str">
        <f>IF(BBDD_fashion_boutique[[#This Row],[return_reason]]="","No return",BBDD_fashion_boutique[[#This Row],[return_reason]])</f>
        <v>No return</v>
      </c>
      <c r="Y194">
        <f>IF(IFERROR(VLOOKUP(BBDD_fashion_boutique[[#This Row],[product_id]],A195:A2370,1,FALSE),0),1,0)</f>
        <v>0</v>
      </c>
    </row>
    <row r="195" spans="1:25" x14ac:dyDescent="0.3">
      <c r="A195" t="s">
        <v>254</v>
      </c>
      <c r="B195" t="s">
        <v>48</v>
      </c>
      <c r="C195" t="s">
        <v>67</v>
      </c>
      <c r="D195" t="s">
        <v>28</v>
      </c>
      <c r="E195" t="s">
        <v>22</v>
      </c>
      <c r="F195" t="str">
        <f>IF(BBDD_fashion_boutique[[#This Row],[category]]="Accessories","Accesorio",IF(BBDD_fashion_boutique[[#This Row],[size]]="","Desconocido",BBDD_fashion_boutique[[#This Row],[size]]))</f>
        <v>XL</v>
      </c>
      <c r="G195" t="s">
        <v>30</v>
      </c>
      <c r="H195" s="2">
        <v>57.53</v>
      </c>
      <c r="I195">
        <v>13</v>
      </c>
      <c r="J195" s="5">
        <f>BBDD_fashion_boutique[[#This Row],[markdown_percentage]]/100</f>
        <v>0.13</v>
      </c>
      <c r="K195" s="2">
        <v>50.05</v>
      </c>
      <c r="L195" s="2">
        <f>BBDD_fashion_boutique[[#This Row],[original_price]]-BBDD_fashion_boutique[[#This Row],[current_price]]</f>
        <v>7.480000000000004</v>
      </c>
      <c r="M195" s="1">
        <v>45875</v>
      </c>
      <c r="N195" s="1" t="str">
        <f>PROPER(TEXT(BBDD_fashion_boutique[[#This Row],[purchase_date]],"dddd"))</f>
        <v>Miércoles</v>
      </c>
      <c r="O195" s="1" t="str">
        <f>PROPER(TEXT(BBDD_fashion_boutique[[#This Row],[purchase_date]],"mmmm"))</f>
        <v>Agosto</v>
      </c>
      <c r="P195" s="4">
        <v>12</v>
      </c>
      <c r="Q195" s="2">
        <v>4.0999999999999996</v>
      </c>
      <c r="R195" t="str">
        <f>IF(BBDD_fashion_boutique[[#This Row],[stock_quantity]]&gt;9,"Ok",IF(BBDD_fashion_boutique[[#This Row],[stock_quantity]]=0,"Agotado","Pocas Unidades"))</f>
        <v>Ok</v>
      </c>
      <c r="S195" s="3">
        <f>IF(BBDD_fashion_boutique[[#This Row],[customer_rating]]="","No valorado",BBDD_fashion_boutique[[#This Row],[customer_rating]])</f>
        <v>4.0999999999999996</v>
      </c>
      <c r="T195" t="s">
        <v>24</v>
      </c>
      <c r="V195">
        <f>IF(BBDD_fashion_boutique[[#This Row],[is_returned]]="False",0,1)</f>
        <v>0</v>
      </c>
      <c r="W195">
        <f>IF(BBDD_fashion_boutique[[#This Row],[is_returned]]="True",0,BBDD_fashion_boutique[[#This Row],[current_price]])</f>
        <v>50.05</v>
      </c>
      <c r="X195" t="str">
        <f>IF(BBDD_fashion_boutique[[#This Row],[return_reason]]="","No return",BBDD_fashion_boutique[[#This Row],[return_reason]])</f>
        <v>No return</v>
      </c>
      <c r="Y195">
        <f>IF(IFERROR(VLOOKUP(BBDD_fashion_boutique[[#This Row],[product_id]],A196:A2371,1,FALSE),0),1,0)</f>
        <v>0</v>
      </c>
    </row>
    <row r="196" spans="1:25" x14ac:dyDescent="0.3">
      <c r="A196" t="s">
        <v>255</v>
      </c>
      <c r="B196" t="s">
        <v>35</v>
      </c>
      <c r="C196" t="s">
        <v>37</v>
      </c>
      <c r="D196" t="s">
        <v>68</v>
      </c>
      <c r="E196" t="s">
        <v>55</v>
      </c>
      <c r="F196" t="str">
        <f>IF(BBDD_fashion_boutique[[#This Row],[category]]="Accessories","Accesorio",IF(BBDD_fashion_boutique[[#This Row],[size]]="","Desconocido",BBDD_fashion_boutique[[#This Row],[size]]))</f>
        <v>XXL</v>
      </c>
      <c r="G196" t="s">
        <v>46</v>
      </c>
      <c r="H196" s="2">
        <v>142.58000000000001</v>
      </c>
      <c r="I196">
        <v>0</v>
      </c>
      <c r="J196" s="5">
        <f>BBDD_fashion_boutique[[#This Row],[markdown_percentage]]/100</f>
        <v>0</v>
      </c>
      <c r="K196" s="2">
        <v>142.58000000000001</v>
      </c>
      <c r="L196" s="2">
        <f>BBDD_fashion_boutique[[#This Row],[original_price]]-BBDD_fashion_boutique[[#This Row],[current_price]]</f>
        <v>0</v>
      </c>
      <c r="M196" s="1">
        <v>45875</v>
      </c>
      <c r="N196" s="1" t="str">
        <f>PROPER(TEXT(BBDD_fashion_boutique[[#This Row],[purchase_date]],"dddd"))</f>
        <v>Miércoles</v>
      </c>
      <c r="O196" s="1" t="str">
        <f>PROPER(TEXT(BBDD_fashion_boutique[[#This Row],[purchase_date]],"mmmm"))</f>
        <v>Agosto</v>
      </c>
      <c r="P196" s="4">
        <v>25</v>
      </c>
      <c r="Q196" s="2">
        <v>4.8</v>
      </c>
      <c r="R196" t="str">
        <f>IF(BBDD_fashion_boutique[[#This Row],[stock_quantity]]&gt;9,"Ok",IF(BBDD_fashion_boutique[[#This Row],[stock_quantity]]=0,"Agotado","Pocas Unidades"))</f>
        <v>Ok</v>
      </c>
      <c r="S196" s="3">
        <f>IF(BBDD_fashion_boutique[[#This Row],[customer_rating]]="","No valorado",BBDD_fashion_boutique[[#This Row],[customer_rating]])</f>
        <v>4.8</v>
      </c>
      <c r="T196" t="s">
        <v>41</v>
      </c>
      <c r="U196" t="s">
        <v>89</v>
      </c>
      <c r="V196">
        <f>IF(BBDD_fashion_boutique[[#This Row],[is_returned]]="False",0,1)</f>
        <v>1</v>
      </c>
      <c r="W196">
        <f>IF(BBDD_fashion_boutique[[#This Row],[is_returned]]="True",0,BBDD_fashion_boutique[[#This Row],[current_price]])</f>
        <v>0</v>
      </c>
      <c r="X196" t="str">
        <f>IF(BBDD_fashion_boutique[[#This Row],[return_reason]]="","No return",BBDD_fashion_boutique[[#This Row],[return_reason]])</f>
        <v>Quality Issue</v>
      </c>
      <c r="Y196">
        <f>IF(IFERROR(VLOOKUP(BBDD_fashion_boutique[[#This Row],[product_id]],A197:A2372,1,FALSE),0),1,0)</f>
        <v>0</v>
      </c>
    </row>
    <row r="197" spans="1:25" x14ac:dyDescent="0.3">
      <c r="A197" t="s">
        <v>256</v>
      </c>
      <c r="B197" t="s">
        <v>48</v>
      </c>
      <c r="C197" t="s">
        <v>20</v>
      </c>
      <c r="D197" t="s">
        <v>39</v>
      </c>
      <c r="E197" t="s">
        <v>55</v>
      </c>
      <c r="F197" t="str">
        <f>IF(BBDD_fashion_boutique[[#This Row],[category]]="Accessories","Accesorio",IF(BBDD_fashion_boutique[[#This Row],[size]]="","Desconocido",BBDD_fashion_boutique[[#This Row],[size]]))</f>
        <v>XXL</v>
      </c>
      <c r="G197" t="s">
        <v>52</v>
      </c>
      <c r="H197" s="2">
        <v>162.22999999999999</v>
      </c>
      <c r="I197">
        <v>29.4</v>
      </c>
      <c r="J197" s="5">
        <f>BBDD_fashion_boutique[[#This Row],[markdown_percentage]]/100</f>
        <v>0.29399999999999998</v>
      </c>
      <c r="K197" s="2">
        <v>114.53</v>
      </c>
      <c r="L197" s="2">
        <f>BBDD_fashion_boutique[[#This Row],[original_price]]-BBDD_fashion_boutique[[#This Row],[current_price]]</f>
        <v>47.699999999999989</v>
      </c>
      <c r="M197" s="1">
        <v>45875</v>
      </c>
      <c r="N197" s="1" t="str">
        <f>PROPER(TEXT(BBDD_fashion_boutique[[#This Row],[purchase_date]],"dddd"))</f>
        <v>Miércoles</v>
      </c>
      <c r="O197" s="1" t="str">
        <f>PROPER(TEXT(BBDD_fashion_boutique[[#This Row],[purchase_date]],"mmmm"))</f>
        <v>Agosto</v>
      </c>
      <c r="P197" s="4">
        <v>41</v>
      </c>
      <c r="Q197" s="2">
        <v>4</v>
      </c>
      <c r="R197" t="str">
        <f>IF(BBDD_fashion_boutique[[#This Row],[stock_quantity]]&gt;9,"Ok",IF(BBDD_fashion_boutique[[#This Row],[stock_quantity]]=0,"Agotado","Pocas Unidades"))</f>
        <v>Ok</v>
      </c>
      <c r="S197" s="3">
        <f>IF(BBDD_fashion_boutique[[#This Row],[customer_rating]]="","No valorado",BBDD_fashion_boutique[[#This Row],[customer_rating]])</f>
        <v>4</v>
      </c>
      <c r="T197" t="s">
        <v>41</v>
      </c>
      <c r="U197" t="s">
        <v>89</v>
      </c>
      <c r="V197">
        <f>IF(BBDD_fashion_boutique[[#This Row],[is_returned]]="False",0,1)</f>
        <v>1</v>
      </c>
      <c r="W197">
        <f>IF(BBDD_fashion_boutique[[#This Row],[is_returned]]="True",0,BBDD_fashion_boutique[[#This Row],[current_price]])</f>
        <v>0</v>
      </c>
      <c r="X197" t="str">
        <f>IF(BBDD_fashion_boutique[[#This Row],[return_reason]]="","No return",BBDD_fashion_boutique[[#This Row],[return_reason]])</f>
        <v>Quality Issue</v>
      </c>
      <c r="Y197">
        <f>IF(IFERROR(VLOOKUP(BBDD_fashion_boutique[[#This Row],[product_id]],A198:A2373,1,FALSE),0),1,0)</f>
        <v>0</v>
      </c>
    </row>
    <row r="198" spans="1:25" x14ac:dyDescent="0.3">
      <c r="A198" t="s">
        <v>257</v>
      </c>
      <c r="B198" t="s">
        <v>44</v>
      </c>
      <c r="C198" t="s">
        <v>59</v>
      </c>
      <c r="D198" t="s">
        <v>21</v>
      </c>
      <c r="E198" t="s">
        <v>55</v>
      </c>
      <c r="F198" t="str">
        <f>IF(BBDD_fashion_boutique[[#This Row],[category]]="Accessories","Accesorio",IF(BBDD_fashion_boutique[[#This Row],[size]]="","Desconocido",BBDD_fashion_boutique[[#This Row],[size]]))</f>
        <v>XXL</v>
      </c>
      <c r="G198" t="s">
        <v>23</v>
      </c>
      <c r="H198" s="2">
        <v>32.1</v>
      </c>
      <c r="I198">
        <v>51.7</v>
      </c>
      <c r="J198" s="5">
        <f>BBDD_fashion_boutique[[#This Row],[markdown_percentage]]/100</f>
        <v>0.51700000000000002</v>
      </c>
      <c r="K198" s="2">
        <v>15.5</v>
      </c>
      <c r="L198" s="2">
        <f>BBDD_fashion_boutique[[#This Row],[original_price]]-BBDD_fashion_boutique[[#This Row],[current_price]]</f>
        <v>16.600000000000001</v>
      </c>
      <c r="M198" s="1">
        <v>45619</v>
      </c>
      <c r="N198" s="1" t="str">
        <f>PROPER(TEXT(BBDD_fashion_boutique[[#This Row],[purchase_date]],"dddd"))</f>
        <v>Sábado</v>
      </c>
      <c r="O198" s="1" t="str">
        <f>PROPER(TEXT(BBDD_fashion_boutique[[#This Row],[purchase_date]],"mmmm"))</f>
        <v>Noviembre</v>
      </c>
      <c r="P198" s="4">
        <v>27</v>
      </c>
      <c r="R198" t="str">
        <f>IF(BBDD_fashion_boutique[[#This Row],[stock_quantity]]&gt;9,"Ok",IF(BBDD_fashion_boutique[[#This Row],[stock_quantity]]=0,"Agotado","Pocas Unidades"))</f>
        <v>Ok</v>
      </c>
      <c r="S198" s="3" t="str">
        <f>IF(BBDD_fashion_boutique[[#This Row],[customer_rating]]="","No valorado",BBDD_fashion_boutique[[#This Row],[customer_rating]])</f>
        <v>No valorado</v>
      </c>
      <c r="T198" t="s">
        <v>24</v>
      </c>
      <c r="V198">
        <f>IF(BBDD_fashion_boutique[[#This Row],[is_returned]]="False",0,1)</f>
        <v>0</v>
      </c>
      <c r="W198">
        <f>IF(BBDD_fashion_boutique[[#This Row],[is_returned]]="True",0,BBDD_fashion_boutique[[#This Row],[current_price]])</f>
        <v>15.5</v>
      </c>
      <c r="X198" t="str">
        <f>IF(BBDD_fashion_boutique[[#This Row],[return_reason]]="","No return",BBDD_fashion_boutique[[#This Row],[return_reason]])</f>
        <v>No return</v>
      </c>
      <c r="Y198">
        <f>IF(IFERROR(VLOOKUP(BBDD_fashion_boutique[[#This Row],[product_id]],A199:A2374,1,FALSE),0),1,0)</f>
        <v>0</v>
      </c>
    </row>
    <row r="199" spans="1:25" x14ac:dyDescent="0.3">
      <c r="A199" t="s">
        <v>258</v>
      </c>
      <c r="B199" t="s">
        <v>35</v>
      </c>
      <c r="C199" t="s">
        <v>27</v>
      </c>
      <c r="D199" t="s">
        <v>39</v>
      </c>
      <c r="E199" t="s">
        <v>29</v>
      </c>
      <c r="F199" t="str">
        <f>IF(BBDD_fashion_boutique[[#This Row],[category]]="Accessories","Accesorio",IF(BBDD_fashion_boutique[[#This Row],[size]]="","Desconocido",BBDD_fashion_boutique[[#This Row],[size]]))</f>
        <v>L</v>
      </c>
      <c r="G199" t="s">
        <v>33</v>
      </c>
      <c r="H199" s="2">
        <v>162.41</v>
      </c>
      <c r="I199">
        <v>42.7</v>
      </c>
      <c r="J199" s="5">
        <f>BBDD_fashion_boutique[[#This Row],[markdown_percentage]]/100</f>
        <v>0.42700000000000005</v>
      </c>
      <c r="K199" s="2">
        <v>93.06</v>
      </c>
      <c r="L199" s="2">
        <f>BBDD_fashion_boutique[[#This Row],[original_price]]-BBDD_fashion_boutique[[#This Row],[current_price]]</f>
        <v>69.349999999999994</v>
      </c>
      <c r="M199" s="1">
        <v>45875</v>
      </c>
      <c r="N199" s="1" t="str">
        <f>PROPER(TEXT(BBDD_fashion_boutique[[#This Row],[purchase_date]],"dddd"))</f>
        <v>Miércoles</v>
      </c>
      <c r="O199" s="1" t="str">
        <f>PROPER(TEXT(BBDD_fashion_boutique[[#This Row],[purchase_date]],"mmmm"))</f>
        <v>Agosto</v>
      </c>
      <c r="P199" s="4">
        <v>22</v>
      </c>
      <c r="Q199" s="2">
        <v>4.8</v>
      </c>
      <c r="R199" t="str">
        <f>IF(BBDD_fashion_boutique[[#This Row],[stock_quantity]]&gt;9,"Ok",IF(BBDD_fashion_boutique[[#This Row],[stock_quantity]]=0,"Agotado","Pocas Unidades"))</f>
        <v>Ok</v>
      </c>
      <c r="S199" s="3">
        <f>IF(BBDD_fashion_boutique[[#This Row],[customer_rating]]="","No valorado",BBDD_fashion_boutique[[#This Row],[customer_rating]])</f>
        <v>4.8</v>
      </c>
      <c r="T199" t="s">
        <v>24</v>
      </c>
      <c r="V199">
        <f>IF(BBDD_fashion_boutique[[#This Row],[is_returned]]="False",0,1)</f>
        <v>0</v>
      </c>
      <c r="W199">
        <f>IF(BBDD_fashion_boutique[[#This Row],[is_returned]]="True",0,BBDD_fashion_boutique[[#This Row],[current_price]])</f>
        <v>93.06</v>
      </c>
      <c r="X199" t="str">
        <f>IF(BBDD_fashion_boutique[[#This Row],[return_reason]]="","No return",BBDD_fashion_boutique[[#This Row],[return_reason]])</f>
        <v>No return</v>
      </c>
      <c r="Y199">
        <f>IF(IFERROR(VLOOKUP(BBDD_fashion_boutique[[#This Row],[product_id]],A200:A2375,1,FALSE),0),1,0)</f>
        <v>0</v>
      </c>
    </row>
    <row r="200" spans="1:25" x14ac:dyDescent="0.3">
      <c r="A200" t="s">
        <v>259</v>
      </c>
      <c r="B200" t="s">
        <v>26</v>
      </c>
      <c r="C200" t="s">
        <v>37</v>
      </c>
      <c r="D200" t="s">
        <v>39</v>
      </c>
      <c r="E200" t="s">
        <v>64</v>
      </c>
      <c r="F200" t="str">
        <f>IF(BBDD_fashion_boutique[[#This Row],[category]]="Accessories","Accesorio",IF(BBDD_fashion_boutique[[#This Row],[size]]="","Desconocido",BBDD_fashion_boutique[[#This Row],[size]]))</f>
        <v>M</v>
      </c>
      <c r="G200" t="s">
        <v>46</v>
      </c>
      <c r="H200" s="2">
        <v>77.459999999999994</v>
      </c>
      <c r="I200">
        <v>57.5</v>
      </c>
      <c r="J200" s="5">
        <f>BBDD_fashion_boutique[[#This Row],[markdown_percentage]]/100</f>
        <v>0.57499999999999996</v>
      </c>
      <c r="K200" s="2">
        <v>32.92</v>
      </c>
      <c r="L200" s="2">
        <f>BBDD_fashion_boutique[[#This Row],[original_price]]-BBDD_fashion_boutique[[#This Row],[current_price]]</f>
        <v>44.539999999999992</v>
      </c>
      <c r="M200" s="1">
        <v>45875</v>
      </c>
      <c r="N200" s="1" t="str">
        <f>PROPER(TEXT(BBDD_fashion_boutique[[#This Row],[purchase_date]],"dddd"))</f>
        <v>Miércoles</v>
      </c>
      <c r="O200" s="1" t="str">
        <f>PROPER(TEXT(BBDD_fashion_boutique[[#This Row],[purchase_date]],"mmmm"))</f>
        <v>Agosto</v>
      </c>
      <c r="P200" s="4">
        <v>23</v>
      </c>
      <c r="Q200" s="2">
        <v>4</v>
      </c>
      <c r="R200" t="str">
        <f>IF(BBDD_fashion_boutique[[#This Row],[stock_quantity]]&gt;9,"Ok",IF(BBDD_fashion_boutique[[#This Row],[stock_quantity]]=0,"Agotado","Pocas Unidades"))</f>
        <v>Ok</v>
      </c>
      <c r="S200" s="3">
        <f>IF(BBDD_fashion_boutique[[#This Row],[customer_rating]]="","No valorado",BBDD_fashion_boutique[[#This Row],[customer_rating]])</f>
        <v>4</v>
      </c>
      <c r="T200" t="s">
        <v>24</v>
      </c>
      <c r="V200">
        <f>IF(BBDD_fashion_boutique[[#This Row],[is_returned]]="False",0,1)</f>
        <v>0</v>
      </c>
      <c r="W200">
        <f>IF(BBDD_fashion_boutique[[#This Row],[is_returned]]="True",0,BBDD_fashion_boutique[[#This Row],[current_price]])</f>
        <v>32.92</v>
      </c>
      <c r="X200" t="str">
        <f>IF(BBDD_fashion_boutique[[#This Row],[return_reason]]="","No return",BBDD_fashion_boutique[[#This Row],[return_reason]])</f>
        <v>No return</v>
      </c>
      <c r="Y200">
        <f>IF(IFERROR(VLOOKUP(BBDD_fashion_boutique[[#This Row],[product_id]],A201:A2376,1,FALSE),0),1,0)</f>
        <v>0</v>
      </c>
    </row>
    <row r="201" spans="1:25" x14ac:dyDescent="0.3">
      <c r="A201" t="s">
        <v>260</v>
      </c>
      <c r="B201" t="s">
        <v>26</v>
      </c>
      <c r="C201" t="s">
        <v>54</v>
      </c>
      <c r="D201" t="s">
        <v>39</v>
      </c>
      <c r="E201" t="s">
        <v>55</v>
      </c>
      <c r="F201" t="str">
        <f>IF(BBDD_fashion_boutique[[#This Row],[category]]="Accessories","Accesorio",IF(BBDD_fashion_boutique[[#This Row],[size]]="","Desconocido",BBDD_fashion_boutique[[#This Row],[size]]))</f>
        <v>XXL</v>
      </c>
      <c r="G201" t="s">
        <v>50</v>
      </c>
      <c r="H201" s="2">
        <v>103.42</v>
      </c>
      <c r="I201">
        <v>56.1</v>
      </c>
      <c r="J201" s="5">
        <f>BBDD_fashion_boutique[[#This Row],[markdown_percentage]]/100</f>
        <v>0.56100000000000005</v>
      </c>
      <c r="K201" s="2">
        <v>45.4</v>
      </c>
      <c r="L201" s="2">
        <f>BBDD_fashion_boutique[[#This Row],[original_price]]-BBDD_fashion_boutique[[#This Row],[current_price]]</f>
        <v>58.02</v>
      </c>
      <c r="M201" s="1">
        <v>45875</v>
      </c>
      <c r="N201" s="1" t="str">
        <f>PROPER(TEXT(BBDD_fashion_boutique[[#This Row],[purchase_date]],"dddd"))</f>
        <v>Miércoles</v>
      </c>
      <c r="O201" s="1" t="str">
        <f>PROPER(TEXT(BBDD_fashion_boutique[[#This Row],[purchase_date]],"mmmm"))</f>
        <v>Agosto</v>
      </c>
      <c r="P201" s="4">
        <v>4</v>
      </c>
      <c r="Q201" s="2">
        <v>4.7</v>
      </c>
      <c r="R201" t="str">
        <f>IF(BBDD_fashion_boutique[[#This Row],[stock_quantity]]&gt;9,"Ok",IF(BBDD_fashion_boutique[[#This Row],[stock_quantity]]=0,"Agotado","Pocas Unidades"))</f>
        <v>Pocas Unidades</v>
      </c>
      <c r="S201" s="3">
        <f>IF(BBDD_fashion_boutique[[#This Row],[customer_rating]]="","No valorado",BBDD_fashion_boutique[[#This Row],[customer_rating]])</f>
        <v>4.7</v>
      </c>
      <c r="T201" t="s">
        <v>24</v>
      </c>
      <c r="V201">
        <f>IF(BBDD_fashion_boutique[[#This Row],[is_returned]]="False",0,1)</f>
        <v>0</v>
      </c>
      <c r="W201">
        <f>IF(BBDD_fashion_boutique[[#This Row],[is_returned]]="True",0,BBDD_fashion_boutique[[#This Row],[current_price]])</f>
        <v>45.4</v>
      </c>
      <c r="X201" t="str">
        <f>IF(BBDD_fashion_boutique[[#This Row],[return_reason]]="","No return",BBDD_fashion_boutique[[#This Row],[return_reason]])</f>
        <v>No return</v>
      </c>
      <c r="Y201">
        <f>IF(IFERROR(VLOOKUP(BBDD_fashion_boutique[[#This Row],[product_id]],A202:A2377,1,FALSE),0),1,0)</f>
        <v>0</v>
      </c>
    </row>
    <row r="202" spans="1:25" x14ac:dyDescent="0.3">
      <c r="A202" t="s">
        <v>261</v>
      </c>
      <c r="B202" t="s">
        <v>44</v>
      </c>
      <c r="C202" t="s">
        <v>20</v>
      </c>
      <c r="D202" t="s">
        <v>21</v>
      </c>
      <c r="E202" t="s">
        <v>61</v>
      </c>
      <c r="F202" t="str">
        <f>IF(BBDD_fashion_boutique[[#This Row],[category]]="Accessories","Accesorio",IF(BBDD_fashion_boutique[[#This Row],[size]]="","Desconocido",BBDD_fashion_boutique[[#This Row],[size]]))</f>
        <v>XS</v>
      </c>
      <c r="G202" t="s">
        <v>52</v>
      </c>
      <c r="H202" s="2">
        <v>42.91</v>
      </c>
      <c r="I202">
        <v>33.299999999999997</v>
      </c>
      <c r="J202" s="5">
        <f>BBDD_fashion_boutique[[#This Row],[markdown_percentage]]/100</f>
        <v>0.33299999999999996</v>
      </c>
      <c r="K202" s="2">
        <v>28.62</v>
      </c>
      <c r="L202" s="2">
        <f>BBDD_fashion_boutique[[#This Row],[original_price]]-BBDD_fashion_boutique[[#This Row],[current_price]]</f>
        <v>14.289999999999996</v>
      </c>
      <c r="M202" s="1">
        <v>45619</v>
      </c>
      <c r="N202" s="1" t="str">
        <f>PROPER(TEXT(BBDD_fashion_boutique[[#This Row],[purchase_date]],"dddd"))</f>
        <v>Sábado</v>
      </c>
      <c r="O202" s="1" t="str">
        <f>PROPER(TEXT(BBDD_fashion_boutique[[#This Row],[purchase_date]],"mmmm"))</f>
        <v>Noviembre</v>
      </c>
      <c r="P202" s="4">
        <v>18</v>
      </c>
      <c r="R202" t="str">
        <f>IF(BBDD_fashion_boutique[[#This Row],[stock_quantity]]&gt;9,"Ok",IF(BBDD_fashion_boutique[[#This Row],[stock_quantity]]=0,"Agotado","Pocas Unidades"))</f>
        <v>Ok</v>
      </c>
      <c r="S202" s="3" t="str">
        <f>IF(BBDD_fashion_boutique[[#This Row],[customer_rating]]="","No valorado",BBDD_fashion_boutique[[#This Row],[customer_rating]])</f>
        <v>No valorado</v>
      </c>
      <c r="T202" t="s">
        <v>24</v>
      </c>
      <c r="V202">
        <f>IF(BBDD_fashion_boutique[[#This Row],[is_returned]]="False",0,1)</f>
        <v>0</v>
      </c>
      <c r="W202">
        <f>IF(BBDD_fashion_boutique[[#This Row],[is_returned]]="True",0,BBDD_fashion_boutique[[#This Row],[current_price]])</f>
        <v>28.62</v>
      </c>
      <c r="X202" t="str">
        <f>IF(BBDD_fashion_boutique[[#This Row],[return_reason]]="","No return",BBDD_fashion_boutique[[#This Row],[return_reason]])</f>
        <v>No return</v>
      </c>
      <c r="Y202">
        <f>IF(IFERROR(VLOOKUP(BBDD_fashion_boutique[[#This Row],[product_id]],A203:A2378,1,FALSE),0),1,0)</f>
        <v>0</v>
      </c>
    </row>
    <row r="203" spans="1:25" x14ac:dyDescent="0.3">
      <c r="A203" t="s">
        <v>262</v>
      </c>
      <c r="B203" t="s">
        <v>35</v>
      </c>
      <c r="C203" t="s">
        <v>20</v>
      </c>
      <c r="D203" t="s">
        <v>68</v>
      </c>
      <c r="E203" t="s">
        <v>22</v>
      </c>
      <c r="F203" t="str">
        <f>IF(BBDD_fashion_boutique[[#This Row],[category]]="Accessories","Accesorio",IF(BBDD_fashion_boutique[[#This Row],[size]]="","Desconocido",BBDD_fashion_boutique[[#This Row],[size]]))</f>
        <v>XL</v>
      </c>
      <c r="G203" t="s">
        <v>52</v>
      </c>
      <c r="H203" s="2">
        <v>144.91999999999999</v>
      </c>
      <c r="I203">
        <v>17</v>
      </c>
      <c r="J203" s="5">
        <f>BBDD_fashion_boutique[[#This Row],[markdown_percentage]]/100</f>
        <v>0.17</v>
      </c>
      <c r="K203" s="2">
        <v>120.28</v>
      </c>
      <c r="L203" s="2">
        <f>BBDD_fashion_boutique[[#This Row],[original_price]]-BBDD_fashion_boutique[[#This Row],[current_price]]</f>
        <v>24.639999999999986</v>
      </c>
      <c r="M203" s="1">
        <v>45875</v>
      </c>
      <c r="N203" s="1" t="str">
        <f>PROPER(TEXT(BBDD_fashion_boutique[[#This Row],[purchase_date]],"dddd"))</f>
        <v>Miércoles</v>
      </c>
      <c r="O203" s="1" t="str">
        <f>PROPER(TEXT(BBDD_fashion_boutique[[#This Row],[purchase_date]],"mmmm"))</f>
        <v>Agosto</v>
      </c>
      <c r="P203" s="4">
        <v>32</v>
      </c>
      <c r="Q203" s="2">
        <v>2</v>
      </c>
      <c r="R203" t="str">
        <f>IF(BBDD_fashion_boutique[[#This Row],[stock_quantity]]&gt;9,"Ok",IF(BBDD_fashion_boutique[[#This Row],[stock_quantity]]=0,"Agotado","Pocas Unidades"))</f>
        <v>Ok</v>
      </c>
      <c r="S203" s="3">
        <f>IF(BBDD_fashion_boutique[[#This Row],[customer_rating]]="","No valorado",BBDD_fashion_boutique[[#This Row],[customer_rating]])</f>
        <v>2</v>
      </c>
      <c r="T203" t="s">
        <v>24</v>
      </c>
      <c r="V203">
        <f>IF(BBDD_fashion_boutique[[#This Row],[is_returned]]="False",0,1)</f>
        <v>0</v>
      </c>
      <c r="W203">
        <f>IF(BBDD_fashion_boutique[[#This Row],[is_returned]]="True",0,BBDD_fashion_boutique[[#This Row],[current_price]])</f>
        <v>120.28</v>
      </c>
      <c r="X203" t="str">
        <f>IF(BBDD_fashion_boutique[[#This Row],[return_reason]]="","No return",BBDD_fashion_boutique[[#This Row],[return_reason]])</f>
        <v>No return</v>
      </c>
      <c r="Y203">
        <f>IF(IFERROR(VLOOKUP(BBDD_fashion_boutique[[#This Row],[product_id]],A204:A2379,1,FALSE),0),1,0)</f>
        <v>0</v>
      </c>
    </row>
    <row r="204" spans="1:25" x14ac:dyDescent="0.3">
      <c r="A204" t="s">
        <v>263</v>
      </c>
      <c r="B204" t="s">
        <v>35</v>
      </c>
      <c r="C204" t="s">
        <v>37</v>
      </c>
      <c r="D204" t="s">
        <v>68</v>
      </c>
      <c r="E204" t="s">
        <v>61</v>
      </c>
      <c r="F204" t="str">
        <f>IF(BBDD_fashion_boutique[[#This Row],[category]]="Accessories","Accesorio",IF(BBDD_fashion_boutique[[#This Row],[size]]="","Desconocido",BBDD_fashion_boutique[[#This Row],[size]]))</f>
        <v>XS</v>
      </c>
      <c r="G204" t="s">
        <v>33</v>
      </c>
      <c r="H204" s="2">
        <v>93.07</v>
      </c>
      <c r="I204">
        <v>23.9</v>
      </c>
      <c r="J204" s="5">
        <f>BBDD_fashion_boutique[[#This Row],[markdown_percentage]]/100</f>
        <v>0.23899999999999999</v>
      </c>
      <c r="K204" s="2">
        <v>70.83</v>
      </c>
      <c r="L204" s="2">
        <f>BBDD_fashion_boutique[[#This Row],[original_price]]-BBDD_fashion_boutique[[#This Row],[current_price]]</f>
        <v>22.239999999999995</v>
      </c>
      <c r="M204" s="1">
        <v>45875</v>
      </c>
      <c r="N204" s="1" t="str">
        <f>PROPER(TEXT(BBDD_fashion_boutique[[#This Row],[purchase_date]],"dddd"))</f>
        <v>Miércoles</v>
      </c>
      <c r="O204" s="1" t="str">
        <f>PROPER(TEXT(BBDD_fashion_boutique[[#This Row],[purchase_date]],"mmmm"))</f>
        <v>Agosto</v>
      </c>
      <c r="P204" s="4">
        <v>10</v>
      </c>
      <c r="Q204" s="2">
        <v>3.5</v>
      </c>
      <c r="R204" t="str">
        <f>IF(BBDD_fashion_boutique[[#This Row],[stock_quantity]]&gt;9,"Ok",IF(BBDD_fashion_boutique[[#This Row],[stock_quantity]]=0,"Agotado","Pocas Unidades"))</f>
        <v>Ok</v>
      </c>
      <c r="S204" s="3">
        <f>IF(BBDD_fashion_boutique[[#This Row],[customer_rating]]="","No valorado",BBDD_fashion_boutique[[#This Row],[customer_rating]])</f>
        <v>3.5</v>
      </c>
      <c r="T204" t="s">
        <v>41</v>
      </c>
      <c r="U204" t="s">
        <v>121</v>
      </c>
      <c r="V204">
        <f>IF(BBDD_fashion_boutique[[#This Row],[is_returned]]="False",0,1)</f>
        <v>1</v>
      </c>
      <c r="W204">
        <f>IF(BBDD_fashion_boutique[[#This Row],[is_returned]]="True",0,BBDD_fashion_boutique[[#This Row],[current_price]])</f>
        <v>0</v>
      </c>
      <c r="X204" t="str">
        <f>IF(BBDD_fashion_boutique[[#This Row],[return_reason]]="","No return",BBDD_fashion_boutique[[#This Row],[return_reason]])</f>
        <v>Changed Mind</v>
      </c>
      <c r="Y204">
        <f>IF(IFERROR(VLOOKUP(BBDD_fashion_boutique[[#This Row],[product_id]],A205:A2380,1,FALSE),0),1,0)</f>
        <v>0</v>
      </c>
    </row>
    <row r="205" spans="1:25" x14ac:dyDescent="0.3">
      <c r="A205" t="s">
        <v>264</v>
      </c>
      <c r="B205" t="s">
        <v>19</v>
      </c>
      <c r="C205" t="s">
        <v>54</v>
      </c>
      <c r="D205" t="s">
        <v>68</v>
      </c>
      <c r="E205" t="s">
        <v>45</v>
      </c>
      <c r="F205" t="str">
        <f>IF(BBDD_fashion_boutique[[#This Row],[category]]="Accessories","Accesorio",IF(BBDD_fashion_boutique[[#This Row],[size]]="","Desconocido",BBDD_fashion_boutique[[#This Row],[size]]))</f>
        <v>S</v>
      </c>
      <c r="G205" t="s">
        <v>23</v>
      </c>
      <c r="H205" s="2">
        <v>119.96</v>
      </c>
      <c r="I205">
        <v>0</v>
      </c>
      <c r="J205" s="5">
        <f>BBDD_fashion_boutique[[#This Row],[markdown_percentage]]/100</f>
        <v>0</v>
      </c>
      <c r="K205" s="2">
        <v>119.96</v>
      </c>
      <c r="L205" s="2">
        <f>BBDD_fashion_boutique[[#This Row],[original_price]]-BBDD_fashion_boutique[[#This Row],[current_price]]</f>
        <v>0</v>
      </c>
      <c r="M205" s="1">
        <v>45875</v>
      </c>
      <c r="N205" s="1" t="str">
        <f>PROPER(TEXT(BBDD_fashion_boutique[[#This Row],[purchase_date]],"dddd"))</f>
        <v>Miércoles</v>
      </c>
      <c r="O205" s="1" t="str">
        <f>PROPER(TEXT(BBDD_fashion_boutique[[#This Row],[purchase_date]],"mmmm"))</f>
        <v>Agosto</v>
      </c>
      <c r="P205" s="4">
        <v>20</v>
      </c>
      <c r="Q205" s="2">
        <v>1.1000000000000001</v>
      </c>
      <c r="R205" t="str">
        <f>IF(BBDD_fashion_boutique[[#This Row],[stock_quantity]]&gt;9,"Ok",IF(BBDD_fashion_boutique[[#This Row],[stock_quantity]]=0,"Agotado","Pocas Unidades"))</f>
        <v>Ok</v>
      </c>
      <c r="S205" s="3">
        <f>IF(BBDD_fashion_boutique[[#This Row],[customer_rating]]="","No valorado",BBDD_fashion_boutique[[#This Row],[customer_rating]])</f>
        <v>1.1000000000000001</v>
      </c>
      <c r="T205" t="s">
        <v>24</v>
      </c>
      <c r="V205">
        <f>IF(BBDD_fashion_boutique[[#This Row],[is_returned]]="False",0,1)</f>
        <v>0</v>
      </c>
      <c r="W205">
        <f>IF(BBDD_fashion_boutique[[#This Row],[is_returned]]="True",0,BBDD_fashion_boutique[[#This Row],[current_price]])</f>
        <v>119.96</v>
      </c>
      <c r="X205" t="str">
        <f>IF(BBDD_fashion_boutique[[#This Row],[return_reason]]="","No return",BBDD_fashion_boutique[[#This Row],[return_reason]])</f>
        <v>No return</v>
      </c>
      <c r="Y205">
        <f>IF(IFERROR(VLOOKUP(BBDD_fashion_boutique[[#This Row],[product_id]],A206:A2381,1,FALSE),0),1,0)</f>
        <v>0</v>
      </c>
    </row>
    <row r="206" spans="1:25" x14ac:dyDescent="0.3">
      <c r="A206" t="s">
        <v>265</v>
      </c>
      <c r="B206" t="s">
        <v>32</v>
      </c>
      <c r="C206" t="s">
        <v>81</v>
      </c>
      <c r="D206" t="s">
        <v>68</v>
      </c>
      <c r="F206" t="str">
        <f>IF(BBDD_fashion_boutique[[#This Row],[category]]="Accessories","Accesorio",IF(BBDD_fashion_boutique[[#This Row],[size]]="","Desconocido",BBDD_fashion_boutique[[#This Row],[size]]))</f>
        <v>Accesorio</v>
      </c>
      <c r="G206" t="s">
        <v>46</v>
      </c>
      <c r="H206" s="2">
        <v>42.04</v>
      </c>
      <c r="I206">
        <v>50.9</v>
      </c>
      <c r="J206" s="5">
        <f>BBDD_fashion_boutique[[#This Row],[markdown_percentage]]/100</f>
        <v>0.50900000000000001</v>
      </c>
      <c r="K206" s="2">
        <v>20.64</v>
      </c>
      <c r="L206" s="2">
        <f>BBDD_fashion_boutique[[#This Row],[original_price]]-BBDD_fashion_boutique[[#This Row],[current_price]]</f>
        <v>21.4</v>
      </c>
      <c r="M206" s="1">
        <v>45875</v>
      </c>
      <c r="N206" s="1" t="str">
        <f>PROPER(TEXT(BBDD_fashion_boutique[[#This Row],[purchase_date]],"dddd"))</f>
        <v>Miércoles</v>
      </c>
      <c r="O206" s="1" t="str">
        <f>PROPER(TEXT(BBDD_fashion_boutique[[#This Row],[purchase_date]],"mmmm"))</f>
        <v>Agosto</v>
      </c>
      <c r="P206" s="4">
        <v>43</v>
      </c>
      <c r="Q206" s="2">
        <v>2.2999999999999998</v>
      </c>
      <c r="R206" t="str">
        <f>IF(BBDD_fashion_boutique[[#This Row],[stock_quantity]]&gt;9,"Ok",IF(BBDD_fashion_boutique[[#This Row],[stock_quantity]]=0,"Agotado","Pocas Unidades"))</f>
        <v>Ok</v>
      </c>
      <c r="S206" s="3">
        <f>IF(BBDD_fashion_boutique[[#This Row],[customer_rating]]="","No valorado",BBDD_fashion_boutique[[#This Row],[customer_rating]])</f>
        <v>2.2999999999999998</v>
      </c>
      <c r="T206" t="s">
        <v>41</v>
      </c>
      <c r="U206" t="s">
        <v>131</v>
      </c>
      <c r="V206">
        <f>IF(BBDD_fashion_boutique[[#This Row],[is_returned]]="False",0,1)</f>
        <v>1</v>
      </c>
      <c r="W206">
        <f>IF(BBDD_fashion_boutique[[#This Row],[is_returned]]="True",0,BBDD_fashion_boutique[[#This Row],[current_price]])</f>
        <v>0</v>
      </c>
      <c r="X206" t="str">
        <f>IF(BBDD_fashion_boutique[[#This Row],[return_reason]]="","No return",BBDD_fashion_boutique[[#This Row],[return_reason]])</f>
        <v>Wrong Item</v>
      </c>
      <c r="Y206">
        <f>IF(IFERROR(VLOOKUP(BBDD_fashion_boutique[[#This Row],[product_id]],A207:A2382,1,FALSE),0),1,0)</f>
        <v>0</v>
      </c>
    </row>
    <row r="207" spans="1:25" x14ac:dyDescent="0.3">
      <c r="A207" t="s">
        <v>266</v>
      </c>
      <c r="B207" t="s">
        <v>32</v>
      </c>
      <c r="C207" t="s">
        <v>37</v>
      </c>
      <c r="D207" t="s">
        <v>28</v>
      </c>
      <c r="F207" t="str">
        <f>IF(BBDD_fashion_boutique[[#This Row],[category]]="Accessories","Accesorio",IF(BBDD_fashion_boutique[[#This Row],[size]]="","Desconocido",BBDD_fashion_boutique[[#This Row],[size]]))</f>
        <v>Accesorio</v>
      </c>
      <c r="G207" t="s">
        <v>23</v>
      </c>
      <c r="H207" s="2">
        <v>54.45</v>
      </c>
      <c r="I207">
        <v>0</v>
      </c>
      <c r="J207" s="5">
        <f>BBDD_fashion_boutique[[#This Row],[markdown_percentage]]/100</f>
        <v>0</v>
      </c>
      <c r="K207" s="2">
        <v>54.45</v>
      </c>
      <c r="L207" s="2">
        <f>BBDD_fashion_boutique[[#This Row],[original_price]]-BBDD_fashion_boutique[[#This Row],[current_price]]</f>
        <v>0</v>
      </c>
      <c r="M207" s="1">
        <v>45875</v>
      </c>
      <c r="N207" s="1" t="str">
        <f>PROPER(TEXT(BBDD_fashion_boutique[[#This Row],[purchase_date]],"dddd"))</f>
        <v>Miércoles</v>
      </c>
      <c r="O207" s="1" t="str">
        <f>PROPER(TEXT(BBDD_fashion_boutique[[#This Row],[purchase_date]],"mmmm"))</f>
        <v>Agosto</v>
      </c>
      <c r="P207" s="4">
        <v>12</v>
      </c>
      <c r="Q207" s="2">
        <v>2.7</v>
      </c>
      <c r="R207" t="str">
        <f>IF(BBDD_fashion_boutique[[#This Row],[stock_quantity]]&gt;9,"Ok",IF(BBDD_fashion_boutique[[#This Row],[stock_quantity]]=0,"Agotado","Pocas Unidades"))</f>
        <v>Ok</v>
      </c>
      <c r="S207" s="3">
        <f>IF(BBDD_fashion_boutique[[#This Row],[customer_rating]]="","No valorado",BBDD_fashion_boutique[[#This Row],[customer_rating]])</f>
        <v>2.7</v>
      </c>
      <c r="T207" t="s">
        <v>24</v>
      </c>
      <c r="V207">
        <f>IF(BBDD_fashion_boutique[[#This Row],[is_returned]]="False",0,1)</f>
        <v>0</v>
      </c>
      <c r="W207">
        <f>IF(BBDD_fashion_boutique[[#This Row],[is_returned]]="True",0,BBDD_fashion_boutique[[#This Row],[current_price]])</f>
        <v>54.45</v>
      </c>
      <c r="X207" t="str">
        <f>IF(BBDD_fashion_boutique[[#This Row],[return_reason]]="","No return",BBDD_fashion_boutique[[#This Row],[return_reason]])</f>
        <v>No return</v>
      </c>
      <c r="Y207">
        <f>IF(IFERROR(VLOOKUP(BBDD_fashion_boutique[[#This Row],[product_id]],A208:A2383,1,FALSE),0),1,0)</f>
        <v>0</v>
      </c>
    </row>
    <row r="208" spans="1:25" x14ac:dyDescent="0.3">
      <c r="A208" t="s">
        <v>267</v>
      </c>
      <c r="B208" t="s">
        <v>26</v>
      </c>
      <c r="C208" t="s">
        <v>49</v>
      </c>
      <c r="D208" t="s">
        <v>21</v>
      </c>
      <c r="E208" t="s">
        <v>64</v>
      </c>
      <c r="F208" t="str">
        <f>IF(BBDD_fashion_boutique[[#This Row],[category]]="Accessories","Accesorio",IF(BBDD_fashion_boutique[[#This Row],[size]]="","Desconocido",BBDD_fashion_boutique[[#This Row],[size]]))</f>
        <v>M</v>
      </c>
      <c r="G208" t="s">
        <v>52</v>
      </c>
      <c r="H208" s="2">
        <v>66.95</v>
      </c>
      <c r="I208">
        <v>36.4</v>
      </c>
      <c r="J208" s="5">
        <f>BBDD_fashion_boutique[[#This Row],[markdown_percentage]]/100</f>
        <v>0.36399999999999999</v>
      </c>
      <c r="K208" s="2">
        <v>42.58</v>
      </c>
      <c r="L208" s="2">
        <f>BBDD_fashion_boutique[[#This Row],[original_price]]-BBDD_fashion_boutique[[#This Row],[current_price]]</f>
        <v>24.370000000000005</v>
      </c>
      <c r="M208" s="1">
        <v>45563</v>
      </c>
      <c r="N208" s="1" t="str">
        <f>PROPER(TEXT(BBDD_fashion_boutique[[#This Row],[purchase_date]],"dddd"))</f>
        <v>Sábado</v>
      </c>
      <c r="O208" s="1" t="str">
        <f>PROPER(TEXT(BBDD_fashion_boutique[[#This Row],[purchase_date]],"mmmm"))</f>
        <v>Septiembre</v>
      </c>
      <c r="P208" s="4">
        <v>44</v>
      </c>
      <c r="Q208" s="2">
        <v>1.9</v>
      </c>
      <c r="R208" t="str">
        <f>IF(BBDD_fashion_boutique[[#This Row],[stock_quantity]]&gt;9,"Ok",IF(BBDD_fashion_boutique[[#This Row],[stock_quantity]]=0,"Agotado","Pocas Unidades"))</f>
        <v>Ok</v>
      </c>
      <c r="S208" s="3">
        <f>IF(BBDD_fashion_boutique[[#This Row],[customer_rating]]="","No valorado",BBDD_fashion_boutique[[#This Row],[customer_rating]])</f>
        <v>1.9</v>
      </c>
      <c r="T208" t="s">
        <v>41</v>
      </c>
      <c r="U208" t="s">
        <v>89</v>
      </c>
      <c r="V208">
        <f>IF(BBDD_fashion_boutique[[#This Row],[is_returned]]="False",0,1)</f>
        <v>1</v>
      </c>
      <c r="W208">
        <f>IF(BBDD_fashion_boutique[[#This Row],[is_returned]]="True",0,BBDD_fashion_boutique[[#This Row],[current_price]])</f>
        <v>0</v>
      </c>
      <c r="X208" t="str">
        <f>IF(BBDD_fashion_boutique[[#This Row],[return_reason]]="","No return",BBDD_fashion_boutique[[#This Row],[return_reason]])</f>
        <v>Quality Issue</v>
      </c>
      <c r="Y208">
        <f>IF(IFERROR(VLOOKUP(BBDD_fashion_boutique[[#This Row],[product_id]],A209:A2384,1,FALSE),0),1,0)</f>
        <v>0</v>
      </c>
    </row>
    <row r="209" spans="1:25" x14ac:dyDescent="0.3">
      <c r="A209" t="s">
        <v>268</v>
      </c>
      <c r="B209" t="s">
        <v>26</v>
      </c>
      <c r="C209" t="s">
        <v>59</v>
      </c>
      <c r="D209" t="s">
        <v>21</v>
      </c>
      <c r="E209" t="s">
        <v>22</v>
      </c>
      <c r="F209" t="str">
        <f>IF(BBDD_fashion_boutique[[#This Row],[category]]="Accessories","Accesorio",IF(BBDD_fashion_boutique[[#This Row],[size]]="","Desconocido",BBDD_fashion_boutique[[#This Row],[size]]))</f>
        <v>XL</v>
      </c>
      <c r="G209" t="s">
        <v>62</v>
      </c>
      <c r="H209" s="2">
        <v>116.96</v>
      </c>
      <c r="I209">
        <v>8.8000000000000007</v>
      </c>
      <c r="J209" s="5">
        <f>BBDD_fashion_boutique[[#This Row],[markdown_percentage]]/100</f>
        <v>8.8000000000000009E-2</v>
      </c>
      <c r="K209" s="2">
        <v>106.67</v>
      </c>
      <c r="L209" s="2">
        <f>BBDD_fashion_boutique[[#This Row],[original_price]]-BBDD_fashion_boutique[[#This Row],[current_price]]</f>
        <v>10.289999999999992</v>
      </c>
      <c r="M209" s="1">
        <v>45776</v>
      </c>
      <c r="N209" s="1" t="str">
        <f>PROPER(TEXT(BBDD_fashion_boutique[[#This Row],[purchase_date]],"dddd"))</f>
        <v>Martes</v>
      </c>
      <c r="O209" s="1" t="str">
        <f>PROPER(TEXT(BBDD_fashion_boutique[[#This Row],[purchase_date]],"mmmm"))</f>
        <v>Abril</v>
      </c>
      <c r="P209" s="4">
        <v>33</v>
      </c>
      <c r="Q209" s="2">
        <v>1.6</v>
      </c>
      <c r="R209" t="str">
        <f>IF(BBDD_fashion_boutique[[#This Row],[stock_quantity]]&gt;9,"Ok",IF(BBDD_fashion_boutique[[#This Row],[stock_quantity]]=0,"Agotado","Pocas Unidades"))</f>
        <v>Ok</v>
      </c>
      <c r="S209" s="3">
        <f>IF(BBDD_fashion_boutique[[#This Row],[customer_rating]]="","No valorado",BBDD_fashion_boutique[[#This Row],[customer_rating]])</f>
        <v>1.6</v>
      </c>
      <c r="T209" t="s">
        <v>24</v>
      </c>
      <c r="V209">
        <f>IF(BBDD_fashion_boutique[[#This Row],[is_returned]]="False",0,1)</f>
        <v>0</v>
      </c>
      <c r="W209">
        <f>IF(BBDD_fashion_boutique[[#This Row],[is_returned]]="True",0,BBDD_fashion_boutique[[#This Row],[current_price]])</f>
        <v>106.67</v>
      </c>
      <c r="X209" t="str">
        <f>IF(BBDD_fashion_boutique[[#This Row],[return_reason]]="","No return",BBDD_fashion_boutique[[#This Row],[return_reason]])</f>
        <v>No return</v>
      </c>
      <c r="Y209">
        <f>IF(IFERROR(VLOOKUP(BBDD_fashion_boutique[[#This Row],[product_id]],A210:A2385,1,FALSE),0),1,0)</f>
        <v>0</v>
      </c>
    </row>
    <row r="210" spans="1:25" x14ac:dyDescent="0.3">
      <c r="A210" t="s">
        <v>269</v>
      </c>
      <c r="B210" t="s">
        <v>26</v>
      </c>
      <c r="C210" t="s">
        <v>81</v>
      </c>
      <c r="D210" t="s">
        <v>39</v>
      </c>
      <c r="E210" t="s">
        <v>55</v>
      </c>
      <c r="F210" t="str">
        <f>IF(BBDD_fashion_boutique[[#This Row],[category]]="Accessories","Accesorio",IF(BBDD_fashion_boutique[[#This Row],[size]]="","Desconocido",BBDD_fashion_boutique[[#This Row],[size]]))</f>
        <v>XXL</v>
      </c>
      <c r="G210" t="s">
        <v>30</v>
      </c>
      <c r="H210" s="2">
        <v>111.14</v>
      </c>
      <c r="I210">
        <v>0</v>
      </c>
      <c r="J210" s="5">
        <f>BBDD_fashion_boutique[[#This Row],[markdown_percentage]]/100</f>
        <v>0</v>
      </c>
      <c r="K210" s="2">
        <v>111.14</v>
      </c>
      <c r="L210" s="2">
        <f>BBDD_fashion_boutique[[#This Row],[original_price]]-BBDD_fashion_boutique[[#This Row],[current_price]]</f>
        <v>0</v>
      </c>
      <c r="M210" s="1">
        <v>45875</v>
      </c>
      <c r="N210" s="1" t="str">
        <f>PROPER(TEXT(BBDD_fashion_boutique[[#This Row],[purchase_date]],"dddd"))</f>
        <v>Miércoles</v>
      </c>
      <c r="O210" s="1" t="str">
        <f>PROPER(TEXT(BBDD_fashion_boutique[[#This Row],[purchase_date]],"mmmm"))</f>
        <v>Agosto</v>
      </c>
      <c r="P210" s="4">
        <v>49</v>
      </c>
      <c r="Q210" s="2">
        <v>1.6</v>
      </c>
      <c r="R210" t="str">
        <f>IF(BBDD_fashion_boutique[[#This Row],[stock_quantity]]&gt;9,"Ok",IF(BBDD_fashion_boutique[[#This Row],[stock_quantity]]=0,"Agotado","Pocas Unidades"))</f>
        <v>Ok</v>
      </c>
      <c r="S210" s="3">
        <f>IF(BBDD_fashion_boutique[[#This Row],[customer_rating]]="","No valorado",BBDD_fashion_boutique[[#This Row],[customer_rating]])</f>
        <v>1.6</v>
      </c>
      <c r="T210" t="s">
        <v>24</v>
      </c>
      <c r="V210">
        <f>IF(BBDD_fashion_boutique[[#This Row],[is_returned]]="False",0,1)</f>
        <v>0</v>
      </c>
      <c r="W210">
        <f>IF(BBDD_fashion_boutique[[#This Row],[is_returned]]="True",0,BBDD_fashion_boutique[[#This Row],[current_price]])</f>
        <v>111.14</v>
      </c>
      <c r="X210" t="str">
        <f>IF(BBDD_fashion_boutique[[#This Row],[return_reason]]="","No return",BBDD_fashion_boutique[[#This Row],[return_reason]])</f>
        <v>No return</v>
      </c>
      <c r="Y210">
        <f>IF(IFERROR(VLOOKUP(BBDD_fashion_boutique[[#This Row],[product_id]],A211:A2386,1,FALSE),0),1,0)</f>
        <v>0</v>
      </c>
    </row>
    <row r="211" spans="1:25" x14ac:dyDescent="0.3">
      <c r="A211" t="s">
        <v>270</v>
      </c>
      <c r="B211" t="s">
        <v>26</v>
      </c>
      <c r="C211" t="s">
        <v>37</v>
      </c>
      <c r="D211" t="s">
        <v>39</v>
      </c>
      <c r="E211" t="s">
        <v>61</v>
      </c>
      <c r="F211" t="str">
        <f>IF(BBDD_fashion_boutique[[#This Row],[category]]="Accessories","Accesorio",IF(BBDD_fashion_boutique[[#This Row],[size]]="","Desconocido",BBDD_fashion_boutique[[#This Row],[size]]))</f>
        <v>XS</v>
      </c>
      <c r="G211" t="s">
        <v>50</v>
      </c>
      <c r="H211" s="2">
        <v>59.6</v>
      </c>
      <c r="I211">
        <v>0</v>
      </c>
      <c r="J211" s="5">
        <f>BBDD_fashion_boutique[[#This Row],[markdown_percentage]]/100</f>
        <v>0</v>
      </c>
      <c r="K211" s="2">
        <v>59.6</v>
      </c>
      <c r="L211" s="2">
        <f>BBDD_fashion_boutique[[#This Row],[original_price]]-BBDD_fashion_boutique[[#This Row],[current_price]]</f>
        <v>0</v>
      </c>
      <c r="M211" s="1">
        <v>45875</v>
      </c>
      <c r="N211" s="1" t="str">
        <f>PROPER(TEXT(BBDD_fashion_boutique[[#This Row],[purchase_date]],"dddd"))</f>
        <v>Miércoles</v>
      </c>
      <c r="O211" s="1" t="str">
        <f>PROPER(TEXT(BBDD_fashion_boutique[[#This Row],[purchase_date]],"mmmm"))</f>
        <v>Agosto</v>
      </c>
      <c r="P211" s="4">
        <v>40</v>
      </c>
      <c r="Q211" s="2">
        <v>2.1</v>
      </c>
      <c r="R211" t="str">
        <f>IF(BBDD_fashion_boutique[[#This Row],[stock_quantity]]&gt;9,"Ok",IF(BBDD_fashion_boutique[[#This Row],[stock_quantity]]=0,"Agotado","Pocas Unidades"))</f>
        <v>Ok</v>
      </c>
      <c r="S211" s="3">
        <f>IF(BBDD_fashion_boutique[[#This Row],[customer_rating]]="","No valorado",BBDD_fashion_boutique[[#This Row],[customer_rating]])</f>
        <v>2.1</v>
      </c>
      <c r="T211" t="s">
        <v>24</v>
      </c>
      <c r="V211">
        <f>IF(BBDD_fashion_boutique[[#This Row],[is_returned]]="False",0,1)</f>
        <v>0</v>
      </c>
      <c r="W211">
        <f>IF(BBDD_fashion_boutique[[#This Row],[is_returned]]="True",0,BBDD_fashion_boutique[[#This Row],[current_price]])</f>
        <v>59.6</v>
      </c>
      <c r="X211" t="str">
        <f>IF(BBDD_fashion_boutique[[#This Row],[return_reason]]="","No return",BBDD_fashion_boutique[[#This Row],[return_reason]])</f>
        <v>No return</v>
      </c>
      <c r="Y211">
        <f>IF(IFERROR(VLOOKUP(BBDD_fashion_boutique[[#This Row],[product_id]],A212:A2387,1,FALSE),0),1,0)</f>
        <v>0</v>
      </c>
    </row>
    <row r="212" spans="1:25" x14ac:dyDescent="0.3">
      <c r="A212" t="s">
        <v>271</v>
      </c>
      <c r="B212" t="s">
        <v>26</v>
      </c>
      <c r="C212" t="s">
        <v>59</v>
      </c>
      <c r="D212" t="s">
        <v>21</v>
      </c>
      <c r="E212" t="s">
        <v>45</v>
      </c>
      <c r="F212" t="str">
        <f>IF(BBDD_fashion_boutique[[#This Row],[category]]="Accessories","Accesorio",IF(BBDD_fashion_boutique[[#This Row],[size]]="","Desconocido",BBDD_fashion_boutique[[#This Row],[size]]))</f>
        <v>S</v>
      </c>
      <c r="G212" t="s">
        <v>46</v>
      </c>
      <c r="H212" s="2">
        <v>25.49</v>
      </c>
      <c r="I212">
        <v>16.7</v>
      </c>
      <c r="J212" s="5">
        <f>BBDD_fashion_boutique[[#This Row],[markdown_percentage]]/100</f>
        <v>0.16699999999999998</v>
      </c>
      <c r="K212" s="2">
        <v>21.23</v>
      </c>
      <c r="L212" s="2">
        <f>BBDD_fashion_boutique[[#This Row],[original_price]]-BBDD_fashion_boutique[[#This Row],[current_price]]</f>
        <v>4.259999999999998</v>
      </c>
      <c r="M212" s="1">
        <v>45800</v>
      </c>
      <c r="N212" s="1" t="str">
        <f>PROPER(TEXT(BBDD_fashion_boutique[[#This Row],[purchase_date]],"dddd"))</f>
        <v>Viernes</v>
      </c>
      <c r="O212" s="1" t="str">
        <f>PROPER(TEXT(BBDD_fashion_boutique[[#This Row],[purchase_date]],"mmmm"))</f>
        <v>Mayo</v>
      </c>
      <c r="P212" s="4">
        <v>32</v>
      </c>
      <c r="R212" t="str">
        <f>IF(BBDD_fashion_boutique[[#This Row],[stock_quantity]]&gt;9,"Ok",IF(BBDD_fashion_boutique[[#This Row],[stock_quantity]]=0,"Agotado","Pocas Unidades"))</f>
        <v>Ok</v>
      </c>
      <c r="S212" s="3" t="str">
        <f>IF(BBDD_fashion_boutique[[#This Row],[customer_rating]]="","No valorado",BBDD_fashion_boutique[[#This Row],[customer_rating]])</f>
        <v>No valorado</v>
      </c>
      <c r="T212" t="s">
        <v>24</v>
      </c>
      <c r="V212">
        <f>IF(BBDD_fashion_boutique[[#This Row],[is_returned]]="False",0,1)</f>
        <v>0</v>
      </c>
      <c r="W212">
        <f>IF(BBDD_fashion_boutique[[#This Row],[is_returned]]="True",0,BBDD_fashion_boutique[[#This Row],[current_price]])</f>
        <v>21.23</v>
      </c>
      <c r="X212" t="str">
        <f>IF(BBDD_fashion_boutique[[#This Row],[return_reason]]="","No return",BBDD_fashion_boutique[[#This Row],[return_reason]])</f>
        <v>No return</v>
      </c>
      <c r="Y212">
        <f>IF(IFERROR(VLOOKUP(BBDD_fashion_boutique[[#This Row],[product_id]],A213:A2388,1,FALSE),0),1,0)</f>
        <v>0</v>
      </c>
    </row>
    <row r="213" spans="1:25" x14ac:dyDescent="0.3">
      <c r="A213" t="s">
        <v>272</v>
      </c>
      <c r="B213" t="s">
        <v>26</v>
      </c>
      <c r="C213" t="s">
        <v>20</v>
      </c>
      <c r="D213" t="s">
        <v>21</v>
      </c>
      <c r="E213" t="s">
        <v>64</v>
      </c>
      <c r="F213" t="str">
        <f>IF(BBDD_fashion_boutique[[#This Row],[category]]="Accessories","Accesorio",IF(BBDD_fashion_boutique[[#This Row],[size]]="","Desconocido",BBDD_fashion_boutique[[#This Row],[size]]))</f>
        <v>M</v>
      </c>
      <c r="G213" t="s">
        <v>33</v>
      </c>
      <c r="H213" s="2">
        <v>82.94</v>
      </c>
      <c r="I213">
        <v>0</v>
      </c>
      <c r="J213" s="5">
        <f>BBDD_fashion_boutique[[#This Row],[markdown_percentage]]/100</f>
        <v>0</v>
      </c>
      <c r="K213" s="2">
        <v>82.94</v>
      </c>
      <c r="L213" s="2">
        <f>BBDD_fashion_boutique[[#This Row],[original_price]]-BBDD_fashion_boutique[[#This Row],[current_price]]</f>
        <v>0</v>
      </c>
      <c r="M213" s="1">
        <v>45855</v>
      </c>
      <c r="N213" s="1" t="str">
        <f>PROPER(TEXT(BBDD_fashion_boutique[[#This Row],[purchase_date]],"dddd"))</f>
        <v>Jueves</v>
      </c>
      <c r="O213" s="1" t="str">
        <f>PROPER(TEXT(BBDD_fashion_boutique[[#This Row],[purchase_date]],"mmmm"))</f>
        <v>Julio</v>
      </c>
      <c r="P213" s="4">
        <v>46</v>
      </c>
      <c r="Q213" s="2">
        <v>1.5</v>
      </c>
      <c r="R213" t="str">
        <f>IF(BBDD_fashion_boutique[[#This Row],[stock_quantity]]&gt;9,"Ok",IF(BBDD_fashion_boutique[[#This Row],[stock_quantity]]=0,"Agotado","Pocas Unidades"))</f>
        <v>Ok</v>
      </c>
      <c r="S213" s="3">
        <f>IF(BBDD_fashion_boutique[[#This Row],[customer_rating]]="","No valorado",BBDD_fashion_boutique[[#This Row],[customer_rating]])</f>
        <v>1.5</v>
      </c>
      <c r="T213" t="s">
        <v>24</v>
      </c>
      <c r="V213">
        <f>IF(BBDD_fashion_boutique[[#This Row],[is_returned]]="False",0,1)</f>
        <v>0</v>
      </c>
      <c r="W213">
        <f>IF(BBDD_fashion_boutique[[#This Row],[is_returned]]="True",0,BBDD_fashion_boutique[[#This Row],[current_price]])</f>
        <v>82.94</v>
      </c>
      <c r="X213" t="str">
        <f>IF(BBDD_fashion_boutique[[#This Row],[return_reason]]="","No return",BBDD_fashion_boutique[[#This Row],[return_reason]])</f>
        <v>No return</v>
      </c>
      <c r="Y213">
        <f>IF(IFERROR(VLOOKUP(BBDD_fashion_boutique[[#This Row],[product_id]],A214:A2389,1,FALSE),0),1,0)</f>
        <v>0</v>
      </c>
    </row>
    <row r="214" spans="1:25" x14ac:dyDescent="0.3">
      <c r="A214" t="s">
        <v>273</v>
      </c>
      <c r="B214" t="s">
        <v>26</v>
      </c>
      <c r="C214" t="s">
        <v>27</v>
      </c>
      <c r="D214" t="s">
        <v>21</v>
      </c>
      <c r="E214" t="s">
        <v>29</v>
      </c>
      <c r="F214" t="str">
        <f>IF(BBDD_fashion_boutique[[#This Row],[category]]="Accessories","Accesorio",IF(BBDD_fashion_boutique[[#This Row],[size]]="","Desconocido",BBDD_fashion_boutique[[#This Row],[size]]))</f>
        <v>L</v>
      </c>
      <c r="G214" t="s">
        <v>50</v>
      </c>
      <c r="H214" s="2">
        <v>99.71</v>
      </c>
      <c r="I214">
        <v>0</v>
      </c>
      <c r="J214" s="5">
        <f>BBDD_fashion_boutique[[#This Row],[markdown_percentage]]/100</f>
        <v>0</v>
      </c>
      <c r="K214" s="2">
        <v>99.71</v>
      </c>
      <c r="L214" s="2">
        <f>BBDD_fashion_boutique[[#This Row],[original_price]]-BBDD_fashion_boutique[[#This Row],[current_price]]</f>
        <v>0</v>
      </c>
      <c r="M214" s="1">
        <v>45525</v>
      </c>
      <c r="N214" s="1" t="str">
        <f>PROPER(TEXT(BBDD_fashion_boutique[[#This Row],[purchase_date]],"dddd"))</f>
        <v>Miércoles</v>
      </c>
      <c r="O214" s="1" t="str">
        <f>PROPER(TEXT(BBDD_fashion_boutique[[#This Row],[purchase_date]],"mmmm"))</f>
        <v>Agosto</v>
      </c>
      <c r="P214" s="4">
        <v>23</v>
      </c>
      <c r="Q214" s="2">
        <v>1.4</v>
      </c>
      <c r="R214" t="str">
        <f>IF(BBDD_fashion_boutique[[#This Row],[stock_quantity]]&gt;9,"Ok",IF(BBDD_fashion_boutique[[#This Row],[stock_quantity]]=0,"Agotado","Pocas Unidades"))</f>
        <v>Ok</v>
      </c>
      <c r="S214" s="3">
        <f>IF(BBDD_fashion_boutique[[#This Row],[customer_rating]]="","No valorado",BBDD_fashion_boutique[[#This Row],[customer_rating]])</f>
        <v>1.4</v>
      </c>
      <c r="T214" t="s">
        <v>24</v>
      </c>
      <c r="V214">
        <f>IF(BBDD_fashion_boutique[[#This Row],[is_returned]]="False",0,1)</f>
        <v>0</v>
      </c>
      <c r="W214">
        <f>IF(BBDD_fashion_boutique[[#This Row],[is_returned]]="True",0,BBDD_fashion_boutique[[#This Row],[current_price]])</f>
        <v>99.71</v>
      </c>
      <c r="X214" t="str">
        <f>IF(BBDD_fashion_boutique[[#This Row],[return_reason]]="","No return",BBDD_fashion_boutique[[#This Row],[return_reason]])</f>
        <v>No return</v>
      </c>
      <c r="Y214">
        <f>IF(IFERROR(VLOOKUP(BBDD_fashion_boutique[[#This Row],[product_id]],A215:A2390,1,FALSE),0),1,0)</f>
        <v>0</v>
      </c>
    </row>
    <row r="215" spans="1:25" x14ac:dyDescent="0.3">
      <c r="A215" t="s">
        <v>274</v>
      </c>
      <c r="B215" t="s">
        <v>32</v>
      </c>
      <c r="C215" t="s">
        <v>37</v>
      </c>
      <c r="D215" t="s">
        <v>39</v>
      </c>
      <c r="F215" t="str">
        <f>IF(BBDD_fashion_boutique[[#This Row],[category]]="Accessories","Accesorio",IF(BBDD_fashion_boutique[[#This Row],[size]]="","Desconocido",BBDD_fashion_boutique[[#This Row],[size]]))</f>
        <v>Accesorio</v>
      </c>
      <c r="G215" t="s">
        <v>33</v>
      </c>
      <c r="H215" s="2">
        <v>69.739999999999995</v>
      </c>
      <c r="I215">
        <v>0</v>
      </c>
      <c r="J215" s="5">
        <f>BBDD_fashion_boutique[[#This Row],[markdown_percentage]]/100</f>
        <v>0</v>
      </c>
      <c r="K215" s="2">
        <v>69.739999999999995</v>
      </c>
      <c r="L215" s="2">
        <f>BBDD_fashion_boutique[[#This Row],[original_price]]-BBDD_fashion_boutique[[#This Row],[current_price]]</f>
        <v>0</v>
      </c>
      <c r="M215" s="1">
        <v>45875</v>
      </c>
      <c r="N215" s="1" t="str">
        <f>PROPER(TEXT(BBDD_fashion_boutique[[#This Row],[purchase_date]],"dddd"))</f>
        <v>Miércoles</v>
      </c>
      <c r="O215" s="1" t="str">
        <f>PROPER(TEXT(BBDD_fashion_boutique[[#This Row],[purchase_date]],"mmmm"))</f>
        <v>Agosto</v>
      </c>
      <c r="P215" s="4">
        <v>11</v>
      </c>
      <c r="Q215" s="2">
        <v>3.3</v>
      </c>
      <c r="R215" t="str">
        <f>IF(BBDD_fashion_boutique[[#This Row],[stock_quantity]]&gt;9,"Ok",IF(BBDD_fashion_boutique[[#This Row],[stock_quantity]]=0,"Agotado","Pocas Unidades"))</f>
        <v>Ok</v>
      </c>
      <c r="S215" s="3">
        <f>IF(BBDD_fashion_boutique[[#This Row],[customer_rating]]="","No valorado",BBDD_fashion_boutique[[#This Row],[customer_rating]])</f>
        <v>3.3</v>
      </c>
      <c r="T215" t="s">
        <v>41</v>
      </c>
      <c r="U215" t="s">
        <v>121</v>
      </c>
      <c r="V215">
        <f>IF(BBDD_fashion_boutique[[#This Row],[is_returned]]="False",0,1)</f>
        <v>1</v>
      </c>
      <c r="W215">
        <f>IF(BBDD_fashion_boutique[[#This Row],[is_returned]]="True",0,BBDD_fashion_boutique[[#This Row],[current_price]])</f>
        <v>0</v>
      </c>
      <c r="X215" t="str">
        <f>IF(BBDD_fashion_boutique[[#This Row],[return_reason]]="","No return",BBDD_fashion_boutique[[#This Row],[return_reason]])</f>
        <v>Changed Mind</v>
      </c>
      <c r="Y215">
        <f>IF(IFERROR(VLOOKUP(BBDD_fashion_boutique[[#This Row],[product_id]],A216:A2391,1,FALSE),0),1,0)</f>
        <v>0</v>
      </c>
    </row>
    <row r="216" spans="1:25" x14ac:dyDescent="0.3">
      <c r="A216" t="s">
        <v>275</v>
      </c>
      <c r="B216" t="s">
        <v>44</v>
      </c>
      <c r="C216" t="s">
        <v>54</v>
      </c>
      <c r="D216" t="s">
        <v>68</v>
      </c>
      <c r="E216" t="s">
        <v>55</v>
      </c>
      <c r="F216" t="str">
        <f>IF(BBDD_fashion_boutique[[#This Row],[category]]="Accessories","Accesorio",IF(BBDD_fashion_boutique[[#This Row],[size]]="","Desconocido",BBDD_fashion_boutique[[#This Row],[size]]))</f>
        <v>XXL</v>
      </c>
      <c r="G216" t="s">
        <v>52</v>
      </c>
      <c r="H216" s="2">
        <v>57.19</v>
      </c>
      <c r="I216">
        <v>0</v>
      </c>
      <c r="J216" s="5">
        <f>BBDD_fashion_boutique[[#This Row],[markdown_percentage]]/100</f>
        <v>0</v>
      </c>
      <c r="K216" s="2">
        <v>57.19</v>
      </c>
      <c r="L216" s="2">
        <f>BBDD_fashion_boutique[[#This Row],[original_price]]-BBDD_fashion_boutique[[#This Row],[current_price]]</f>
        <v>0</v>
      </c>
      <c r="M216" s="1">
        <v>45875</v>
      </c>
      <c r="N216" s="1" t="str">
        <f>PROPER(TEXT(BBDD_fashion_boutique[[#This Row],[purchase_date]],"dddd"))</f>
        <v>Miércoles</v>
      </c>
      <c r="O216" s="1" t="str">
        <f>PROPER(TEXT(BBDD_fashion_boutique[[#This Row],[purchase_date]],"mmmm"))</f>
        <v>Agosto</v>
      </c>
      <c r="P216" s="4">
        <v>12</v>
      </c>
      <c r="Q216" s="2">
        <v>2.5</v>
      </c>
      <c r="R216" t="str">
        <f>IF(BBDD_fashion_boutique[[#This Row],[stock_quantity]]&gt;9,"Ok",IF(BBDD_fashion_boutique[[#This Row],[stock_quantity]]=0,"Agotado","Pocas Unidades"))</f>
        <v>Ok</v>
      </c>
      <c r="S216" s="3">
        <f>IF(BBDD_fashion_boutique[[#This Row],[customer_rating]]="","No valorado",BBDD_fashion_boutique[[#This Row],[customer_rating]])</f>
        <v>2.5</v>
      </c>
      <c r="T216" t="s">
        <v>24</v>
      </c>
      <c r="V216">
        <f>IF(BBDD_fashion_boutique[[#This Row],[is_returned]]="False",0,1)</f>
        <v>0</v>
      </c>
      <c r="W216">
        <f>IF(BBDD_fashion_boutique[[#This Row],[is_returned]]="True",0,BBDD_fashion_boutique[[#This Row],[current_price]])</f>
        <v>57.19</v>
      </c>
      <c r="X216" t="str">
        <f>IF(BBDD_fashion_boutique[[#This Row],[return_reason]]="","No return",BBDD_fashion_boutique[[#This Row],[return_reason]])</f>
        <v>No return</v>
      </c>
      <c r="Y216">
        <f>IF(IFERROR(VLOOKUP(BBDD_fashion_boutique[[#This Row],[product_id]],A217:A2392,1,FALSE),0),1,0)</f>
        <v>0</v>
      </c>
    </row>
    <row r="217" spans="1:25" x14ac:dyDescent="0.3">
      <c r="A217" t="s">
        <v>276</v>
      </c>
      <c r="B217" t="s">
        <v>26</v>
      </c>
      <c r="C217" t="s">
        <v>54</v>
      </c>
      <c r="D217" t="s">
        <v>68</v>
      </c>
      <c r="E217" t="s">
        <v>55</v>
      </c>
      <c r="F217" t="str">
        <f>IF(BBDD_fashion_boutique[[#This Row],[category]]="Accessories","Accesorio",IF(BBDD_fashion_boutique[[#This Row],[size]]="","Desconocido",BBDD_fashion_boutique[[#This Row],[size]]))</f>
        <v>XXL</v>
      </c>
      <c r="G217" t="s">
        <v>23</v>
      </c>
      <c r="H217" s="2">
        <v>58.65</v>
      </c>
      <c r="I217">
        <v>0</v>
      </c>
      <c r="J217" s="5">
        <f>BBDD_fashion_boutique[[#This Row],[markdown_percentage]]/100</f>
        <v>0</v>
      </c>
      <c r="K217" s="2">
        <v>58.65</v>
      </c>
      <c r="L217" s="2">
        <f>BBDD_fashion_boutique[[#This Row],[original_price]]-BBDD_fashion_boutique[[#This Row],[current_price]]</f>
        <v>0</v>
      </c>
      <c r="M217" s="1">
        <v>45875</v>
      </c>
      <c r="N217" s="1" t="str">
        <f>PROPER(TEXT(BBDD_fashion_boutique[[#This Row],[purchase_date]],"dddd"))</f>
        <v>Miércoles</v>
      </c>
      <c r="O217" s="1" t="str">
        <f>PROPER(TEXT(BBDD_fashion_boutique[[#This Row],[purchase_date]],"mmmm"))</f>
        <v>Agosto</v>
      </c>
      <c r="P217" s="4">
        <v>4</v>
      </c>
      <c r="Q217" s="2">
        <v>1.1000000000000001</v>
      </c>
      <c r="R217" t="str">
        <f>IF(BBDD_fashion_boutique[[#This Row],[stock_quantity]]&gt;9,"Ok",IF(BBDD_fashion_boutique[[#This Row],[stock_quantity]]=0,"Agotado","Pocas Unidades"))</f>
        <v>Pocas Unidades</v>
      </c>
      <c r="S217" s="3">
        <f>IF(BBDD_fashion_boutique[[#This Row],[customer_rating]]="","No valorado",BBDD_fashion_boutique[[#This Row],[customer_rating]])</f>
        <v>1.1000000000000001</v>
      </c>
      <c r="T217" t="s">
        <v>24</v>
      </c>
      <c r="V217">
        <f>IF(BBDD_fashion_boutique[[#This Row],[is_returned]]="False",0,1)</f>
        <v>0</v>
      </c>
      <c r="W217">
        <f>IF(BBDD_fashion_boutique[[#This Row],[is_returned]]="True",0,BBDD_fashion_boutique[[#This Row],[current_price]])</f>
        <v>58.65</v>
      </c>
      <c r="X217" t="str">
        <f>IF(BBDD_fashion_boutique[[#This Row],[return_reason]]="","No return",BBDD_fashion_boutique[[#This Row],[return_reason]])</f>
        <v>No return</v>
      </c>
      <c r="Y217">
        <f>IF(IFERROR(VLOOKUP(BBDD_fashion_boutique[[#This Row],[product_id]],A218:A2393,1,FALSE),0),1,0)</f>
        <v>0</v>
      </c>
    </row>
    <row r="218" spans="1:25" x14ac:dyDescent="0.3">
      <c r="A218" t="s">
        <v>277</v>
      </c>
      <c r="B218" t="s">
        <v>19</v>
      </c>
      <c r="C218" t="s">
        <v>27</v>
      </c>
      <c r="D218" t="s">
        <v>39</v>
      </c>
      <c r="E218" t="s">
        <v>22</v>
      </c>
      <c r="F218" t="str">
        <f>IF(BBDD_fashion_boutique[[#This Row],[category]]="Accessories","Accesorio",IF(BBDD_fashion_boutique[[#This Row],[size]]="","Desconocido",BBDD_fashion_boutique[[#This Row],[size]]))</f>
        <v>XL</v>
      </c>
      <c r="G218" t="s">
        <v>30</v>
      </c>
      <c r="H218" s="2">
        <v>110.22</v>
      </c>
      <c r="I218">
        <v>0</v>
      </c>
      <c r="J218" s="5">
        <f>BBDD_fashion_boutique[[#This Row],[markdown_percentage]]/100</f>
        <v>0</v>
      </c>
      <c r="K218" s="2">
        <v>110.22</v>
      </c>
      <c r="L218" s="2">
        <f>BBDD_fashion_boutique[[#This Row],[original_price]]-BBDD_fashion_boutique[[#This Row],[current_price]]</f>
        <v>0</v>
      </c>
      <c r="M218" s="1">
        <v>45875</v>
      </c>
      <c r="N218" s="1" t="str">
        <f>PROPER(TEXT(BBDD_fashion_boutique[[#This Row],[purchase_date]],"dddd"))</f>
        <v>Miércoles</v>
      </c>
      <c r="O218" s="1" t="str">
        <f>PROPER(TEXT(BBDD_fashion_boutique[[#This Row],[purchase_date]],"mmmm"))</f>
        <v>Agosto</v>
      </c>
      <c r="P218" s="4">
        <v>4</v>
      </c>
      <c r="Q218" s="2">
        <v>1.6</v>
      </c>
      <c r="R218" t="str">
        <f>IF(BBDD_fashion_boutique[[#This Row],[stock_quantity]]&gt;9,"Ok",IF(BBDD_fashion_boutique[[#This Row],[stock_quantity]]=0,"Agotado","Pocas Unidades"))</f>
        <v>Pocas Unidades</v>
      </c>
      <c r="S218" s="3">
        <f>IF(BBDD_fashion_boutique[[#This Row],[customer_rating]]="","No valorado",BBDD_fashion_boutique[[#This Row],[customer_rating]])</f>
        <v>1.6</v>
      </c>
      <c r="T218" t="s">
        <v>24</v>
      </c>
      <c r="V218">
        <f>IF(BBDD_fashion_boutique[[#This Row],[is_returned]]="False",0,1)</f>
        <v>0</v>
      </c>
      <c r="W218">
        <f>IF(BBDD_fashion_boutique[[#This Row],[is_returned]]="True",0,BBDD_fashion_boutique[[#This Row],[current_price]])</f>
        <v>110.22</v>
      </c>
      <c r="X218" t="str">
        <f>IF(BBDD_fashion_boutique[[#This Row],[return_reason]]="","No return",BBDD_fashion_boutique[[#This Row],[return_reason]])</f>
        <v>No return</v>
      </c>
      <c r="Y218">
        <f>IF(IFERROR(VLOOKUP(BBDD_fashion_boutique[[#This Row],[product_id]],A219:A2394,1,FALSE),0),1,0)</f>
        <v>0</v>
      </c>
    </row>
    <row r="219" spans="1:25" x14ac:dyDescent="0.3">
      <c r="A219" t="s">
        <v>278</v>
      </c>
      <c r="B219" t="s">
        <v>26</v>
      </c>
      <c r="C219" t="s">
        <v>20</v>
      </c>
      <c r="D219" t="s">
        <v>68</v>
      </c>
      <c r="E219" t="s">
        <v>55</v>
      </c>
      <c r="F219" t="str">
        <f>IF(BBDD_fashion_boutique[[#This Row],[category]]="Accessories","Accesorio",IF(BBDD_fashion_boutique[[#This Row],[size]]="","Desconocido",BBDD_fashion_boutique[[#This Row],[size]]))</f>
        <v>XXL</v>
      </c>
      <c r="G219" t="s">
        <v>30</v>
      </c>
      <c r="H219" s="2">
        <v>69.36</v>
      </c>
      <c r="I219">
        <v>0</v>
      </c>
      <c r="J219" s="5">
        <f>BBDD_fashion_boutique[[#This Row],[markdown_percentage]]/100</f>
        <v>0</v>
      </c>
      <c r="K219" s="2">
        <v>69.36</v>
      </c>
      <c r="L219" s="2">
        <f>BBDD_fashion_boutique[[#This Row],[original_price]]-BBDD_fashion_boutique[[#This Row],[current_price]]</f>
        <v>0</v>
      </c>
      <c r="M219" s="1">
        <v>45875</v>
      </c>
      <c r="N219" s="1" t="str">
        <f>PROPER(TEXT(BBDD_fashion_boutique[[#This Row],[purchase_date]],"dddd"))</f>
        <v>Miércoles</v>
      </c>
      <c r="O219" s="1" t="str">
        <f>PROPER(TEXT(BBDD_fashion_boutique[[#This Row],[purchase_date]],"mmmm"))</f>
        <v>Agosto</v>
      </c>
      <c r="P219" s="4">
        <v>25</v>
      </c>
      <c r="R219" t="str">
        <f>IF(BBDD_fashion_boutique[[#This Row],[stock_quantity]]&gt;9,"Ok",IF(BBDD_fashion_boutique[[#This Row],[stock_quantity]]=0,"Agotado","Pocas Unidades"))</f>
        <v>Ok</v>
      </c>
      <c r="S219" s="3" t="str">
        <f>IF(BBDD_fashion_boutique[[#This Row],[customer_rating]]="","No valorado",BBDD_fashion_boutique[[#This Row],[customer_rating]])</f>
        <v>No valorado</v>
      </c>
      <c r="T219" t="s">
        <v>24</v>
      </c>
      <c r="V219">
        <f>IF(BBDD_fashion_boutique[[#This Row],[is_returned]]="False",0,1)</f>
        <v>0</v>
      </c>
      <c r="W219">
        <f>IF(BBDD_fashion_boutique[[#This Row],[is_returned]]="True",0,BBDD_fashion_boutique[[#This Row],[current_price]])</f>
        <v>69.36</v>
      </c>
      <c r="X219" t="str">
        <f>IF(BBDD_fashion_boutique[[#This Row],[return_reason]]="","No return",BBDD_fashion_boutique[[#This Row],[return_reason]])</f>
        <v>No return</v>
      </c>
      <c r="Y219">
        <f>IF(IFERROR(VLOOKUP(BBDD_fashion_boutique[[#This Row],[product_id]],A220:A2395,1,FALSE),0),1,0)</f>
        <v>0</v>
      </c>
    </row>
    <row r="220" spans="1:25" x14ac:dyDescent="0.3">
      <c r="A220" t="s">
        <v>279</v>
      </c>
      <c r="B220" t="s">
        <v>44</v>
      </c>
      <c r="C220" t="s">
        <v>20</v>
      </c>
      <c r="D220" t="s">
        <v>28</v>
      </c>
      <c r="E220" t="s">
        <v>45</v>
      </c>
      <c r="F220" t="str">
        <f>IF(BBDD_fashion_boutique[[#This Row],[category]]="Accessories","Accesorio",IF(BBDD_fashion_boutique[[#This Row],[size]]="","Desconocido",BBDD_fashion_boutique[[#This Row],[size]]))</f>
        <v>S</v>
      </c>
      <c r="G220" t="s">
        <v>33</v>
      </c>
      <c r="H220" s="2">
        <v>87.03</v>
      </c>
      <c r="I220">
        <v>0</v>
      </c>
      <c r="J220" s="5">
        <f>BBDD_fashion_boutique[[#This Row],[markdown_percentage]]/100</f>
        <v>0</v>
      </c>
      <c r="K220" s="2">
        <v>87.03</v>
      </c>
      <c r="L220" s="2">
        <f>BBDD_fashion_boutique[[#This Row],[original_price]]-BBDD_fashion_boutique[[#This Row],[current_price]]</f>
        <v>0</v>
      </c>
      <c r="M220" s="1">
        <v>45875</v>
      </c>
      <c r="N220" s="1" t="str">
        <f>PROPER(TEXT(BBDD_fashion_boutique[[#This Row],[purchase_date]],"dddd"))</f>
        <v>Miércoles</v>
      </c>
      <c r="O220" s="1" t="str">
        <f>PROPER(TEXT(BBDD_fashion_boutique[[#This Row],[purchase_date]],"mmmm"))</f>
        <v>Agosto</v>
      </c>
      <c r="P220" s="4">
        <v>39</v>
      </c>
      <c r="Q220" s="2">
        <v>4.3</v>
      </c>
      <c r="R220" t="str">
        <f>IF(BBDD_fashion_boutique[[#This Row],[stock_quantity]]&gt;9,"Ok",IF(BBDD_fashion_boutique[[#This Row],[stock_quantity]]=0,"Agotado","Pocas Unidades"))</f>
        <v>Ok</v>
      </c>
      <c r="S220" s="3">
        <f>IF(BBDD_fashion_boutique[[#This Row],[customer_rating]]="","No valorado",BBDD_fashion_boutique[[#This Row],[customer_rating]])</f>
        <v>4.3</v>
      </c>
      <c r="T220" t="s">
        <v>24</v>
      </c>
      <c r="V220">
        <f>IF(BBDD_fashion_boutique[[#This Row],[is_returned]]="False",0,1)</f>
        <v>0</v>
      </c>
      <c r="W220">
        <f>IF(BBDD_fashion_boutique[[#This Row],[is_returned]]="True",0,BBDD_fashion_boutique[[#This Row],[current_price]])</f>
        <v>87.03</v>
      </c>
      <c r="X220" t="str">
        <f>IF(BBDD_fashion_boutique[[#This Row],[return_reason]]="","No return",BBDD_fashion_boutique[[#This Row],[return_reason]])</f>
        <v>No return</v>
      </c>
      <c r="Y220">
        <f>IF(IFERROR(VLOOKUP(BBDD_fashion_boutique[[#This Row],[product_id]],A221:A2396,1,FALSE),0),1,0)</f>
        <v>0</v>
      </c>
    </row>
    <row r="221" spans="1:25" x14ac:dyDescent="0.3">
      <c r="A221" t="s">
        <v>280</v>
      </c>
      <c r="B221" t="s">
        <v>48</v>
      </c>
      <c r="C221" t="s">
        <v>20</v>
      </c>
      <c r="D221" t="s">
        <v>28</v>
      </c>
      <c r="E221" t="s">
        <v>55</v>
      </c>
      <c r="F221" t="str">
        <f>IF(BBDD_fashion_boutique[[#This Row],[category]]="Accessories","Accesorio",IF(BBDD_fashion_boutique[[#This Row],[size]]="","Desconocido",BBDD_fashion_boutique[[#This Row],[size]]))</f>
        <v>XXL</v>
      </c>
      <c r="G221" t="s">
        <v>76</v>
      </c>
      <c r="H221" s="2">
        <v>160.6</v>
      </c>
      <c r="I221">
        <v>18.399999999999999</v>
      </c>
      <c r="J221" s="5">
        <f>BBDD_fashion_boutique[[#This Row],[markdown_percentage]]/100</f>
        <v>0.184</v>
      </c>
      <c r="K221" s="2">
        <v>131.05000000000001</v>
      </c>
      <c r="L221" s="2">
        <f>BBDD_fashion_boutique[[#This Row],[original_price]]-BBDD_fashion_boutique[[#This Row],[current_price]]</f>
        <v>29.549999999999983</v>
      </c>
      <c r="M221" s="1">
        <v>45875</v>
      </c>
      <c r="N221" s="1" t="str">
        <f>PROPER(TEXT(BBDD_fashion_boutique[[#This Row],[purchase_date]],"dddd"))</f>
        <v>Miércoles</v>
      </c>
      <c r="O221" s="1" t="str">
        <f>PROPER(TEXT(BBDD_fashion_boutique[[#This Row],[purchase_date]],"mmmm"))</f>
        <v>Agosto</v>
      </c>
      <c r="P221" s="4">
        <v>41</v>
      </c>
      <c r="Q221" s="2">
        <v>3</v>
      </c>
      <c r="R221" t="str">
        <f>IF(BBDD_fashion_boutique[[#This Row],[stock_quantity]]&gt;9,"Ok",IF(BBDD_fashion_boutique[[#This Row],[stock_quantity]]=0,"Agotado","Pocas Unidades"))</f>
        <v>Ok</v>
      </c>
      <c r="S221" s="3">
        <f>IF(BBDD_fashion_boutique[[#This Row],[customer_rating]]="","No valorado",BBDD_fashion_boutique[[#This Row],[customer_rating]])</f>
        <v>3</v>
      </c>
      <c r="T221" t="s">
        <v>24</v>
      </c>
      <c r="V221">
        <f>IF(BBDD_fashion_boutique[[#This Row],[is_returned]]="False",0,1)</f>
        <v>0</v>
      </c>
      <c r="W221">
        <f>IF(BBDD_fashion_boutique[[#This Row],[is_returned]]="True",0,BBDD_fashion_boutique[[#This Row],[current_price]])</f>
        <v>131.05000000000001</v>
      </c>
      <c r="X221" t="str">
        <f>IF(BBDD_fashion_boutique[[#This Row],[return_reason]]="","No return",BBDD_fashion_boutique[[#This Row],[return_reason]])</f>
        <v>No return</v>
      </c>
      <c r="Y221">
        <f>IF(IFERROR(VLOOKUP(BBDD_fashion_boutique[[#This Row],[product_id]],A222:A2397,1,FALSE),0),1,0)</f>
        <v>0</v>
      </c>
    </row>
    <row r="222" spans="1:25" x14ac:dyDescent="0.3">
      <c r="A222" t="s">
        <v>281</v>
      </c>
      <c r="B222" t="s">
        <v>19</v>
      </c>
      <c r="C222" t="s">
        <v>54</v>
      </c>
      <c r="D222" t="s">
        <v>21</v>
      </c>
      <c r="E222" t="s">
        <v>61</v>
      </c>
      <c r="F222" t="str">
        <f>IF(BBDD_fashion_boutique[[#This Row],[category]]="Accessories","Accesorio",IF(BBDD_fashion_boutique[[#This Row],[size]]="","Desconocido",BBDD_fashion_boutique[[#This Row],[size]]))</f>
        <v>XS</v>
      </c>
      <c r="G222" t="s">
        <v>72</v>
      </c>
      <c r="H222" s="2">
        <v>167.02</v>
      </c>
      <c r="I222">
        <v>0</v>
      </c>
      <c r="J222" s="5">
        <f>BBDD_fashion_boutique[[#This Row],[markdown_percentage]]/100</f>
        <v>0</v>
      </c>
      <c r="K222" s="2">
        <v>167.02</v>
      </c>
      <c r="L222" s="2">
        <f>BBDD_fashion_boutique[[#This Row],[original_price]]-BBDD_fashion_boutique[[#This Row],[current_price]]</f>
        <v>0</v>
      </c>
      <c r="M222" s="1">
        <v>45687</v>
      </c>
      <c r="N222" s="1" t="str">
        <f>PROPER(TEXT(BBDD_fashion_boutique[[#This Row],[purchase_date]],"dddd"))</f>
        <v>Jueves</v>
      </c>
      <c r="O222" s="1" t="str">
        <f>PROPER(TEXT(BBDD_fashion_boutique[[#This Row],[purchase_date]],"mmmm"))</f>
        <v>Enero</v>
      </c>
      <c r="P222" s="4">
        <v>26</v>
      </c>
      <c r="Q222" s="2">
        <v>2.6</v>
      </c>
      <c r="R222" t="str">
        <f>IF(BBDD_fashion_boutique[[#This Row],[stock_quantity]]&gt;9,"Ok",IF(BBDD_fashion_boutique[[#This Row],[stock_quantity]]=0,"Agotado","Pocas Unidades"))</f>
        <v>Ok</v>
      </c>
      <c r="S222" s="3">
        <f>IF(BBDD_fashion_boutique[[#This Row],[customer_rating]]="","No valorado",BBDD_fashion_boutique[[#This Row],[customer_rating]])</f>
        <v>2.6</v>
      </c>
      <c r="T222" t="s">
        <v>41</v>
      </c>
      <c r="U222" t="s">
        <v>79</v>
      </c>
      <c r="V222">
        <f>IF(BBDD_fashion_boutique[[#This Row],[is_returned]]="False",0,1)</f>
        <v>1</v>
      </c>
      <c r="W222">
        <f>IF(BBDD_fashion_boutique[[#This Row],[is_returned]]="True",0,BBDD_fashion_boutique[[#This Row],[current_price]])</f>
        <v>0</v>
      </c>
      <c r="X222" t="str">
        <f>IF(BBDD_fashion_boutique[[#This Row],[return_reason]]="","No return",BBDD_fashion_boutique[[#This Row],[return_reason]])</f>
        <v>Size Issue</v>
      </c>
      <c r="Y222">
        <f>IF(IFERROR(VLOOKUP(BBDD_fashion_boutique[[#This Row],[product_id]],A223:A2398,1,FALSE),0),1,0)</f>
        <v>0</v>
      </c>
    </row>
    <row r="223" spans="1:25" x14ac:dyDescent="0.3">
      <c r="A223" t="s">
        <v>282</v>
      </c>
      <c r="B223" t="s">
        <v>26</v>
      </c>
      <c r="C223" t="s">
        <v>20</v>
      </c>
      <c r="D223" t="s">
        <v>68</v>
      </c>
      <c r="E223" t="s">
        <v>55</v>
      </c>
      <c r="F223" t="str">
        <f>IF(BBDD_fashion_boutique[[#This Row],[category]]="Accessories","Accesorio",IF(BBDD_fashion_boutique[[#This Row],[size]]="","Desconocido",BBDD_fashion_boutique[[#This Row],[size]]))</f>
        <v>XXL</v>
      </c>
      <c r="G223" t="s">
        <v>46</v>
      </c>
      <c r="H223" s="2">
        <v>26.09</v>
      </c>
      <c r="I223">
        <v>0</v>
      </c>
      <c r="J223" s="5">
        <f>BBDD_fashion_boutique[[#This Row],[markdown_percentage]]/100</f>
        <v>0</v>
      </c>
      <c r="K223" s="2">
        <v>26.09</v>
      </c>
      <c r="L223" s="2">
        <f>BBDD_fashion_boutique[[#This Row],[original_price]]-BBDD_fashion_boutique[[#This Row],[current_price]]</f>
        <v>0</v>
      </c>
      <c r="M223" s="1">
        <v>45875</v>
      </c>
      <c r="N223" s="1" t="str">
        <f>PROPER(TEXT(BBDD_fashion_boutique[[#This Row],[purchase_date]],"dddd"))</f>
        <v>Miércoles</v>
      </c>
      <c r="O223" s="1" t="str">
        <f>PROPER(TEXT(BBDD_fashion_boutique[[#This Row],[purchase_date]],"mmmm"))</f>
        <v>Agosto</v>
      </c>
      <c r="P223" s="4">
        <v>32</v>
      </c>
      <c r="Q223" s="2">
        <v>4.5999999999999996</v>
      </c>
      <c r="R223" t="str">
        <f>IF(BBDD_fashion_boutique[[#This Row],[stock_quantity]]&gt;9,"Ok",IF(BBDD_fashion_boutique[[#This Row],[stock_quantity]]=0,"Agotado","Pocas Unidades"))</f>
        <v>Ok</v>
      </c>
      <c r="S223" s="3">
        <f>IF(BBDD_fashion_boutique[[#This Row],[customer_rating]]="","No valorado",BBDD_fashion_boutique[[#This Row],[customer_rating]])</f>
        <v>4.5999999999999996</v>
      </c>
      <c r="T223" t="s">
        <v>41</v>
      </c>
      <c r="U223" t="s">
        <v>84</v>
      </c>
      <c r="V223">
        <f>IF(BBDD_fashion_boutique[[#This Row],[is_returned]]="False",0,1)</f>
        <v>1</v>
      </c>
      <c r="W223">
        <f>IF(BBDD_fashion_boutique[[#This Row],[is_returned]]="True",0,BBDD_fashion_boutique[[#This Row],[current_price]])</f>
        <v>0</v>
      </c>
      <c r="X223" t="str">
        <f>IF(BBDD_fashion_boutique[[#This Row],[return_reason]]="","No return",BBDD_fashion_boutique[[#This Row],[return_reason]])</f>
        <v>Damaged</v>
      </c>
      <c r="Y223">
        <f>IF(IFERROR(VLOOKUP(BBDD_fashion_boutique[[#This Row],[product_id]],A224:A2399,1,FALSE),0),1,0)</f>
        <v>0</v>
      </c>
    </row>
    <row r="224" spans="1:25" x14ac:dyDescent="0.3">
      <c r="A224" t="s">
        <v>283</v>
      </c>
      <c r="B224" t="s">
        <v>19</v>
      </c>
      <c r="C224" t="s">
        <v>54</v>
      </c>
      <c r="D224" t="s">
        <v>68</v>
      </c>
      <c r="E224" t="s">
        <v>22</v>
      </c>
      <c r="F224" t="str">
        <f>IF(BBDD_fashion_boutique[[#This Row],[category]]="Accessories","Accesorio",IF(BBDD_fashion_boutique[[#This Row],[size]]="","Desconocido",BBDD_fashion_boutique[[#This Row],[size]]))</f>
        <v>XL</v>
      </c>
      <c r="G224" t="s">
        <v>76</v>
      </c>
      <c r="H224" s="2">
        <v>246.65</v>
      </c>
      <c r="I224">
        <v>0</v>
      </c>
      <c r="J224" s="5">
        <f>BBDD_fashion_boutique[[#This Row],[markdown_percentage]]/100</f>
        <v>0</v>
      </c>
      <c r="K224" s="2">
        <v>246.65</v>
      </c>
      <c r="L224" s="2">
        <f>BBDD_fashion_boutique[[#This Row],[original_price]]-BBDD_fashion_boutique[[#This Row],[current_price]]</f>
        <v>0</v>
      </c>
      <c r="M224" s="1">
        <v>45875</v>
      </c>
      <c r="N224" s="1" t="str">
        <f>PROPER(TEXT(BBDD_fashion_boutique[[#This Row],[purchase_date]],"dddd"))</f>
        <v>Miércoles</v>
      </c>
      <c r="O224" s="1" t="str">
        <f>PROPER(TEXT(BBDD_fashion_boutique[[#This Row],[purchase_date]],"mmmm"))</f>
        <v>Agosto</v>
      </c>
      <c r="P224" s="4">
        <v>17</v>
      </c>
      <c r="Q224" s="2">
        <v>2.9</v>
      </c>
      <c r="R224" t="str">
        <f>IF(BBDD_fashion_boutique[[#This Row],[stock_quantity]]&gt;9,"Ok",IF(BBDD_fashion_boutique[[#This Row],[stock_quantity]]=0,"Agotado","Pocas Unidades"))</f>
        <v>Ok</v>
      </c>
      <c r="S224" s="3">
        <f>IF(BBDD_fashion_boutique[[#This Row],[customer_rating]]="","No valorado",BBDD_fashion_boutique[[#This Row],[customer_rating]])</f>
        <v>2.9</v>
      </c>
      <c r="T224" t="s">
        <v>41</v>
      </c>
      <c r="U224" t="s">
        <v>84</v>
      </c>
      <c r="V224">
        <f>IF(BBDD_fashion_boutique[[#This Row],[is_returned]]="False",0,1)</f>
        <v>1</v>
      </c>
      <c r="W224">
        <f>IF(BBDD_fashion_boutique[[#This Row],[is_returned]]="True",0,BBDD_fashion_boutique[[#This Row],[current_price]])</f>
        <v>0</v>
      </c>
      <c r="X224" t="str">
        <f>IF(BBDD_fashion_boutique[[#This Row],[return_reason]]="","No return",BBDD_fashion_boutique[[#This Row],[return_reason]])</f>
        <v>Damaged</v>
      </c>
      <c r="Y224">
        <f>IF(IFERROR(VLOOKUP(BBDD_fashion_boutique[[#This Row],[product_id]],A225:A2400,1,FALSE),0),1,0)</f>
        <v>0</v>
      </c>
    </row>
    <row r="225" spans="1:25" x14ac:dyDescent="0.3">
      <c r="A225" t="s">
        <v>284</v>
      </c>
      <c r="B225" t="s">
        <v>19</v>
      </c>
      <c r="C225" t="s">
        <v>81</v>
      </c>
      <c r="D225" t="s">
        <v>68</v>
      </c>
      <c r="E225" t="s">
        <v>45</v>
      </c>
      <c r="F225" t="str">
        <f>IF(BBDD_fashion_boutique[[#This Row],[category]]="Accessories","Accesorio",IF(BBDD_fashion_boutique[[#This Row],[size]]="","Desconocido",BBDD_fashion_boutique[[#This Row],[size]]))</f>
        <v>S</v>
      </c>
      <c r="G225" t="s">
        <v>23</v>
      </c>
      <c r="H225" s="2">
        <v>206.91</v>
      </c>
      <c r="I225">
        <v>0</v>
      </c>
      <c r="J225" s="5">
        <f>BBDD_fashion_boutique[[#This Row],[markdown_percentage]]/100</f>
        <v>0</v>
      </c>
      <c r="K225" s="2">
        <v>206.91</v>
      </c>
      <c r="L225" s="2">
        <f>BBDD_fashion_boutique[[#This Row],[original_price]]-BBDD_fashion_boutique[[#This Row],[current_price]]</f>
        <v>0</v>
      </c>
      <c r="M225" s="1">
        <v>45875</v>
      </c>
      <c r="N225" s="1" t="str">
        <f>PROPER(TEXT(BBDD_fashion_boutique[[#This Row],[purchase_date]],"dddd"))</f>
        <v>Miércoles</v>
      </c>
      <c r="O225" s="1" t="str">
        <f>PROPER(TEXT(BBDD_fashion_boutique[[#This Row],[purchase_date]],"mmmm"))</f>
        <v>Agosto</v>
      </c>
      <c r="P225" s="4">
        <v>34</v>
      </c>
      <c r="Q225" s="2">
        <v>2.2999999999999998</v>
      </c>
      <c r="R225" t="str">
        <f>IF(BBDD_fashion_boutique[[#This Row],[stock_quantity]]&gt;9,"Ok",IF(BBDD_fashion_boutique[[#This Row],[stock_quantity]]=0,"Agotado","Pocas Unidades"))</f>
        <v>Ok</v>
      </c>
      <c r="S225" s="3">
        <f>IF(BBDD_fashion_boutique[[#This Row],[customer_rating]]="","No valorado",BBDD_fashion_boutique[[#This Row],[customer_rating]])</f>
        <v>2.2999999999999998</v>
      </c>
      <c r="T225" t="s">
        <v>24</v>
      </c>
      <c r="V225">
        <f>IF(BBDD_fashion_boutique[[#This Row],[is_returned]]="False",0,1)</f>
        <v>0</v>
      </c>
      <c r="W225">
        <f>IF(BBDD_fashion_boutique[[#This Row],[is_returned]]="True",0,BBDD_fashion_boutique[[#This Row],[current_price]])</f>
        <v>206.91</v>
      </c>
      <c r="X225" t="str">
        <f>IF(BBDD_fashion_boutique[[#This Row],[return_reason]]="","No return",BBDD_fashion_boutique[[#This Row],[return_reason]])</f>
        <v>No return</v>
      </c>
      <c r="Y225">
        <f>IF(IFERROR(VLOOKUP(BBDD_fashion_boutique[[#This Row],[product_id]],A226:A2401,1,FALSE),0),1,0)</f>
        <v>0</v>
      </c>
    </row>
    <row r="226" spans="1:25" x14ac:dyDescent="0.3">
      <c r="A226" t="s">
        <v>285</v>
      </c>
      <c r="B226" t="s">
        <v>48</v>
      </c>
      <c r="C226" t="s">
        <v>67</v>
      </c>
      <c r="D226" t="s">
        <v>28</v>
      </c>
      <c r="E226" t="s">
        <v>22</v>
      </c>
      <c r="F226" t="str">
        <f>IF(BBDD_fashion_boutique[[#This Row],[category]]="Accessories","Accesorio",IF(BBDD_fashion_boutique[[#This Row],[size]]="","Desconocido",BBDD_fashion_boutique[[#This Row],[size]]))</f>
        <v>XL</v>
      </c>
      <c r="G226" t="s">
        <v>33</v>
      </c>
      <c r="H226" s="2">
        <v>85.08</v>
      </c>
      <c r="I226">
        <v>0</v>
      </c>
      <c r="J226" s="5">
        <f>BBDD_fashion_boutique[[#This Row],[markdown_percentage]]/100</f>
        <v>0</v>
      </c>
      <c r="K226" s="2">
        <v>85.08</v>
      </c>
      <c r="L226" s="2">
        <f>BBDD_fashion_boutique[[#This Row],[original_price]]-BBDD_fashion_boutique[[#This Row],[current_price]]</f>
        <v>0</v>
      </c>
      <c r="M226" s="1">
        <v>45875</v>
      </c>
      <c r="N226" s="1" t="str">
        <f>PROPER(TEXT(BBDD_fashion_boutique[[#This Row],[purchase_date]],"dddd"))</f>
        <v>Miércoles</v>
      </c>
      <c r="O226" s="1" t="str">
        <f>PROPER(TEXT(BBDD_fashion_boutique[[#This Row],[purchase_date]],"mmmm"))</f>
        <v>Agosto</v>
      </c>
      <c r="P226" s="4">
        <v>29</v>
      </c>
      <c r="R226" t="str">
        <f>IF(BBDD_fashion_boutique[[#This Row],[stock_quantity]]&gt;9,"Ok",IF(BBDD_fashion_boutique[[#This Row],[stock_quantity]]=0,"Agotado","Pocas Unidades"))</f>
        <v>Ok</v>
      </c>
      <c r="S226" s="3" t="str">
        <f>IF(BBDD_fashion_boutique[[#This Row],[customer_rating]]="","No valorado",BBDD_fashion_boutique[[#This Row],[customer_rating]])</f>
        <v>No valorado</v>
      </c>
      <c r="T226" t="s">
        <v>24</v>
      </c>
      <c r="V226">
        <f>IF(BBDD_fashion_boutique[[#This Row],[is_returned]]="False",0,1)</f>
        <v>0</v>
      </c>
      <c r="W226">
        <f>IF(BBDD_fashion_boutique[[#This Row],[is_returned]]="True",0,BBDD_fashion_boutique[[#This Row],[current_price]])</f>
        <v>85.08</v>
      </c>
      <c r="X226" t="str">
        <f>IF(BBDD_fashion_boutique[[#This Row],[return_reason]]="","No return",BBDD_fashion_boutique[[#This Row],[return_reason]])</f>
        <v>No return</v>
      </c>
      <c r="Y226">
        <f>IF(IFERROR(VLOOKUP(BBDD_fashion_boutique[[#This Row],[product_id]],A227:A2402,1,FALSE),0),1,0)</f>
        <v>0</v>
      </c>
    </row>
    <row r="227" spans="1:25" x14ac:dyDescent="0.3">
      <c r="A227" t="s">
        <v>286</v>
      </c>
      <c r="B227" t="s">
        <v>19</v>
      </c>
      <c r="C227" t="s">
        <v>81</v>
      </c>
      <c r="D227" t="s">
        <v>21</v>
      </c>
      <c r="E227" t="s">
        <v>55</v>
      </c>
      <c r="F227" t="str">
        <f>IF(BBDD_fashion_boutique[[#This Row],[category]]="Accessories","Accesorio",IF(BBDD_fashion_boutique[[#This Row],[size]]="","Desconocido",BBDD_fashion_boutique[[#This Row],[size]]))</f>
        <v>XXL</v>
      </c>
      <c r="G227" t="s">
        <v>40</v>
      </c>
      <c r="H227" s="2">
        <v>240.32</v>
      </c>
      <c r="I227">
        <v>54.8</v>
      </c>
      <c r="J227" s="5">
        <f>BBDD_fashion_boutique[[#This Row],[markdown_percentage]]/100</f>
        <v>0.54799999999999993</v>
      </c>
      <c r="K227" s="2">
        <v>108.62</v>
      </c>
      <c r="L227" s="2">
        <f>BBDD_fashion_boutique[[#This Row],[original_price]]-BBDD_fashion_boutique[[#This Row],[current_price]]</f>
        <v>131.69999999999999</v>
      </c>
      <c r="M227" s="1">
        <v>45653</v>
      </c>
      <c r="N227" s="1" t="str">
        <f>PROPER(TEXT(BBDD_fashion_boutique[[#This Row],[purchase_date]],"dddd"))</f>
        <v>Viernes</v>
      </c>
      <c r="O227" s="1" t="str">
        <f>PROPER(TEXT(BBDD_fashion_boutique[[#This Row],[purchase_date]],"mmmm"))</f>
        <v>Diciembre</v>
      </c>
      <c r="P227" s="4">
        <v>3</v>
      </c>
      <c r="Q227" s="2">
        <v>4.5</v>
      </c>
      <c r="R227" t="str">
        <f>IF(BBDD_fashion_boutique[[#This Row],[stock_quantity]]&gt;9,"Ok",IF(BBDD_fashion_boutique[[#This Row],[stock_quantity]]=0,"Agotado","Pocas Unidades"))</f>
        <v>Pocas Unidades</v>
      </c>
      <c r="S227" s="3">
        <f>IF(BBDD_fashion_boutique[[#This Row],[customer_rating]]="","No valorado",BBDD_fashion_boutique[[#This Row],[customer_rating]])</f>
        <v>4.5</v>
      </c>
      <c r="T227" t="s">
        <v>24</v>
      </c>
      <c r="V227">
        <f>IF(BBDD_fashion_boutique[[#This Row],[is_returned]]="False",0,1)</f>
        <v>0</v>
      </c>
      <c r="W227">
        <f>IF(BBDD_fashion_boutique[[#This Row],[is_returned]]="True",0,BBDD_fashion_boutique[[#This Row],[current_price]])</f>
        <v>108.62</v>
      </c>
      <c r="X227" t="str">
        <f>IF(BBDD_fashion_boutique[[#This Row],[return_reason]]="","No return",BBDD_fashion_boutique[[#This Row],[return_reason]])</f>
        <v>No return</v>
      </c>
      <c r="Y227">
        <f>IF(IFERROR(VLOOKUP(BBDD_fashion_boutique[[#This Row],[product_id]],A228:A2403,1,FALSE),0),1,0)</f>
        <v>0</v>
      </c>
    </row>
    <row r="228" spans="1:25" x14ac:dyDescent="0.3">
      <c r="A228" t="s">
        <v>287</v>
      </c>
      <c r="B228" t="s">
        <v>48</v>
      </c>
      <c r="C228" t="s">
        <v>27</v>
      </c>
      <c r="D228" t="s">
        <v>39</v>
      </c>
      <c r="E228" t="s">
        <v>55</v>
      </c>
      <c r="F228" t="str">
        <f>IF(BBDD_fashion_boutique[[#This Row],[category]]="Accessories","Accesorio",IF(BBDD_fashion_boutique[[#This Row],[size]]="","Desconocido",BBDD_fashion_boutique[[#This Row],[size]]))</f>
        <v>XXL</v>
      </c>
      <c r="G228" t="s">
        <v>23</v>
      </c>
      <c r="H228" s="2">
        <v>130.12</v>
      </c>
      <c r="I228">
        <v>1.4</v>
      </c>
      <c r="J228" s="5">
        <f>BBDD_fashion_boutique[[#This Row],[markdown_percentage]]/100</f>
        <v>1.3999999999999999E-2</v>
      </c>
      <c r="K228" s="2">
        <v>128.30000000000001</v>
      </c>
      <c r="L228" s="2">
        <f>BBDD_fashion_boutique[[#This Row],[original_price]]-BBDD_fashion_boutique[[#This Row],[current_price]]</f>
        <v>1.8199999999999932</v>
      </c>
      <c r="M228" s="1">
        <v>45875</v>
      </c>
      <c r="N228" s="1" t="str">
        <f>PROPER(TEXT(BBDD_fashion_boutique[[#This Row],[purchase_date]],"dddd"))</f>
        <v>Miércoles</v>
      </c>
      <c r="O228" s="1" t="str">
        <f>PROPER(TEXT(BBDD_fashion_boutique[[#This Row],[purchase_date]],"mmmm"))</f>
        <v>Agosto</v>
      </c>
      <c r="P228" s="4">
        <v>0</v>
      </c>
      <c r="Q228" s="2">
        <v>5</v>
      </c>
      <c r="R228" t="str">
        <f>IF(BBDD_fashion_boutique[[#This Row],[stock_quantity]]&gt;9,"Ok",IF(BBDD_fashion_boutique[[#This Row],[stock_quantity]]=0,"Agotado","Pocas Unidades"))</f>
        <v>Agotado</v>
      </c>
      <c r="S228" s="3">
        <f>IF(BBDD_fashion_boutique[[#This Row],[customer_rating]]="","No valorado",BBDD_fashion_boutique[[#This Row],[customer_rating]])</f>
        <v>5</v>
      </c>
      <c r="T228" t="s">
        <v>24</v>
      </c>
      <c r="V228">
        <f>IF(BBDD_fashion_boutique[[#This Row],[is_returned]]="False",0,1)</f>
        <v>0</v>
      </c>
      <c r="W228">
        <f>IF(BBDD_fashion_boutique[[#This Row],[is_returned]]="True",0,BBDD_fashion_boutique[[#This Row],[current_price]])</f>
        <v>128.30000000000001</v>
      </c>
      <c r="X228" t="str">
        <f>IF(BBDD_fashion_boutique[[#This Row],[return_reason]]="","No return",BBDD_fashion_boutique[[#This Row],[return_reason]])</f>
        <v>No return</v>
      </c>
      <c r="Y228">
        <f>IF(IFERROR(VLOOKUP(BBDD_fashion_boutique[[#This Row],[product_id]],A229:A2404,1,FALSE),0),1,0)</f>
        <v>0</v>
      </c>
    </row>
    <row r="229" spans="1:25" x14ac:dyDescent="0.3">
      <c r="A229" t="s">
        <v>288</v>
      </c>
      <c r="B229" t="s">
        <v>44</v>
      </c>
      <c r="C229" t="s">
        <v>54</v>
      </c>
      <c r="D229" t="s">
        <v>21</v>
      </c>
      <c r="E229" t="s">
        <v>61</v>
      </c>
      <c r="F229" t="str">
        <f>IF(BBDD_fashion_boutique[[#This Row],[category]]="Accessories","Accesorio",IF(BBDD_fashion_boutique[[#This Row],[size]]="","Desconocido",BBDD_fashion_boutique[[#This Row],[size]]))</f>
        <v>XS</v>
      </c>
      <c r="G229" t="s">
        <v>33</v>
      </c>
      <c r="H229" s="2">
        <v>42.29</v>
      </c>
      <c r="I229">
        <v>15.8</v>
      </c>
      <c r="J229" s="5">
        <f>BBDD_fashion_boutique[[#This Row],[markdown_percentage]]/100</f>
        <v>0.158</v>
      </c>
      <c r="K229" s="2">
        <v>35.61</v>
      </c>
      <c r="L229" s="2">
        <f>BBDD_fashion_boutique[[#This Row],[original_price]]-BBDD_fashion_boutique[[#This Row],[current_price]]</f>
        <v>6.68</v>
      </c>
      <c r="M229" s="1">
        <v>45598</v>
      </c>
      <c r="N229" s="1" t="str">
        <f>PROPER(TEXT(BBDD_fashion_boutique[[#This Row],[purchase_date]],"dddd"))</f>
        <v>Sábado</v>
      </c>
      <c r="O229" s="1" t="str">
        <f>PROPER(TEXT(BBDD_fashion_boutique[[#This Row],[purchase_date]],"mmmm"))</f>
        <v>Noviembre</v>
      </c>
      <c r="P229" s="4">
        <v>11</v>
      </c>
      <c r="Q229" s="2">
        <v>1.6</v>
      </c>
      <c r="R229" t="str">
        <f>IF(BBDD_fashion_boutique[[#This Row],[stock_quantity]]&gt;9,"Ok",IF(BBDD_fashion_boutique[[#This Row],[stock_quantity]]=0,"Agotado","Pocas Unidades"))</f>
        <v>Ok</v>
      </c>
      <c r="S229" s="3">
        <f>IF(BBDD_fashion_boutique[[#This Row],[customer_rating]]="","No valorado",BBDD_fashion_boutique[[#This Row],[customer_rating]])</f>
        <v>1.6</v>
      </c>
      <c r="T229" t="s">
        <v>24</v>
      </c>
      <c r="V229">
        <f>IF(BBDD_fashion_boutique[[#This Row],[is_returned]]="False",0,1)</f>
        <v>0</v>
      </c>
      <c r="W229">
        <f>IF(BBDD_fashion_boutique[[#This Row],[is_returned]]="True",0,BBDD_fashion_boutique[[#This Row],[current_price]])</f>
        <v>35.61</v>
      </c>
      <c r="X229" t="str">
        <f>IF(BBDD_fashion_boutique[[#This Row],[return_reason]]="","No return",BBDD_fashion_boutique[[#This Row],[return_reason]])</f>
        <v>No return</v>
      </c>
      <c r="Y229">
        <f>IF(IFERROR(VLOOKUP(BBDD_fashion_boutique[[#This Row],[product_id]],A230:A2405,1,FALSE),0),1,0)</f>
        <v>0</v>
      </c>
    </row>
    <row r="230" spans="1:25" x14ac:dyDescent="0.3">
      <c r="A230" t="s">
        <v>289</v>
      </c>
      <c r="B230" t="s">
        <v>19</v>
      </c>
      <c r="C230" t="s">
        <v>54</v>
      </c>
      <c r="D230" t="s">
        <v>21</v>
      </c>
      <c r="E230" t="s">
        <v>45</v>
      </c>
      <c r="F230" t="str">
        <f>IF(BBDD_fashion_boutique[[#This Row],[category]]="Accessories","Accesorio",IF(BBDD_fashion_boutique[[#This Row],[size]]="","Desconocido",BBDD_fashion_boutique[[#This Row],[size]]))</f>
        <v>S</v>
      </c>
      <c r="G230" t="s">
        <v>62</v>
      </c>
      <c r="H230" s="2">
        <v>191.54</v>
      </c>
      <c r="I230">
        <v>0</v>
      </c>
      <c r="J230" s="5">
        <f>BBDD_fashion_boutique[[#This Row],[markdown_percentage]]/100</f>
        <v>0</v>
      </c>
      <c r="K230" s="2">
        <v>191.54</v>
      </c>
      <c r="L230" s="2">
        <f>BBDD_fashion_boutique[[#This Row],[original_price]]-BBDD_fashion_boutique[[#This Row],[current_price]]</f>
        <v>0</v>
      </c>
      <c r="M230" s="1">
        <v>45575</v>
      </c>
      <c r="N230" s="1" t="str">
        <f>PROPER(TEXT(BBDD_fashion_boutique[[#This Row],[purchase_date]],"dddd"))</f>
        <v>Jueves</v>
      </c>
      <c r="O230" s="1" t="str">
        <f>PROPER(TEXT(BBDD_fashion_boutique[[#This Row],[purchase_date]],"mmmm"))</f>
        <v>Octubre</v>
      </c>
      <c r="P230" s="4">
        <v>18</v>
      </c>
      <c r="Q230" s="2">
        <v>1.2</v>
      </c>
      <c r="R230" t="str">
        <f>IF(BBDD_fashion_boutique[[#This Row],[stock_quantity]]&gt;9,"Ok",IF(BBDD_fashion_boutique[[#This Row],[stock_quantity]]=0,"Agotado","Pocas Unidades"))</f>
        <v>Ok</v>
      </c>
      <c r="S230" s="3">
        <f>IF(BBDD_fashion_boutique[[#This Row],[customer_rating]]="","No valorado",BBDD_fashion_boutique[[#This Row],[customer_rating]])</f>
        <v>1.2</v>
      </c>
      <c r="T230" t="s">
        <v>24</v>
      </c>
      <c r="V230">
        <f>IF(BBDD_fashion_boutique[[#This Row],[is_returned]]="False",0,1)</f>
        <v>0</v>
      </c>
      <c r="W230">
        <f>IF(BBDD_fashion_boutique[[#This Row],[is_returned]]="True",0,BBDD_fashion_boutique[[#This Row],[current_price]])</f>
        <v>191.54</v>
      </c>
      <c r="X230" t="str">
        <f>IF(BBDD_fashion_boutique[[#This Row],[return_reason]]="","No return",BBDD_fashion_boutique[[#This Row],[return_reason]])</f>
        <v>No return</v>
      </c>
      <c r="Y230">
        <f>IF(IFERROR(VLOOKUP(BBDD_fashion_boutique[[#This Row],[product_id]],A231:A2406,1,FALSE),0),1,0)</f>
        <v>0</v>
      </c>
    </row>
    <row r="231" spans="1:25" x14ac:dyDescent="0.3">
      <c r="A231" t="s">
        <v>290</v>
      </c>
      <c r="B231" t="s">
        <v>32</v>
      </c>
      <c r="C231" t="s">
        <v>59</v>
      </c>
      <c r="D231" t="s">
        <v>21</v>
      </c>
      <c r="F231" t="str">
        <f>IF(BBDD_fashion_boutique[[#This Row],[category]]="Accessories","Accesorio",IF(BBDD_fashion_boutique[[#This Row],[size]]="","Desconocido",BBDD_fashion_boutique[[#This Row],[size]]))</f>
        <v>Accesorio</v>
      </c>
      <c r="G231" t="s">
        <v>62</v>
      </c>
      <c r="H231" s="2">
        <v>42.23</v>
      </c>
      <c r="I231">
        <v>0</v>
      </c>
      <c r="J231" s="5">
        <f>BBDD_fashion_boutique[[#This Row],[markdown_percentage]]/100</f>
        <v>0</v>
      </c>
      <c r="K231" s="2">
        <v>42.23</v>
      </c>
      <c r="L231" s="2">
        <f>BBDD_fashion_boutique[[#This Row],[original_price]]-BBDD_fashion_boutique[[#This Row],[current_price]]</f>
        <v>0</v>
      </c>
      <c r="M231" s="1">
        <v>45852</v>
      </c>
      <c r="N231" s="1" t="str">
        <f>PROPER(TEXT(BBDD_fashion_boutique[[#This Row],[purchase_date]],"dddd"))</f>
        <v>Lunes</v>
      </c>
      <c r="O231" s="1" t="str">
        <f>PROPER(TEXT(BBDD_fashion_boutique[[#This Row],[purchase_date]],"mmmm"))</f>
        <v>Julio</v>
      </c>
      <c r="P231" s="4">
        <v>15</v>
      </c>
      <c r="R231" t="str">
        <f>IF(BBDD_fashion_boutique[[#This Row],[stock_quantity]]&gt;9,"Ok",IF(BBDD_fashion_boutique[[#This Row],[stock_quantity]]=0,"Agotado","Pocas Unidades"))</f>
        <v>Ok</v>
      </c>
      <c r="S231" s="3" t="str">
        <f>IF(BBDD_fashion_boutique[[#This Row],[customer_rating]]="","No valorado",BBDD_fashion_boutique[[#This Row],[customer_rating]])</f>
        <v>No valorado</v>
      </c>
      <c r="T231" t="s">
        <v>24</v>
      </c>
      <c r="V231">
        <f>IF(BBDD_fashion_boutique[[#This Row],[is_returned]]="False",0,1)</f>
        <v>0</v>
      </c>
      <c r="W231">
        <f>IF(BBDD_fashion_boutique[[#This Row],[is_returned]]="True",0,BBDD_fashion_boutique[[#This Row],[current_price]])</f>
        <v>42.23</v>
      </c>
      <c r="X231" t="str">
        <f>IF(BBDD_fashion_boutique[[#This Row],[return_reason]]="","No return",BBDD_fashion_boutique[[#This Row],[return_reason]])</f>
        <v>No return</v>
      </c>
      <c r="Y231">
        <f>IF(IFERROR(VLOOKUP(BBDD_fashion_boutique[[#This Row],[product_id]],A232:A2407,1,FALSE),0),1,0)</f>
        <v>0</v>
      </c>
    </row>
    <row r="232" spans="1:25" x14ac:dyDescent="0.3">
      <c r="A232" t="s">
        <v>291</v>
      </c>
      <c r="B232" t="s">
        <v>35</v>
      </c>
      <c r="C232" t="s">
        <v>54</v>
      </c>
      <c r="D232" t="s">
        <v>68</v>
      </c>
      <c r="E232" t="s">
        <v>45</v>
      </c>
      <c r="F232" t="str">
        <f>IF(BBDD_fashion_boutique[[#This Row],[category]]="Accessories","Accesorio",IF(BBDD_fashion_boutique[[#This Row],[size]]="","Desconocido",BBDD_fashion_boutique[[#This Row],[size]]))</f>
        <v>S</v>
      </c>
      <c r="G232" t="s">
        <v>46</v>
      </c>
      <c r="H232" s="2">
        <v>109.76</v>
      </c>
      <c r="I232">
        <v>0</v>
      </c>
      <c r="J232" s="5">
        <f>BBDD_fashion_boutique[[#This Row],[markdown_percentage]]/100</f>
        <v>0</v>
      </c>
      <c r="K232" s="2">
        <v>109.76</v>
      </c>
      <c r="L232" s="2">
        <f>BBDD_fashion_boutique[[#This Row],[original_price]]-BBDD_fashion_boutique[[#This Row],[current_price]]</f>
        <v>0</v>
      </c>
      <c r="M232" s="1">
        <v>45875</v>
      </c>
      <c r="N232" s="1" t="str">
        <f>PROPER(TEXT(BBDD_fashion_boutique[[#This Row],[purchase_date]],"dddd"))</f>
        <v>Miércoles</v>
      </c>
      <c r="O232" s="1" t="str">
        <f>PROPER(TEXT(BBDD_fashion_boutique[[#This Row],[purchase_date]],"mmmm"))</f>
        <v>Agosto</v>
      </c>
      <c r="P232" s="4">
        <v>16</v>
      </c>
      <c r="Q232" s="2">
        <v>4.3</v>
      </c>
      <c r="R232" t="str">
        <f>IF(BBDD_fashion_boutique[[#This Row],[stock_quantity]]&gt;9,"Ok",IF(BBDD_fashion_boutique[[#This Row],[stock_quantity]]=0,"Agotado","Pocas Unidades"))</f>
        <v>Ok</v>
      </c>
      <c r="S232" s="3">
        <f>IF(BBDD_fashion_boutique[[#This Row],[customer_rating]]="","No valorado",BBDD_fashion_boutique[[#This Row],[customer_rating]])</f>
        <v>4.3</v>
      </c>
      <c r="T232" t="s">
        <v>24</v>
      </c>
      <c r="V232">
        <f>IF(BBDD_fashion_boutique[[#This Row],[is_returned]]="False",0,1)</f>
        <v>0</v>
      </c>
      <c r="W232">
        <f>IF(BBDD_fashion_boutique[[#This Row],[is_returned]]="True",0,BBDD_fashion_boutique[[#This Row],[current_price]])</f>
        <v>109.76</v>
      </c>
      <c r="X232" t="str">
        <f>IF(BBDD_fashion_boutique[[#This Row],[return_reason]]="","No return",BBDD_fashion_boutique[[#This Row],[return_reason]])</f>
        <v>No return</v>
      </c>
      <c r="Y232">
        <f>IF(IFERROR(VLOOKUP(BBDD_fashion_boutique[[#This Row],[product_id]],A233:A2408,1,FALSE),0),1,0)</f>
        <v>0</v>
      </c>
    </row>
    <row r="233" spans="1:25" x14ac:dyDescent="0.3">
      <c r="A233" t="s">
        <v>292</v>
      </c>
      <c r="B233" t="s">
        <v>32</v>
      </c>
      <c r="C233" t="s">
        <v>49</v>
      </c>
      <c r="D233" t="s">
        <v>68</v>
      </c>
      <c r="F233" t="str">
        <f>IF(BBDD_fashion_boutique[[#This Row],[category]]="Accessories","Accesorio",IF(BBDD_fashion_boutique[[#This Row],[size]]="","Desconocido",BBDD_fashion_boutique[[#This Row],[size]]))</f>
        <v>Accesorio</v>
      </c>
      <c r="G233" t="s">
        <v>23</v>
      </c>
      <c r="H233" s="2">
        <v>76.8</v>
      </c>
      <c r="I233">
        <v>43.3</v>
      </c>
      <c r="J233" s="5">
        <f>BBDD_fashion_boutique[[#This Row],[markdown_percentage]]/100</f>
        <v>0.433</v>
      </c>
      <c r="K233" s="2">
        <v>43.55</v>
      </c>
      <c r="L233" s="2">
        <f>BBDD_fashion_boutique[[#This Row],[original_price]]-BBDD_fashion_boutique[[#This Row],[current_price]]</f>
        <v>33.25</v>
      </c>
      <c r="M233" s="1">
        <v>45875</v>
      </c>
      <c r="N233" s="1" t="str">
        <f>PROPER(TEXT(BBDD_fashion_boutique[[#This Row],[purchase_date]],"dddd"))</f>
        <v>Miércoles</v>
      </c>
      <c r="O233" s="1" t="str">
        <f>PROPER(TEXT(BBDD_fashion_boutique[[#This Row],[purchase_date]],"mmmm"))</f>
        <v>Agosto</v>
      </c>
      <c r="P233" s="4">
        <v>24</v>
      </c>
      <c r="R233" t="str">
        <f>IF(BBDD_fashion_boutique[[#This Row],[stock_quantity]]&gt;9,"Ok",IF(BBDD_fashion_boutique[[#This Row],[stock_quantity]]=0,"Agotado","Pocas Unidades"))</f>
        <v>Ok</v>
      </c>
      <c r="S233" s="3" t="str">
        <f>IF(BBDD_fashion_boutique[[#This Row],[customer_rating]]="","No valorado",BBDD_fashion_boutique[[#This Row],[customer_rating]])</f>
        <v>No valorado</v>
      </c>
      <c r="T233" t="s">
        <v>24</v>
      </c>
      <c r="V233">
        <f>IF(BBDD_fashion_boutique[[#This Row],[is_returned]]="False",0,1)</f>
        <v>0</v>
      </c>
      <c r="W233">
        <f>IF(BBDD_fashion_boutique[[#This Row],[is_returned]]="True",0,BBDD_fashion_boutique[[#This Row],[current_price]])</f>
        <v>43.55</v>
      </c>
      <c r="X233" t="str">
        <f>IF(BBDD_fashion_boutique[[#This Row],[return_reason]]="","No return",BBDD_fashion_boutique[[#This Row],[return_reason]])</f>
        <v>No return</v>
      </c>
      <c r="Y233">
        <f>IF(IFERROR(VLOOKUP(BBDD_fashion_boutique[[#This Row],[product_id]],A234:A2409,1,FALSE),0),1,0)</f>
        <v>0</v>
      </c>
    </row>
    <row r="234" spans="1:25" x14ac:dyDescent="0.3">
      <c r="A234" t="s">
        <v>293</v>
      </c>
      <c r="B234" t="s">
        <v>48</v>
      </c>
      <c r="C234" t="s">
        <v>81</v>
      </c>
      <c r="D234" t="s">
        <v>28</v>
      </c>
      <c r="F234" t="str">
        <f>IF(BBDD_fashion_boutique[[#This Row],[category]]="Accessories","Accesorio",IF(BBDD_fashion_boutique[[#This Row],[size]]="","Desconocido",BBDD_fashion_boutique[[#This Row],[size]]))</f>
        <v>Desconocido</v>
      </c>
      <c r="G234" t="s">
        <v>33</v>
      </c>
      <c r="H234" s="2">
        <v>56.34</v>
      </c>
      <c r="I234">
        <v>22.4</v>
      </c>
      <c r="J234" s="5">
        <f>BBDD_fashion_boutique[[#This Row],[markdown_percentage]]/100</f>
        <v>0.22399999999999998</v>
      </c>
      <c r="K234" s="2">
        <v>43.72</v>
      </c>
      <c r="L234" s="2">
        <f>BBDD_fashion_boutique[[#This Row],[original_price]]-BBDD_fashion_boutique[[#This Row],[current_price]]</f>
        <v>12.620000000000005</v>
      </c>
      <c r="M234" s="1">
        <v>45875</v>
      </c>
      <c r="N234" s="1" t="str">
        <f>PROPER(TEXT(BBDD_fashion_boutique[[#This Row],[purchase_date]],"dddd"))</f>
        <v>Miércoles</v>
      </c>
      <c r="O234" s="1" t="str">
        <f>PROPER(TEXT(BBDD_fashion_boutique[[#This Row],[purchase_date]],"mmmm"))</f>
        <v>Agosto</v>
      </c>
      <c r="P234" s="4">
        <v>37</v>
      </c>
      <c r="Q234" s="2">
        <v>2.5</v>
      </c>
      <c r="R234" t="str">
        <f>IF(BBDD_fashion_boutique[[#This Row],[stock_quantity]]&gt;9,"Ok",IF(BBDD_fashion_boutique[[#This Row],[stock_quantity]]=0,"Agotado","Pocas Unidades"))</f>
        <v>Ok</v>
      </c>
      <c r="S234" s="3">
        <f>IF(BBDD_fashion_boutique[[#This Row],[customer_rating]]="","No valorado",BBDD_fashion_boutique[[#This Row],[customer_rating]])</f>
        <v>2.5</v>
      </c>
      <c r="T234" t="s">
        <v>41</v>
      </c>
      <c r="U234" t="s">
        <v>131</v>
      </c>
      <c r="V234">
        <f>IF(BBDD_fashion_boutique[[#This Row],[is_returned]]="False",0,1)</f>
        <v>1</v>
      </c>
      <c r="W234">
        <f>IF(BBDD_fashion_boutique[[#This Row],[is_returned]]="True",0,BBDD_fashion_boutique[[#This Row],[current_price]])</f>
        <v>0</v>
      </c>
      <c r="X234" t="str">
        <f>IF(BBDD_fashion_boutique[[#This Row],[return_reason]]="","No return",BBDD_fashion_boutique[[#This Row],[return_reason]])</f>
        <v>Wrong Item</v>
      </c>
      <c r="Y234">
        <f>IF(IFERROR(VLOOKUP(BBDD_fashion_boutique[[#This Row],[product_id]],A235:A2410,1,FALSE),0),1,0)</f>
        <v>0</v>
      </c>
    </row>
    <row r="235" spans="1:25" x14ac:dyDescent="0.3">
      <c r="A235" t="s">
        <v>294</v>
      </c>
      <c r="B235" t="s">
        <v>26</v>
      </c>
      <c r="C235" t="s">
        <v>67</v>
      </c>
      <c r="D235" t="s">
        <v>39</v>
      </c>
      <c r="F235" t="str">
        <f>IF(BBDD_fashion_boutique[[#This Row],[category]]="Accessories","Accesorio",IF(BBDD_fashion_boutique[[#This Row],[size]]="","Desconocido",BBDD_fashion_boutique[[#This Row],[size]]))</f>
        <v>Desconocido</v>
      </c>
      <c r="G235" t="s">
        <v>62</v>
      </c>
      <c r="H235" s="2">
        <v>88.41</v>
      </c>
      <c r="I235">
        <v>0</v>
      </c>
      <c r="J235" s="5">
        <f>BBDD_fashion_boutique[[#This Row],[markdown_percentage]]/100</f>
        <v>0</v>
      </c>
      <c r="K235" s="2">
        <v>88.41</v>
      </c>
      <c r="L235" s="2">
        <f>BBDD_fashion_boutique[[#This Row],[original_price]]-BBDD_fashion_boutique[[#This Row],[current_price]]</f>
        <v>0</v>
      </c>
      <c r="M235" s="1">
        <v>45875</v>
      </c>
      <c r="N235" s="1" t="str">
        <f>PROPER(TEXT(BBDD_fashion_boutique[[#This Row],[purchase_date]],"dddd"))</f>
        <v>Miércoles</v>
      </c>
      <c r="O235" s="1" t="str">
        <f>PROPER(TEXT(BBDD_fashion_boutique[[#This Row],[purchase_date]],"mmmm"))</f>
        <v>Agosto</v>
      </c>
      <c r="P235" s="4">
        <v>24</v>
      </c>
      <c r="Q235" s="2">
        <v>4.4000000000000004</v>
      </c>
      <c r="R235" t="str">
        <f>IF(BBDD_fashion_boutique[[#This Row],[stock_quantity]]&gt;9,"Ok",IF(BBDD_fashion_boutique[[#This Row],[stock_quantity]]=0,"Agotado","Pocas Unidades"))</f>
        <v>Ok</v>
      </c>
      <c r="S235" s="3">
        <f>IF(BBDD_fashion_boutique[[#This Row],[customer_rating]]="","No valorado",BBDD_fashion_boutique[[#This Row],[customer_rating]])</f>
        <v>4.4000000000000004</v>
      </c>
      <c r="T235" t="s">
        <v>24</v>
      </c>
      <c r="V235">
        <f>IF(BBDD_fashion_boutique[[#This Row],[is_returned]]="False",0,1)</f>
        <v>0</v>
      </c>
      <c r="W235">
        <f>IF(BBDD_fashion_boutique[[#This Row],[is_returned]]="True",0,BBDD_fashion_boutique[[#This Row],[current_price]])</f>
        <v>88.41</v>
      </c>
      <c r="X235" t="str">
        <f>IF(BBDD_fashion_boutique[[#This Row],[return_reason]]="","No return",BBDD_fashion_boutique[[#This Row],[return_reason]])</f>
        <v>No return</v>
      </c>
      <c r="Y235">
        <f>IF(IFERROR(VLOOKUP(BBDD_fashion_boutique[[#This Row],[product_id]],A236:A2411,1,FALSE),0),1,0)</f>
        <v>0</v>
      </c>
    </row>
    <row r="236" spans="1:25" x14ac:dyDescent="0.3">
      <c r="A236" t="s">
        <v>295</v>
      </c>
      <c r="B236" t="s">
        <v>26</v>
      </c>
      <c r="C236" t="s">
        <v>67</v>
      </c>
      <c r="D236" t="s">
        <v>21</v>
      </c>
      <c r="E236" t="s">
        <v>45</v>
      </c>
      <c r="F236" t="str">
        <f>IF(BBDD_fashion_boutique[[#This Row],[category]]="Accessories","Accesorio",IF(BBDD_fashion_boutique[[#This Row],[size]]="","Desconocido",BBDD_fashion_boutique[[#This Row],[size]]))</f>
        <v>S</v>
      </c>
      <c r="G236" t="s">
        <v>33</v>
      </c>
      <c r="H236" s="2">
        <v>25.96</v>
      </c>
      <c r="I236">
        <v>0</v>
      </c>
      <c r="J236" s="5">
        <f>BBDD_fashion_boutique[[#This Row],[markdown_percentage]]/100</f>
        <v>0</v>
      </c>
      <c r="K236" s="2">
        <v>25.96</v>
      </c>
      <c r="L236" s="2">
        <f>BBDD_fashion_boutique[[#This Row],[original_price]]-BBDD_fashion_boutique[[#This Row],[current_price]]</f>
        <v>0</v>
      </c>
      <c r="M236" s="1">
        <v>45569</v>
      </c>
      <c r="N236" s="1" t="str">
        <f>PROPER(TEXT(BBDD_fashion_boutique[[#This Row],[purchase_date]],"dddd"))</f>
        <v>Viernes</v>
      </c>
      <c r="O236" s="1" t="str">
        <f>PROPER(TEXT(BBDD_fashion_boutique[[#This Row],[purchase_date]],"mmmm"))</f>
        <v>Octubre</v>
      </c>
      <c r="P236" s="4">
        <v>2</v>
      </c>
      <c r="Q236" s="2">
        <v>1.4</v>
      </c>
      <c r="R236" t="str">
        <f>IF(BBDD_fashion_boutique[[#This Row],[stock_quantity]]&gt;9,"Ok",IF(BBDD_fashion_boutique[[#This Row],[stock_quantity]]=0,"Agotado","Pocas Unidades"))</f>
        <v>Pocas Unidades</v>
      </c>
      <c r="S236" s="3">
        <f>IF(BBDD_fashion_boutique[[#This Row],[customer_rating]]="","No valorado",BBDD_fashion_boutique[[#This Row],[customer_rating]])</f>
        <v>1.4</v>
      </c>
      <c r="T236" t="s">
        <v>24</v>
      </c>
      <c r="V236">
        <f>IF(BBDD_fashion_boutique[[#This Row],[is_returned]]="False",0,1)</f>
        <v>0</v>
      </c>
      <c r="W236">
        <f>IF(BBDD_fashion_boutique[[#This Row],[is_returned]]="True",0,BBDD_fashion_boutique[[#This Row],[current_price]])</f>
        <v>25.96</v>
      </c>
      <c r="X236" t="str">
        <f>IF(BBDD_fashion_boutique[[#This Row],[return_reason]]="","No return",BBDD_fashion_boutique[[#This Row],[return_reason]])</f>
        <v>No return</v>
      </c>
      <c r="Y236">
        <f>IF(IFERROR(VLOOKUP(BBDD_fashion_boutique[[#This Row],[product_id]],A237:A2412,1,FALSE),0),1,0)</f>
        <v>0</v>
      </c>
    </row>
    <row r="237" spans="1:25" x14ac:dyDescent="0.3">
      <c r="A237" t="s">
        <v>296</v>
      </c>
      <c r="B237" t="s">
        <v>44</v>
      </c>
      <c r="C237" t="s">
        <v>20</v>
      </c>
      <c r="D237" t="s">
        <v>21</v>
      </c>
      <c r="E237" t="s">
        <v>55</v>
      </c>
      <c r="F237" t="str">
        <f>IF(BBDD_fashion_boutique[[#This Row],[category]]="Accessories","Accesorio",IF(BBDD_fashion_boutique[[#This Row],[size]]="","Desconocido",BBDD_fashion_boutique[[#This Row],[size]]))</f>
        <v>XXL</v>
      </c>
      <c r="G237" t="s">
        <v>23</v>
      </c>
      <c r="H237" s="2">
        <v>60.25</v>
      </c>
      <c r="I237">
        <v>0</v>
      </c>
      <c r="J237" s="5">
        <f>BBDD_fashion_boutique[[#This Row],[markdown_percentage]]/100</f>
        <v>0</v>
      </c>
      <c r="K237" s="2">
        <v>60.25</v>
      </c>
      <c r="L237" s="2">
        <f>BBDD_fashion_boutique[[#This Row],[original_price]]-BBDD_fashion_boutique[[#This Row],[current_price]]</f>
        <v>0</v>
      </c>
      <c r="M237" s="1">
        <v>45520</v>
      </c>
      <c r="N237" s="1" t="str">
        <f>PROPER(TEXT(BBDD_fashion_boutique[[#This Row],[purchase_date]],"dddd"))</f>
        <v>Viernes</v>
      </c>
      <c r="O237" s="1" t="str">
        <f>PROPER(TEXT(BBDD_fashion_boutique[[#This Row],[purchase_date]],"mmmm"))</f>
        <v>Agosto</v>
      </c>
      <c r="P237" s="4">
        <v>25</v>
      </c>
      <c r="Q237" s="2">
        <v>4.0999999999999996</v>
      </c>
      <c r="R237" t="str">
        <f>IF(BBDD_fashion_boutique[[#This Row],[stock_quantity]]&gt;9,"Ok",IF(BBDD_fashion_boutique[[#This Row],[stock_quantity]]=0,"Agotado","Pocas Unidades"))</f>
        <v>Ok</v>
      </c>
      <c r="S237" s="3">
        <f>IF(BBDD_fashion_boutique[[#This Row],[customer_rating]]="","No valorado",BBDD_fashion_boutique[[#This Row],[customer_rating]])</f>
        <v>4.0999999999999996</v>
      </c>
      <c r="T237" t="s">
        <v>24</v>
      </c>
      <c r="V237">
        <f>IF(BBDD_fashion_boutique[[#This Row],[is_returned]]="False",0,1)</f>
        <v>0</v>
      </c>
      <c r="W237">
        <f>IF(BBDD_fashion_boutique[[#This Row],[is_returned]]="True",0,BBDD_fashion_boutique[[#This Row],[current_price]])</f>
        <v>60.25</v>
      </c>
      <c r="X237" t="str">
        <f>IF(BBDD_fashion_boutique[[#This Row],[return_reason]]="","No return",BBDD_fashion_boutique[[#This Row],[return_reason]])</f>
        <v>No return</v>
      </c>
      <c r="Y237">
        <f>IF(IFERROR(VLOOKUP(BBDD_fashion_boutique[[#This Row],[product_id]],A238:A2413,1,FALSE),0),1,0)</f>
        <v>0</v>
      </c>
    </row>
    <row r="238" spans="1:25" x14ac:dyDescent="0.3">
      <c r="A238" t="s">
        <v>297</v>
      </c>
      <c r="B238" t="s">
        <v>32</v>
      </c>
      <c r="C238" t="s">
        <v>54</v>
      </c>
      <c r="D238" t="s">
        <v>39</v>
      </c>
      <c r="F238" t="str">
        <f>IF(BBDD_fashion_boutique[[#This Row],[category]]="Accessories","Accesorio",IF(BBDD_fashion_boutique[[#This Row],[size]]="","Desconocido",BBDD_fashion_boutique[[#This Row],[size]]))</f>
        <v>Accesorio</v>
      </c>
      <c r="G238" t="s">
        <v>23</v>
      </c>
      <c r="H238" s="2">
        <v>52.33</v>
      </c>
      <c r="I238">
        <v>19.100000000000001</v>
      </c>
      <c r="J238" s="5">
        <f>BBDD_fashion_boutique[[#This Row],[markdown_percentage]]/100</f>
        <v>0.191</v>
      </c>
      <c r="K238" s="2">
        <v>42.33</v>
      </c>
      <c r="L238" s="2">
        <f>BBDD_fashion_boutique[[#This Row],[original_price]]-BBDD_fashion_boutique[[#This Row],[current_price]]</f>
        <v>10</v>
      </c>
      <c r="M238" s="1">
        <v>45875</v>
      </c>
      <c r="N238" s="1" t="str">
        <f>PROPER(TEXT(BBDD_fashion_boutique[[#This Row],[purchase_date]],"dddd"))</f>
        <v>Miércoles</v>
      </c>
      <c r="O238" s="1" t="str">
        <f>PROPER(TEXT(BBDD_fashion_boutique[[#This Row],[purchase_date]],"mmmm"))</f>
        <v>Agosto</v>
      </c>
      <c r="P238" s="4">
        <v>4</v>
      </c>
      <c r="R238" t="str">
        <f>IF(BBDD_fashion_boutique[[#This Row],[stock_quantity]]&gt;9,"Ok",IF(BBDD_fashion_boutique[[#This Row],[stock_quantity]]=0,"Agotado","Pocas Unidades"))</f>
        <v>Pocas Unidades</v>
      </c>
      <c r="S238" s="3" t="str">
        <f>IF(BBDD_fashion_boutique[[#This Row],[customer_rating]]="","No valorado",BBDD_fashion_boutique[[#This Row],[customer_rating]])</f>
        <v>No valorado</v>
      </c>
      <c r="T238" t="s">
        <v>24</v>
      </c>
      <c r="V238">
        <f>IF(BBDD_fashion_boutique[[#This Row],[is_returned]]="False",0,1)</f>
        <v>0</v>
      </c>
      <c r="W238">
        <f>IF(BBDD_fashion_boutique[[#This Row],[is_returned]]="True",0,BBDD_fashion_boutique[[#This Row],[current_price]])</f>
        <v>42.33</v>
      </c>
      <c r="X238" t="str">
        <f>IF(BBDD_fashion_boutique[[#This Row],[return_reason]]="","No return",BBDD_fashion_boutique[[#This Row],[return_reason]])</f>
        <v>No return</v>
      </c>
      <c r="Y238">
        <f>IF(IFERROR(VLOOKUP(BBDD_fashion_boutique[[#This Row],[product_id]],A239:A2414,1,FALSE),0),1,0)</f>
        <v>0</v>
      </c>
    </row>
    <row r="239" spans="1:25" x14ac:dyDescent="0.3">
      <c r="A239" t="s">
        <v>298</v>
      </c>
      <c r="B239" t="s">
        <v>32</v>
      </c>
      <c r="C239" t="s">
        <v>49</v>
      </c>
      <c r="D239" t="s">
        <v>39</v>
      </c>
      <c r="F239" t="str">
        <f>IF(BBDD_fashion_boutique[[#This Row],[category]]="Accessories","Accesorio",IF(BBDD_fashion_boutique[[#This Row],[size]]="","Desconocido",BBDD_fashion_boutique[[#This Row],[size]]))</f>
        <v>Accesorio</v>
      </c>
      <c r="G239" t="s">
        <v>40</v>
      </c>
      <c r="H239" s="2">
        <v>67.61</v>
      </c>
      <c r="I239">
        <v>0</v>
      </c>
      <c r="J239" s="5">
        <f>BBDD_fashion_boutique[[#This Row],[markdown_percentage]]/100</f>
        <v>0</v>
      </c>
      <c r="K239" s="2">
        <v>67.61</v>
      </c>
      <c r="L239" s="2">
        <f>BBDD_fashion_boutique[[#This Row],[original_price]]-BBDD_fashion_boutique[[#This Row],[current_price]]</f>
        <v>0</v>
      </c>
      <c r="M239" s="1">
        <v>45875</v>
      </c>
      <c r="N239" s="1" t="str">
        <f>PROPER(TEXT(BBDD_fashion_boutique[[#This Row],[purchase_date]],"dddd"))</f>
        <v>Miércoles</v>
      </c>
      <c r="O239" s="1" t="str">
        <f>PROPER(TEXT(BBDD_fashion_boutique[[#This Row],[purchase_date]],"mmmm"))</f>
        <v>Agosto</v>
      </c>
      <c r="P239" s="4">
        <v>14</v>
      </c>
      <c r="Q239" s="2">
        <v>1.8</v>
      </c>
      <c r="R239" t="str">
        <f>IF(BBDD_fashion_boutique[[#This Row],[stock_quantity]]&gt;9,"Ok",IF(BBDD_fashion_boutique[[#This Row],[stock_quantity]]=0,"Agotado","Pocas Unidades"))</f>
        <v>Ok</v>
      </c>
      <c r="S239" s="3">
        <f>IF(BBDD_fashion_boutique[[#This Row],[customer_rating]]="","No valorado",BBDD_fashion_boutique[[#This Row],[customer_rating]])</f>
        <v>1.8</v>
      </c>
      <c r="T239" t="s">
        <v>24</v>
      </c>
      <c r="V239">
        <f>IF(BBDD_fashion_boutique[[#This Row],[is_returned]]="False",0,1)</f>
        <v>0</v>
      </c>
      <c r="W239">
        <f>IF(BBDD_fashion_boutique[[#This Row],[is_returned]]="True",0,BBDD_fashion_boutique[[#This Row],[current_price]])</f>
        <v>67.61</v>
      </c>
      <c r="X239" t="str">
        <f>IF(BBDD_fashion_boutique[[#This Row],[return_reason]]="","No return",BBDD_fashion_boutique[[#This Row],[return_reason]])</f>
        <v>No return</v>
      </c>
      <c r="Y239">
        <f>IF(IFERROR(VLOOKUP(BBDD_fashion_boutique[[#This Row],[product_id]],A240:A2415,1,FALSE),0),1,0)</f>
        <v>0</v>
      </c>
    </row>
    <row r="240" spans="1:25" x14ac:dyDescent="0.3">
      <c r="A240" t="s">
        <v>299</v>
      </c>
      <c r="B240" t="s">
        <v>35</v>
      </c>
      <c r="C240" t="s">
        <v>81</v>
      </c>
      <c r="D240" t="s">
        <v>21</v>
      </c>
      <c r="E240" t="s">
        <v>29</v>
      </c>
      <c r="F240" t="str">
        <f>IF(BBDD_fashion_boutique[[#This Row],[category]]="Accessories","Accesorio",IF(BBDD_fashion_boutique[[#This Row],[size]]="","Desconocido",BBDD_fashion_boutique[[#This Row],[size]]))</f>
        <v>L</v>
      </c>
      <c r="G240" t="s">
        <v>76</v>
      </c>
      <c r="H240" s="2">
        <v>136</v>
      </c>
      <c r="I240">
        <v>0</v>
      </c>
      <c r="J240" s="5">
        <f>BBDD_fashion_boutique[[#This Row],[markdown_percentage]]/100</f>
        <v>0</v>
      </c>
      <c r="K240" s="2">
        <v>136</v>
      </c>
      <c r="L240" s="2">
        <f>BBDD_fashion_boutique[[#This Row],[original_price]]-BBDD_fashion_boutique[[#This Row],[current_price]]</f>
        <v>0</v>
      </c>
      <c r="M240" s="1">
        <v>45870</v>
      </c>
      <c r="N240" s="1" t="str">
        <f>PROPER(TEXT(BBDD_fashion_boutique[[#This Row],[purchase_date]],"dddd"))</f>
        <v>Viernes</v>
      </c>
      <c r="O240" s="1" t="str">
        <f>PROPER(TEXT(BBDD_fashion_boutique[[#This Row],[purchase_date]],"mmmm"))</f>
        <v>Agosto</v>
      </c>
      <c r="P240" s="4">
        <v>46</v>
      </c>
      <c r="Q240" s="2">
        <v>4.5</v>
      </c>
      <c r="R240" t="str">
        <f>IF(BBDD_fashion_boutique[[#This Row],[stock_quantity]]&gt;9,"Ok",IF(BBDD_fashion_boutique[[#This Row],[stock_quantity]]=0,"Agotado","Pocas Unidades"))</f>
        <v>Ok</v>
      </c>
      <c r="S240" s="3">
        <f>IF(BBDD_fashion_boutique[[#This Row],[customer_rating]]="","No valorado",BBDD_fashion_boutique[[#This Row],[customer_rating]])</f>
        <v>4.5</v>
      </c>
      <c r="T240" t="s">
        <v>24</v>
      </c>
      <c r="V240">
        <f>IF(BBDD_fashion_boutique[[#This Row],[is_returned]]="False",0,1)</f>
        <v>0</v>
      </c>
      <c r="W240">
        <f>IF(BBDD_fashion_boutique[[#This Row],[is_returned]]="True",0,BBDD_fashion_boutique[[#This Row],[current_price]])</f>
        <v>136</v>
      </c>
      <c r="X240" t="str">
        <f>IF(BBDD_fashion_boutique[[#This Row],[return_reason]]="","No return",BBDD_fashion_boutique[[#This Row],[return_reason]])</f>
        <v>No return</v>
      </c>
      <c r="Y240">
        <f>IF(IFERROR(VLOOKUP(BBDD_fashion_boutique[[#This Row],[product_id]],A241:A2416,1,FALSE),0),1,0)</f>
        <v>0</v>
      </c>
    </row>
    <row r="241" spans="1:25" x14ac:dyDescent="0.3">
      <c r="A241" t="s">
        <v>300</v>
      </c>
      <c r="B241" t="s">
        <v>35</v>
      </c>
      <c r="C241" t="s">
        <v>20</v>
      </c>
      <c r="D241" t="s">
        <v>39</v>
      </c>
      <c r="F241" t="str">
        <f>IF(BBDD_fashion_boutique[[#This Row],[category]]="Accessories","Accesorio",IF(BBDD_fashion_boutique[[#This Row],[size]]="","Desconocido",BBDD_fashion_boutique[[#This Row],[size]]))</f>
        <v>Desconocido</v>
      </c>
      <c r="G241" t="s">
        <v>76</v>
      </c>
      <c r="H241" s="2">
        <v>74.48</v>
      </c>
      <c r="I241">
        <v>0</v>
      </c>
      <c r="J241" s="5">
        <f>BBDD_fashion_boutique[[#This Row],[markdown_percentage]]/100</f>
        <v>0</v>
      </c>
      <c r="K241" s="2">
        <v>74.48</v>
      </c>
      <c r="L241" s="2">
        <f>BBDD_fashion_boutique[[#This Row],[original_price]]-BBDD_fashion_boutique[[#This Row],[current_price]]</f>
        <v>0</v>
      </c>
      <c r="M241" s="1">
        <v>45875</v>
      </c>
      <c r="N241" s="1" t="str">
        <f>PROPER(TEXT(BBDD_fashion_boutique[[#This Row],[purchase_date]],"dddd"))</f>
        <v>Miércoles</v>
      </c>
      <c r="O241" s="1" t="str">
        <f>PROPER(TEXT(BBDD_fashion_boutique[[#This Row],[purchase_date]],"mmmm"))</f>
        <v>Agosto</v>
      </c>
      <c r="P241" s="4">
        <v>24</v>
      </c>
      <c r="Q241" s="2">
        <v>3.7</v>
      </c>
      <c r="R241" t="str">
        <f>IF(BBDD_fashion_boutique[[#This Row],[stock_quantity]]&gt;9,"Ok",IF(BBDD_fashion_boutique[[#This Row],[stock_quantity]]=0,"Agotado","Pocas Unidades"))</f>
        <v>Ok</v>
      </c>
      <c r="S241" s="3">
        <f>IF(BBDD_fashion_boutique[[#This Row],[customer_rating]]="","No valorado",BBDD_fashion_boutique[[#This Row],[customer_rating]])</f>
        <v>3.7</v>
      </c>
      <c r="T241" t="s">
        <v>24</v>
      </c>
      <c r="V241">
        <f>IF(BBDD_fashion_boutique[[#This Row],[is_returned]]="False",0,1)</f>
        <v>0</v>
      </c>
      <c r="W241">
        <f>IF(BBDD_fashion_boutique[[#This Row],[is_returned]]="True",0,BBDD_fashion_boutique[[#This Row],[current_price]])</f>
        <v>74.48</v>
      </c>
      <c r="X241" t="str">
        <f>IF(BBDD_fashion_boutique[[#This Row],[return_reason]]="","No return",BBDD_fashion_boutique[[#This Row],[return_reason]])</f>
        <v>No return</v>
      </c>
      <c r="Y241">
        <f>IF(IFERROR(VLOOKUP(BBDD_fashion_boutique[[#This Row],[product_id]],A242:A2417,1,FALSE),0),1,0)</f>
        <v>0</v>
      </c>
    </row>
    <row r="242" spans="1:25" x14ac:dyDescent="0.3">
      <c r="A242" t="s">
        <v>301</v>
      </c>
      <c r="B242" t="s">
        <v>48</v>
      </c>
      <c r="C242" t="s">
        <v>81</v>
      </c>
      <c r="D242" t="s">
        <v>39</v>
      </c>
      <c r="E242" t="s">
        <v>61</v>
      </c>
      <c r="F242" t="str">
        <f>IF(BBDD_fashion_boutique[[#This Row],[category]]="Accessories","Accesorio",IF(BBDD_fashion_boutique[[#This Row],[size]]="","Desconocido",BBDD_fashion_boutique[[#This Row],[size]]))</f>
        <v>XS</v>
      </c>
      <c r="G242" t="s">
        <v>30</v>
      </c>
      <c r="H242" s="2">
        <v>101.39</v>
      </c>
      <c r="I242">
        <v>0</v>
      </c>
      <c r="J242" s="5">
        <f>BBDD_fashion_boutique[[#This Row],[markdown_percentage]]/100</f>
        <v>0</v>
      </c>
      <c r="K242" s="2">
        <v>101.39</v>
      </c>
      <c r="L242" s="2">
        <f>BBDD_fashion_boutique[[#This Row],[original_price]]-BBDD_fashion_boutique[[#This Row],[current_price]]</f>
        <v>0</v>
      </c>
      <c r="M242" s="1">
        <v>45875</v>
      </c>
      <c r="N242" s="1" t="str">
        <f>PROPER(TEXT(BBDD_fashion_boutique[[#This Row],[purchase_date]],"dddd"))</f>
        <v>Miércoles</v>
      </c>
      <c r="O242" s="1" t="str">
        <f>PROPER(TEXT(BBDD_fashion_boutique[[#This Row],[purchase_date]],"mmmm"))</f>
        <v>Agosto</v>
      </c>
      <c r="P242" s="4">
        <v>33</v>
      </c>
      <c r="Q242" s="2">
        <v>2.4</v>
      </c>
      <c r="R242" t="str">
        <f>IF(BBDD_fashion_boutique[[#This Row],[stock_quantity]]&gt;9,"Ok",IF(BBDD_fashion_boutique[[#This Row],[stock_quantity]]=0,"Agotado","Pocas Unidades"))</f>
        <v>Ok</v>
      </c>
      <c r="S242" s="3">
        <f>IF(BBDD_fashion_boutique[[#This Row],[customer_rating]]="","No valorado",BBDD_fashion_boutique[[#This Row],[customer_rating]])</f>
        <v>2.4</v>
      </c>
      <c r="T242" t="s">
        <v>41</v>
      </c>
      <c r="U242" t="s">
        <v>79</v>
      </c>
      <c r="V242">
        <f>IF(BBDD_fashion_boutique[[#This Row],[is_returned]]="False",0,1)</f>
        <v>1</v>
      </c>
      <c r="W242">
        <f>IF(BBDD_fashion_boutique[[#This Row],[is_returned]]="True",0,BBDD_fashion_boutique[[#This Row],[current_price]])</f>
        <v>0</v>
      </c>
      <c r="X242" t="str">
        <f>IF(BBDD_fashion_boutique[[#This Row],[return_reason]]="","No return",BBDD_fashion_boutique[[#This Row],[return_reason]])</f>
        <v>Size Issue</v>
      </c>
      <c r="Y242">
        <f>IF(IFERROR(VLOOKUP(BBDD_fashion_boutique[[#This Row],[product_id]],A243:A2418,1,FALSE),0),1,0)</f>
        <v>0</v>
      </c>
    </row>
    <row r="243" spans="1:25" x14ac:dyDescent="0.3">
      <c r="A243" t="s">
        <v>302</v>
      </c>
      <c r="B243" t="s">
        <v>48</v>
      </c>
      <c r="C243" t="s">
        <v>81</v>
      </c>
      <c r="D243" t="s">
        <v>39</v>
      </c>
      <c r="E243" t="s">
        <v>55</v>
      </c>
      <c r="F243" t="str">
        <f>IF(BBDD_fashion_boutique[[#This Row],[category]]="Accessories","Accesorio",IF(BBDD_fashion_boutique[[#This Row],[size]]="","Desconocido",BBDD_fashion_boutique[[#This Row],[size]]))</f>
        <v>XXL</v>
      </c>
      <c r="G243" t="s">
        <v>52</v>
      </c>
      <c r="H243" s="2">
        <v>169.68</v>
      </c>
      <c r="I243">
        <v>41.7</v>
      </c>
      <c r="J243" s="5">
        <f>BBDD_fashion_boutique[[#This Row],[markdown_percentage]]/100</f>
        <v>0.41700000000000004</v>
      </c>
      <c r="K243" s="2">
        <v>98.92</v>
      </c>
      <c r="L243" s="2">
        <f>BBDD_fashion_boutique[[#This Row],[original_price]]-BBDD_fashion_boutique[[#This Row],[current_price]]</f>
        <v>70.760000000000005</v>
      </c>
      <c r="M243" s="1">
        <v>45875</v>
      </c>
      <c r="N243" s="1" t="str">
        <f>PROPER(TEXT(BBDD_fashion_boutique[[#This Row],[purchase_date]],"dddd"))</f>
        <v>Miércoles</v>
      </c>
      <c r="O243" s="1" t="str">
        <f>PROPER(TEXT(BBDD_fashion_boutique[[#This Row],[purchase_date]],"mmmm"))</f>
        <v>Agosto</v>
      </c>
      <c r="P243" s="4">
        <v>43</v>
      </c>
      <c r="Q243" s="2">
        <v>4.5999999999999996</v>
      </c>
      <c r="R243" t="str">
        <f>IF(BBDD_fashion_boutique[[#This Row],[stock_quantity]]&gt;9,"Ok",IF(BBDD_fashion_boutique[[#This Row],[stock_quantity]]=0,"Agotado","Pocas Unidades"))</f>
        <v>Ok</v>
      </c>
      <c r="S243" s="3">
        <f>IF(BBDD_fashion_boutique[[#This Row],[customer_rating]]="","No valorado",BBDD_fashion_boutique[[#This Row],[customer_rating]])</f>
        <v>4.5999999999999996</v>
      </c>
      <c r="T243" t="s">
        <v>24</v>
      </c>
      <c r="V243">
        <f>IF(BBDD_fashion_boutique[[#This Row],[is_returned]]="False",0,1)</f>
        <v>0</v>
      </c>
      <c r="W243">
        <f>IF(BBDD_fashion_boutique[[#This Row],[is_returned]]="True",0,BBDD_fashion_boutique[[#This Row],[current_price]])</f>
        <v>98.92</v>
      </c>
      <c r="X243" t="str">
        <f>IF(BBDD_fashion_boutique[[#This Row],[return_reason]]="","No return",BBDD_fashion_boutique[[#This Row],[return_reason]])</f>
        <v>No return</v>
      </c>
      <c r="Y243">
        <f>IF(IFERROR(VLOOKUP(BBDD_fashion_boutique[[#This Row],[product_id]],A244:A2419,1,FALSE),0),1,0)</f>
        <v>0</v>
      </c>
    </row>
    <row r="244" spans="1:25" x14ac:dyDescent="0.3">
      <c r="A244" t="s">
        <v>303</v>
      </c>
      <c r="B244" t="s">
        <v>32</v>
      </c>
      <c r="C244" t="s">
        <v>81</v>
      </c>
      <c r="D244" t="s">
        <v>28</v>
      </c>
      <c r="F244" t="str">
        <f>IF(BBDD_fashion_boutique[[#This Row],[category]]="Accessories","Accesorio",IF(BBDD_fashion_boutique[[#This Row],[size]]="","Desconocido",BBDD_fashion_boutique[[#This Row],[size]]))</f>
        <v>Accesorio</v>
      </c>
      <c r="G244" t="s">
        <v>72</v>
      </c>
      <c r="H244" s="2">
        <v>52.45</v>
      </c>
      <c r="I244">
        <v>0</v>
      </c>
      <c r="J244" s="5">
        <f>BBDD_fashion_boutique[[#This Row],[markdown_percentage]]/100</f>
        <v>0</v>
      </c>
      <c r="K244" s="2">
        <v>52.45</v>
      </c>
      <c r="L244" s="2">
        <f>BBDD_fashion_boutique[[#This Row],[original_price]]-BBDD_fashion_boutique[[#This Row],[current_price]]</f>
        <v>0</v>
      </c>
      <c r="M244" s="1">
        <v>45875</v>
      </c>
      <c r="N244" s="1" t="str">
        <f>PROPER(TEXT(BBDD_fashion_boutique[[#This Row],[purchase_date]],"dddd"))</f>
        <v>Miércoles</v>
      </c>
      <c r="O244" s="1" t="str">
        <f>PROPER(TEXT(BBDD_fashion_boutique[[#This Row],[purchase_date]],"mmmm"))</f>
        <v>Agosto</v>
      </c>
      <c r="P244" s="4">
        <v>34</v>
      </c>
      <c r="Q244" s="2">
        <v>2.1</v>
      </c>
      <c r="R244" t="str">
        <f>IF(BBDD_fashion_boutique[[#This Row],[stock_quantity]]&gt;9,"Ok",IF(BBDD_fashion_boutique[[#This Row],[stock_quantity]]=0,"Agotado","Pocas Unidades"))</f>
        <v>Ok</v>
      </c>
      <c r="S244" s="3">
        <f>IF(BBDD_fashion_boutique[[#This Row],[customer_rating]]="","No valorado",BBDD_fashion_boutique[[#This Row],[customer_rating]])</f>
        <v>2.1</v>
      </c>
      <c r="T244" t="s">
        <v>24</v>
      </c>
      <c r="V244">
        <f>IF(BBDD_fashion_boutique[[#This Row],[is_returned]]="False",0,1)</f>
        <v>0</v>
      </c>
      <c r="W244">
        <f>IF(BBDD_fashion_boutique[[#This Row],[is_returned]]="True",0,BBDD_fashion_boutique[[#This Row],[current_price]])</f>
        <v>52.45</v>
      </c>
      <c r="X244" t="str">
        <f>IF(BBDD_fashion_boutique[[#This Row],[return_reason]]="","No return",BBDD_fashion_boutique[[#This Row],[return_reason]])</f>
        <v>No return</v>
      </c>
      <c r="Y244">
        <f>IF(IFERROR(VLOOKUP(BBDD_fashion_boutique[[#This Row],[product_id]],A245:A2420,1,FALSE),0),1,0)</f>
        <v>0</v>
      </c>
    </row>
    <row r="245" spans="1:25" x14ac:dyDescent="0.3">
      <c r="A245" t="s">
        <v>304</v>
      </c>
      <c r="B245" t="s">
        <v>35</v>
      </c>
      <c r="C245" t="s">
        <v>27</v>
      </c>
      <c r="D245" t="s">
        <v>68</v>
      </c>
      <c r="E245" t="s">
        <v>55</v>
      </c>
      <c r="F245" t="str">
        <f>IF(BBDD_fashion_boutique[[#This Row],[category]]="Accessories","Accesorio",IF(BBDD_fashion_boutique[[#This Row],[size]]="","Desconocido",BBDD_fashion_boutique[[#This Row],[size]]))</f>
        <v>XXL</v>
      </c>
      <c r="G245" t="s">
        <v>30</v>
      </c>
      <c r="H245" s="2">
        <v>153.85</v>
      </c>
      <c r="I245">
        <v>47.6</v>
      </c>
      <c r="J245" s="5">
        <f>BBDD_fashion_boutique[[#This Row],[markdown_percentage]]/100</f>
        <v>0.47600000000000003</v>
      </c>
      <c r="K245" s="2">
        <v>80.62</v>
      </c>
      <c r="L245" s="2">
        <f>BBDD_fashion_boutique[[#This Row],[original_price]]-BBDD_fashion_boutique[[#This Row],[current_price]]</f>
        <v>73.22999999999999</v>
      </c>
      <c r="M245" s="1">
        <v>45875</v>
      </c>
      <c r="N245" s="1" t="str">
        <f>PROPER(TEXT(BBDD_fashion_boutique[[#This Row],[purchase_date]],"dddd"))</f>
        <v>Miércoles</v>
      </c>
      <c r="O245" s="1" t="str">
        <f>PROPER(TEXT(BBDD_fashion_boutique[[#This Row],[purchase_date]],"mmmm"))</f>
        <v>Agosto</v>
      </c>
      <c r="P245" s="4">
        <v>12</v>
      </c>
      <c r="Q245" s="2">
        <v>3.1</v>
      </c>
      <c r="R245" t="str">
        <f>IF(BBDD_fashion_boutique[[#This Row],[stock_quantity]]&gt;9,"Ok",IF(BBDD_fashion_boutique[[#This Row],[stock_quantity]]=0,"Agotado","Pocas Unidades"))</f>
        <v>Ok</v>
      </c>
      <c r="S245" s="3">
        <f>IF(BBDD_fashion_boutique[[#This Row],[customer_rating]]="","No valorado",BBDD_fashion_boutique[[#This Row],[customer_rating]])</f>
        <v>3.1</v>
      </c>
      <c r="T245" t="s">
        <v>24</v>
      </c>
      <c r="V245">
        <f>IF(BBDD_fashion_boutique[[#This Row],[is_returned]]="False",0,1)</f>
        <v>0</v>
      </c>
      <c r="W245">
        <f>IF(BBDD_fashion_boutique[[#This Row],[is_returned]]="True",0,BBDD_fashion_boutique[[#This Row],[current_price]])</f>
        <v>80.62</v>
      </c>
      <c r="X245" t="str">
        <f>IF(BBDD_fashion_boutique[[#This Row],[return_reason]]="","No return",BBDD_fashion_boutique[[#This Row],[return_reason]])</f>
        <v>No return</v>
      </c>
      <c r="Y245">
        <f>IF(IFERROR(VLOOKUP(BBDD_fashion_boutique[[#This Row],[product_id]],A246:A2421,1,FALSE),0),1,0)</f>
        <v>0</v>
      </c>
    </row>
    <row r="246" spans="1:25" x14ac:dyDescent="0.3">
      <c r="A246" t="s">
        <v>305</v>
      </c>
      <c r="B246" t="s">
        <v>44</v>
      </c>
      <c r="C246" t="s">
        <v>49</v>
      </c>
      <c r="D246" t="s">
        <v>39</v>
      </c>
      <c r="E246" t="s">
        <v>64</v>
      </c>
      <c r="F246" t="str">
        <f>IF(BBDD_fashion_boutique[[#This Row],[category]]="Accessories","Accesorio",IF(BBDD_fashion_boutique[[#This Row],[size]]="","Desconocido",BBDD_fashion_boutique[[#This Row],[size]]))</f>
        <v>M</v>
      </c>
      <c r="G246" t="s">
        <v>76</v>
      </c>
      <c r="H246" s="2">
        <v>32.700000000000003</v>
      </c>
      <c r="I246">
        <v>50.5</v>
      </c>
      <c r="J246" s="5">
        <f>BBDD_fashion_boutique[[#This Row],[markdown_percentage]]/100</f>
        <v>0.505</v>
      </c>
      <c r="K246" s="2">
        <v>16.190000000000001</v>
      </c>
      <c r="L246" s="2">
        <f>BBDD_fashion_boutique[[#This Row],[original_price]]-BBDD_fashion_boutique[[#This Row],[current_price]]</f>
        <v>16.510000000000002</v>
      </c>
      <c r="M246" s="1">
        <v>45875</v>
      </c>
      <c r="N246" s="1" t="str">
        <f>PROPER(TEXT(BBDD_fashion_boutique[[#This Row],[purchase_date]],"dddd"))</f>
        <v>Miércoles</v>
      </c>
      <c r="O246" s="1" t="str">
        <f>PROPER(TEXT(BBDD_fashion_boutique[[#This Row],[purchase_date]],"mmmm"))</f>
        <v>Agosto</v>
      </c>
      <c r="P246" s="4">
        <v>46</v>
      </c>
      <c r="Q246" s="2">
        <v>1.3</v>
      </c>
      <c r="R246" t="str">
        <f>IF(BBDD_fashion_boutique[[#This Row],[stock_quantity]]&gt;9,"Ok",IF(BBDD_fashion_boutique[[#This Row],[stock_quantity]]=0,"Agotado","Pocas Unidades"))</f>
        <v>Ok</v>
      </c>
      <c r="S246" s="3">
        <f>IF(BBDD_fashion_boutique[[#This Row],[customer_rating]]="","No valorado",BBDD_fashion_boutique[[#This Row],[customer_rating]])</f>
        <v>1.3</v>
      </c>
      <c r="T246" t="s">
        <v>24</v>
      </c>
      <c r="V246">
        <f>IF(BBDD_fashion_boutique[[#This Row],[is_returned]]="False",0,1)</f>
        <v>0</v>
      </c>
      <c r="W246">
        <f>IF(BBDD_fashion_boutique[[#This Row],[is_returned]]="True",0,BBDD_fashion_boutique[[#This Row],[current_price]])</f>
        <v>16.190000000000001</v>
      </c>
      <c r="X246" t="str">
        <f>IF(BBDD_fashion_boutique[[#This Row],[return_reason]]="","No return",BBDD_fashion_boutique[[#This Row],[return_reason]])</f>
        <v>No return</v>
      </c>
      <c r="Y246">
        <f>IF(IFERROR(VLOOKUP(BBDD_fashion_boutique[[#This Row],[product_id]],A247:A2422,1,FALSE),0),1,0)</f>
        <v>0</v>
      </c>
    </row>
    <row r="247" spans="1:25" x14ac:dyDescent="0.3">
      <c r="A247" t="s">
        <v>306</v>
      </c>
      <c r="B247" t="s">
        <v>19</v>
      </c>
      <c r="C247" t="s">
        <v>27</v>
      </c>
      <c r="D247" t="s">
        <v>39</v>
      </c>
      <c r="E247" t="s">
        <v>29</v>
      </c>
      <c r="F247" t="str">
        <f>IF(BBDD_fashion_boutique[[#This Row],[category]]="Accessories","Accesorio",IF(BBDD_fashion_boutique[[#This Row],[size]]="","Desconocido",BBDD_fashion_boutique[[#This Row],[size]]))</f>
        <v>L</v>
      </c>
      <c r="G247" t="s">
        <v>70</v>
      </c>
      <c r="H247" s="2">
        <v>104.27</v>
      </c>
      <c r="I247">
        <v>54.6</v>
      </c>
      <c r="J247" s="5">
        <f>BBDD_fashion_boutique[[#This Row],[markdown_percentage]]/100</f>
        <v>0.54600000000000004</v>
      </c>
      <c r="K247" s="2">
        <v>47.34</v>
      </c>
      <c r="L247" s="2">
        <f>BBDD_fashion_boutique[[#This Row],[original_price]]-BBDD_fashion_boutique[[#This Row],[current_price]]</f>
        <v>56.929999999999993</v>
      </c>
      <c r="M247" s="1">
        <v>45875</v>
      </c>
      <c r="N247" s="1" t="str">
        <f>PROPER(TEXT(BBDD_fashion_boutique[[#This Row],[purchase_date]],"dddd"))</f>
        <v>Miércoles</v>
      </c>
      <c r="O247" s="1" t="str">
        <f>PROPER(TEXT(BBDD_fashion_boutique[[#This Row],[purchase_date]],"mmmm"))</f>
        <v>Agosto</v>
      </c>
      <c r="P247" s="4">
        <v>42</v>
      </c>
      <c r="Q247" s="2">
        <v>4.2</v>
      </c>
      <c r="R247" t="str">
        <f>IF(BBDD_fashion_boutique[[#This Row],[stock_quantity]]&gt;9,"Ok",IF(BBDD_fashion_boutique[[#This Row],[stock_quantity]]=0,"Agotado","Pocas Unidades"))</f>
        <v>Ok</v>
      </c>
      <c r="S247" s="3">
        <f>IF(BBDD_fashion_boutique[[#This Row],[customer_rating]]="","No valorado",BBDD_fashion_boutique[[#This Row],[customer_rating]])</f>
        <v>4.2</v>
      </c>
      <c r="T247" t="s">
        <v>24</v>
      </c>
      <c r="V247">
        <f>IF(BBDD_fashion_boutique[[#This Row],[is_returned]]="False",0,1)</f>
        <v>0</v>
      </c>
      <c r="W247">
        <f>IF(BBDD_fashion_boutique[[#This Row],[is_returned]]="True",0,BBDD_fashion_boutique[[#This Row],[current_price]])</f>
        <v>47.34</v>
      </c>
      <c r="X247" t="str">
        <f>IF(BBDD_fashion_boutique[[#This Row],[return_reason]]="","No return",BBDD_fashion_boutique[[#This Row],[return_reason]])</f>
        <v>No return</v>
      </c>
      <c r="Y247">
        <f>IF(IFERROR(VLOOKUP(BBDD_fashion_boutique[[#This Row],[product_id]],A248:A2423,1,FALSE),0),1,0)</f>
        <v>0</v>
      </c>
    </row>
    <row r="248" spans="1:25" x14ac:dyDescent="0.3">
      <c r="A248" t="s">
        <v>307</v>
      </c>
      <c r="B248" t="s">
        <v>48</v>
      </c>
      <c r="C248" t="s">
        <v>81</v>
      </c>
      <c r="D248" t="s">
        <v>68</v>
      </c>
      <c r="E248" t="s">
        <v>64</v>
      </c>
      <c r="F248" t="str">
        <f>IF(BBDD_fashion_boutique[[#This Row],[category]]="Accessories","Accesorio",IF(BBDD_fashion_boutique[[#This Row],[size]]="","Desconocido",BBDD_fashion_boutique[[#This Row],[size]]))</f>
        <v>M</v>
      </c>
      <c r="G248" t="s">
        <v>46</v>
      </c>
      <c r="H248" s="2">
        <v>80.040000000000006</v>
      </c>
      <c r="I248">
        <v>50.9</v>
      </c>
      <c r="J248" s="5">
        <f>BBDD_fashion_boutique[[#This Row],[markdown_percentage]]/100</f>
        <v>0.50900000000000001</v>
      </c>
      <c r="K248" s="2">
        <v>39.299999999999997</v>
      </c>
      <c r="L248" s="2">
        <f>BBDD_fashion_boutique[[#This Row],[original_price]]-BBDD_fashion_boutique[[#This Row],[current_price]]</f>
        <v>40.740000000000009</v>
      </c>
      <c r="M248" s="1">
        <v>45875</v>
      </c>
      <c r="N248" s="1" t="str">
        <f>PROPER(TEXT(BBDD_fashion_boutique[[#This Row],[purchase_date]],"dddd"))</f>
        <v>Miércoles</v>
      </c>
      <c r="O248" s="1" t="str">
        <f>PROPER(TEXT(BBDD_fashion_boutique[[#This Row],[purchase_date]],"mmmm"))</f>
        <v>Agosto</v>
      </c>
      <c r="P248" s="4">
        <v>45</v>
      </c>
      <c r="R248" t="str">
        <f>IF(BBDD_fashion_boutique[[#This Row],[stock_quantity]]&gt;9,"Ok",IF(BBDD_fashion_boutique[[#This Row],[stock_quantity]]=0,"Agotado","Pocas Unidades"))</f>
        <v>Ok</v>
      </c>
      <c r="S248" s="3" t="str">
        <f>IF(BBDD_fashion_boutique[[#This Row],[customer_rating]]="","No valorado",BBDD_fashion_boutique[[#This Row],[customer_rating]])</f>
        <v>No valorado</v>
      </c>
      <c r="T248" t="s">
        <v>24</v>
      </c>
      <c r="V248">
        <f>IF(BBDD_fashion_boutique[[#This Row],[is_returned]]="False",0,1)</f>
        <v>0</v>
      </c>
      <c r="W248">
        <f>IF(BBDD_fashion_boutique[[#This Row],[is_returned]]="True",0,BBDD_fashion_boutique[[#This Row],[current_price]])</f>
        <v>39.299999999999997</v>
      </c>
      <c r="X248" t="str">
        <f>IF(BBDD_fashion_boutique[[#This Row],[return_reason]]="","No return",BBDD_fashion_boutique[[#This Row],[return_reason]])</f>
        <v>No return</v>
      </c>
      <c r="Y248">
        <f>IF(IFERROR(VLOOKUP(BBDD_fashion_boutique[[#This Row],[product_id]],A249:A2424,1,FALSE),0),1,0)</f>
        <v>0</v>
      </c>
    </row>
    <row r="249" spans="1:25" x14ac:dyDescent="0.3">
      <c r="A249" t="s">
        <v>308</v>
      </c>
      <c r="B249" t="s">
        <v>44</v>
      </c>
      <c r="C249" t="s">
        <v>37</v>
      </c>
      <c r="D249" t="s">
        <v>21</v>
      </c>
      <c r="E249" t="s">
        <v>64</v>
      </c>
      <c r="F249" t="str">
        <f>IF(BBDD_fashion_boutique[[#This Row],[category]]="Accessories","Accesorio",IF(BBDD_fashion_boutique[[#This Row],[size]]="","Desconocido",BBDD_fashion_boutique[[#This Row],[size]]))</f>
        <v>M</v>
      </c>
      <c r="G249" t="s">
        <v>33</v>
      </c>
      <c r="H249" s="2">
        <v>72.069999999999993</v>
      </c>
      <c r="I249">
        <v>0</v>
      </c>
      <c r="J249" s="5">
        <f>BBDD_fashion_boutique[[#This Row],[markdown_percentage]]/100</f>
        <v>0</v>
      </c>
      <c r="K249" s="2">
        <v>72.069999999999993</v>
      </c>
      <c r="L249" s="2">
        <f>BBDD_fashion_boutique[[#This Row],[original_price]]-BBDD_fashion_boutique[[#This Row],[current_price]]</f>
        <v>0</v>
      </c>
      <c r="M249" s="1">
        <v>45785</v>
      </c>
      <c r="N249" s="1" t="str">
        <f>PROPER(TEXT(BBDD_fashion_boutique[[#This Row],[purchase_date]],"dddd"))</f>
        <v>Jueves</v>
      </c>
      <c r="O249" s="1" t="str">
        <f>PROPER(TEXT(BBDD_fashion_boutique[[#This Row],[purchase_date]],"mmmm"))</f>
        <v>Mayo</v>
      </c>
      <c r="P249" s="4">
        <v>20</v>
      </c>
      <c r="R249" t="str">
        <f>IF(BBDD_fashion_boutique[[#This Row],[stock_quantity]]&gt;9,"Ok",IF(BBDD_fashion_boutique[[#This Row],[stock_quantity]]=0,"Agotado","Pocas Unidades"))</f>
        <v>Ok</v>
      </c>
      <c r="S249" s="3" t="str">
        <f>IF(BBDD_fashion_boutique[[#This Row],[customer_rating]]="","No valorado",BBDD_fashion_boutique[[#This Row],[customer_rating]])</f>
        <v>No valorado</v>
      </c>
      <c r="T249" t="s">
        <v>41</v>
      </c>
      <c r="U249" t="s">
        <v>42</v>
      </c>
      <c r="V249">
        <f>IF(BBDD_fashion_boutique[[#This Row],[is_returned]]="False",0,1)</f>
        <v>1</v>
      </c>
      <c r="W249">
        <f>IF(BBDD_fashion_boutique[[#This Row],[is_returned]]="True",0,BBDD_fashion_boutique[[#This Row],[current_price]])</f>
        <v>0</v>
      </c>
      <c r="X249" t="str">
        <f>IF(BBDD_fashion_boutique[[#This Row],[return_reason]]="","No return",BBDD_fashion_boutique[[#This Row],[return_reason]])</f>
        <v>Color Mismatch</v>
      </c>
      <c r="Y249">
        <f>IF(IFERROR(VLOOKUP(BBDD_fashion_boutique[[#This Row],[product_id]],A250:A2425,1,FALSE),0),1,0)</f>
        <v>0</v>
      </c>
    </row>
    <row r="250" spans="1:25" x14ac:dyDescent="0.3">
      <c r="A250" t="s">
        <v>309</v>
      </c>
      <c r="B250" t="s">
        <v>19</v>
      </c>
      <c r="C250" t="s">
        <v>20</v>
      </c>
      <c r="D250" t="s">
        <v>39</v>
      </c>
      <c r="E250" t="s">
        <v>64</v>
      </c>
      <c r="F250" t="str">
        <f>IF(BBDD_fashion_boutique[[#This Row],[category]]="Accessories","Accesorio",IF(BBDD_fashion_boutique[[#This Row],[size]]="","Desconocido",BBDD_fashion_boutique[[#This Row],[size]]))</f>
        <v>M</v>
      </c>
      <c r="G250" t="s">
        <v>52</v>
      </c>
      <c r="H250" s="2">
        <v>220.99</v>
      </c>
      <c r="I250">
        <v>0</v>
      </c>
      <c r="J250" s="5">
        <f>BBDD_fashion_boutique[[#This Row],[markdown_percentage]]/100</f>
        <v>0</v>
      </c>
      <c r="K250" s="2">
        <v>220.99</v>
      </c>
      <c r="L250" s="2">
        <f>BBDD_fashion_boutique[[#This Row],[original_price]]-BBDD_fashion_boutique[[#This Row],[current_price]]</f>
        <v>0</v>
      </c>
      <c r="M250" s="1">
        <v>45875</v>
      </c>
      <c r="N250" s="1" t="str">
        <f>PROPER(TEXT(BBDD_fashion_boutique[[#This Row],[purchase_date]],"dddd"))</f>
        <v>Miércoles</v>
      </c>
      <c r="O250" s="1" t="str">
        <f>PROPER(TEXT(BBDD_fashion_boutique[[#This Row],[purchase_date]],"mmmm"))</f>
        <v>Agosto</v>
      </c>
      <c r="P250" s="4">
        <v>42</v>
      </c>
      <c r="Q250" s="2">
        <v>3.6</v>
      </c>
      <c r="R250" t="str">
        <f>IF(BBDD_fashion_boutique[[#This Row],[stock_quantity]]&gt;9,"Ok",IF(BBDD_fashion_boutique[[#This Row],[stock_quantity]]=0,"Agotado","Pocas Unidades"))</f>
        <v>Ok</v>
      </c>
      <c r="S250" s="3">
        <f>IF(BBDD_fashion_boutique[[#This Row],[customer_rating]]="","No valorado",BBDD_fashion_boutique[[#This Row],[customer_rating]])</f>
        <v>3.6</v>
      </c>
      <c r="T250" t="s">
        <v>24</v>
      </c>
      <c r="V250">
        <f>IF(BBDD_fashion_boutique[[#This Row],[is_returned]]="False",0,1)</f>
        <v>0</v>
      </c>
      <c r="W250">
        <f>IF(BBDD_fashion_boutique[[#This Row],[is_returned]]="True",0,BBDD_fashion_boutique[[#This Row],[current_price]])</f>
        <v>220.99</v>
      </c>
      <c r="X250" t="str">
        <f>IF(BBDD_fashion_boutique[[#This Row],[return_reason]]="","No return",BBDD_fashion_boutique[[#This Row],[return_reason]])</f>
        <v>No return</v>
      </c>
      <c r="Y250">
        <f>IF(IFERROR(VLOOKUP(BBDD_fashion_boutique[[#This Row],[product_id]],A251:A2426,1,FALSE),0),1,0)</f>
        <v>0</v>
      </c>
    </row>
    <row r="251" spans="1:25" x14ac:dyDescent="0.3">
      <c r="A251" t="s">
        <v>310</v>
      </c>
      <c r="B251" t="s">
        <v>19</v>
      </c>
      <c r="C251" t="s">
        <v>27</v>
      </c>
      <c r="D251" t="s">
        <v>39</v>
      </c>
      <c r="E251" t="s">
        <v>61</v>
      </c>
      <c r="F251" t="str">
        <f>IF(BBDD_fashion_boutique[[#This Row],[category]]="Accessories","Accesorio",IF(BBDD_fashion_boutique[[#This Row],[size]]="","Desconocido",BBDD_fashion_boutique[[#This Row],[size]]))</f>
        <v>XS</v>
      </c>
      <c r="G251" t="s">
        <v>33</v>
      </c>
      <c r="H251" s="2">
        <v>117.36</v>
      </c>
      <c r="I251">
        <v>14.6</v>
      </c>
      <c r="J251" s="5">
        <f>BBDD_fashion_boutique[[#This Row],[markdown_percentage]]/100</f>
        <v>0.14599999999999999</v>
      </c>
      <c r="K251" s="2">
        <v>100.23</v>
      </c>
      <c r="L251" s="2">
        <f>BBDD_fashion_boutique[[#This Row],[original_price]]-BBDD_fashion_boutique[[#This Row],[current_price]]</f>
        <v>17.129999999999995</v>
      </c>
      <c r="M251" s="1">
        <v>45875</v>
      </c>
      <c r="N251" s="1" t="str">
        <f>PROPER(TEXT(BBDD_fashion_boutique[[#This Row],[purchase_date]],"dddd"))</f>
        <v>Miércoles</v>
      </c>
      <c r="O251" s="1" t="str">
        <f>PROPER(TEXT(BBDD_fashion_boutique[[#This Row],[purchase_date]],"mmmm"))</f>
        <v>Agosto</v>
      </c>
      <c r="P251" s="4">
        <v>33</v>
      </c>
      <c r="R251" t="str">
        <f>IF(BBDD_fashion_boutique[[#This Row],[stock_quantity]]&gt;9,"Ok",IF(BBDD_fashion_boutique[[#This Row],[stock_quantity]]=0,"Agotado","Pocas Unidades"))</f>
        <v>Ok</v>
      </c>
      <c r="S251" s="3" t="str">
        <f>IF(BBDD_fashion_boutique[[#This Row],[customer_rating]]="","No valorado",BBDD_fashion_boutique[[#This Row],[customer_rating]])</f>
        <v>No valorado</v>
      </c>
      <c r="T251" t="s">
        <v>41</v>
      </c>
      <c r="U251" t="s">
        <v>79</v>
      </c>
      <c r="V251">
        <f>IF(BBDD_fashion_boutique[[#This Row],[is_returned]]="False",0,1)</f>
        <v>1</v>
      </c>
      <c r="W251">
        <f>IF(BBDD_fashion_boutique[[#This Row],[is_returned]]="True",0,BBDD_fashion_boutique[[#This Row],[current_price]])</f>
        <v>0</v>
      </c>
      <c r="X251" t="str">
        <f>IF(BBDD_fashion_boutique[[#This Row],[return_reason]]="","No return",BBDD_fashion_boutique[[#This Row],[return_reason]])</f>
        <v>Size Issue</v>
      </c>
      <c r="Y251">
        <f>IF(IFERROR(VLOOKUP(BBDD_fashion_boutique[[#This Row],[product_id]],A252:A2427,1,FALSE),0),1,0)</f>
        <v>0</v>
      </c>
    </row>
    <row r="252" spans="1:25" x14ac:dyDescent="0.3">
      <c r="A252" t="s">
        <v>311</v>
      </c>
      <c r="B252" t="s">
        <v>19</v>
      </c>
      <c r="C252" t="s">
        <v>37</v>
      </c>
      <c r="D252" t="s">
        <v>21</v>
      </c>
      <c r="E252" t="s">
        <v>29</v>
      </c>
      <c r="F252" t="str">
        <f>IF(BBDD_fashion_boutique[[#This Row],[category]]="Accessories","Accesorio",IF(BBDD_fashion_boutique[[#This Row],[size]]="","Desconocido",BBDD_fashion_boutique[[#This Row],[size]]))</f>
        <v>L</v>
      </c>
      <c r="G252" t="s">
        <v>70</v>
      </c>
      <c r="H252" s="2">
        <v>198.76</v>
      </c>
      <c r="I252">
        <v>48.8</v>
      </c>
      <c r="J252" s="5">
        <f>BBDD_fashion_boutique[[#This Row],[markdown_percentage]]/100</f>
        <v>0.48799999999999999</v>
      </c>
      <c r="K252" s="2">
        <v>101.77</v>
      </c>
      <c r="L252" s="2">
        <f>BBDD_fashion_boutique[[#This Row],[original_price]]-BBDD_fashion_boutique[[#This Row],[current_price]]</f>
        <v>96.99</v>
      </c>
      <c r="M252" s="1">
        <v>45773</v>
      </c>
      <c r="N252" s="1" t="str">
        <f>PROPER(TEXT(BBDD_fashion_boutique[[#This Row],[purchase_date]],"dddd"))</f>
        <v>Sábado</v>
      </c>
      <c r="O252" s="1" t="str">
        <f>PROPER(TEXT(BBDD_fashion_boutique[[#This Row],[purchase_date]],"mmmm"))</f>
        <v>Abril</v>
      </c>
      <c r="P252" s="4">
        <v>36</v>
      </c>
      <c r="Q252" s="2">
        <v>3</v>
      </c>
      <c r="R252" t="str">
        <f>IF(BBDD_fashion_boutique[[#This Row],[stock_quantity]]&gt;9,"Ok",IF(BBDD_fashion_boutique[[#This Row],[stock_quantity]]=0,"Agotado","Pocas Unidades"))</f>
        <v>Ok</v>
      </c>
      <c r="S252" s="3">
        <f>IF(BBDD_fashion_boutique[[#This Row],[customer_rating]]="","No valorado",BBDD_fashion_boutique[[#This Row],[customer_rating]])</f>
        <v>3</v>
      </c>
      <c r="T252" t="s">
        <v>24</v>
      </c>
      <c r="V252">
        <f>IF(BBDD_fashion_boutique[[#This Row],[is_returned]]="False",0,1)</f>
        <v>0</v>
      </c>
      <c r="W252">
        <f>IF(BBDD_fashion_boutique[[#This Row],[is_returned]]="True",0,BBDD_fashion_boutique[[#This Row],[current_price]])</f>
        <v>101.77</v>
      </c>
      <c r="X252" t="str">
        <f>IF(BBDD_fashion_boutique[[#This Row],[return_reason]]="","No return",BBDD_fashion_boutique[[#This Row],[return_reason]])</f>
        <v>No return</v>
      </c>
      <c r="Y252">
        <f>IF(IFERROR(VLOOKUP(BBDD_fashion_boutique[[#This Row],[product_id]],A253:A2428,1,FALSE),0),1,0)</f>
        <v>0</v>
      </c>
    </row>
    <row r="253" spans="1:25" x14ac:dyDescent="0.3">
      <c r="A253" t="s">
        <v>312</v>
      </c>
      <c r="B253" t="s">
        <v>19</v>
      </c>
      <c r="C253" t="s">
        <v>54</v>
      </c>
      <c r="D253" t="s">
        <v>39</v>
      </c>
      <c r="E253" t="s">
        <v>29</v>
      </c>
      <c r="F253" t="str">
        <f>IF(BBDD_fashion_boutique[[#This Row],[category]]="Accessories","Accesorio",IF(BBDD_fashion_boutique[[#This Row],[size]]="","Desconocido",BBDD_fashion_boutique[[#This Row],[size]]))</f>
        <v>L</v>
      </c>
      <c r="G253" t="s">
        <v>33</v>
      </c>
      <c r="H253" s="2">
        <v>121.03</v>
      </c>
      <c r="I253">
        <v>0</v>
      </c>
      <c r="J253" s="5">
        <f>BBDD_fashion_boutique[[#This Row],[markdown_percentage]]/100</f>
        <v>0</v>
      </c>
      <c r="K253" s="2">
        <v>121.03</v>
      </c>
      <c r="L253" s="2">
        <f>BBDD_fashion_boutique[[#This Row],[original_price]]-BBDD_fashion_boutique[[#This Row],[current_price]]</f>
        <v>0</v>
      </c>
      <c r="M253" s="1">
        <v>45875</v>
      </c>
      <c r="N253" s="1" t="str">
        <f>PROPER(TEXT(BBDD_fashion_boutique[[#This Row],[purchase_date]],"dddd"))</f>
        <v>Miércoles</v>
      </c>
      <c r="O253" s="1" t="str">
        <f>PROPER(TEXT(BBDD_fashion_boutique[[#This Row],[purchase_date]],"mmmm"))</f>
        <v>Agosto</v>
      </c>
      <c r="P253" s="4">
        <v>14</v>
      </c>
      <c r="Q253" s="2">
        <v>1.6</v>
      </c>
      <c r="R253" t="str">
        <f>IF(BBDD_fashion_boutique[[#This Row],[stock_quantity]]&gt;9,"Ok",IF(BBDD_fashion_boutique[[#This Row],[stock_quantity]]=0,"Agotado","Pocas Unidades"))</f>
        <v>Ok</v>
      </c>
      <c r="S253" s="3">
        <f>IF(BBDD_fashion_boutique[[#This Row],[customer_rating]]="","No valorado",BBDD_fashion_boutique[[#This Row],[customer_rating]])</f>
        <v>1.6</v>
      </c>
      <c r="T253" t="s">
        <v>41</v>
      </c>
      <c r="U253" t="s">
        <v>121</v>
      </c>
      <c r="V253">
        <f>IF(BBDD_fashion_boutique[[#This Row],[is_returned]]="False",0,1)</f>
        <v>1</v>
      </c>
      <c r="W253">
        <f>IF(BBDD_fashion_boutique[[#This Row],[is_returned]]="True",0,BBDD_fashion_boutique[[#This Row],[current_price]])</f>
        <v>0</v>
      </c>
      <c r="X253" t="str">
        <f>IF(BBDD_fashion_boutique[[#This Row],[return_reason]]="","No return",BBDD_fashion_boutique[[#This Row],[return_reason]])</f>
        <v>Changed Mind</v>
      </c>
      <c r="Y253">
        <f>IF(IFERROR(VLOOKUP(BBDD_fashion_boutique[[#This Row],[product_id]],A254:A2429,1,FALSE),0),1,0)</f>
        <v>0</v>
      </c>
    </row>
    <row r="254" spans="1:25" x14ac:dyDescent="0.3">
      <c r="A254" t="s">
        <v>313</v>
      </c>
      <c r="B254" t="s">
        <v>26</v>
      </c>
      <c r="C254" t="s">
        <v>54</v>
      </c>
      <c r="D254" t="s">
        <v>39</v>
      </c>
      <c r="E254" t="s">
        <v>29</v>
      </c>
      <c r="F254" t="str">
        <f>IF(BBDD_fashion_boutique[[#This Row],[category]]="Accessories","Accesorio",IF(BBDD_fashion_boutique[[#This Row],[size]]="","Desconocido",BBDD_fashion_boutique[[#This Row],[size]]))</f>
        <v>L</v>
      </c>
      <c r="G254" t="s">
        <v>40</v>
      </c>
      <c r="H254" s="2">
        <v>88.62</v>
      </c>
      <c r="I254">
        <v>0</v>
      </c>
      <c r="J254" s="5">
        <f>BBDD_fashion_boutique[[#This Row],[markdown_percentage]]/100</f>
        <v>0</v>
      </c>
      <c r="K254" s="2">
        <v>88.62</v>
      </c>
      <c r="L254" s="2">
        <f>BBDD_fashion_boutique[[#This Row],[original_price]]-BBDD_fashion_boutique[[#This Row],[current_price]]</f>
        <v>0</v>
      </c>
      <c r="M254" s="1">
        <v>45875</v>
      </c>
      <c r="N254" s="1" t="str">
        <f>PROPER(TEXT(BBDD_fashion_boutique[[#This Row],[purchase_date]],"dddd"))</f>
        <v>Miércoles</v>
      </c>
      <c r="O254" s="1" t="str">
        <f>PROPER(TEXT(BBDD_fashion_boutique[[#This Row],[purchase_date]],"mmmm"))</f>
        <v>Agosto</v>
      </c>
      <c r="P254" s="4">
        <v>48</v>
      </c>
      <c r="Q254" s="2">
        <v>2.4</v>
      </c>
      <c r="R254" t="str">
        <f>IF(BBDD_fashion_boutique[[#This Row],[stock_quantity]]&gt;9,"Ok",IF(BBDD_fashion_boutique[[#This Row],[stock_quantity]]=0,"Agotado","Pocas Unidades"))</f>
        <v>Ok</v>
      </c>
      <c r="S254" s="3">
        <f>IF(BBDD_fashion_boutique[[#This Row],[customer_rating]]="","No valorado",BBDD_fashion_boutique[[#This Row],[customer_rating]])</f>
        <v>2.4</v>
      </c>
      <c r="T254" t="s">
        <v>24</v>
      </c>
      <c r="V254">
        <f>IF(BBDD_fashion_boutique[[#This Row],[is_returned]]="False",0,1)</f>
        <v>0</v>
      </c>
      <c r="W254">
        <f>IF(BBDD_fashion_boutique[[#This Row],[is_returned]]="True",0,BBDD_fashion_boutique[[#This Row],[current_price]])</f>
        <v>88.62</v>
      </c>
      <c r="X254" t="str">
        <f>IF(BBDD_fashion_boutique[[#This Row],[return_reason]]="","No return",BBDD_fashion_boutique[[#This Row],[return_reason]])</f>
        <v>No return</v>
      </c>
      <c r="Y254">
        <f>IF(IFERROR(VLOOKUP(BBDD_fashion_boutique[[#This Row],[product_id]],A255:A2430,1,FALSE),0),1,0)</f>
        <v>0</v>
      </c>
    </row>
    <row r="255" spans="1:25" x14ac:dyDescent="0.3">
      <c r="A255" t="s">
        <v>314</v>
      </c>
      <c r="B255" t="s">
        <v>35</v>
      </c>
      <c r="C255" t="s">
        <v>54</v>
      </c>
      <c r="D255" t="s">
        <v>68</v>
      </c>
      <c r="E255" t="s">
        <v>22</v>
      </c>
      <c r="F255" t="str">
        <f>IF(BBDD_fashion_boutique[[#This Row],[category]]="Accessories","Accesorio",IF(BBDD_fashion_boutique[[#This Row],[size]]="","Desconocido",BBDD_fashion_boutique[[#This Row],[size]]))</f>
        <v>XL</v>
      </c>
      <c r="G255" t="s">
        <v>52</v>
      </c>
      <c r="H255" s="2">
        <v>88.94</v>
      </c>
      <c r="I255">
        <v>0</v>
      </c>
      <c r="J255" s="5">
        <f>BBDD_fashion_boutique[[#This Row],[markdown_percentage]]/100</f>
        <v>0</v>
      </c>
      <c r="K255" s="2">
        <v>88.94</v>
      </c>
      <c r="L255" s="2">
        <f>BBDD_fashion_boutique[[#This Row],[original_price]]-BBDD_fashion_boutique[[#This Row],[current_price]]</f>
        <v>0</v>
      </c>
      <c r="M255" s="1">
        <v>45875</v>
      </c>
      <c r="N255" s="1" t="str">
        <f>PROPER(TEXT(BBDD_fashion_boutique[[#This Row],[purchase_date]],"dddd"))</f>
        <v>Miércoles</v>
      </c>
      <c r="O255" s="1" t="str">
        <f>PROPER(TEXT(BBDD_fashion_boutique[[#This Row],[purchase_date]],"mmmm"))</f>
        <v>Agosto</v>
      </c>
      <c r="P255" s="4">
        <v>29</v>
      </c>
      <c r="Q255" s="2">
        <v>3.9</v>
      </c>
      <c r="R255" t="str">
        <f>IF(BBDD_fashion_boutique[[#This Row],[stock_quantity]]&gt;9,"Ok",IF(BBDD_fashion_boutique[[#This Row],[stock_quantity]]=0,"Agotado","Pocas Unidades"))</f>
        <v>Ok</v>
      </c>
      <c r="S255" s="3">
        <f>IF(BBDD_fashion_boutique[[#This Row],[customer_rating]]="","No valorado",BBDD_fashion_boutique[[#This Row],[customer_rating]])</f>
        <v>3.9</v>
      </c>
      <c r="T255" t="s">
        <v>24</v>
      </c>
      <c r="V255">
        <f>IF(BBDD_fashion_boutique[[#This Row],[is_returned]]="False",0,1)</f>
        <v>0</v>
      </c>
      <c r="W255">
        <f>IF(BBDD_fashion_boutique[[#This Row],[is_returned]]="True",0,BBDD_fashion_boutique[[#This Row],[current_price]])</f>
        <v>88.94</v>
      </c>
      <c r="X255" t="str">
        <f>IF(BBDD_fashion_boutique[[#This Row],[return_reason]]="","No return",BBDD_fashion_boutique[[#This Row],[return_reason]])</f>
        <v>No return</v>
      </c>
      <c r="Y255">
        <f>IF(IFERROR(VLOOKUP(BBDD_fashion_boutique[[#This Row],[product_id]],A256:A2431,1,FALSE),0),1,0)</f>
        <v>0</v>
      </c>
    </row>
    <row r="256" spans="1:25" x14ac:dyDescent="0.3">
      <c r="A256" t="s">
        <v>315</v>
      </c>
      <c r="B256" t="s">
        <v>44</v>
      </c>
      <c r="C256" t="s">
        <v>20</v>
      </c>
      <c r="D256" t="s">
        <v>28</v>
      </c>
      <c r="E256" t="s">
        <v>45</v>
      </c>
      <c r="F256" t="str">
        <f>IF(BBDD_fashion_boutique[[#This Row],[category]]="Accessories","Accesorio",IF(BBDD_fashion_boutique[[#This Row],[size]]="","Desconocido",BBDD_fashion_boutique[[#This Row],[size]]))</f>
        <v>S</v>
      </c>
      <c r="G256" t="s">
        <v>33</v>
      </c>
      <c r="H256" s="2">
        <v>115.7</v>
      </c>
      <c r="I256">
        <v>17.8</v>
      </c>
      <c r="J256" s="5">
        <f>BBDD_fashion_boutique[[#This Row],[markdown_percentage]]/100</f>
        <v>0.17800000000000002</v>
      </c>
      <c r="K256" s="2">
        <v>95.11</v>
      </c>
      <c r="L256" s="2">
        <f>BBDD_fashion_boutique[[#This Row],[original_price]]-BBDD_fashion_boutique[[#This Row],[current_price]]</f>
        <v>20.590000000000003</v>
      </c>
      <c r="M256" s="1">
        <v>45875</v>
      </c>
      <c r="N256" s="1" t="str">
        <f>PROPER(TEXT(BBDD_fashion_boutique[[#This Row],[purchase_date]],"dddd"))</f>
        <v>Miércoles</v>
      </c>
      <c r="O256" s="1" t="str">
        <f>PROPER(TEXT(BBDD_fashion_boutique[[#This Row],[purchase_date]],"mmmm"))</f>
        <v>Agosto</v>
      </c>
      <c r="P256" s="4">
        <v>32</v>
      </c>
      <c r="Q256" s="2">
        <v>1.7</v>
      </c>
      <c r="R256" t="str">
        <f>IF(BBDD_fashion_boutique[[#This Row],[stock_quantity]]&gt;9,"Ok",IF(BBDD_fashion_boutique[[#This Row],[stock_quantity]]=0,"Agotado","Pocas Unidades"))</f>
        <v>Ok</v>
      </c>
      <c r="S256" s="3">
        <f>IF(BBDD_fashion_boutique[[#This Row],[customer_rating]]="","No valorado",BBDD_fashion_boutique[[#This Row],[customer_rating]])</f>
        <v>1.7</v>
      </c>
      <c r="T256" t="s">
        <v>24</v>
      </c>
      <c r="V256">
        <f>IF(BBDD_fashion_boutique[[#This Row],[is_returned]]="False",0,1)</f>
        <v>0</v>
      </c>
      <c r="W256">
        <f>IF(BBDD_fashion_boutique[[#This Row],[is_returned]]="True",0,BBDD_fashion_boutique[[#This Row],[current_price]])</f>
        <v>95.11</v>
      </c>
      <c r="X256" t="str">
        <f>IF(BBDD_fashion_boutique[[#This Row],[return_reason]]="","No return",BBDD_fashion_boutique[[#This Row],[return_reason]])</f>
        <v>No return</v>
      </c>
      <c r="Y256">
        <f>IF(IFERROR(VLOOKUP(BBDD_fashion_boutique[[#This Row],[product_id]],A257:A2432,1,FALSE),0),1,0)</f>
        <v>0</v>
      </c>
    </row>
    <row r="257" spans="1:25" x14ac:dyDescent="0.3">
      <c r="A257" t="s">
        <v>316</v>
      </c>
      <c r="B257" t="s">
        <v>44</v>
      </c>
      <c r="C257" t="s">
        <v>81</v>
      </c>
      <c r="D257" t="s">
        <v>39</v>
      </c>
      <c r="E257" t="s">
        <v>55</v>
      </c>
      <c r="F257" t="str">
        <f>IF(BBDD_fashion_boutique[[#This Row],[category]]="Accessories","Accesorio",IF(BBDD_fashion_boutique[[#This Row],[size]]="","Desconocido",BBDD_fashion_boutique[[#This Row],[size]]))</f>
        <v>XXL</v>
      </c>
      <c r="G257" t="s">
        <v>33</v>
      </c>
      <c r="H257" s="2">
        <v>75.66</v>
      </c>
      <c r="I257">
        <v>0</v>
      </c>
      <c r="J257" s="5">
        <f>BBDD_fashion_boutique[[#This Row],[markdown_percentage]]/100</f>
        <v>0</v>
      </c>
      <c r="K257" s="2">
        <v>75.66</v>
      </c>
      <c r="L257" s="2">
        <f>BBDD_fashion_boutique[[#This Row],[original_price]]-BBDD_fashion_boutique[[#This Row],[current_price]]</f>
        <v>0</v>
      </c>
      <c r="M257" s="1">
        <v>45875</v>
      </c>
      <c r="N257" s="1" t="str">
        <f>PROPER(TEXT(BBDD_fashion_boutique[[#This Row],[purchase_date]],"dddd"))</f>
        <v>Miércoles</v>
      </c>
      <c r="O257" s="1" t="str">
        <f>PROPER(TEXT(BBDD_fashion_boutique[[#This Row],[purchase_date]],"mmmm"))</f>
        <v>Agosto</v>
      </c>
      <c r="P257" s="4">
        <v>20</v>
      </c>
      <c r="Q257" s="2">
        <v>3</v>
      </c>
      <c r="R257" t="str">
        <f>IF(BBDD_fashion_boutique[[#This Row],[stock_quantity]]&gt;9,"Ok",IF(BBDD_fashion_boutique[[#This Row],[stock_quantity]]=0,"Agotado","Pocas Unidades"))</f>
        <v>Ok</v>
      </c>
      <c r="S257" s="3">
        <f>IF(BBDD_fashion_boutique[[#This Row],[customer_rating]]="","No valorado",BBDD_fashion_boutique[[#This Row],[customer_rating]])</f>
        <v>3</v>
      </c>
      <c r="T257" t="s">
        <v>24</v>
      </c>
      <c r="V257">
        <f>IF(BBDD_fashion_boutique[[#This Row],[is_returned]]="False",0,1)</f>
        <v>0</v>
      </c>
      <c r="W257">
        <f>IF(BBDD_fashion_boutique[[#This Row],[is_returned]]="True",0,BBDD_fashion_boutique[[#This Row],[current_price]])</f>
        <v>75.66</v>
      </c>
      <c r="X257" t="str">
        <f>IF(BBDD_fashion_boutique[[#This Row],[return_reason]]="","No return",BBDD_fashion_boutique[[#This Row],[return_reason]])</f>
        <v>No return</v>
      </c>
      <c r="Y257">
        <f>IF(IFERROR(VLOOKUP(BBDD_fashion_boutique[[#This Row],[product_id]],A258:A2433,1,FALSE),0),1,0)</f>
        <v>0</v>
      </c>
    </row>
    <row r="258" spans="1:25" x14ac:dyDescent="0.3">
      <c r="A258" t="s">
        <v>317</v>
      </c>
      <c r="B258" t="s">
        <v>32</v>
      </c>
      <c r="C258" t="s">
        <v>59</v>
      </c>
      <c r="D258" t="s">
        <v>28</v>
      </c>
      <c r="F258" t="str">
        <f>IF(BBDD_fashion_boutique[[#This Row],[category]]="Accessories","Accesorio",IF(BBDD_fashion_boutique[[#This Row],[size]]="","Desconocido",BBDD_fashion_boutique[[#This Row],[size]]))</f>
        <v>Accesorio</v>
      </c>
      <c r="G258" t="s">
        <v>52</v>
      </c>
      <c r="H258" s="2">
        <v>42.11</v>
      </c>
      <c r="I258">
        <v>0</v>
      </c>
      <c r="J258" s="5">
        <f>BBDD_fashion_boutique[[#This Row],[markdown_percentage]]/100</f>
        <v>0</v>
      </c>
      <c r="K258" s="2">
        <v>42.11</v>
      </c>
      <c r="L258" s="2">
        <f>BBDD_fashion_boutique[[#This Row],[original_price]]-BBDD_fashion_boutique[[#This Row],[current_price]]</f>
        <v>0</v>
      </c>
      <c r="M258" s="1">
        <v>45875</v>
      </c>
      <c r="N258" s="1" t="str">
        <f>PROPER(TEXT(BBDD_fashion_boutique[[#This Row],[purchase_date]],"dddd"))</f>
        <v>Miércoles</v>
      </c>
      <c r="O258" s="1" t="str">
        <f>PROPER(TEXT(BBDD_fashion_boutique[[#This Row],[purchase_date]],"mmmm"))</f>
        <v>Agosto</v>
      </c>
      <c r="P258" s="4">
        <v>26</v>
      </c>
      <c r="Q258" s="2">
        <v>4</v>
      </c>
      <c r="R258" t="str">
        <f>IF(BBDD_fashion_boutique[[#This Row],[stock_quantity]]&gt;9,"Ok",IF(BBDD_fashion_boutique[[#This Row],[stock_quantity]]=0,"Agotado","Pocas Unidades"))</f>
        <v>Ok</v>
      </c>
      <c r="S258" s="3">
        <f>IF(BBDD_fashion_boutique[[#This Row],[customer_rating]]="","No valorado",BBDD_fashion_boutique[[#This Row],[customer_rating]])</f>
        <v>4</v>
      </c>
      <c r="T258" t="s">
        <v>24</v>
      </c>
      <c r="V258">
        <f>IF(BBDD_fashion_boutique[[#This Row],[is_returned]]="False",0,1)</f>
        <v>0</v>
      </c>
      <c r="W258">
        <f>IF(BBDD_fashion_boutique[[#This Row],[is_returned]]="True",0,BBDD_fashion_boutique[[#This Row],[current_price]])</f>
        <v>42.11</v>
      </c>
      <c r="X258" t="str">
        <f>IF(BBDD_fashion_boutique[[#This Row],[return_reason]]="","No return",BBDD_fashion_boutique[[#This Row],[return_reason]])</f>
        <v>No return</v>
      </c>
      <c r="Y258">
        <f>IF(IFERROR(VLOOKUP(BBDD_fashion_boutique[[#This Row],[product_id]],A259:A2434,1,FALSE),0),1,0)</f>
        <v>0</v>
      </c>
    </row>
    <row r="259" spans="1:25" x14ac:dyDescent="0.3">
      <c r="A259" t="s">
        <v>318</v>
      </c>
      <c r="B259" t="s">
        <v>19</v>
      </c>
      <c r="C259" t="s">
        <v>54</v>
      </c>
      <c r="D259" t="s">
        <v>21</v>
      </c>
      <c r="E259" t="s">
        <v>55</v>
      </c>
      <c r="F259" t="str">
        <f>IF(BBDD_fashion_boutique[[#This Row],[category]]="Accessories","Accesorio",IF(BBDD_fashion_boutique[[#This Row],[size]]="","Desconocido",BBDD_fashion_boutique[[#This Row],[size]]))</f>
        <v>XXL</v>
      </c>
      <c r="G259" t="s">
        <v>62</v>
      </c>
      <c r="H259" s="2">
        <v>247.9</v>
      </c>
      <c r="I259">
        <v>4.3</v>
      </c>
      <c r="J259" s="5">
        <f>BBDD_fashion_boutique[[#This Row],[markdown_percentage]]/100</f>
        <v>4.2999999999999997E-2</v>
      </c>
      <c r="K259" s="2">
        <v>237.24</v>
      </c>
      <c r="L259" s="2">
        <f>BBDD_fashion_boutique[[#This Row],[original_price]]-BBDD_fashion_boutique[[#This Row],[current_price]]</f>
        <v>10.659999999999997</v>
      </c>
      <c r="M259" s="1">
        <v>45651</v>
      </c>
      <c r="N259" s="1" t="str">
        <f>PROPER(TEXT(BBDD_fashion_boutique[[#This Row],[purchase_date]],"dddd"))</f>
        <v>Miércoles</v>
      </c>
      <c r="O259" s="1" t="str">
        <f>PROPER(TEXT(BBDD_fashion_boutique[[#This Row],[purchase_date]],"mmmm"))</f>
        <v>Diciembre</v>
      </c>
      <c r="P259" s="4">
        <v>25</v>
      </c>
      <c r="Q259" s="2">
        <v>4.5999999999999996</v>
      </c>
      <c r="R259" t="str">
        <f>IF(BBDD_fashion_boutique[[#This Row],[stock_quantity]]&gt;9,"Ok",IF(BBDD_fashion_boutique[[#This Row],[stock_quantity]]=0,"Agotado","Pocas Unidades"))</f>
        <v>Ok</v>
      </c>
      <c r="S259" s="3">
        <f>IF(BBDD_fashion_boutique[[#This Row],[customer_rating]]="","No valorado",BBDD_fashion_boutique[[#This Row],[customer_rating]])</f>
        <v>4.5999999999999996</v>
      </c>
      <c r="T259" t="s">
        <v>24</v>
      </c>
      <c r="V259">
        <f>IF(BBDD_fashion_boutique[[#This Row],[is_returned]]="False",0,1)</f>
        <v>0</v>
      </c>
      <c r="W259">
        <f>IF(BBDD_fashion_boutique[[#This Row],[is_returned]]="True",0,BBDD_fashion_boutique[[#This Row],[current_price]])</f>
        <v>237.24</v>
      </c>
      <c r="X259" t="str">
        <f>IF(BBDD_fashion_boutique[[#This Row],[return_reason]]="","No return",BBDD_fashion_boutique[[#This Row],[return_reason]])</f>
        <v>No return</v>
      </c>
      <c r="Y259">
        <f>IF(IFERROR(VLOOKUP(BBDD_fashion_boutique[[#This Row],[product_id]],A260:A2435,1,FALSE),0),1,0)</f>
        <v>0</v>
      </c>
    </row>
    <row r="260" spans="1:25" x14ac:dyDescent="0.3">
      <c r="A260" t="s">
        <v>319</v>
      </c>
      <c r="B260" t="s">
        <v>35</v>
      </c>
      <c r="C260" t="s">
        <v>37</v>
      </c>
      <c r="D260" t="s">
        <v>21</v>
      </c>
      <c r="E260" t="s">
        <v>22</v>
      </c>
      <c r="F260" t="str">
        <f>IF(BBDD_fashion_boutique[[#This Row],[category]]="Accessories","Accesorio",IF(BBDD_fashion_boutique[[#This Row],[size]]="","Desconocido",BBDD_fashion_boutique[[#This Row],[size]]))</f>
        <v>XL</v>
      </c>
      <c r="G260" t="s">
        <v>62</v>
      </c>
      <c r="H260" s="2">
        <v>143.44999999999999</v>
      </c>
      <c r="I260">
        <v>0</v>
      </c>
      <c r="J260" s="5">
        <f>BBDD_fashion_boutique[[#This Row],[markdown_percentage]]/100</f>
        <v>0</v>
      </c>
      <c r="K260" s="2">
        <v>143.44999999999999</v>
      </c>
      <c r="L260" s="2">
        <f>BBDD_fashion_boutique[[#This Row],[original_price]]-BBDD_fashion_boutique[[#This Row],[current_price]]</f>
        <v>0</v>
      </c>
      <c r="M260" s="1">
        <v>45562</v>
      </c>
      <c r="N260" s="1" t="str">
        <f>PROPER(TEXT(BBDD_fashion_boutique[[#This Row],[purchase_date]],"dddd"))</f>
        <v>Viernes</v>
      </c>
      <c r="O260" s="1" t="str">
        <f>PROPER(TEXT(BBDD_fashion_boutique[[#This Row],[purchase_date]],"mmmm"))</f>
        <v>Septiembre</v>
      </c>
      <c r="P260" s="4">
        <v>39</v>
      </c>
      <c r="R260" t="str">
        <f>IF(BBDD_fashion_boutique[[#This Row],[stock_quantity]]&gt;9,"Ok",IF(BBDD_fashion_boutique[[#This Row],[stock_quantity]]=0,"Agotado","Pocas Unidades"))</f>
        <v>Ok</v>
      </c>
      <c r="S260" s="3" t="str">
        <f>IF(BBDD_fashion_boutique[[#This Row],[customer_rating]]="","No valorado",BBDD_fashion_boutique[[#This Row],[customer_rating]])</f>
        <v>No valorado</v>
      </c>
      <c r="T260" t="s">
        <v>41</v>
      </c>
      <c r="U260" t="s">
        <v>89</v>
      </c>
      <c r="V260">
        <f>IF(BBDD_fashion_boutique[[#This Row],[is_returned]]="False",0,1)</f>
        <v>1</v>
      </c>
      <c r="W260">
        <f>IF(BBDD_fashion_boutique[[#This Row],[is_returned]]="True",0,BBDD_fashion_boutique[[#This Row],[current_price]])</f>
        <v>0</v>
      </c>
      <c r="X260" t="str">
        <f>IF(BBDD_fashion_boutique[[#This Row],[return_reason]]="","No return",BBDD_fashion_boutique[[#This Row],[return_reason]])</f>
        <v>Quality Issue</v>
      </c>
      <c r="Y260">
        <f>IF(IFERROR(VLOOKUP(BBDD_fashion_boutique[[#This Row],[product_id]],A261:A2436,1,FALSE),0),1,0)</f>
        <v>0</v>
      </c>
    </row>
    <row r="261" spans="1:25" x14ac:dyDescent="0.3">
      <c r="A261" t="s">
        <v>320</v>
      </c>
      <c r="B261" t="s">
        <v>32</v>
      </c>
      <c r="C261" t="s">
        <v>37</v>
      </c>
      <c r="D261" t="s">
        <v>28</v>
      </c>
      <c r="F261" t="str">
        <f>IF(BBDD_fashion_boutique[[#This Row],[category]]="Accessories","Accesorio",IF(BBDD_fashion_boutique[[#This Row],[size]]="","Desconocido",BBDD_fashion_boutique[[#This Row],[size]]))</f>
        <v>Accesorio</v>
      </c>
      <c r="G261" t="s">
        <v>62</v>
      </c>
      <c r="H261" s="2">
        <v>24.96</v>
      </c>
      <c r="I261">
        <v>44.7</v>
      </c>
      <c r="J261" s="5">
        <f>BBDD_fashion_boutique[[#This Row],[markdown_percentage]]/100</f>
        <v>0.44700000000000001</v>
      </c>
      <c r="K261" s="2">
        <v>13.8</v>
      </c>
      <c r="L261" s="2">
        <f>BBDD_fashion_boutique[[#This Row],[original_price]]-BBDD_fashion_boutique[[#This Row],[current_price]]</f>
        <v>11.16</v>
      </c>
      <c r="M261" s="1">
        <v>45875</v>
      </c>
      <c r="N261" s="1" t="str">
        <f>PROPER(TEXT(BBDD_fashion_boutique[[#This Row],[purchase_date]],"dddd"))</f>
        <v>Miércoles</v>
      </c>
      <c r="O261" s="1" t="str">
        <f>PROPER(TEXT(BBDD_fashion_boutique[[#This Row],[purchase_date]],"mmmm"))</f>
        <v>Agosto</v>
      </c>
      <c r="P261" s="4">
        <v>44</v>
      </c>
      <c r="R261" t="str">
        <f>IF(BBDD_fashion_boutique[[#This Row],[stock_quantity]]&gt;9,"Ok",IF(BBDD_fashion_boutique[[#This Row],[stock_quantity]]=0,"Agotado","Pocas Unidades"))</f>
        <v>Ok</v>
      </c>
      <c r="S261" s="3" t="str">
        <f>IF(BBDD_fashion_boutique[[#This Row],[customer_rating]]="","No valorado",BBDD_fashion_boutique[[#This Row],[customer_rating]])</f>
        <v>No valorado</v>
      </c>
      <c r="T261" t="s">
        <v>24</v>
      </c>
      <c r="V261">
        <f>IF(BBDD_fashion_boutique[[#This Row],[is_returned]]="False",0,1)</f>
        <v>0</v>
      </c>
      <c r="W261">
        <f>IF(BBDD_fashion_boutique[[#This Row],[is_returned]]="True",0,BBDD_fashion_boutique[[#This Row],[current_price]])</f>
        <v>13.8</v>
      </c>
      <c r="X261" t="str">
        <f>IF(BBDD_fashion_boutique[[#This Row],[return_reason]]="","No return",BBDD_fashion_boutique[[#This Row],[return_reason]])</f>
        <v>No return</v>
      </c>
      <c r="Y261">
        <f>IF(IFERROR(VLOOKUP(BBDD_fashion_boutique[[#This Row],[product_id]],A262:A2437,1,FALSE),0),1,0)</f>
        <v>0</v>
      </c>
    </row>
    <row r="262" spans="1:25" x14ac:dyDescent="0.3">
      <c r="A262" t="s">
        <v>321</v>
      </c>
      <c r="B262" t="s">
        <v>19</v>
      </c>
      <c r="C262" t="s">
        <v>81</v>
      </c>
      <c r="D262" t="s">
        <v>68</v>
      </c>
      <c r="E262" t="s">
        <v>22</v>
      </c>
      <c r="F262" t="str">
        <f>IF(BBDD_fashion_boutique[[#This Row],[category]]="Accessories","Accesorio",IF(BBDD_fashion_boutique[[#This Row],[size]]="","Desconocido",BBDD_fashion_boutique[[#This Row],[size]]))</f>
        <v>XL</v>
      </c>
      <c r="G262" t="s">
        <v>70</v>
      </c>
      <c r="H262" s="2">
        <v>109.74</v>
      </c>
      <c r="I262">
        <v>0</v>
      </c>
      <c r="J262" s="5">
        <f>BBDD_fashion_boutique[[#This Row],[markdown_percentage]]/100</f>
        <v>0</v>
      </c>
      <c r="K262" s="2">
        <v>109.74</v>
      </c>
      <c r="L262" s="2">
        <f>BBDD_fashion_boutique[[#This Row],[original_price]]-BBDD_fashion_boutique[[#This Row],[current_price]]</f>
        <v>0</v>
      </c>
      <c r="M262" s="1">
        <v>45875</v>
      </c>
      <c r="N262" s="1" t="str">
        <f>PROPER(TEXT(BBDD_fashion_boutique[[#This Row],[purchase_date]],"dddd"))</f>
        <v>Miércoles</v>
      </c>
      <c r="O262" s="1" t="str">
        <f>PROPER(TEXT(BBDD_fashion_boutique[[#This Row],[purchase_date]],"mmmm"))</f>
        <v>Agosto</v>
      </c>
      <c r="P262" s="4">
        <v>45</v>
      </c>
      <c r="Q262" s="2">
        <v>1.9</v>
      </c>
      <c r="R262" t="str">
        <f>IF(BBDD_fashion_boutique[[#This Row],[stock_quantity]]&gt;9,"Ok",IF(BBDD_fashion_boutique[[#This Row],[stock_quantity]]=0,"Agotado","Pocas Unidades"))</f>
        <v>Ok</v>
      </c>
      <c r="S262" s="3">
        <f>IF(BBDD_fashion_boutique[[#This Row],[customer_rating]]="","No valorado",BBDD_fashion_boutique[[#This Row],[customer_rating]])</f>
        <v>1.9</v>
      </c>
      <c r="T262" t="s">
        <v>24</v>
      </c>
      <c r="V262">
        <f>IF(BBDD_fashion_boutique[[#This Row],[is_returned]]="False",0,1)</f>
        <v>0</v>
      </c>
      <c r="W262">
        <f>IF(BBDD_fashion_boutique[[#This Row],[is_returned]]="True",0,BBDD_fashion_boutique[[#This Row],[current_price]])</f>
        <v>109.74</v>
      </c>
      <c r="X262" t="str">
        <f>IF(BBDD_fashion_boutique[[#This Row],[return_reason]]="","No return",BBDD_fashion_boutique[[#This Row],[return_reason]])</f>
        <v>No return</v>
      </c>
      <c r="Y262">
        <f>IF(IFERROR(VLOOKUP(BBDD_fashion_boutique[[#This Row],[product_id]],A263:A2438,1,FALSE),0),1,0)</f>
        <v>0</v>
      </c>
    </row>
    <row r="263" spans="1:25" x14ac:dyDescent="0.3">
      <c r="A263" t="s">
        <v>322</v>
      </c>
      <c r="B263" t="s">
        <v>48</v>
      </c>
      <c r="C263" t="s">
        <v>54</v>
      </c>
      <c r="D263" t="s">
        <v>68</v>
      </c>
      <c r="E263" t="s">
        <v>22</v>
      </c>
      <c r="F263" t="str">
        <f>IF(BBDD_fashion_boutique[[#This Row],[category]]="Accessories","Accesorio",IF(BBDD_fashion_boutique[[#This Row],[size]]="","Desconocido",BBDD_fashion_boutique[[#This Row],[size]]))</f>
        <v>XL</v>
      </c>
      <c r="G263" t="s">
        <v>50</v>
      </c>
      <c r="H263" s="2">
        <v>161.13999999999999</v>
      </c>
      <c r="I263">
        <v>0</v>
      </c>
      <c r="J263" s="5">
        <f>BBDD_fashion_boutique[[#This Row],[markdown_percentage]]/100</f>
        <v>0</v>
      </c>
      <c r="K263" s="2">
        <v>161.13999999999999</v>
      </c>
      <c r="L263" s="2">
        <f>BBDD_fashion_boutique[[#This Row],[original_price]]-BBDD_fashion_boutique[[#This Row],[current_price]]</f>
        <v>0</v>
      </c>
      <c r="M263" s="1">
        <v>45875</v>
      </c>
      <c r="N263" s="1" t="str">
        <f>PROPER(TEXT(BBDD_fashion_boutique[[#This Row],[purchase_date]],"dddd"))</f>
        <v>Miércoles</v>
      </c>
      <c r="O263" s="1" t="str">
        <f>PROPER(TEXT(BBDD_fashion_boutique[[#This Row],[purchase_date]],"mmmm"))</f>
        <v>Agosto</v>
      </c>
      <c r="P263" s="4">
        <v>44</v>
      </c>
      <c r="Q263" s="2">
        <v>1.6</v>
      </c>
      <c r="R263" t="str">
        <f>IF(BBDD_fashion_boutique[[#This Row],[stock_quantity]]&gt;9,"Ok",IF(BBDD_fashion_boutique[[#This Row],[stock_quantity]]=0,"Agotado","Pocas Unidades"))</f>
        <v>Ok</v>
      </c>
      <c r="S263" s="3">
        <f>IF(BBDD_fashion_boutique[[#This Row],[customer_rating]]="","No valorado",BBDD_fashion_boutique[[#This Row],[customer_rating]])</f>
        <v>1.6</v>
      </c>
      <c r="T263" t="s">
        <v>24</v>
      </c>
      <c r="V263">
        <f>IF(BBDD_fashion_boutique[[#This Row],[is_returned]]="False",0,1)</f>
        <v>0</v>
      </c>
      <c r="W263">
        <f>IF(BBDD_fashion_boutique[[#This Row],[is_returned]]="True",0,BBDD_fashion_boutique[[#This Row],[current_price]])</f>
        <v>161.13999999999999</v>
      </c>
      <c r="X263" t="str">
        <f>IF(BBDD_fashion_boutique[[#This Row],[return_reason]]="","No return",BBDD_fashion_boutique[[#This Row],[return_reason]])</f>
        <v>No return</v>
      </c>
      <c r="Y263">
        <f>IF(IFERROR(VLOOKUP(BBDD_fashion_boutique[[#This Row],[product_id]],A264:A2439,1,FALSE),0),1,0)</f>
        <v>0</v>
      </c>
    </row>
    <row r="264" spans="1:25" x14ac:dyDescent="0.3">
      <c r="A264" t="s">
        <v>323</v>
      </c>
      <c r="B264" t="s">
        <v>19</v>
      </c>
      <c r="C264" t="s">
        <v>37</v>
      </c>
      <c r="D264" t="s">
        <v>21</v>
      </c>
      <c r="E264" t="s">
        <v>55</v>
      </c>
      <c r="F264" t="str">
        <f>IF(BBDD_fashion_boutique[[#This Row],[category]]="Accessories","Accesorio",IF(BBDD_fashion_boutique[[#This Row],[size]]="","Desconocido",BBDD_fashion_boutique[[#This Row],[size]]))</f>
        <v>XXL</v>
      </c>
      <c r="G264" t="s">
        <v>76</v>
      </c>
      <c r="H264" s="2">
        <v>220.14</v>
      </c>
      <c r="I264">
        <v>9.1999999999999993</v>
      </c>
      <c r="J264" s="5">
        <f>BBDD_fashion_boutique[[#This Row],[markdown_percentage]]/100</f>
        <v>9.1999999999999998E-2</v>
      </c>
      <c r="K264" s="2">
        <v>199.89</v>
      </c>
      <c r="L264" s="2">
        <f>BBDD_fashion_boutique[[#This Row],[original_price]]-BBDD_fashion_boutique[[#This Row],[current_price]]</f>
        <v>20.25</v>
      </c>
      <c r="M264" s="1">
        <v>45835</v>
      </c>
      <c r="N264" s="1" t="str">
        <f>PROPER(TEXT(BBDD_fashion_boutique[[#This Row],[purchase_date]],"dddd"))</f>
        <v>Viernes</v>
      </c>
      <c r="O264" s="1" t="str">
        <f>PROPER(TEXT(BBDD_fashion_boutique[[#This Row],[purchase_date]],"mmmm"))</f>
        <v>Junio</v>
      </c>
      <c r="P264" s="4">
        <v>23</v>
      </c>
      <c r="Q264" s="2">
        <v>4.8</v>
      </c>
      <c r="R264" t="str">
        <f>IF(BBDD_fashion_boutique[[#This Row],[stock_quantity]]&gt;9,"Ok",IF(BBDD_fashion_boutique[[#This Row],[stock_quantity]]=0,"Agotado","Pocas Unidades"))</f>
        <v>Ok</v>
      </c>
      <c r="S264" s="3">
        <f>IF(BBDD_fashion_boutique[[#This Row],[customer_rating]]="","No valorado",BBDD_fashion_boutique[[#This Row],[customer_rating]])</f>
        <v>4.8</v>
      </c>
      <c r="T264" t="s">
        <v>24</v>
      </c>
      <c r="V264">
        <f>IF(BBDD_fashion_boutique[[#This Row],[is_returned]]="False",0,1)</f>
        <v>0</v>
      </c>
      <c r="W264">
        <f>IF(BBDD_fashion_boutique[[#This Row],[is_returned]]="True",0,BBDD_fashion_boutique[[#This Row],[current_price]])</f>
        <v>199.89</v>
      </c>
      <c r="X264" t="str">
        <f>IF(BBDD_fashion_boutique[[#This Row],[return_reason]]="","No return",BBDD_fashion_boutique[[#This Row],[return_reason]])</f>
        <v>No return</v>
      </c>
      <c r="Y264">
        <f>IF(IFERROR(VLOOKUP(BBDD_fashion_boutique[[#This Row],[product_id]],A265:A2440,1,FALSE),0),1,0)</f>
        <v>0</v>
      </c>
    </row>
    <row r="265" spans="1:25" x14ac:dyDescent="0.3">
      <c r="A265" t="s">
        <v>324</v>
      </c>
      <c r="B265" t="s">
        <v>48</v>
      </c>
      <c r="C265" t="s">
        <v>81</v>
      </c>
      <c r="D265" t="s">
        <v>68</v>
      </c>
      <c r="E265" t="s">
        <v>45</v>
      </c>
      <c r="F265" t="str">
        <f>IF(BBDD_fashion_boutique[[#This Row],[category]]="Accessories","Accesorio",IF(BBDD_fashion_boutique[[#This Row],[size]]="","Desconocido",BBDD_fashion_boutique[[#This Row],[size]]))</f>
        <v>S</v>
      </c>
      <c r="G265" t="s">
        <v>30</v>
      </c>
      <c r="H265" s="2">
        <v>57.33</v>
      </c>
      <c r="I265">
        <v>0</v>
      </c>
      <c r="J265" s="5">
        <f>BBDD_fashion_boutique[[#This Row],[markdown_percentage]]/100</f>
        <v>0</v>
      </c>
      <c r="K265" s="2">
        <v>57.33</v>
      </c>
      <c r="L265" s="2">
        <f>BBDD_fashion_boutique[[#This Row],[original_price]]-BBDD_fashion_boutique[[#This Row],[current_price]]</f>
        <v>0</v>
      </c>
      <c r="M265" s="1">
        <v>45875</v>
      </c>
      <c r="N265" s="1" t="str">
        <f>PROPER(TEXT(BBDD_fashion_boutique[[#This Row],[purchase_date]],"dddd"))</f>
        <v>Miércoles</v>
      </c>
      <c r="O265" s="1" t="str">
        <f>PROPER(TEXT(BBDD_fashion_boutique[[#This Row],[purchase_date]],"mmmm"))</f>
        <v>Agosto</v>
      </c>
      <c r="P265" s="4">
        <v>23</v>
      </c>
      <c r="Q265" s="2">
        <v>2</v>
      </c>
      <c r="R265" t="str">
        <f>IF(BBDD_fashion_boutique[[#This Row],[stock_quantity]]&gt;9,"Ok",IF(BBDD_fashion_boutique[[#This Row],[stock_quantity]]=0,"Agotado","Pocas Unidades"))</f>
        <v>Ok</v>
      </c>
      <c r="S265" s="3">
        <f>IF(BBDD_fashion_boutique[[#This Row],[customer_rating]]="","No valorado",BBDD_fashion_boutique[[#This Row],[customer_rating]])</f>
        <v>2</v>
      </c>
      <c r="T265" t="s">
        <v>24</v>
      </c>
      <c r="V265">
        <f>IF(BBDD_fashion_boutique[[#This Row],[is_returned]]="False",0,1)</f>
        <v>0</v>
      </c>
      <c r="W265">
        <f>IF(BBDD_fashion_boutique[[#This Row],[is_returned]]="True",0,BBDD_fashion_boutique[[#This Row],[current_price]])</f>
        <v>57.33</v>
      </c>
      <c r="X265" t="str">
        <f>IF(BBDD_fashion_boutique[[#This Row],[return_reason]]="","No return",BBDD_fashion_boutique[[#This Row],[return_reason]])</f>
        <v>No return</v>
      </c>
      <c r="Y265">
        <f>IF(IFERROR(VLOOKUP(BBDD_fashion_boutique[[#This Row],[product_id]],A266:A2441,1,FALSE),0),1,0)</f>
        <v>0</v>
      </c>
    </row>
    <row r="266" spans="1:25" x14ac:dyDescent="0.3">
      <c r="A266" t="s">
        <v>325</v>
      </c>
      <c r="B266" t="s">
        <v>44</v>
      </c>
      <c r="C266" t="s">
        <v>20</v>
      </c>
      <c r="D266" t="s">
        <v>39</v>
      </c>
      <c r="E266" t="s">
        <v>55</v>
      </c>
      <c r="F266" t="str">
        <f>IF(BBDD_fashion_boutique[[#This Row],[category]]="Accessories","Accesorio",IF(BBDD_fashion_boutique[[#This Row],[size]]="","Desconocido",BBDD_fashion_boutique[[#This Row],[size]]))</f>
        <v>XXL</v>
      </c>
      <c r="G266" t="s">
        <v>50</v>
      </c>
      <c r="H266" s="2">
        <v>108.24</v>
      </c>
      <c r="I266">
        <v>0</v>
      </c>
      <c r="J266" s="5">
        <f>BBDD_fashion_boutique[[#This Row],[markdown_percentage]]/100</f>
        <v>0</v>
      </c>
      <c r="K266" s="2">
        <v>108.24</v>
      </c>
      <c r="L266" s="2">
        <f>BBDD_fashion_boutique[[#This Row],[original_price]]-BBDD_fashion_boutique[[#This Row],[current_price]]</f>
        <v>0</v>
      </c>
      <c r="M266" s="1">
        <v>45875</v>
      </c>
      <c r="N266" s="1" t="str">
        <f>PROPER(TEXT(BBDD_fashion_boutique[[#This Row],[purchase_date]],"dddd"))</f>
        <v>Miércoles</v>
      </c>
      <c r="O266" s="1" t="str">
        <f>PROPER(TEXT(BBDD_fashion_boutique[[#This Row],[purchase_date]],"mmmm"))</f>
        <v>Agosto</v>
      </c>
      <c r="P266" s="4">
        <v>8</v>
      </c>
      <c r="Q266" s="2">
        <v>2.2999999999999998</v>
      </c>
      <c r="R266" t="str">
        <f>IF(BBDD_fashion_boutique[[#This Row],[stock_quantity]]&gt;9,"Ok",IF(BBDD_fashion_boutique[[#This Row],[stock_quantity]]=0,"Agotado","Pocas Unidades"))</f>
        <v>Pocas Unidades</v>
      </c>
      <c r="S266" s="3">
        <f>IF(BBDD_fashion_boutique[[#This Row],[customer_rating]]="","No valorado",BBDD_fashion_boutique[[#This Row],[customer_rating]])</f>
        <v>2.2999999999999998</v>
      </c>
      <c r="T266" t="s">
        <v>24</v>
      </c>
      <c r="V266">
        <f>IF(BBDD_fashion_boutique[[#This Row],[is_returned]]="False",0,1)</f>
        <v>0</v>
      </c>
      <c r="W266">
        <f>IF(BBDD_fashion_boutique[[#This Row],[is_returned]]="True",0,BBDD_fashion_boutique[[#This Row],[current_price]])</f>
        <v>108.24</v>
      </c>
      <c r="X266" t="str">
        <f>IF(BBDD_fashion_boutique[[#This Row],[return_reason]]="","No return",BBDD_fashion_boutique[[#This Row],[return_reason]])</f>
        <v>No return</v>
      </c>
      <c r="Y266">
        <f>IF(IFERROR(VLOOKUP(BBDD_fashion_boutique[[#This Row],[product_id]],A267:A2442,1,FALSE),0),1,0)</f>
        <v>0</v>
      </c>
    </row>
    <row r="267" spans="1:25" x14ac:dyDescent="0.3">
      <c r="A267" t="s">
        <v>326</v>
      </c>
      <c r="B267" t="s">
        <v>32</v>
      </c>
      <c r="C267" t="s">
        <v>37</v>
      </c>
      <c r="D267" t="s">
        <v>68</v>
      </c>
      <c r="F267" t="str">
        <f>IF(BBDD_fashion_boutique[[#This Row],[category]]="Accessories","Accesorio",IF(BBDD_fashion_boutique[[#This Row],[size]]="","Desconocido",BBDD_fashion_boutique[[#This Row],[size]]))</f>
        <v>Accesorio</v>
      </c>
      <c r="G267" t="s">
        <v>46</v>
      </c>
      <c r="H267" s="2">
        <v>67.930000000000007</v>
      </c>
      <c r="I267">
        <v>0</v>
      </c>
      <c r="J267" s="5">
        <f>BBDD_fashion_boutique[[#This Row],[markdown_percentage]]/100</f>
        <v>0</v>
      </c>
      <c r="K267" s="2">
        <v>67.930000000000007</v>
      </c>
      <c r="L267" s="2">
        <f>BBDD_fashion_boutique[[#This Row],[original_price]]-BBDD_fashion_boutique[[#This Row],[current_price]]</f>
        <v>0</v>
      </c>
      <c r="M267" s="1">
        <v>45875</v>
      </c>
      <c r="N267" s="1" t="str">
        <f>PROPER(TEXT(BBDD_fashion_boutique[[#This Row],[purchase_date]],"dddd"))</f>
        <v>Miércoles</v>
      </c>
      <c r="O267" s="1" t="str">
        <f>PROPER(TEXT(BBDD_fashion_boutique[[#This Row],[purchase_date]],"mmmm"))</f>
        <v>Agosto</v>
      </c>
      <c r="P267" s="4">
        <v>22</v>
      </c>
      <c r="Q267" s="2">
        <v>4.5999999999999996</v>
      </c>
      <c r="R267" t="str">
        <f>IF(BBDD_fashion_boutique[[#This Row],[stock_quantity]]&gt;9,"Ok",IF(BBDD_fashion_boutique[[#This Row],[stock_quantity]]=0,"Agotado","Pocas Unidades"))</f>
        <v>Ok</v>
      </c>
      <c r="S267" s="3">
        <f>IF(BBDD_fashion_boutique[[#This Row],[customer_rating]]="","No valorado",BBDD_fashion_boutique[[#This Row],[customer_rating]])</f>
        <v>4.5999999999999996</v>
      </c>
      <c r="T267" t="s">
        <v>24</v>
      </c>
      <c r="V267">
        <f>IF(BBDD_fashion_boutique[[#This Row],[is_returned]]="False",0,1)</f>
        <v>0</v>
      </c>
      <c r="W267">
        <f>IF(BBDD_fashion_boutique[[#This Row],[is_returned]]="True",0,BBDD_fashion_boutique[[#This Row],[current_price]])</f>
        <v>67.930000000000007</v>
      </c>
      <c r="X267" t="str">
        <f>IF(BBDD_fashion_boutique[[#This Row],[return_reason]]="","No return",BBDD_fashion_boutique[[#This Row],[return_reason]])</f>
        <v>No return</v>
      </c>
      <c r="Y267">
        <f>IF(IFERROR(VLOOKUP(BBDD_fashion_boutique[[#This Row],[product_id]],A268:A2443,1,FALSE),0),1,0)</f>
        <v>0</v>
      </c>
    </row>
    <row r="268" spans="1:25" x14ac:dyDescent="0.3">
      <c r="A268" t="s">
        <v>327</v>
      </c>
      <c r="B268" t="s">
        <v>48</v>
      </c>
      <c r="C268" t="s">
        <v>20</v>
      </c>
      <c r="D268" t="s">
        <v>28</v>
      </c>
      <c r="E268" t="s">
        <v>61</v>
      </c>
      <c r="F268" t="str">
        <f>IF(BBDD_fashion_boutique[[#This Row],[category]]="Accessories","Accesorio",IF(BBDD_fashion_boutique[[#This Row],[size]]="","Desconocido",BBDD_fashion_boutique[[#This Row],[size]]))</f>
        <v>XS</v>
      </c>
      <c r="G268" t="s">
        <v>50</v>
      </c>
      <c r="H268" s="2">
        <v>168.96</v>
      </c>
      <c r="I268">
        <v>0</v>
      </c>
      <c r="J268" s="5">
        <f>BBDD_fashion_boutique[[#This Row],[markdown_percentage]]/100</f>
        <v>0</v>
      </c>
      <c r="K268" s="2">
        <v>168.96</v>
      </c>
      <c r="L268" s="2">
        <f>BBDD_fashion_boutique[[#This Row],[original_price]]-BBDD_fashion_boutique[[#This Row],[current_price]]</f>
        <v>0</v>
      </c>
      <c r="M268" s="1">
        <v>45875</v>
      </c>
      <c r="N268" s="1" t="str">
        <f>PROPER(TEXT(BBDD_fashion_boutique[[#This Row],[purchase_date]],"dddd"))</f>
        <v>Miércoles</v>
      </c>
      <c r="O268" s="1" t="str">
        <f>PROPER(TEXT(BBDD_fashion_boutique[[#This Row],[purchase_date]],"mmmm"))</f>
        <v>Agosto</v>
      </c>
      <c r="P268" s="4">
        <v>9</v>
      </c>
      <c r="R268" t="str">
        <f>IF(BBDD_fashion_boutique[[#This Row],[stock_quantity]]&gt;9,"Ok",IF(BBDD_fashion_boutique[[#This Row],[stock_quantity]]=0,"Agotado","Pocas Unidades"))</f>
        <v>Pocas Unidades</v>
      </c>
      <c r="S268" s="3" t="str">
        <f>IF(BBDD_fashion_boutique[[#This Row],[customer_rating]]="","No valorado",BBDD_fashion_boutique[[#This Row],[customer_rating]])</f>
        <v>No valorado</v>
      </c>
      <c r="T268" t="s">
        <v>24</v>
      </c>
      <c r="V268">
        <f>IF(BBDD_fashion_boutique[[#This Row],[is_returned]]="False",0,1)</f>
        <v>0</v>
      </c>
      <c r="W268">
        <f>IF(BBDD_fashion_boutique[[#This Row],[is_returned]]="True",0,BBDD_fashion_boutique[[#This Row],[current_price]])</f>
        <v>168.96</v>
      </c>
      <c r="X268" t="str">
        <f>IF(BBDD_fashion_boutique[[#This Row],[return_reason]]="","No return",BBDD_fashion_boutique[[#This Row],[return_reason]])</f>
        <v>No return</v>
      </c>
      <c r="Y268">
        <f>IF(IFERROR(VLOOKUP(BBDD_fashion_boutique[[#This Row],[product_id]],A269:A2444,1,FALSE),0),1,0)</f>
        <v>0</v>
      </c>
    </row>
    <row r="269" spans="1:25" x14ac:dyDescent="0.3">
      <c r="A269" t="s">
        <v>328</v>
      </c>
      <c r="B269" t="s">
        <v>26</v>
      </c>
      <c r="C269" t="s">
        <v>59</v>
      </c>
      <c r="D269" t="s">
        <v>39</v>
      </c>
      <c r="E269" t="s">
        <v>45</v>
      </c>
      <c r="F269" t="str">
        <f>IF(BBDD_fashion_boutique[[#This Row],[category]]="Accessories","Accesorio",IF(BBDD_fashion_boutique[[#This Row],[size]]="","Desconocido",BBDD_fashion_boutique[[#This Row],[size]]))</f>
        <v>S</v>
      </c>
      <c r="G269" t="s">
        <v>40</v>
      </c>
      <c r="H269" s="2">
        <v>90.63</v>
      </c>
      <c r="I269">
        <v>0</v>
      </c>
      <c r="J269" s="5">
        <f>BBDD_fashion_boutique[[#This Row],[markdown_percentage]]/100</f>
        <v>0</v>
      </c>
      <c r="K269" s="2">
        <v>90.63</v>
      </c>
      <c r="L269" s="2">
        <f>BBDD_fashion_boutique[[#This Row],[original_price]]-BBDD_fashion_boutique[[#This Row],[current_price]]</f>
        <v>0</v>
      </c>
      <c r="M269" s="1">
        <v>45875</v>
      </c>
      <c r="N269" s="1" t="str">
        <f>PROPER(TEXT(BBDD_fashion_boutique[[#This Row],[purchase_date]],"dddd"))</f>
        <v>Miércoles</v>
      </c>
      <c r="O269" s="1" t="str">
        <f>PROPER(TEXT(BBDD_fashion_boutique[[#This Row],[purchase_date]],"mmmm"))</f>
        <v>Agosto</v>
      </c>
      <c r="P269" s="4">
        <v>33</v>
      </c>
      <c r="Q269" s="2">
        <v>4.2</v>
      </c>
      <c r="R269" t="str">
        <f>IF(BBDD_fashion_boutique[[#This Row],[stock_quantity]]&gt;9,"Ok",IF(BBDD_fashion_boutique[[#This Row],[stock_quantity]]=0,"Agotado","Pocas Unidades"))</f>
        <v>Ok</v>
      </c>
      <c r="S269" s="3">
        <f>IF(BBDD_fashion_boutique[[#This Row],[customer_rating]]="","No valorado",BBDD_fashion_boutique[[#This Row],[customer_rating]])</f>
        <v>4.2</v>
      </c>
      <c r="T269" t="s">
        <v>24</v>
      </c>
      <c r="V269">
        <f>IF(BBDD_fashion_boutique[[#This Row],[is_returned]]="False",0,1)</f>
        <v>0</v>
      </c>
      <c r="W269">
        <f>IF(BBDD_fashion_boutique[[#This Row],[is_returned]]="True",0,BBDD_fashion_boutique[[#This Row],[current_price]])</f>
        <v>90.63</v>
      </c>
      <c r="X269" t="str">
        <f>IF(BBDD_fashion_boutique[[#This Row],[return_reason]]="","No return",BBDD_fashion_boutique[[#This Row],[return_reason]])</f>
        <v>No return</v>
      </c>
      <c r="Y269">
        <f>IF(IFERROR(VLOOKUP(BBDD_fashion_boutique[[#This Row],[product_id]],A270:A2445,1,FALSE),0),1,0)</f>
        <v>0</v>
      </c>
    </row>
    <row r="270" spans="1:25" x14ac:dyDescent="0.3">
      <c r="A270" t="s">
        <v>329</v>
      </c>
      <c r="B270" t="s">
        <v>32</v>
      </c>
      <c r="C270" t="s">
        <v>49</v>
      </c>
      <c r="D270" t="s">
        <v>21</v>
      </c>
      <c r="F270" t="str">
        <f>IF(BBDD_fashion_boutique[[#This Row],[category]]="Accessories","Accesorio",IF(BBDD_fashion_boutique[[#This Row],[size]]="","Desconocido",BBDD_fashion_boutique[[#This Row],[size]]))</f>
        <v>Accesorio</v>
      </c>
      <c r="G270" t="s">
        <v>52</v>
      </c>
      <c r="H270" s="2">
        <v>72.3</v>
      </c>
      <c r="I270">
        <v>0.4</v>
      </c>
      <c r="J270" s="5">
        <f>BBDD_fashion_boutique[[#This Row],[markdown_percentage]]/100</f>
        <v>4.0000000000000001E-3</v>
      </c>
      <c r="K270" s="2">
        <v>72.010000000000005</v>
      </c>
      <c r="L270" s="2">
        <f>BBDD_fashion_boutique[[#This Row],[original_price]]-BBDD_fashion_boutique[[#This Row],[current_price]]</f>
        <v>0.28999999999999204</v>
      </c>
      <c r="M270" s="1">
        <v>45655</v>
      </c>
      <c r="N270" s="1" t="str">
        <f>PROPER(TEXT(BBDD_fashion_boutique[[#This Row],[purchase_date]],"dddd"))</f>
        <v>Domingo</v>
      </c>
      <c r="O270" s="1" t="str">
        <f>PROPER(TEXT(BBDD_fashion_boutique[[#This Row],[purchase_date]],"mmmm"))</f>
        <v>Diciembre</v>
      </c>
      <c r="P270" s="4">
        <v>38</v>
      </c>
      <c r="Q270" s="2">
        <v>3</v>
      </c>
      <c r="R270" t="str">
        <f>IF(BBDD_fashion_boutique[[#This Row],[stock_quantity]]&gt;9,"Ok",IF(BBDD_fashion_boutique[[#This Row],[stock_quantity]]=0,"Agotado","Pocas Unidades"))</f>
        <v>Ok</v>
      </c>
      <c r="S270" s="3">
        <f>IF(BBDD_fashion_boutique[[#This Row],[customer_rating]]="","No valorado",BBDD_fashion_boutique[[#This Row],[customer_rating]])</f>
        <v>3</v>
      </c>
      <c r="T270" t="s">
        <v>41</v>
      </c>
      <c r="U270" t="s">
        <v>42</v>
      </c>
      <c r="V270">
        <f>IF(BBDD_fashion_boutique[[#This Row],[is_returned]]="False",0,1)</f>
        <v>1</v>
      </c>
      <c r="W270">
        <f>IF(BBDD_fashion_boutique[[#This Row],[is_returned]]="True",0,BBDD_fashion_boutique[[#This Row],[current_price]])</f>
        <v>0</v>
      </c>
      <c r="X270" t="str">
        <f>IF(BBDD_fashion_boutique[[#This Row],[return_reason]]="","No return",BBDD_fashion_boutique[[#This Row],[return_reason]])</f>
        <v>Color Mismatch</v>
      </c>
      <c r="Y270">
        <f>IF(IFERROR(VLOOKUP(BBDD_fashion_boutique[[#This Row],[product_id]],A271:A2446,1,FALSE),0),1,0)</f>
        <v>0</v>
      </c>
    </row>
    <row r="271" spans="1:25" x14ac:dyDescent="0.3">
      <c r="A271" t="s">
        <v>330</v>
      </c>
      <c r="B271" t="s">
        <v>44</v>
      </c>
      <c r="C271" t="s">
        <v>54</v>
      </c>
      <c r="D271" t="s">
        <v>28</v>
      </c>
      <c r="E271" t="s">
        <v>45</v>
      </c>
      <c r="F271" t="str">
        <f>IF(BBDD_fashion_boutique[[#This Row],[category]]="Accessories","Accesorio",IF(BBDD_fashion_boutique[[#This Row],[size]]="","Desconocido",BBDD_fashion_boutique[[#This Row],[size]]))</f>
        <v>S</v>
      </c>
      <c r="G271" t="s">
        <v>62</v>
      </c>
      <c r="H271" s="2">
        <v>27.98</v>
      </c>
      <c r="I271">
        <v>0</v>
      </c>
      <c r="J271" s="5">
        <f>BBDD_fashion_boutique[[#This Row],[markdown_percentage]]/100</f>
        <v>0</v>
      </c>
      <c r="K271" s="2">
        <v>27.98</v>
      </c>
      <c r="L271" s="2">
        <f>BBDD_fashion_boutique[[#This Row],[original_price]]-BBDD_fashion_boutique[[#This Row],[current_price]]</f>
        <v>0</v>
      </c>
      <c r="M271" s="1">
        <v>45875</v>
      </c>
      <c r="N271" s="1" t="str">
        <f>PROPER(TEXT(BBDD_fashion_boutique[[#This Row],[purchase_date]],"dddd"))</f>
        <v>Miércoles</v>
      </c>
      <c r="O271" s="1" t="str">
        <f>PROPER(TEXT(BBDD_fashion_boutique[[#This Row],[purchase_date]],"mmmm"))</f>
        <v>Agosto</v>
      </c>
      <c r="P271" s="4">
        <v>0</v>
      </c>
      <c r="Q271" s="2">
        <v>3</v>
      </c>
      <c r="R271" t="str">
        <f>IF(BBDD_fashion_boutique[[#This Row],[stock_quantity]]&gt;9,"Ok",IF(BBDD_fashion_boutique[[#This Row],[stock_quantity]]=0,"Agotado","Pocas Unidades"))</f>
        <v>Agotado</v>
      </c>
      <c r="S271" s="3">
        <f>IF(BBDD_fashion_boutique[[#This Row],[customer_rating]]="","No valorado",BBDD_fashion_boutique[[#This Row],[customer_rating]])</f>
        <v>3</v>
      </c>
      <c r="T271" t="s">
        <v>24</v>
      </c>
      <c r="V271">
        <f>IF(BBDD_fashion_boutique[[#This Row],[is_returned]]="False",0,1)</f>
        <v>0</v>
      </c>
      <c r="W271">
        <f>IF(BBDD_fashion_boutique[[#This Row],[is_returned]]="True",0,BBDD_fashion_boutique[[#This Row],[current_price]])</f>
        <v>27.98</v>
      </c>
      <c r="X271" t="str">
        <f>IF(BBDD_fashion_boutique[[#This Row],[return_reason]]="","No return",BBDD_fashion_boutique[[#This Row],[return_reason]])</f>
        <v>No return</v>
      </c>
      <c r="Y271">
        <f>IF(IFERROR(VLOOKUP(BBDD_fashion_boutique[[#This Row],[product_id]],A272:A2447,1,FALSE),0),1,0)</f>
        <v>0</v>
      </c>
    </row>
    <row r="272" spans="1:25" x14ac:dyDescent="0.3">
      <c r="A272" t="s">
        <v>331</v>
      </c>
      <c r="B272" t="s">
        <v>48</v>
      </c>
      <c r="C272" t="s">
        <v>81</v>
      </c>
      <c r="D272" t="s">
        <v>68</v>
      </c>
      <c r="F272" t="str">
        <f>IF(BBDD_fashion_boutique[[#This Row],[category]]="Accessories","Accesorio",IF(BBDD_fashion_boutique[[#This Row],[size]]="","Desconocido",BBDD_fashion_boutique[[#This Row],[size]]))</f>
        <v>Desconocido</v>
      </c>
      <c r="G272" t="s">
        <v>70</v>
      </c>
      <c r="H272" s="2">
        <v>92.73</v>
      </c>
      <c r="I272">
        <v>0</v>
      </c>
      <c r="J272" s="5">
        <f>BBDD_fashion_boutique[[#This Row],[markdown_percentage]]/100</f>
        <v>0</v>
      </c>
      <c r="K272" s="2">
        <v>92.73</v>
      </c>
      <c r="L272" s="2">
        <f>BBDD_fashion_boutique[[#This Row],[original_price]]-BBDD_fashion_boutique[[#This Row],[current_price]]</f>
        <v>0</v>
      </c>
      <c r="M272" s="1">
        <v>45875</v>
      </c>
      <c r="N272" s="1" t="str">
        <f>PROPER(TEXT(BBDD_fashion_boutique[[#This Row],[purchase_date]],"dddd"))</f>
        <v>Miércoles</v>
      </c>
      <c r="O272" s="1" t="str">
        <f>PROPER(TEXT(BBDD_fashion_boutique[[#This Row],[purchase_date]],"mmmm"))</f>
        <v>Agosto</v>
      </c>
      <c r="P272" s="4">
        <v>15</v>
      </c>
      <c r="Q272" s="2">
        <v>1.4</v>
      </c>
      <c r="R272" t="str">
        <f>IF(BBDD_fashion_boutique[[#This Row],[stock_quantity]]&gt;9,"Ok",IF(BBDD_fashion_boutique[[#This Row],[stock_quantity]]=0,"Agotado","Pocas Unidades"))</f>
        <v>Ok</v>
      </c>
      <c r="S272" s="3">
        <f>IF(BBDD_fashion_boutique[[#This Row],[customer_rating]]="","No valorado",BBDD_fashion_boutique[[#This Row],[customer_rating]])</f>
        <v>1.4</v>
      </c>
      <c r="T272" t="s">
        <v>24</v>
      </c>
      <c r="V272">
        <f>IF(BBDD_fashion_boutique[[#This Row],[is_returned]]="False",0,1)</f>
        <v>0</v>
      </c>
      <c r="W272">
        <f>IF(BBDD_fashion_boutique[[#This Row],[is_returned]]="True",0,BBDD_fashion_boutique[[#This Row],[current_price]])</f>
        <v>92.73</v>
      </c>
      <c r="X272" t="str">
        <f>IF(BBDD_fashion_boutique[[#This Row],[return_reason]]="","No return",BBDD_fashion_boutique[[#This Row],[return_reason]])</f>
        <v>No return</v>
      </c>
      <c r="Y272">
        <f>IF(IFERROR(VLOOKUP(BBDD_fashion_boutique[[#This Row],[product_id]],A273:A2448,1,FALSE),0),1,0)</f>
        <v>0</v>
      </c>
    </row>
    <row r="273" spans="1:25" x14ac:dyDescent="0.3">
      <c r="A273" t="s">
        <v>332</v>
      </c>
      <c r="B273" t="s">
        <v>44</v>
      </c>
      <c r="C273" t="s">
        <v>49</v>
      </c>
      <c r="D273" t="s">
        <v>68</v>
      </c>
      <c r="E273" t="s">
        <v>55</v>
      </c>
      <c r="F273" t="str">
        <f>IF(BBDD_fashion_boutique[[#This Row],[category]]="Accessories","Accesorio",IF(BBDD_fashion_boutique[[#This Row],[size]]="","Desconocido",BBDD_fashion_boutique[[#This Row],[size]]))</f>
        <v>XXL</v>
      </c>
      <c r="G273" t="s">
        <v>40</v>
      </c>
      <c r="H273" s="2">
        <v>64.28</v>
      </c>
      <c r="I273">
        <v>0</v>
      </c>
      <c r="J273" s="5">
        <f>BBDD_fashion_boutique[[#This Row],[markdown_percentage]]/100</f>
        <v>0</v>
      </c>
      <c r="K273" s="2">
        <v>64.28</v>
      </c>
      <c r="L273" s="2">
        <f>BBDD_fashion_boutique[[#This Row],[original_price]]-BBDD_fashion_boutique[[#This Row],[current_price]]</f>
        <v>0</v>
      </c>
      <c r="M273" s="1">
        <v>45875</v>
      </c>
      <c r="N273" s="1" t="str">
        <f>PROPER(TEXT(BBDD_fashion_boutique[[#This Row],[purchase_date]],"dddd"))</f>
        <v>Miércoles</v>
      </c>
      <c r="O273" s="1" t="str">
        <f>PROPER(TEXT(BBDD_fashion_boutique[[#This Row],[purchase_date]],"mmmm"))</f>
        <v>Agosto</v>
      </c>
      <c r="P273" s="4">
        <v>46</v>
      </c>
      <c r="Q273" s="2">
        <v>3</v>
      </c>
      <c r="R273" t="str">
        <f>IF(BBDD_fashion_boutique[[#This Row],[stock_quantity]]&gt;9,"Ok",IF(BBDD_fashion_boutique[[#This Row],[stock_quantity]]=0,"Agotado","Pocas Unidades"))</f>
        <v>Ok</v>
      </c>
      <c r="S273" s="3">
        <f>IF(BBDD_fashion_boutique[[#This Row],[customer_rating]]="","No valorado",BBDD_fashion_boutique[[#This Row],[customer_rating]])</f>
        <v>3</v>
      </c>
      <c r="T273" t="s">
        <v>24</v>
      </c>
      <c r="V273">
        <f>IF(BBDD_fashion_boutique[[#This Row],[is_returned]]="False",0,1)</f>
        <v>0</v>
      </c>
      <c r="W273">
        <f>IF(BBDD_fashion_boutique[[#This Row],[is_returned]]="True",0,BBDD_fashion_boutique[[#This Row],[current_price]])</f>
        <v>64.28</v>
      </c>
      <c r="X273" t="str">
        <f>IF(BBDD_fashion_boutique[[#This Row],[return_reason]]="","No return",BBDD_fashion_boutique[[#This Row],[return_reason]])</f>
        <v>No return</v>
      </c>
      <c r="Y273">
        <f>IF(IFERROR(VLOOKUP(BBDD_fashion_boutique[[#This Row],[product_id]],A274:A2449,1,FALSE),0),1,0)</f>
        <v>0</v>
      </c>
    </row>
    <row r="274" spans="1:25" x14ac:dyDescent="0.3">
      <c r="A274" t="s">
        <v>333</v>
      </c>
      <c r="B274" t="s">
        <v>48</v>
      </c>
      <c r="C274" t="s">
        <v>59</v>
      </c>
      <c r="D274" t="s">
        <v>39</v>
      </c>
      <c r="E274" t="s">
        <v>64</v>
      </c>
      <c r="F274" t="str">
        <f>IF(BBDD_fashion_boutique[[#This Row],[category]]="Accessories","Accesorio",IF(BBDD_fashion_boutique[[#This Row],[size]]="","Desconocido",BBDD_fashion_boutique[[#This Row],[size]]))</f>
        <v>M</v>
      </c>
      <c r="G274" t="s">
        <v>33</v>
      </c>
      <c r="H274" s="2">
        <v>133.12</v>
      </c>
      <c r="I274">
        <v>0</v>
      </c>
      <c r="J274" s="5">
        <f>BBDD_fashion_boutique[[#This Row],[markdown_percentage]]/100</f>
        <v>0</v>
      </c>
      <c r="K274" s="2">
        <v>133.12</v>
      </c>
      <c r="L274" s="2">
        <f>BBDD_fashion_boutique[[#This Row],[original_price]]-BBDD_fashion_boutique[[#This Row],[current_price]]</f>
        <v>0</v>
      </c>
      <c r="M274" s="1">
        <v>45875</v>
      </c>
      <c r="N274" s="1" t="str">
        <f>PROPER(TEXT(BBDD_fashion_boutique[[#This Row],[purchase_date]],"dddd"))</f>
        <v>Miércoles</v>
      </c>
      <c r="O274" s="1" t="str">
        <f>PROPER(TEXT(BBDD_fashion_boutique[[#This Row],[purchase_date]],"mmmm"))</f>
        <v>Agosto</v>
      </c>
      <c r="P274" s="4">
        <v>35</v>
      </c>
      <c r="Q274" s="2">
        <v>1.9</v>
      </c>
      <c r="R274" t="str">
        <f>IF(BBDD_fashion_boutique[[#This Row],[stock_quantity]]&gt;9,"Ok",IF(BBDD_fashion_boutique[[#This Row],[stock_quantity]]=0,"Agotado","Pocas Unidades"))</f>
        <v>Ok</v>
      </c>
      <c r="S274" s="3">
        <f>IF(BBDD_fashion_boutique[[#This Row],[customer_rating]]="","No valorado",BBDD_fashion_boutique[[#This Row],[customer_rating]])</f>
        <v>1.9</v>
      </c>
      <c r="T274" t="s">
        <v>24</v>
      </c>
      <c r="V274">
        <f>IF(BBDD_fashion_boutique[[#This Row],[is_returned]]="False",0,1)</f>
        <v>0</v>
      </c>
      <c r="W274">
        <f>IF(BBDD_fashion_boutique[[#This Row],[is_returned]]="True",0,BBDD_fashion_boutique[[#This Row],[current_price]])</f>
        <v>133.12</v>
      </c>
      <c r="X274" t="str">
        <f>IF(BBDD_fashion_boutique[[#This Row],[return_reason]]="","No return",BBDD_fashion_boutique[[#This Row],[return_reason]])</f>
        <v>No return</v>
      </c>
      <c r="Y274">
        <f>IF(IFERROR(VLOOKUP(BBDD_fashion_boutique[[#This Row],[product_id]],A275:A2450,1,FALSE),0),1,0)</f>
        <v>0</v>
      </c>
    </row>
    <row r="275" spans="1:25" x14ac:dyDescent="0.3">
      <c r="A275" t="s">
        <v>334</v>
      </c>
      <c r="B275" t="s">
        <v>26</v>
      </c>
      <c r="C275" t="s">
        <v>67</v>
      </c>
      <c r="D275" t="s">
        <v>28</v>
      </c>
      <c r="E275" t="s">
        <v>55</v>
      </c>
      <c r="F275" t="str">
        <f>IF(BBDD_fashion_boutique[[#This Row],[category]]="Accessories","Accesorio",IF(BBDD_fashion_boutique[[#This Row],[size]]="","Desconocido",BBDD_fashion_boutique[[#This Row],[size]]))</f>
        <v>XXL</v>
      </c>
      <c r="G275" t="s">
        <v>76</v>
      </c>
      <c r="H275" s="2">
        <v>70.36</v>
      </c>
      <c r="I275">
        <v>0</v>
      </c>
      <c r="J275" s="5">
        <f>BBDD_fashion_boutique[[#This Row],[markdown_percentage]]/100</f>
        <v>0</v>
      </c>
      <c r="K275" s="2">
        <v>70.36</v>
      </c>
      <c r="L275" s="2">
        <f>BBDD_fashion_boutique[[#This Row],[original_price]]-BBDD_fashion_boutique[[#This Row],[current_price]]</f>
        <v>0</v>
      </c>
      <c r="M275" s="1">
        <v>45875</v>
      </c>
      <c r="N275" s="1" t="str">
        <f>PROPER(TEXT(BBDD_fashion_boutique[[#This Row],[purchase_date]],"dddd"))</f>
        <v>Miércoles</v>
      </c>
      <c r="O275" s="1" t="str">
        <f>PROPER(TEXT(BBDD_fashion_boutique[[#This Row],[purchase_date]],"mmmm"))</f>
        <v>Agosto</v>
      </c>
      <c r="P275" s="4">
        <v>0</v>
      </c>
      <c r="R275" t="str">
        <f>IF(BBDD_fashion_boutique[[#This Row],[stock_quantity]]&gt;9,"Ok",IF(BBDD_fashion_boutique[[#This Row],[stock_quantity]]=0,"Agotado","Pocas Unidades"))</f>
        <v>Agotado</v>
      </c>
      <c r="S275" s="3" t="str">
        <f>IF(BBDD_fashion_boutique[[#This Row],[customer_rating]]="","No valorado",BBDD_fashion_boutique[[#This Row],[customer_rating]])</f>
        <v>No valorado</v>
      </c>
      <c r="T275" t="s">
        <v>24</v>
      </c>
      <c r="V275">
        <f>IF(BBDD_fashion_boutique[[#This Row],[is_returned]]="False",0,1)</f>
        <v>0</v>
      </c>
      <c r="W275">
        <f>IF(BBDD_fashion_boutique[[#This Row],[is_returned]]="True",0,BBDD_fashion_boutique[[#This Row],[current_price]])</f>
        <v>70.36</v>
      </c>
      <c r="X275" t="str">
        <f>IF(BBDD_fashion_boutique[[#This Row],[return_reason]]="","No return",BBDD_fashion_boutique[[#This Row],[return_reason]])</f>
        <v>No return</v>
      </c>
      <c r="Y275">
        <f>IF(IFERROR(VLOOKUP(BBDD_fashion_boutique[[#This Row],[product_id]],A276:A2451,1,FALSE),0),1,0)</f>
        <v>0</v>
      </c>
    </row>
    <row r="276" spans="1:25" x14ac:dyDescent="0.3">
      <c r="A276" t="s">
        <v>335</v>
      </c>
      <c r="B276" t="s">
        <v>19</v>
      </c>
      <c r="C276" t="s">
        <v>27</v>
      </c>
      <c r="D276" t="s">
        <v>68</v>
      </c>
      <c r="E276" t="s">
        <v>22</v>
      </c>
      <c r="F276" t="str">
        <f>IF(BBDD_fashion_boutique[[#This Row],[category]]="Accessories","Accesorio",IF(BBDD_fashion_boutique[[#This Row],[size]]="","Desconocido",BBDD_fashion_boutique[[#This Row],[size]]))</f>
        <v>XL</v>
      </c>
      <c r="G276" t="s">
        <v>30</v>
      </c>
      <c r="H276" s="2">
        <v>199.01</v>
      </c>
      <c r="I276">
        <v>0</v>
      </c>
      <c r="J276" s="5">
        <f>BBDD_fashion_boutique[[#This Row],[markdown_percentage]]/100</f>
        <v>0</v>
      </c>
      <c r="K276" s="2">
        <v>199.01</v>
      </c>
      <c r="L276" s="2">
        <f>BBDD_fashion_boutique[[#This Row],[original_price]]-BBDD_fashion_boutique[[#This Row],[current_price]]</f>
        <v>0</v>
      </c>
      <c r="M276" s="1">
        <v>45875</v>
      </c>
      <c r="N276" s="1" t="str">
        <f>PROPER(TEXT(BBDD_fashion_boutique[[#This Row],[purchase_date]],"dddd"))</f>
        <v>Miércoles</v>
      </c>
      <c r="O276" s="1" t="str">
        <f>PROPER(TEXT(BBDD_fashion_boutique[[#This Row],[purchase_date]],"mmmm"))</f>
        <v>Agosto</v>
      </c>
      <c r="P276" s="4">
        <v>8</v>
      </c>
      <c r="Q276" s="2">
        <v>4.4000000000000004</v>
      </c>
      <c r="R276" t="str">
        <f>IF(BBDD_fashion_boutique[[#This Row],[stock_quantity]]&gt;9,"Ok",IF(BBDD_fashion_boutique[[#This Row],[stock_quantity]]=0,"Agotado","Pocas Unidades"))</f>
        <v>Pocas Unidades</v>
      </c>
      <c r="S276" s="3">
        <f>IF(BBDD_fashion_boutique[[#This Row],[customer_rating]]="","No valorado",BBDD_fashion_boutique[[#This Row],[customer_rating]])</f>
        <v>4.4000000000000004</v>
      </c>
      <c r="T276" t="s">
        <v>24</v>
      </c>
      <c r="V276">
        <f>IF(BBDD_fashion_boutique[[#This Row],[is_returned]]="False",0,1)</f>
        <v>0</v>
      </c>
      <c r="W276">
        <f>IF(BBDD_fashion_boutique[[#This Row],[is_returned]]="True",0,BBDD_fashion_boutique[[#This Row],[current_price]])</f>
        <v>199.01</v>
      </c>
      <c r="X276" t="str">
        <f>IF(BBDD_fashion_boutique[[#This Row],[return_reason]]="","No return",BBDD_fashion_boutique[[#This Row],[return_reason]])</f>
        <v>No return</v>
      </c>
      <c r="Y276">
        <f>IF(IFERROR(VLOOKUP(BBDD_fashion_boutique[[#This Row],[product_id]],A277:A2452,1,FALSE),0),1,0)</f>
        <v>0</v>
      </c>
    </row>
    <row r="277" spans="1:25" x14ac:dyDescent="0.3">
      <c r="A277" t="s">
        <v>336</v>
      </c>
      <c r="B277" t="s">
        <v>44</v>
      </c>
      <c r="C277" t="s">
        <v>54</v>
      </c>
      <c r="D277" t="s">
        <v>68</v>
      </c>
      <c r="E277" t="s">
        <v>29</v>
      </c>
      <c r="F277" t="str">
        <f>IF(BBDD_fashion_boutique[[#This Row],[category]]="Accessories","Accesorio",IF(BBDD_fashion_boutique[[#This Row],[size]]="","Desconocido",BBDD_fashion_boutique[[#This Row],[size]]))</f>
        <v>L</v>
      </c>
      <c r="G277" t="s">
        <v>70</v>
      </c>
      <c r="H277" s="2">
        <v>62.41</v>
      </c>
      <c r="I277">
        <v>37.1</v>
      </c>
      <c r="J277" s="5">
        <f>BBDD_fashion_boutique[[#This Row],[markdown_percentage]]/100</f>
        <v>0.371</v>
      </c>
      <c r="K277" s="2">
        <v>39.26</v>
      </c>
      <c r="L277" s="2">
        <f>BBDD_fashion_boutique[[#This Row],[original_price]]-BBDD_fashion_boutique[[#This Row],[current_price]]</f>
        <v>23.15</v>
      </c>
      <c r="M277" s="1">
        <v>45875</v>
      </c>
      <c r="N277" s="1" t="str">
        <f>PROPER(TEXT(BBDD_fashion_boutique[[#This Row],[purchase_date]],"dddd"))</f>
        <v>Miércoles</v>
      </c>
      <c r="O277" s="1" t="str">
        <f>PROPER(TEXT(BBDD_fashion_boutique[[#This Row],[purchase_date]],"mmmm"))</f>
        <v>Agosto</v>
      </c>
      <c r="P277" s="4">
        <v>6</v>
      </c>
      <c r="Q277" s="2">
        <v>4.0999999999999996</v>
      </c>
      <c r="R277" t="str">
        <f>IF(BBDD_fashion_boutique[[#This Row],[stock_quantity]]&gt;9,"Ok",IF(BBDD_fashion_boutique[[#This Row],[stock_quantity]]=0,"Agotado","Pocas Unidades"))</f>
        <v>Pocas Unidades</v>
      </c>
      <c r="S277" s="3">
        <f>IF(BBDD_fashion_boutique[[#This Row],[customer_rating]]="","No valorado",BBDD_fashion_boutique[[#This Row],[customer_rating]])</f>
        <v>4.0999999999999996</v>
      </c>
      <c r="T277" t="s">
        <v>24</v>
      </c>
      <c r="V277">
        <f>IF(BBDD_fashion_boutique[[#This Row],[is_returned]]="False",0,1)</f>
        <v>0</v>
      </c>
      <c r="W277">
        <f>IF(BBDD_fashion_boutique[[#This Row],[is_returned]]="True",0,BBDD_fashion_boutique[[#This Row],[current_price]])</f>
        <v>39.26</v>
      </c>
      <c r="X277" t="str">
        <f>IF(BBDD_fashion_boutique[[#This Row],[return_reason]]="","No return",BBDD_fashion_boutique[[#This Row],[return_reason]])</f>
        <v>No return</v>
      </c>
      <c r="Y277">
        <f>IF(IFERROR(VLOOKUP(BBDD_fashion_boutique[[#This Row],[product_id]],A278:A2453,1,FALSE),0),1,0)</f>
        <v>0</v>
      </c>
    </row>
    <row r="278" spans="1:25" x14ac:dyDescent="0.3">
      <c r="A278" t="s">
        <v>337</v>
      </c>
      <c r="B278" t="s">
        <v>35</v>
      </c>
      <c r="C278" t="s">
        <v>27</v>
      </c>
      <c r="D278" t="s">
        <v>68</v>
      </c>
      <c r="E278" t="s">
        <v>61</v>
      </c>
      <c r="F278" t="str">
        <f>IF(BBDD_fashion_boutique[[#This Row],[category]]="Accessories","Accesorio",IF(BBDD_fashion_boutique[[#This Row],[size]]="","Desconocido",BBDD_fashion_boutique[[#This Row],[size]]))</f>
        <v>XS</v>
      </c>
      <c r="G278" t="s">
        <v>33</v>
      </c>
      <c r="H278" s="2">
        <v>71.44</v>
      </c>
      <c r="I278">
        <v>0</v>
      </c>
      <c r="J278" s="5">
        <f>BBDD_fashion_boutique[[#This Row],[markdown_percentage]]/100</f>
        <v>0</v>
      </c>
      <c r="K278" s="2">
        <v>71.44</v>
      </c>
      <c r="L278" s="2">
        <f>BBDD_fashion_boutique[[#This Row],[original_price]]-BBDD_fashion_boutique[[#This Row],[current_price]]</f>
        <v>0</v>
      </c>
      <c r="M278" s="1">
        <v>45875</v>
      </c>
      <c r="N278" s="1" t="str">
        <f>PROPER(TEXT(BBDD_fashion_boutique[[#This Row],[purchase_date]],"dddd"))</f>
        <v>Miércoles</v>
      </c>
      <c r="O278" s="1" t="str">
        <f>PROPER(TEXT(BBDD_fashion_boutique[[#This Row],[purchase_date]],"mmmm"))</f>
        <v>Agosto</v>
      </c>
      <c r="P278" s="4">
        <v>45</v>
      </c>
      <c r="Q278" s="2">
        <v>4</v>
      </c>
      <c r="R278" t="str">
        <f>IF(BBDD_fashion_boutique[[#This Row],[stock_quantity]]&gt;9,"Ok",IF(BBDD_fashion_boutique[[#This Row],[stock_quantity]]=0,"Agotado","Pocas Unidades"))</f>
        <v>Ok</v>
      </c>
      <c r="S278" s="3">
        <f>IF(BBDD_fashion_boutique[[#This Row],[customer_rating]]="","No valorado",BBDD_fashion_boutique[[#This Row],[customer_rating]])</f>
        <v>4</v>
      </c>
      <c r="T278" t="s">
        <v>24</v>
      </c>
      <c r="V278">
        <f>IF(BBDD_fashion_boutique[[#This Row],[is_returned]]="False",0,1)</f>
        <v>0</v>
      </c>
      <c r="W278">
        <f>IF(BBDD_fashion_boutique[[#This Row],[is_returned]]="True",0,BBDD_fashion_boutique[[#This Row],[current_price]])</f>
        <v>71.44</v>
      </c>
      <c r="X278" t="str">
        <f>IF(BBDD_fashion_boutique[[#This Row],[return_reason]]="","No return",BBDD_fashion_boutique[[#This Row],[return_reason]])</f>
        <v>No return</v>
      </c>
      <c r="Y278">
        <f>IF(IFERROR(VLOOKUP(BBDD_fashion_boutique[[#This Row],[product_id]],A279:A2454,1,FALSE),0),1,0)</f>
        <v>0</v>
      </c>
    </row>
    <row r="279" spans="1:25" x14ac:dyDescent="0.3">
      <c r="A279" t="s">
        <v>338</v>
      </c>
      <c r="B279" t="s">
        <v>48</v>
      </c>
      <c r="C279" t="s">
        <v>20</v>
      </c>
      <c r="D279" t="s">
        <v>28</v>
      </c>
      <c r="F279" t="str">
        <f>IF(BBDD_fashion_boutique[[#This Row],[category]]="Accessories","Accesorio",IF(BBDD_fashion_boutique[[#This Row],[size]]="","Desconocido",BBDD_fashion_boutique[[#This Row],[size]]))</f>
        <v>Desconocido</v>
      </c>
      <c r="G279" t="s">
        <v>50</v>
      </c>
      <c r="H279" s="2">
        <v>89.69</v>
      </c>
      <c r="I279">
        <v>0</v>
      </c>
      <c r="J279" s="5">
        <f>BBDD_fashion_boutique[[#This Row],[markdown_percentage]]/100</f>
        <v>0</v>
      </c>
      <c r="K279" s="2">
        <v>89.69</v>
      </c>
      <c r="L279" s="2">
        <f>BBDD_fashion_boutique[[#This Row],[original_price]]-BBDD_fashion_boutique[[#This Row],[current_price]]</f>
        <v>0</v>
      </c>
      <c r="M279" s="1">
        <v>45875</v>
      </c>
      <c r="N279" s="1" t="str">
        <f>PROPER(TEXT(BBDD_fashion_boutique[[#This Row],[purchase_date]],"dddd"))</f>
        <v>Miércoles</v>
      </c>
      <c r="O279" s="1" t="str">
        <f>PROPER(TEXT(BBDD_fashion_boutique[[#This Row],[purchase_date]],"mmmm"))</f>
        <v>Agosto</v>
      </c>
      <c r="P279" s="4">
        <v>50</v>
      </c>
      <c r="Q279" s="2">
        <v>4.3</v>
      </c>
      <c r="R279" t="str">
        <f>IF(BBDD_fashion_boutique[[#This Row],[stock_quantity]]&gt;9,"Ok",IF(BBDD_fashion_boutique[[#This Row],[stock_quantity]]=0,"Agotado","Pocas Unidades"))</f>
        <v>Ok</v>
      </c>
      <c r="S279" s="3">
        <f>IF(BBDD_fashion_boutique[[#This Row],[customer_rating]]="","No valorado",BBDD_fashion_boutique[[#This Row],[customer_rating]])</f>
        <v>4.3</v>
      </c>
      <c r="T279" t="s">
        <v>24</v>
      </c>
      <c r="V279">
        <f>IF(BBDD_fashion_boutique[[#This Row],[is_returned]]="False",0,1)</f>
        <v>0</v>
      </c>
      <c r="W279">
        <f>IF(BBDD_fashion_boutique[[#This Row],[is_returned]]="True",0,BBDD_fashion_boutique[[#This Row],[current_price]])</f>
        <v>89.69</v>
      </c>
      <c r="X279" t="str">
        <f>IF(BBDD_fashion_boutique[[#This Row],[return_reason]]="","No return",BBDD_fashion_boutique[[#This Row],[return_reason]])</f>
        <v>No return</v>
      </c>
      <c r="Y279">
        <f>IF(IFERROR(VLOOKUP(BBDD_fashion_boutique[[#This Row],[product_id]],A280:A2455,1,FALSE),0),1,0)</f>
        <v>0</v>
      </c>
    </row>
    <row r="280" spans="1:25" x14ac:dyDescent="0.3">
      <c r="A280" t="s">
        <v>339</v>
      </c>
      <c r="B280" t="s">
        <v>19</v>
      </c>
      <c r="C280" t="s">
        <v>49</v>
      </c>
      <c r="D280" t="s">
        <v>21</v>
      </c>
      <c r="E280" t="s">
        <v>55</v>
      </c>
      <c r="F280" t="str">
        <f>IF(BBDD_fashion_boutique[[#This Row],[category]]="Accessories","Accesorio",IF(BBDD_fashion_boutique[[#This Row],[size]]="","Desconocido",BBDD_fashion_boutique[[#This Row],[size]]))</f>
        <v>XXL</v>
      </c>
      <c r="G280" t="s">
        <v>46</v>
      </c>
      <c r="H280" s="2">
        <v>161.65</v>
      </c>
      <c r="I280">
        <v>10.199999999999999</v>
      </c>
      <c r="J280" s="5">
        <f>BBDD_fashion_boutique[[#This Row],[markdown_percentage]]/100</f>
        <v>0.10199999999999999</v>
      </c>
      <c r="K280" s="2">
        <v>145.16</v>
      </c>
      <c r="L280" s="2">
        <f>BBDD_fashion_boutique[[#This Row],[original_price]]-BBDD_fashion_boutique[[#This Row],[current_price]]</f>
        <v>16.490000000000009</v>
      </c>
      <c r="M280" s="1">
        <v>45746</v>
      </c>
      <c r="N280" s="1" t="str">
        <f>PROPER(TEXT(BBDD_fashion_boutique[[#This Row],[purchase_date]],"dddd"))</f>
        <v>Domingo</v>
      </c>
      <c r="O280" s="1" t="str">
        <f>PROPER(TEXT(BBDD_fashion_boutique[[#This Row],[purchase_date]],"mmmm"))</f>
        <v>Marzo</v>
      </c>
      <c r="P280" s="4">
        <v>42</v>
      </c>
      <c r="R280" t="str">
        <f>IF(BBDD_fashion_boutique[[#This Row],[stock_quantity]]&gt;9,"Ok",IF(BBDD_fashion_boutique[[#This Row],[stock_quantity]]=0,"Agotado","Pocas Unidades"))</f>
        <v>Ok</v>
      </c>
      <c r="S280" s="3" t="str">
        <f>IF(BBDD_fashion_boutique[[#This Row],[customer_rating]]="","No valorado",BBDD_fashion_boutique[[#This Row],[customer_rating]])</f>
        <v>No valorado</v>
      </c>
      <c r="T280" t="s">
        <v>24</v>
      </c>
      <c r="V280">
        <f>IF(BBDD_fashion_boutique[[#This Row],[is_returned]]="False",0,1)</f>
        <v>0</v>
      </c>
      <c r="W280">
        <f>IF(BBDD_fashion_boutique[[#This Row],[is_returned]]="True",0,BBDD_fashion_boutique[[#This Row],[current_price]])</f>
        <v>145.16</v>
      </c>
      <c r="X280" t="str">
        <f>IF(BBDD_fashion_boutique[[#This Row],[return_reason]]="","No return",BBDD_fashion_boutique[[#This Row],[return_reason]])</f>
        <v>No return</v>
      </c>
      <c r="Y280">
        <f>IF(IFERROR(VLOOKUP(BBDD_fashion_boutique[[#This Row],[product_id]],A281:A2456,1,FALSE),0),1,0)</f>
        <v>0</v>
      </c>
    </row>
    <row r="281" spans="1:25" x14ac:dyDescent="0.3">
      <c r="A281" t="s">
        <v>340</v>
      </c>
      <c r="B281" t="s">
        <v>32</v>
      </c>
      <c r="C281" t="s">
        <v>27</v>
      </c>
      <c r="D281" t="s">
        <v>28</v>
      </c>
      <c r="F281" t="str">
        <f>IF(BBDD_fashion_boutique[[#This Row],[category]]="Accessories","Accesorio",IF(BBDD_fashion_boutique[[#This Row],[size]]="","Desconocido",BBDD_fashion_boutique[[#This Row],[size]]))</f>
        <v>Accesorio</v>
      </c>
      <c r="G281" t="s">
        <v>40</v>
      </c>
      <c r="H281" s="2">
        <v>46.59</v>
      </c>
      <c r="I281">
        <v>0</v>
      </c>
      <c r="J281" s="5">
        <f>BBDD_fashion_boutique[[#This Row],[markdown_percentage]]/100</f>
        <v>0</v>
      </c>
      <c r="K281" s="2">
        <v>46.59</v>
      </c>
      <c r="L281" s="2">
        <f>BBDD_fashion_boutique[[#This Row],[original_price]]-BBDD_fashion_boutique[[#This Row],[current_price]]</f>
        <v>0</v>
      </c>
      <c r="M281" s="1">
        <v>45875</v>
      </c>
      <c r="N281" s="1" t="str">
        <f>PROPER(TEXT(BBDD_fashion_boutique[[#This Row],[purchase_date]],"dddd"))</f>
        <v>Miércoles</v>
      </c>
      <c r="O281" s="1" t="str">
        <f>PROPER(TEXT(BBDD_fashion_boutique[[#This Row],[purchase_date]],"mmmm"))</f>
        <v>Agosto</v>
      </c>
      <c r="P281" s="4">
        <v>29</v>
      </c>
      <c r="Q281" s="2">
        <v>4.8</v>
      </c>
      <c r="R281" t="str">
        <f>IF(BBDD_fashion_boutique[[#This Row],[stock_quantity]]&gt;9,"Ok",IF(BBDD_fashion_boutique[[#This Row],[stock_quantity]]=0,"Agotado","Pocas Unidades"))</f>
        <v>Ok</v>
      </c>
      <c r="S281" s="3">
        <f>IF(BBDD_fashion_boutique[[#This Row],[customer_rating]]="","No valorado",BBDD_fashion_boutique[[#This Row],[customer_rating]])</f>
        <v>4.8</v>
      </c>
      <c r="T281" t="s">
        <v>24</v>
      </c>
      <c r="V281">
        <f>IF(BBDD_fashion_boutique[[#This Row],[is_returned]]="False",0,1)</f>
        <v>0</v>
      </c>
      <c r="W281">
        <f>IF(BBDD_fashion_boutique[[#This Row],[is_returned]]="True",0,BBDD_fashion_boutique[[#This Row],[current_price]])</f>
        <v>46.59</v>
      </c>
      <c r="X281" t="str">
        <f>IF(BBDD_fashion_boutique[[#This Row],[return_reason]]="","No return",BBDD_fashion_boutique[[#This Row],[return_reason]])</f>
        <v>No return</v>
      </c>
      <c r="Y281">
        <f>IF(IFERROR(VLOOKUP(BBDD_fashion_boutique[[#This Row],[product_id]],A282:A2457,1,FALSE),0),1,0)</f>
        <v>0</v>
      </c>
    </row>
    <row r="282" spans="1:25" x14ac:dyDescent="0.3">
      <c r="A282" t="s">
        <v>341</v>
      </c>
      <c r="B282" t="s">
        <v>32</v>
      </c>
      <c r="C282" t="s">
        <v>20</v>
      </c>
      <c r="D282" t="s">
        <v>39</v>
      </c>
      <c r="F282" t="str">
        <f>IF(BBDD_fashion_boutique[[#This Row],[category]]="Accessories","Accesorio",IF(BBDD_fashion_boutique[[#This Row],[size]]="","Desconocido",BBDD_fashion_boutique[[#This Row],[size]]))</f>
        <v>Accesorio</v>
      </c>
      <c r="G282" t="s">
        <v>30</v>
      </c>
      <c r="H282" s="2">
        <v>74.2</v>
      </c>
      <c r="I282">
        <v>0</v>
      </c>
      <c r="J282" s="5">
        <f>BBDD_fashion_boutique[[#This Row],[markdown_percentage]]/100</f>
        <v>0</v>
      </c>
      <c r="K282" s="2">
        <v>74.2</v>
      </c>
      <c r="L282" s="2">
        <f>BBDD_fashion_boutique[[#This Row],[original_price]]-BBDD_fashion_boutique[[#This Row],[current_price]]</f>
        <v>0</v>
      </c>
      <c r="M282" s="1">
        <v>45875</v>
      </c>
      <c r="N282" s="1" t="str">
        <f>PROPER(TEXT(BBDD_fashion_boutique[[#This Row],[purchase_date]],"dddd"))</f>
        <v>Miércoles</v>
      </c>
      <c r="O282" s="1" t="str">
        <f>PROPER(TEXT(BBDD_fashion_boutique[[#This Row],[purchase_date]],"mmmm"))</f>
        <v>Agosto</v>
      </c>
      <c r="P282" s="4">
        <v>22</v>
      </c>
      <c r="Q282" s="2">
        <v>1.7</v>
      </c>
      <c r="R282" t="str">
        <f>IF(BBDD_fashion_boutique[[#This Row],[stock_quantity]]&gt;9,"Ok",IF(BBDD_fashion_boutique[[#This Row],[stock_quantity]]=0,"Agotado","Pocas Unidades"))</f>
        <v>Ok</v>
      </c>
      <c r="S282" s="3">
        <f>IF(BBDD_fashion_boutique[[#This Row],[customer_rating]]="","No valorado",BBDD_fashion_boutique[[#This Row],[customer_rating]])</f>
        <v>1.7</v>
      </c>
      <c r="T282" t="s">
        <v>24</v>
      </c>
      <c r="V282">
        <f>IF(BBDD_fashion_boutique[[#This Row],[is_returned]]="False",0,1)</f>
        <v>0</v>
      </c>
      <c r="W282">
        <f>IF(BBDD_fashion_boutique[[#This Row],[is_returned]]="True",0,BBDD_fashion_boutique[[#This Row],[current_price]])</f>
        <v>74.2</v>
      </c>
      <c r="X282" t="str">
        <f>IF(BBDD_fashion_boutique[[#This Row],[return_reason]]="","No return",BBDD_fashion_boutique[[#This Row],[return_reason]])</f>
        <v>No return</v>
      </c>
      <c r="Y282">
        <f>IF(IFERROR(VLOOKUP(BBDD_fashion_boutique[[#This Row],[product_id]],A283:A2458,1,FALSE),0),1,0)</f>
        <v>0</v>
      </c>
    </row>
    <row r="283" spans="1:25" x14ac:dyDescent="0.3">
      <c r="A283" t="s">
        <v>342</v>
      </c>
      <c r="B283" t="s">
        <v>44</v>
      </c>
      <c r="C283" t="s">
        <v>27</v>
      </c>
      <c r="D283" t="s">
        <v>39</v>
      </c>
      <c r="E283" t="s">
        <v>45</v>
      </c>
      <c r="F283" t="str">
        <f>IF(BBDD_fashion_boutique[[#This Row],[category]]="Accessories","Accesorio",IF(BBDD_fashion_boutique[[#This Row],[size]]="","Desconocido",BBDD_fashion_boutique[[#This Row],[size]]))</f>
        <v>S</v>
      </c>
      <c r="G283" t="s">
        <v>76</v>
      </c>
      <c r="H283" s="2">
        <v>99.67</v>
      </c>
      <c r="I283">
        <v>0</v>
      </c>
      <c r="J283" s="5">
        <f>BBDD_fashion_boutique[[#This Row],[markdown_percentage]]/100</f>
        <v>0</v>
      </c>
      <c r="K283" s="2">
        <v>99.67</v>
      </c>
      <c r="L283" s="2">
        <f>BBDD_fashion_boutique[[#This Row],[original_price]]-BBDD_fashion_boutique[[#This Row],[current_price]]</f>
        <v>0</v>
      </c>
      <c r="M283" s="1">
        <v>45875</v>
      </c>
      <c r="N283" s="1" t="str">
        <f>PROPER(TEXT(BBDD_fashion_boutique[[#This Row],[purchase_date]],"dddd"))</f>
        <v>Miércoles</v>
      </c>
      <c r="O283" s="1" t="str">
        <f>PROPER(TEXT(BBDD_fashion_boutique[[#This Row],[purchase_date]],"mmmm"))</f>
        <v>Agosto</v>
      </c>
      <c r="P283" s="4">
        <v>13</v>
      </c>
      <c r="Q283" s="2">
        <v>5</v>
      </c>
      <c r="R283" t="str">
        <f>IF(BBDD_fashion_boutique[[#This Row],[stock_quantity]]&gt;9,"Ok",IF(BBDD_fashion_boutique[[#This Row],[stock_quantity]]=0,"Agotado","Pocas Unidades"))</f>
        <v>Ok</v>
      </c>
      <c r="S283" s="3">
        <f>IF(BBDD_fashion_boutique[[#This Row],[customer_rating]]="","No valorado",BBDD_fashion_boutique[[#This Row],[customer_rating]])</f>
        <v>5</v>
      </c>
      <c r="T283" t="s">
        <v>24</v>
      </c>
      <c r="V283">
        <f>IF(BBDD_fashion_boutique[[#This Row],[is_returned]]="False",0,1)</f>
        <v>0</v>
      </c>
      <c r="W283">
        <f>IF(BBDD_fashion_boutique[[#This Row],[is_returned]]="True",0,BBDD_fashion_boutique[[#This Row],[current_price]])</f>
        <v>99.67</v>
      </c>
      <c r="X283" t="str">
        <f>IF(BBDD_fashion_boutique[[#This Row],[return_reason]]="","No return",BBDD_fashion_boutique[[#This Row],[return_reason]])</f>
        <v>No return</v>
      </c>
      <c r="Y283">
        <f>IF(IFERROR(VLOOKUP(BBDD_fashion_boutique[[#This Row],[product_id]],A284:A2459,1,FALSE),0),1,0)</f>
        <v>0</v>
      </c>
    </row>
    <row r="284" spans="1:25" x14ac:dyDescent="0.3">
      <c r="A284" t="s">
        <v>343</v>
      </c>
      <c r="B284" t="s">
        <v>35</v>
      </c>
      <c r="C284" t="s">
        <v>81</v>
      </c>
      <c r="D284" t="s">
        <v>39</v>
      </c>
      <c r="E284" t="s">
        <v>61</v>
      </c>
      <c r="F284" t="str">
        <f>IF(BBDD_fashion_boutique[[#This Row],[category]]="Accessories","Accesorio",IF(BBDD_fashion_boutique[[#This Row],[size]]="","Desconocido",BBDD_fashion_boutique[[#This Row],[size]]))</f>
        <v>XS</v>
      </c>
      <c r="G284" t="s">
        <v>72</v>
      </c>
      <c r="H284" s="2">
        <v>112.74</v>
      </c>
      <c r="I284">
        <v>23</v>
      </c>
      <c r="J284" s="5">
        <f>BBDD_fashion_boutique[[#This Row],[markdown_percentage]]/100</f>
        <v>0.23</v>
      </c>
      <c r="K284" s="2">
        <v>86.81</v>
      </c>
      <c r="L284" s="2">
        <f>BBDD_fashion_boutique[[#This Row],[original_price]]-BBDD_fashion_boutique[[#This Row],[current_price]]</f>
        <v>25.929999999999993</v>
      </c>
      <c r="M284" s="1">
        <v>45875</v>
      </c>
      <c r="N284" s="1" t="str">
        <f>PROPER(TEXT(BBDD_fashion_boutique[[#This Row],[purchase_date]],"dddd"))</f>
        <v>Miércoles</v>
      </c>
      <c r="O284" s="1" t="str">
        <f>PROPER(TEXT(BBDD_fashion_boutique[[#This Row],[purchase_date]],"mmmm"))</f>
        <v>Agosto</v>
      </c>
      <c r="P284" s="4">
        <v>37</v>
      </c>
      <c r="Q284" s="2">
        <v>1</v>
      </c>
      <c r="R284" t="str">
        <f>IF(BBDD_fashion_boutique[[#This Row],[stock_quantity]]&gt;9,"Ok",IF(BBDD_fashion_boutique[[#This Row],[stock_quantity]]=0,"Agotado","Pocas Unidades"))</f>
        <v>Ok</v>
      </c>
      <c r="S284" s="3">
        <f>IF(BBDD_fashion_boutique[[#This Row],[customer_rating]]="","No valorado",BBDD_fashion_boutique[[#This Row],[customer_rating]])</f>
        <v>1</v>
      </c>
      <c r="T284" t="s">
        <v>24</v>
      </c>
      <c r="V284">
        <f>IF(BBDD_fashion_boutique[[#This Row],[is_returned]]="False",0,1)</f>
        <v>0</v>
      </c>
      <c r="W284">
        <f>IF(BBDD_fashion_boutique[[#This Row],[is_returned]]="True",0,BBDD_fashion_boutique[[#This Row],[current_price]])</f>
        <v>86.81</v>
      </c>
      <c r="X284" t="str">
        <f>IF(BBDD_fashion_boutique[[#This Row],[return_reason]]="","No return",BBDD_fashion_boutique[[#This Row],[return_reason]])</f>
        <v>No return</v>
      </c>
      <c r="Y284">
        <f>IF(IFERROR(VLOOKUP(BBDD_fashion_boutique[[#This Row],[product_id]],A285:A2460,1,FALSE),0),1,0)</f>
        <v>0</v>
      </c>
    </row>
    <row r="285" spans="1:25" x14ac:dyDescent="0.3">
      <c r="A285" t="s">
        <v>344</v>
      </c>
      <c r="B285" t="s">
        <v>26</v>
      </c>
      <c r="C285" t="s">
        <v>37</v>
      </c>
      <c r="D285" t="s">
        <v>68</v>
      </c>
      <c r="E285" t="s">
        <v>45</v>
      </c>
      <c r="F285" t="str">
        <f>IF(BBDD_fashion_boutique[[#This Row],[category]]="Accessories","Accesorio",IF(BBDD_fashion_boutique[[#This Row],[size]]="","Desconocido",BBDD_fashion_boutique[[#This Row],[size]]))</f>
        <v>S</v>
      </c>
      <c r="G285" t="s">
        <v>33</v>
      </c>
      <c r="H285" s="2">
        <v>95.82</v>
      </c>
      <c r="I285">
        <v>39.4</v>
      </c>
      <c r="J285" s="5">
        <f>BBDD_fashion_boutique[[#This Row],[markdown_percentage]]/100</f>
        <v>0.39399999999999996</v>
      </c>
      <c r="K285" s="2">
        <v>58.07</v>
      </c>
      <c r="L285" s="2">
        <f>BBDD_fashion_boutique[[#This Row],[original_price]]-BBDD_fashion_boutique[[#This Row],[current_price]]</f>
        <v>37.749999999999993</v>
      </c>
      <c r="M285" s="1">
        <v>45875</v>
      </c>
      <c r="N285" s="1" t="str">
        <f>PROPER(TEXT(BBDD_fashion_boutique[[#This Row],[purchase_date]],"dddd"))</f>
        <v>Miércoles</v>
      </c>
      <c r="O285" s="1" t="str">
        <f>PROPER(TEXT(BBDD_fashion_boutique[[#This Row],[purchase_date]],"mmmm"))</f>
        <v>Agosto</v>
      </c>
      <c r="P285" s="4">
        <v>6</v>
      </c>
      <c r="R285" t="str">
        <f>IF(BBDD_fashion_boutique[[#This Row],[stock_quantity]]&gt;9,"Ok",IF(BBDD_fashion_boutique[[#This Row],[stock_quantity]]=0,"Agotado","Pocas Unidades"))</f>
        <v>Pocas Unidades</v>
      </c>
      <c r="S285" s="3" t="str">
        <f>IF(BBDD_fashion_boutique[[#This Row],[customer_rating]]="","No valorado",BBDD_fashion_boutique[[#This Row],[customer_rating]])</f>
        <v>No valorado</v>
      </c>
      <c r="T285" t="s">
        <v>41</v>
      </c>
      <c r="U285" t="s">
        <v>84</v>
      </c>
      <c r="V285">
        <f>IF(BBDD_fashion_boutique[[#This Row],[is_returned]]="False",0,1)</f>
        <v>1</v>
      </c>
      <c r="W285">
        <f>IF(BBDD_fashion_boutique[[#This Row],[is_returned]]="True",0,BBDD_fashion_boutique[[#This Row],[current_price]])</f>
        <v>0</v>
      </c>
      <c r="X285" t="str">
        <f>IF(BBDD_fashion_boutique[[#This Row],[return_reason]]="","No return",BBDD_fashion_boutique[[#This Row],[return_reason]])</f>
        <v>Damaged</v>
      </c>
      <c r="Y285">
        <f>IF(IFERROR(VLOOKUP(BBDD_fashion_boutique[[#This Row],[product_id]],A286:A2461,1,FALSE),0),1,0)</f>
        <v>0</v>
      </c>
    </row>
    <row r="286" spans="1:25" x14ac:dyDescent="0.3">
      <c r="A286" t="s">
        <v>345</v>
      </c>
      <c r="B286" t="s">
        <v>35</v>
      </c>
      <c r="C286" t="s">
        <v>59</v>
      </c>
      <c r="D286" t="s">
        <v>28</v>
      </c>
      <c r="E286" t="s">
        <v>64</v>
      </c>
      <c r="F286" t="str">
        <f>IF(BBDD_fashion_boutique[[#This Row],[category]]="Accessories","Accesorio",IF(BBDD_fashion_boutique[[#This Row],[size]]="","Desconocido",BBDD_fashion_boutique[[#This Row],[size]]))</f>
        <v>M</v>
      </c>
      <c r="G286" t="s">
        <v>52</v>
      </c>
      <c r="H286" s="2">
        <v>157.41999999999999</v>
      </c>
      <c r="I286">
        <v>0</v>
      </c>
      <c r="J286" s="5">
        <f>BBDD_fashion_boutique[[#This Row],[markdown_percentage]]/100</f>
        <v>0</v>
      </c>
      <c r="K286" s="2">
        <v>157.41999999999999</v>
      </c>
      <c r="L286" s="2">
        <f>BBDD_fashion_boutique[[#This Row],[original_price]]-BBDD_fashion_boutique[[#This Row],[current_price]]</f>
        <v>0</v>
      </c>
      <c r="M286" s="1">
        <v>45875</v>
      </c>
      <c r="N286" s="1" t="str">
        <f>PROPER(TEXT(BBDD_fashion_boutique[[#This Row],[purchase_date]],"dddd"))</f>
        <v>Miércoles</v>
      </c>
      <c r="O286" s="1" t="str">
        <f>PROPER(TEXT(BBDD_fashion_boutique[[#This Row],[purchase_date]],"mmmm"))</f>
        <v>Agosto</v>
      </c>
      <c r="P286" s="4">
        <v>38</v>
      </c>
      <c r="Q286" s="2">
        <v>2.4</v>
      </c>
      <c r="R286" t="str">
        <f>IF(BBDD_fashion_boutique[[#This Row],[stock_quantity]]&gt;9,"Ok",IF(BBDD_fashion_boutique[[#This Row],[stock_quantity]]=0,"Agotado","Pocas Unidades"))</f>
        <v>Ok</v>
      </c>
      <c r="S286" s="3">
        <f>IF(BBDD_fashion_boutique[[#This Row],[customer_rating]]="","No valorado",BBDD_fashion_boutique[[#This Row],[customer_rating]])</f>
        <v>2.4</v>
      </c>
      <c r="T286" t="s">
        <v>24</v>
      </c>
      <c r="V286">
        <f>IF(BBDD_fashion_boutique[[#This Row],[is_returned]]="False",0,1)</f>
        <v>0</v>
      </c>
      <c r="W286">
        <f>IF(BBDD_fashion_boutique[[#This Row],[is_returned]]="True",0,BBDD_fashion_boutique[[#This Row],[current_price]])</f>
        <v>157.41999999999999</v>
      </c>
      <c r="X286" t="str">
        <f>IF(BBDD_fashion_boutique[[#This Row],[return_reason]]="","No return",BBDD_fashion_boutique[[#This Row],[return_reason]])</f>
        <v>No return</v>
      </c>
      <c r="Y286">
        <f>IF(IFERROR(VLOOKUP(BBDD_fashion_boutique[[#This Row],[product_id]],A287:A2462,1,FALSE),0),1,0)</f>
        <v>0</v>
      </c>
    </row>
    <row r="287" spans="1:25" x14ac:dyDescent="0.3">
      <c r="A287" t="s">
        <v>346</v>
      </c>
      <c r="B287" t="s">
        <v>32</v>
      </c>
      <c r="C287" t="s">
        <v>20</v>
      </c>
      <c r="D287" t="s">
        <v>39</v>
      </c>
      <c r="F287" t="str">
        <f>IF(BBDD_fashion_boutique[[#This Row],[category]]="Accessories","Accesorio",IF(BBDD_fashion_boutique[[#This Row],[size]]="","Desconocido",BBDD_fashion_boutique[[#This Row],[size]]))</f>
        <v>Accesorio</v>
      </c>
      <c r="G287" t="s">
        <v>23</v>
      </c>
      <c r="H287" s="2">
        <v>60.17</v>
      </c>
      <c r="I287">
        <v>14.1</v>
      </c>
      <c r="J287" s="5">
        <f>BBDD_fashion_boutique[[#This Row],[markdown_percentage]]/100</f>
        <v>0.14099999999999999</v>
      </c>
      <c r="K287" s="2">
        <v>51.69</v>
      </c>
      <c r="L287" s="2">
        <f>BBDD_fashion_boutique[[#This Row],[original_price]]-BBDD_fashion_boutique[[#This Row],[current_price]]</f>
        <v>8.480000000000004</v>
      </c>
      <c r="M287" s="1">
        <v>45875</v>
      </c>
      <c r="N287" s="1" t="str">
        <f>PROPER(TEXT(BBDD_fashion_boutique[[#This Row],[purchase_date]],"dddd"))</f>
        <v>Miércoles</v>
      </c>
      <c r="O287" s="1" t="str">
        <f>PROPER(TEXT(BBDD_fashion_boutique[[#This Row],[purchase_date]],"mmmm"))</f>
        <v>Agosto</v>
      </c>
      <c r="P287" s="4">
        <v>38</v>
      </c>
      <c r="Q287" s="2">
        <v>5</v>
      </c>
      <c r="R287" t="str">
        <f>IF(BBDD_fashion_boutique[[#This Row],[stock_quantity]]&gt;9,"Ok",IF(BBDD_fashion_boutique[[#This Row],[stock_quantity]]=0,"Agotado","Pocas Unidades"))</f>
        <v>Ok</v>
      </c>
      <c r="S287" s="3">
        <f>IF(BBDD_fashion_boutique[[#This Row],[customer_rating]]="","No valorado",BBDD_fashion_boutique[[#This Row],[customer_rating]])</f>
        <v>5</v>
      </c>
      <c r="T287" t="s">
        <v>24</v>
      </c>
      <c r="V287">
        <f>IF(BBDD_fashion_boutique[[#This Row],[is_returned]]="False",0,1)</f>
        <v>0</v>
      </c>
      <c r="W287">
        <f>IF(BBDD_fashion_boutique[[#This Row],[is_returned]]="True",0,BBDD_fashion_boutique[[#This Row],[current_price]])</f>
        <v>51.69</v>
      </c>
      <c r="X287" t="str">
        <f>IF(BBDD_fashion_boutique[[#This Row],[return_reason]]="","No return",BBDD_fashion_boutique[[#This Row],[return_reason]])</f>
        <v>No return</v>
      </c>
      <c r="Y287">
        <f>IF(IFERROR(VLOOKUP(BBDD_fashion_boutique[[#This Row],[product_id]],A288:A2463,1,FALSE),0),1,0)</f>
        <v>0</v>
      </c>
    </row>
    <row r="288" spans="1:25" x14ac:dyDescent="0.3">
      <c r="A288" t="s">
        <v>347</v>
      </c>
      <c r="B288" t="s">
        <v>19</v>
      </c>
      <c r="C288" t="s">
        <v>49</v>
      </c>
      <c r="D288" t="s">
        <v>28</v>
      </c>
      <c r="E288" t="s">
        <v>22</v>
      </c>
      <c r="F288" t="str">
        <f>IF(BBDD_fashion_boutique[[#This Row],[category]]="Accessories","Accesorio",IF(BBDD_fashion_boutique[[#This Row],[size]]="","Desconocido",BBDD_fashion_boutique[[#This Row],[size]]))</f>
        <v>XL</v>
      </c>
      <c r="G288" t="s">
        <v>30</v>
      </c>
      <c r="H288" s="2">
        <v>169.03</v>
      </c>
      <c r="I288">
        <v>0</v>
      </c>
      <c r="J288" s="5">
        <f>BBDD_fashion_boutique[[#This Row],[markdown_percentage]]/100</f>
        <v>0</v>
      </c>
      <c r="K288" s="2">
        <v>169.03</v>
      </c>
      <c r="L288" s="2">
        <f>BBDD_fashion_boutique[[#This Row],[original_price]]-BBDD_fashion_boutique[[#This Row],[current_price]]</f>
        <v>0</v>
      </c>
      <c r="M288" s="1">
        <v>45875</v>
      </c>
      <c r="N288" s="1" t="str">
        <f>PROPER(TEXT(BBDD_fashion_boutique[[#This Row],[purchase_date]],"dddd"))</f>
        <v>Miércoles</v>
      </c>
      <c r="O288" s="1" t="str">
        <f>PROPER(TEXT(BBDD_fashion_boutique[[#This Row],[purchase_date]],"mmmm"))</f>
        <v>Agosto</v>
      </c>
      <c r="P288" s="4">
        <v>16</v>
      </c>
      <c r="Q288" s="2">
        <v>1.7</v>
      </c>
      <c r="R288" t="str">
        <f>IF(BBDD_fashion_boutique[[#This Row],[stock_quantity]]&gt;9,"Ok",IF(BBDD_fashion_boutique[[#This Row],[stock_quantity]]=0,"Agotado","Pocas Unidades"))</f>
        <v>Ok</v>
      </c>
      <c r="S288" s="3">
        <f>IF(BBDD_fashion_boutique[[#This Row],[customer_rating]]="","No valorado",BBDD_fashion_boutique[[#This Row],[customer_rating]])</f>
        <v>1.7</v>
      </c>
      <c r="T288" t="s">
        <v>24</v>
      </c>
      <c r="V288">
        <f>IF(BBDD_fashion_boutique[[#This Row],[is_returned]]="False",0,1)</f>
        <v>0</v>
      </c>
      <c r="W288">
        <f>IF(BBDD_fashion_boutique[[#This Row],[is_returned]]="True",0,BBDD_fashion_boutique[[#This Row],[current_price]])</f>
        <v>169.03</v>
      </c>
      <c r="X288" t="str">
        <f>IF(BBDD_fashion_boutique[[#This Row],[return_reason]]="","No return",BBDD_fashion_boutique[[#This Row],[return_reason]])</f>
        <v>No return</v>
      </c>
      <c r="Y288">
        <f>IF(IFERROR(VLOOKUP(BBDD_fashion_boutique[[#This Row],[product_id]],A289:A2464,1,FALSE),0),1,0)</f>
        <v>0</v>
      </c>
    </row>
    <row r="289" spans="1:25" x14ac:dyDescent="0.3">
      <c r="A289" t="s">
        <v>348</v>
      </c>
      <c r="B289" t="s">
        <v>48</v>
      </c>
      <c r="C289" t="s">
        <v>27</v>
      </c>
      <c r="D289" t="s">
        <v>39</v>
      </c>
      <c r="E289" t="s">
        <v>45</v>
      </c>
      <c r="F289" t="str">
        <f>IF(BBDD_fashion_boutique[[#This Row],[category]]="Accessories","Accesorio",IF(BBDD_fashion_boutique[[#This Row],[size]]="","Desconocido",BBDD_fashion_boutique[[#This Row],[size]]))</f>
        <v>S</v>
      </c>
      <c r="G289" t="s">
        <v>30</v>
      </c>
      <c r="H289" s="2">
        <v>175.86</v>
      </c>
      <c r="I289">
        <v>0</v>
      </c>
      <c r="J289" s="5">
        <f>BBDD_fashion_boutique[[#This Row],[markdown_percentage]]/100</f>
        <v>0</v>
      </c>
      <c r="K289" s="2">
        <v>175.86</v>
      </c>
      <c r="L289" s="2">
        <f>BBDD_fashion_boutique[[#This Row],[original_price]]-BBDD_fashion_boutique[[#This Row],[current_price]]</f>
        <v>0</v>
      </c>
      <c r="M289" s="1">
        <v>45875</v>
      </c>
      <c r="N289" s="1" t="str">
        <f>PROPER(TEXT(BBDD_fashion_boutique[[#This Row],[purchase_date]],"dddd"))</f>
        <v>Miércoles</v>
      </c>
      <c r="O289" s="1" t="str">
        <f>PROPER(TEXT(BBDD_fashion_boutique[[#This Row],[purchase_date]],"mmmm"))</f>
        <v>Agosto</v>
      </c>
      <c r="P289" s="4">
        <v>0</v>
      </c>
      <c r="Q289" s="2">
        <v>4.5999999999999996</v>
      </c>
      <c r="R289" t="str">
        <f>IF(BBDD_fashion_boutique[[#This Row],[stock_quantity]]&gt;9,"Ok",IF(BBDD_fashion_boutique[[#This Row],[stock_quantity]]=0,"Agotado","Pocas Unidades"))</f>
        <v>Agotado</v>
      </c>
      <c r="S289" s="3">
        <f>IF(BBDD_fashion_boutique[[#This Row],[customer_rating]]="","No valorado",BBDD_fashion_boutique[[#This Row],[customer_rating]])</f>
        <v>4.5999999999999996</v>
      </c>
      <c r="T289" t="s">
        <v>24</v>
      </c>
      <c r="V289">
        <f>IF(BBDD_fashion_boutique[[#This Row],[is_returned]]="False",0,1)</f>
        <v>0</v>
      </c>
      <c r="W289">
        <f>IF(BBDD_fashion_boutique[[#This Row],[is_returned]]="True",0,BBDD_fashion_boutique[[#This Row],[current_price]])</f>
        <v>175.86</v>
      </c>
      <c r="X289" t="str">
        <f>IF(BBDD_fashion_boutique[[#This Row],[return_reason]]="","No return",BBDD_fashion_boutique[[#This Row],[return_reason]])</f>
        <v>No return</v>
      </c>
      <c r="Y289">
        <f>IF(IFERROR(VLOOKUP(BBDD_fashion_boutique[[#This Row],[product_id]],A290:A2465,1,FALSE),0),1,0)</f>
        <v>0</v>
      </c>
    </row>
    <row r="290" spans="1:25" x14ac:dyDescent="0.3">
      <c r="A290" t="s">
        <v>349</v>
      </c>
      <c r="B290" t="s">
        <v>35</v>
      </c>
      <c r="C290" t="s">
        <v>49</v>
      </c>
      <c r="D290" t="s">
        <v>68</v>
      </c>
      <c r="F290" t="str">
        <f>IF(BBDD_fashion_boutique[[#This Row],[category]]="Accessories","Accesorio",IF(BBDD_fashion_boutique[[#This Row],[size]]="","Desconocido",BBDD_fashion_boutique[[#This Row],[size]]))</f>
        <v>Desconocido</v>
      </c>
      <c r="G290" t="s">
        <v>76</v>
      </c>
      <c r="H290" s="2">
        <v>169.75</v>
      </c>
      <c r="I290">
        <v>0</v>
      </c>
      <c r="J290" s="5">
        <f>BBDD_fashion_boutique[[#This Row],[markdown_percentage]]/100</f>
        <v>0</v>
      </c>
      <c r="K290" s="2">
        <v>169.75</v>
      </c>
      <c r="L290" s="2">
        <f>BBDD_fashion_boutique[[#This Row],[original_price]]-BBDD_fashion_boutique[[#This Row],[current_price]]</f>
        <v>0</v>
      </c>
      <c r="M290" s="1">
        <v>45875</v>
      </c>
      <c r="N290" s="1" t="str">
        <f>PROPER(TEXT(BBDD_fashion_boutique[[#This Row],[purchase_date]],"dddd"))</f>
        <v>Miércoles</v>
      </c>
      <c r="O290" s="1" t="str">
        <f>PROPER(TEXT(BBDD_fashion_boutique[[#This Row],[purchase_date]],"mmmm"))</f>
        <v>Agosto</v>
      </c>
      <c r="P290" s="4">
        <v>5</v>
      </c>
      <c r="Q290" s="2">
        <v>2.7</v>
      </c>
      <c r="R290" t="str">
        <f>IF(BBDD_fashion_boutique[[#This Row],[stock_quantity]]&gt;9,"Ok",IF(BBDD_fashion_boutique[[#This Row],[stock_quantity]]=0,"Agotado","Pocas Unidades"))</f>
        <v>Pocas Unidades</v>
      </c>
      <c r="S290" s="3">
        <f>IF(BBDD_fashion_boutique[[#This Row],[customer_rating]]="","No valorado",BBDD_fashion_boutique[[#This Row],[customer_rating]])</f>
        <v>2.7</v>
      </c>
      <c r="T290" t="s">
        <v>24</v>
      </c>
      <c r="V290">
        <f>IF(BBDD_fashion_boutique[[#This Row],[is_returned]]="False",0,1)</f>
        <v>0</v>
      </c>
      <c r="W290">
        <f>IF(BBDD_fashion_boutique[[#This Row],[is_returned]]="True",0,BBDD_fashion_boutique[[#This Row],[current_price]])</f>
        <v>169.75</v>
      </c>
      <c r="X290" t="str">
        <f>IF(BBDD_fashion_boutique[[#This Row],[return_reason]]="","No return",BBDD_fashion_boutique[[#This Row],[return_reason]])</f>
        <v>No return</v>
      </c>
      <c r="Y290">
        <f>IF(IFERROR(VLOOKUP(BBDD_fashion_boutique[[#This Row],[product_id]],A291:A2466,1,FALSE),0),1,0)</f>
        <v>0</v>
      </c>
    </row>
    <row r="291" spans="1:25" x14ac:dyDescent="0.3">
      <c r="A291" t="s">
        <v>350</v>
      </c>
      <c r="B291" t="s">
        <v>32</v>
      </c>
      <c r="C291" t="s">
        <v>54</v>
      </c>
      <c r="D291" t="s">
        <v>68</v>
      </c>
      <c r="F291" t="str">
        <f>IF(BBDD_fashion_boutique[[#This Row],[category]]="Accessories","Accesorio",IF(BBDD_fashion_boutique[[#This Row],[size]]="","Desconocido",BBDD_fashion_boutique[[#This Row],[size]]))</f>
        <v>Accesorio</v>
      </c>
      <c r="G291" t="s">
        <v>23</v>
      </c>
      <c r="H291" s="2">
        <v>51.77</v>
      </c>
      <c r="I291">
        <v>24.3</v>
      </c>
      <c r="J291" s="5">
        <f>BBDD_fashion_boutique[[#This Row],[markdown_percentage]]/100</f>
        <v>0.24299999999999999</v>
      </c>
      <c r="K291" s="2">
        <v>39.19</v>
      </c>
      <c r="L291" s="2">
        <f>BBDD_fashion_boutique[[#This Row],[original_price]]-BBDD_fashion_boutique[[#This Row],[current_price]]</f>
        <v>12.580000000000005</v>
      </c>
      <c r="M291" s="1">
        <v>45875</v>
      </c>
      <c r="N291" s="1" t="str">
        <f>PROPER(TEXT(BBDD_fashion_boutique[[#This Row],[purchase_date]],"dddd"))</f>
        <v>Miércoles</v>
      </c>
      <c r="O291" s="1" t="str">
        <f>PROPER(TEXT(BBDD_fashion_boutique[[#This Row],[purchase_date]],"mmmm"))</f>
        <v>Agosto</v>
      </c>
      <c r="P291" s="4">
        <v>50</v>
      </c>
      <c r="Q291" s="2">
        <v>3.7</v>
      </c>
      <c r="R291" t="str">
        <f>IF(BBDD_fashion_boutique[[#This Row],[stock_quantity]]&gt;9,"Ok",IF(BBDD_fashion_boutique[[#This Row],[stock_quantity]]=0,"Agotado","Pocas Unidades"))</f>
        <v>Ok</v>
      </c>
      <c r="S291" s="3">
        <f>IF(BBDD_fashion_boutique[[#This Row],[customer_rating]]="","No valorado",BBDD_fashion_boutique[[#This Row],[customer_rating]])</f>
        <v>3.7</v>
      </c>
      <c r="T291" t="s">
        <v>24</v>
      </c>
      <c r="V291">
        <f>IF(BBDD_fashion_boutique[[#This Row],[is_returned]]="False",0,1)</f>
        <v>0</v>
      </c>
      <c r="W291">
        <f>IF(BBDD_fashion_boutique[[#This Row],[is_returned]]="True",0,BBDD_fashion_boutique[[#This Row],[current_price]])</f>
        <v>39.19</v>
      </c>
      <c r="X291" t="str">
        <f>IF(BBDD_fashion_boutique[[#This Row],[return_reason]]="","No return",BBDD_fashion_boutique[[#This Row],[return_reason]])</f>
        <v>No return</v>
      </c>
      <c r="Y291">
        <f>IF(IFERROR(VLOOKUP(BBDD_fashion_boutique[[#This Row],[product_id]],A292:A2467,1,FALSE),0),1,0)</f>
        <v>0</v>
      </c>
    </row>
    <row r="292" spans="1:25" x14ac:dyDescent="0.3">
      <c r="A292" t="s">
        <v>351</v>
      </c>
      <c r="B292" t="s">
        <v>26</v>
      </c>
      <c r="C292" t="s">
        <v>49</v>
      </c>
      <c r="D292" t="s">
        <v>39</v>
      </c>
      <c r="E292" t="s">
        <v>64</v>
      </c>
      <c r="F292" t="str">
        <f>IF(BBDD_fashion_boutique[[#This Row],[category]]="Accessories","Accesorio",IF(BBDD_fashion_boutique[[#This Row],[size]]="","Desconocido",BBDD_fashion_boutique[[#This Row],[size]]))</f>
        <v>M</v>
      </c>
      <c r="G292" t="s">
        <v>33</v>
      </c>
      <c r="H292" s="2">
        <v>83.09</v>
      </c>
      <c r="I292">
        <v>0</v>
      </c>
      <c r="J292" s="5">
        <f>BBDD_fashion_boutique[[#This Row],[markdown_percentage]]/100</f>
        <v>0</v>
      </c>
      <c r="K292" s="2">
        <v>83.09</v>
      </c>
      <c r="L292" s="2">
        <f>BBDD_fashion_boutique[[#This Row],[original_price]]-BBDD_fashion_boutique[[#This Row],[current_price]]</f>
        <v>0</v>
      </c>
      <c r="M292" s="1">
        <v>45875</v>
      </c>
      <c r="N292" s="1" t="str">
        <f>PROPER(TEXT(BBDD_fashion_boutique[[#This Row],[purchase_date]],"dddd"))</f>
        <v>Miércoles</v>
      </c>
      <c r="O292" s="1" t="str">
        <f>PROPER(TEXT(BBDD_fashion_boutique[[#This Row],[purchase_date]],"mmmm"))</f>
        <v>Agosto</v>
      </c>
      <c r="P292" s="4">
        <v>22</v>
      </c>
      <c r="Q292" s="2">
        <v>2.2999999999999998</v>
      </c>
      <c r="R292" t="str">
        <f>IF(BBDD_fashion_boutique[[#This Row],[stock_quantity]]&gt;9,"Ok",IF(BBDD_fashion_boutique[[#This Row],[stock_quantity]]=0,"Agotado","Pocas Unidades"))</f>
        <v>Ok</v>
      </c>
      <c r="S292" s="3">
        <f>IF(BBDD_fashion_boutique[[#This Row],[customer_rating]]="","No valorado",BBDD_fashion_boutique[[#This Row],[customer_rating]])</f>
        <v>2.2999999999999998</v>
      </c>
      <c r="T292" t="s">
        <v>24</v>
      </c>
      <c r="V292">
        <f>IF(BBDD_fashion_boutique[[#This Row],[is_returned]]="False",0,1)</f>
        <v>0</v>
      </c>
      <c r="W292">
        <f>IF(BBDD_fashion_boutique[[#This Row],[is_returned]]="True",0,BBDD_fashion_boutique[[#This Row],[current_price]])</f>
        <v>83.09</v>
      </c>
      <c r="X292" t="str">
        <f>IF(BBDD_fashion_boutique[[#This Row],[return_reason]]="","No return",BBDD_fashion_boutique[[#This Row],[return_reason]])</f>
        <v>No return</v>
      </c>
      <c r="Y292">
        <f>IF(IFERROR(VLOOKUP(BBDD_fashion_boutique[[#This Row],[product_id]],A293:A2468,1,FALSE),0),1,0)</f>
        <v>0</v>
      </c>
    </row>
    <row r="293" spans="1:25" x14ac:dyDescent="0.3">
      <c r="A293" t="s">
        <v>352</v>
      </c>
      <c r="B293" t="s">
        <v>19</v>
      </c>
      <c r="C293" t="s">
        <v>59</v>
      </c>
      <c r="D293" t="s">
        <v>28</v>
      </c>
      <c r="E293" t="s">
        <v>61</v>
      </c>
      <c r="F293" t="str">
        <f>IF(BBDD_fashion_boutique[[#This Row],[category]]="Accessories","Accesorio",IF(BBDD_fashion_boutique[[#This Row],[size]]="","Desconocido",BBDD_fashion_boutique[[#This Row],[size]]))</f>
        <v>XS</v>
      </c>
      <c r="G293" t="s">
        <v>72</v>
      </c>
      <c r="H293" s="2">
        <v>176.1</v>
      </c>
      <c r="I293">
        <v>0</v>
      </c>
      <c r="J293" s="5">
        <f>BBDD_fashion_boutique[[#This Row],[markdown_percentage]]/100</f>
        <v>0</v>
      </c>
      <c r="K293" s="2">
        <v>176.1</v>
      </c>
      <c r="L293" s="2">
        <f>BBDD_fashion_boutique[[#This Row],[original_price]]-BBDD_fashion_boutique[[#This Row],[current_price]]</f>
        <v>0</v>
      </c>
      <c r="M293" s="1">
        <v>45875</v>
      </c>
      <c r="N293" s="1" t="str">
        <f>PROPER(TEXT(BBDD_fashion_boutique[[#This Row],[purchase_date]],"dddd"))</f>
        <v>Miércoles</v>
      </c>
      <c r="O293" s="1" t="str">
        <f>PROPER(TEXT(BBDD_fashion_boutique[[#This Row],[purchase_date]],"mmmm"))</f>
        <v>Agosto</v>
      </c>
      <c r="P293" s="4">
        <v>12</v>
      </c>
      <c r="Q293" s="2">
        <v>4.5999999999999996</v>
      </c>
      <c r="R293" t="str">
        <f>IF(BBDD_fashion_boutique[[#This Row],[stock_quantity]]&gt;9,"Ok",IF(BBDD_fashion_boutique[[#This Row],[stock_quantity]]=0,"Agotado","Pocas Unidades"))</f>
        <v>Ok</v>
      </c>
      <c r="S293" s="3">
        <f>IF(BBDD_fashion_boutique[[#This Row],[customer_rating]]="","No valorado",BBDD_fashion_boutique[[#This Row],[customer_rating]])</f>
        <v>4.5999999999999996</v>
      </c>
      <c r="T293" t="s">
        <v>24</v>
      </c>
      <c r="V293">
        <f>IF(BBDD_fashion_boutique[[#This Row],[is_returned]]="False",0,1)</f>
        <v>0</v>
      </c>
      <c r="W293">
        <f>IF(BBDD_fashion_boutique[[#This Row],[is_returned]]="True",0,BBDD_fashion_boutique[[#This Row],[current_price]])</f>
        <v>176.1</v>
      </c>
      <c r="X293" t="str">
        <f>IF(BBDD_fashion_boutique[[#This Row],[return_reason]]="","No return",BBDD_fashion_boutique[[#This Row],[return_reason]])</f>
        <v>No return</v>
      </c>
      <c r="Y293">
        <f>IF(IFERROR(VLOOKUP(BBDD_fashion_boutique[[#This Row],[product_id]],A294:A2469,1,FALSE),0),1,0)</f>
        <v>0</v>
      </c>
    </row>
    <row r="294" spans="1:25" x14ac:dyDescent="0.3">
      <c r="A294" t="s">
        <v>353</v>
      </c>
      <c r="B294" t="s">
        <v>44</v>
      </c>
      <c r="C294" t="s">
        <v>49</v>
      </c>
      <c r="D294" t="s">
        <v>39</v>
      </c>
      <c r="E294" t="s">
        <v>64</v>
      </c>
      <c r="F294" t="str">
        <f>IF(BBDD_fashion_boutique[[#This Row],[category]]="Accessories","Accesorio",IF(BBDD_fashion_boutique[[#This Row],[size]]="","Desconocido",BBDD_fashion_boutique[[#This Row],[size]]))</f>
        <v>M</v>
      </c>
      <c r="G294" t="s">
        <v>50</v>
      </c>
      <c r="H294" s="2">
        <v>69.11</v>
      </c>
      <c r="I294">
        <v>0</v>
      </c>
      <c r="J294" s="5">
        <f>BBDD_fashion_boutique[[#This Row],[markdown_percentage]]/100</f>
        <v>0</v>
      </c>
      <c r="K294" s="2">
        <v>69.11</v>
      </c>
      <c r="L294" s="2">
        <f>BBDD_fashion_boutique[[#This Row],[original_price]]-BBDD_fashion_boutique[[#This Row],[current_price]]</f>
        <v>0</v>
      </c>
      <c r="M294" s="1">
        <v>45875</v>
      </c>
      <c r="N294" s="1" t="str">
        <f>PROPER(TEXT(BBDD_fashion_boutique[[#This Row],[purchase_date]],"dddd"))</f>
        <v>Miércoles</v>
      </c>
      <c r="O294" s="1" t="str">
        <f>PROPER(TEXT(BBDD_fashion_boutique[[#This Row],[purchase_date]],"mmmm"))</f>
        <v>Agosto</v>
      </c>
      <c r="P294" s="4">
        <v>18</v>
      </c>
      <c r="Q294" s="2">
        <v>3.9</v>
      </c>
      <c r="R294" t="str">
        <f>IF(BBDD_fashion_boutique[[#This Row],[stock_quantity]]&gt;9,"Ok",IF(BBDD_fashion_boutique[[#This Row],[stock_quantity]]=0,"Agotado","Pocas Unidades"))</f>
        <v>Ok</v>
      </c>
      <c r="S294" s="3">
        <f>IF(BBDD_fashion_boutique[[#This Row],[customer_rating]]="","No valorado",BBDD_fashion_boutique[[#This Row],[customer_rating]])</f>
        <v>3.9</v>
      </c>
      <c r="T294" t="s">
        <v>24</v>
      </c>
      <c r="V294">
        <f>IF(BBDD_fashion_boutique[[#This Row],[is_returned]]="False",0,1)</f>
        <v>0</v>
      </c>
      <c r="W294">
        <f>IF(BBDD_fashion_boutique[[#This Row],[is_returned]]="True",0,BBDD_fashion_boutique[[#This Row],[current_price]])</f>
        <v>69.11</v>
      </c>
      <c r="X294" t="str">
        <f>IF(BBDD_fashion_boutique[[#This Row],[return_reason]]="","No return",BBDD_fashion_boutique[[#This Row],[return_reason]])</f>
        <v>No return</v>
      </c>
      <c r="Y294">
        <f>IF(IFERROR(VLOOKUP(BBDD_fashion_boutique[[#This Row],[product_id]],A295:A2470,1,FALSE),0),1,0)</f>
        <v>0</v>
      </c>
    </row>
    <row r="295" spans="1:25" x14ac:dyDescent="0.3">
      <c r="A295" t="s">
        <v>354</v>
      </c>
      <c r="B295" t="s">
        <v>35</v>
      </c>
      <c r="C295" t="s">
        <v>20</v>
      </c>
      <c r="D295" t="s">
        <v>21</v>
      </c>
      <c r="E295" t="s">
        <v>45</v>
      </c>
      <c r="F295" t="str">
        <f>IF(BBDD_fashion_boutique[[#This Row],[category]]="Accessories","Accesorio",IF(BBDD_fashion_boutique[[#This Row],[size]]="","Desconocido",BBDD_fashion_boutique[[#This Row],[size]]))</f>
        <v>S</v>
      </c>
      <c r="G295" t="s">
        <v>72</v>
      </c>
      <c r="H295" s="2">
        <v>117.85</v>
      </c>
      <c r="I295">
        <v>0</v>
      </c>
      <c r="J295" s="5">
        <f>BBDD_fashion_boutique[[#This Row],[markdown_percentage]]/100</f>
        <v>0</v>
      </c>
      <c r="K295" s="2">
        <v>117.85</v>
      </c>
      <c r="L295" s="2">
        <f>BBDD_fashion_boutique[[#This Row],[original_price]]-BBDD_fashion_boutique[[#This Row],[current_price]]</f>
        <v>0</v>
      </c>
      <c r="M295" s="1">
        <v>45649</v>
      </c>
      <c r="N295" s="1" t="str">
        <f>PROPER(TEXT(BBDD_fashion_boutique[[#This Row],[purchase_date]],"dddd"))</f>
        <v>Lunes</v>
      </c>
      <c r="O295" s="1" t="str">
        <f>PROPER(TEXT(BBDD_fashion_boutique[[#This Row],[purchase_date]],"mmmm"))</f>
        <v>Diciembre</v>
      </c>
      <c r="P295" s="4">
        <v>34</v>
      </c>
      <c r="Q295" s="2">
        <v>3.3</v>
      </c>
      <c r="R295" t="str">
        <f>IF(BBDD_fashion_boutique[[#This Row],[stock_quantity]]&gt;9,"Ok",IF(BBDD_fashion_boutique[[#This Row],[stock_quantity]]=0,"Agotado","Pocas Unidades"))</f>
        <v>Ok</v>
      </c>
      <c r="S295" s="3">
        <f>IF(BBDD_fashion_boutique[[#This Row],[customer_rating]]="","No valorado",BBDD_fashion_boutique[[#This Row],[customer_rating]])</f>
        <v>3.3</v>
      </c>
      <c r="T295" t="s">
        <v>24</v>
      </c>
      <c r="V295">
        <f>IF(BBDD_fashion_boutique[[#This Row],[is_returned]]="False",0,1)</f>
        <v>0</v>
      </c>
      <c r="W295">
        <f>IF(BBDD_fashion_boutique[[#This Row],[is_returned]]="True",0,BBDD_fashion_boutique[[#This Row],[current_price]])</f>
        <v>117.85</v>
      </c>
      <c r="X295" t="str">
        <f>IF(BBDD_fashion_boutique[[#This Row],[return_reason]]="","No return",BBDD_fashion_boutique[[#This Row],[return_reason]])</f>
        <v>No return</v>
      </c>
      <c r="Y295">
        <f>IF(IFERROR(VLOOKUP(BBDD_fashion_boutique[[#This Row],[product_id]],A296:A2471,1,FALSE),0),1,0)</f>
        <v>0</v>
      </c>
    </row>
    <row r="296" spans="1:25" x14ac:dyDescent="0.3">
      <c r="A296" t="s">
        <v>355</v>
      </c>
      <c r="B296" t="s">
        <v>35</v>
      </c>
      <c r="C296" t="s">
        <v>37</v>
      </c>
      <c r="D296" t="s">
        <v>39</v>
      </c>
      <c r="E296" t="s">
        <v>64</v>
      </c>
      <c r="F296" t="str">
        <f>IF(BBDD_fashion_boutique[[#This Row],[category]]="Accessories","Accesorio",IF(BBDD_fashion_boutique[[#This Row],[size]]="","Desconocido",BBDD_fashion_boutique[[#This Row],[size]]))</f>
        <v>M</v>
      </c>
      <c r="G296" t="s">
        <v>72</v>
      </c>
      <c r="H296" s="2">
        <v>96.17</v>
      </c>
      <c r="I296">
        <v>36</v>
      </c>
      <c r="J296" s="5">
        <f>BBDD_fashion_boutique[[#This Row],[markdown_percentage]]/100</f>
        <v>0.36</v>
      </c>
      <c r="K296" s="2">
        <v>61.55</v>
      </c>
      <c r="L296" s="2">
        <f>BBDD_fashion_boutique[[#This Row],[original_price]]-BBDD_fashion_boutique[[#This Row],[current_price]]</f>
        <v>34.620000000000005</v>
      </c>
      <c r="M296" s="1">
        <v>45875</v>
      </c>
      <c r="N296" s="1" t="str">
        <f>PROPER(TEXT(BBDD_fashion_boutique[[#This Row],[purchase_date]],"dddd"))</f>
        <v>Miércoles</v>
      </c>
      <c r="O296" s="1" t="str">
        <f>PROPER(TEXT(BBDD_fashion_boutique[[#This Row],[purchase_date]],"mmmm"))</f>
        <v>Agosto</v>
      </c>
      <c r="P296" s="4">
        <v>45</v>
      </c>
      <c r="Q296" s="2">
        <v>3.5</v>
      </c>
      <c r="R296" t="str">
        <f>IF(BBDD_fashion_boutique[[#This Row],[stock_quantity]]&gt;9,"Ok",IF(BBDD_fashion_boutique[[#This Row],[stock_quantity]]=0,"Agotado","Pocas Unidades"))</f>
        <v>Ok</v>
      </c>
      <c r="S296" s="3">
        <f>IF(BBDD_fashion_boutique[[#This Row],[customer_rating]]="","No valorado",BBDD_fashion_boutique[[#This Row],[customer_rating]])</f>
        <v>3.5</v>
      </c>
      <c r="T296" t="s">
        <v>24</v>
      </c>
      <c r="V296">
        <f>IF(BBDD_fashion_boutique[[#This Row],[is_returned]]="False",0,1)</f>
        <v>0</v>
      </c>
      <c r="W296">
        <f>IF(BBDD_fashion_boutique[[#This Row],[is_returned]]="True",0,BBDD_fashion_boutique[[#This Row],[current_price]])</f>
        <v>61.55</v>
      </c>
      <c r="X296" t="str">
        <f>IF(BBDD_fashion_boutique[[#This Row],[return_reason]]="","No return",BBDD_fashion_boutique[[#This Row],[return_reason]])</f>
        <v>No return</v>
      </c>
      <c r="Y296">
        <f>IF(IFERROR(VLOOKUP(BBDD_fashion_boutique[[#This Row],[product_id]],A297:A2472,1,FALSE),0),1,0)</f>
        <v>0</v>
      </c>
    </row>
    <row r="297" spans="1:25" x14ac:dyDescent="0.3">
      <c r="A297" t="s">
        <v>356</v>
      </c>
      <c r="B297" t="s">
        <v>35</v>
      </c>
      <c r="C297" t="s">
        <v>20</v>
      </c>
      <c r="D297" t="s">
        <v>21</v>
      </c>
      <c r="E297" t="s">
        <v>55</v>
      </c>
      <c r="F297" t="str">
        <f>IF(BBDD_fashion_boutique[[#This Row],[category]]="Accessories","Accesorio",IF(BBDD_fashion_boutique[[#This Row],[size]]="","Desconocido",BBDD_fashion_boutique[[#This Row],[size]]))</f>
        <v>XXL</v>
      </c>
      <c r="G297" t="s">
        <v>23</v>
      </c>
      <c r="H297" s="2">
        <v>80.14</v>
      </c>
      <c r="I297">
        <v>0</v>
      </c>
      <c r="J297" s="5">
        <f>BBDD_fashion_boutique[[#This Row],[markdown_percentage]]/100</f>
        <v>0</v>
      </c>
      <c r="K297" s="2">
        <v>80.14</v>
      </c>
      <c r="L297" s="2">
        <f>BBDD_fashion_boutique[[#This Row],[original_price]]-BBDD_fashion_boutique[[#This Row],[current_price]]</f>
        <v>0</v>
      </c>
      <c r="M297" s="1">
        <v>45747</v>
      </c>
      <c r="N297" s="1" t="str">
        <f>PROPER(TEXT(BBDD_fashion_boutique[[#This Row],[purchase_date]],"dddd"))</f>
        <v>Lunes</v>
      </c>
      <c r="O297" s="1" t="str">
        <f>PROPER(TEXT(BBDD_fashion_boutique[[#This Row],[purchase_date]],"mmmm"))</f>
        <v>Marzo</v>
      </c>
      <c r="P297" s="4">
        <v>10</v>
      </c>
      <c r="Q297" s="2">
        <v>5</v>
      </c>
      <c r="R297" t="str">
        <f>IF(BBDD_fashion_boutique[[#This Row],[stock_quantity]]&gt;9,"Ok",IF(BBDD_fashion_boutique[[#This Row],[stock_quantity]]=0,"Agotado","Pocas Unidades"))</f>
        <v>Ok</v>
      </c>
      <c r="S297" s="3">
        <f>IF(BBDD_fashion_boutique[[#This Row],[customer_rating]]="","No valorado",BBDD_fashion_boutique[[#This Row],[customer_rating]])</f>
        <v>5</v>
      </c>
      <c r="T297" t="s">
        <v>24</v>
      </c>
      <c r="V297">
        <f>IF(BBDD_fashion_boutique[[#This Row],[is_returned]]="False",0,1)</f>
        <v>0</v>
      </c>
      <c r="W297">
        <f>IF(BBDD_fashion_boutique[[#This Row],[is_returned]]="True",0,BBDD_fashion_boutique[[#This Row],[current_price]])</f>
        <v>80.14</v>
      </c>
      <c r="X297" t="str">
        <f>IF(BBDD_fashion_boutique[[#This Row],[return_reason]]="","No return",BBDD_fashion_boutique[[#This Row],[return_reason]])</f>
        <v>No return</v>
      </c>
      <c r="Y297">
        <f>IF(IFERROR(VLOOKUP(BBDD_fashion_boutique[[#This Row],[product_id]],A298:A2473,1,FALSE),0),1,0)</f>
        <v>0</v>
      </c>
    </row>
    <row r="298" spans="1:25" x14ac:dyDescent="0.3">
      <c r="A298" t="s">
        <v>357</v>
      </c>
      <c r="B298" t="s">
        <v>32</v>
      </c>
      <c r="C298" t="s">
        <v>67</v>
      </c>
      <c r="D298" t="s">
        <v>68</v>
      </c>
      <c r="F298" t="str">
        <f>IF(BBDD_fashion_boutique[[#This Row],[category]]="Accessories","Accesorio",IF(BBDD_fashion_boutique[[#This Row],[size]]="","Desconocido",BBDD_fashion_boutique[[#This Row],[size]]))</f>
        <v>Accesorio</v>
      </c>
      <c r="G298" t="s">
        <v>30</v>
      </c>
      <c r="H298" s="2">
        <v>55.08</v>
      </c>
      <c r="I298">
        <v>13</v>
      </c>
      <c r="J298" s="5">
        <f>BBDD_fashion_boutique[[#This Row],[markdown_percentage]]/100</f>
        <v>0.13</v>
      </c>
      <c r="K298" s="2">
        <v>47.92</v>
      </c>
      <c r="L298" s="2">
        <f>BBDD_fashion_boutique[[#This Row],[original_price]]-BBDD_fashion_boutique[[#This Row],[current_price]]</f>
        <v>7.1599999999999966</v>
      </c>
      <c r="M298" s="1">
        <v>45875</v>
      </c>
      <c r="N298" s="1" t="str">
        <f>PROPER(TEXT(BBDD_fashion_boutique[[#This Row],[purchase_date]],"dddd"))</f>
        <v>Miércoles</v>
      </c>
      <c r="O298" s="1" t="str">
        <f>PROPER(TEXT(BBDD_fashion_boutique[[#This Row],[purchase_date]],"mmmm"))</f>
        <v>Agosto</v>
      </c>
      <c r="P298" s="4">
        <v>17</v>
      </c>
      <c r="Q298" s="2">
        <v>3.9</v>
      </c>
      <c r="R298" t="str">
        <f>IF(BBDD_fashion_boutique[[#This Row],[stock_quantity]]&gt;9,"Ok",IF(BBDD_fashion_boutique[[#This Row],[stock_quantity]]=0,"Agotado","Pocas Unidades"))</f>
        <v>Ok</v>
      </c>
      <c r="S298" s="3">
        <f>IF(BBDD_fashion_boutique[[#This Row],[customer_rating]]="","No valorado",BBDD_fashion_boutique[[#This Row],[customer_rating]])</f>
        <v>3.9</v>
      </c>
      <c r="T298" t="s">
        <v>24</v>
      </c>
      <c r="V298">
        <f>IF(BBDD_fashion_boutique[[#This Row],[is_returned]]="False",0,1)</f>
        <v>0</v>
      </c>
      <c r="W298">
        <f>IF(BBDD_fashion_boutique[[#This Row],[is_returned]]="True",0,BBDD_fashion_boutique[[#This Row],[current_price]])</f>
        <v>47.92</v>
      </c>
      <c r="X298" t="str">
        <f>IF(BBDD_fashion_boutique[[#This Row],[return_reason]]="","No return",BBDD_fashion_boutique[[#This Row],[return_reason]])</f>
        <v>No return</v>
      </c>
      <c r="Y298">
        <f>IF(IFERROR(VLOOKUP(BBDD_fashion_boutique[[#This Row],[product_id]],A299:A2474,1,FALSE),0),1,0)</f>
        <v>0</v>
      </c>
    </row>
    <row r="299" spans="1:25" x14ac:dyDescent="0.3">
      <c r="A299" t="s">
        <v>358</v>
      </c>
      <c r="B299" t="s">
        <v>48</v>
      </c>
      <c r="C299" t="s">
        <v>49</v>
      </c>
      <c r="D299" t="s">
        <v>39</v>
      </c>
      <c r="E299" t="s">
        <v>45</v>
      </c>
      <c r="F299" t="str">
        <f>IF(BBDD_fashion_boutique[[#This Row],[category]]="Accessories","Accesorio",IF(BBDD_fashion_boutique[[#This Row],[size]]="","Desconocido",BBDD_fashion_boutique[[#This Row],[size]]))</f>
        <v>S</v>
      </c>
      <c r="G299" t="s">
        <v>30</v>
      </c>
      <c r="H299" s="2">
        <v>165.84</v>
      </c>
      <c r="I299">
        <v>50.4</v>
      </c>
      <c r="J299" s="5">
        <f>BBDD_fashion_boutique[[#This Row],[markdown_percentage]]/100</f>
        <v>0.504</v>
      </c>
      <c r="K299" s="2">
        <v>82.26</v>
      </c>
      <c r="L299" s="2">
        <f>BBDD_fashion_boutique[[#This Row],[original_price]]-BBDD_fashion_boutique[[#This Row],[current_price]]</f>
        <v>83.58</v>
      </c>
      <c r="M299" s="1">
        <v>45875</v>
      </c>
      <c r="N299" s="1" t="str">
        <f>PROPER(TEXT(BBDD_fashion_boutique[[#This Row],[purchase_date]],"dddd"))</f>
        <v>Miércoles</v>
      </c>
      <c r="O299" s="1" t="str">
        <f>PROPER(TEXT(BBDD_fashion_boutique[[#This Row],[purchase_date]],"mmmm"))</f>
        <v>Agosto</v>
      </c>
      <c r="P299" s="4">
        <v>17</v>
      </c>
      <c r="Q299" s="2">
        <v>3.2</v>
      </c>
      <c r="R299" t="str">
        <f>IF(BBDD_fashion_boutique[[#This Row],[stock_quantity]]&gt;9,"Ok",IF(BBDD_fashion_boutique[[#This Row],[stock_quantity]]=0,"Agotado","Pocas Unidades"))</f>
        <v>Ok</v>
      </c>
      <c r="S299" s="3">
        <f>IF(BBDD_fashion_boutique[[#This Row],[customer_rating]]="","No valorado",BBDD_fashion_boutique[[#This Row],[customer_rating]])</f>
        <v>3.2</v>
      </c>
      <c r="T299" t="s">
        <v>41</v>
      </c>
      <c r="U299" t="s">
        <v>84</v>
      </c>
      <c r="V299">
        <f>IF(BBDD_fashion_boutique[[#This Row],[is_returned]]="False",0,1)</f>
        <v>1</v>
      </c>
      <c r="W299">
        <f>IF(BBDD_fashion_boutique[[#This Row],[is_returned]]="True",0,BBDD_fashion_boutique[[#This Row],[current_price]])</f>
        <v>0</v>
      </c>
      <c r="X299" t="str">
        <f>IF(BBDD_fashion_boutique[[#This Row],[return_reason]]="","No return",BBDD_fashion_boutique[[#This Row],[return_reason]])</f>
        <v>Damaged</v>
      </c>
      <c r="Y299">
        <f>IF(IFERROR(VLOOKUP(BBDD_fashion_boutique[[#This Row],[product_id]],A300:A2475,1,FALSE),0),1,0)</f>
        <v>0</v>
      </c>
    </row>
    <row r="300" spans="1:25" x14ac:dyDescent="0.3">
      <c r="A300" t="s">
        <v>359</v>
      </c>
      <c r="B300" t="s">
        <v>48</v>
      </c>
      <c r="C300" t="s">
        <v>67</v>
      </c>
      <c r="D300" t="s">
        <v>68</v>
      </c>
      <c r="E300" t="s">
        <v>55</v>
      </c>
      <c r="F300" t="str">
        <f>IF(BBDD_fashion_boutique[[#This Row],[category]]="Accessories","Accesorio",IF(BBDD_fashion_boutique[[#This Row],[size]]="","Desconocido",BBDD_fashion_boutique[[#This Row],[size]]))</f>
        <v>XXL</v>
      </c>
      <c r="G300" t="s">
        <v>23</v>
      </c>
      <c r="H300" s="2">
        <v>82.7</v>
      </c>
      <c r="I300">
        <v>0</v>
      </c>
      <c r="J300" s="5">
        <f>BBDD_fashion_boutique[[#This Row],[markdown_percentage]]/100</f>
        <v>0</v>
      </c>
      <c r="K300" s="2">
        <v>82.7</v>
      </c>
      <c r="L300" s="2">
        <f>BBDD_fashion_boutique[[#This Row],[original_price]]-BBDD_fashion_boutique[[#This Row],[current_price]]</f>
        <v>0</v>
      </c>
      <c r="M300" s="1">
        <v>45875</v>
      </c>
      <c r="N300" s="1" t="str">
        <f>PROPER(TEXT(BBDD_fashion_boutique[[#This Row],[purchase_date]],"dddd"))</f>
        <v>Miércoles</v>
      </c>
      <c r="O300" s="1" t="str">
        <f>PROPER(TEXT(BBDD_fashion_boutique[[#This Row],[purchase_date]],"mmmm"))</f>
        <v>Agosto</v>
      </c>
      <c r="P300" s="4">
        <v>20</v>
      </c>
      <c r="Q300" s="2">
        <v>4</v>
      </c>
      <c r="R300" t="str">
        <f>IF(BBDD_fashion_boutique[[#This Row],[stock_quantity]]&gt;9,"Ok",IF(BBDD_fashion_boutique[[#This Row],[stock_quantity]]=0,"Agotado","Pocas Unidades"))</f>
        <v>Ok</v>
      </c>
      <c r="S300" s="3">
        <f>IF(BBDD_fashion_boutique[[#This Row],[customer_rating]]="","No valorado",BBDD_fashion_boutique[[#This Row],[customer_rating]])</f>
        <v>4</v>
      </c>
      <c r="T300" t="s">
        <v>24</v>
      </c>
      <c r="V300">
        <f>IF(BBDD_fashion_boutique[[#This Row],[is_returned]]="False",0,1)</f>
        <v>0</v>
      </c>
      <c r="W300">
        <f>IF(BBDD_fashion_boutique[[#This Row],[is_returned]]="True",0,BBDD_fashion_boutique[[#This Row],[current_price]])</f>
        <v>82.7</v>
      </c>
      <c r="X300" t="str">
        <f>IF(BBDD_fashion_boutique[[#This Row],[return_reason]]="","No return",BBDD_fashion_boutique[[#This Row],[return_reason]])</f>
        <v>No return</v>
      </c>
      <c r="Y300">
        <f>IF(IFERROR(VLOOKUP(BBDD_fashion_boutique[[#This Row],[product_id]],A301:A2476,1,FALSE),0),1,0)</f>
        <v>0</v>
      </c>
    </row>
    <row r="301" spans="1:25" x14ac:dyDescent="0.3">
      <c r="A301" t="s">
        <v>360</v>
      </c>
      <c r="B301" t="s">
        <v>19</v>
      </c>
      <c r="C301" t="s">
        <v>37</v>
      </c>
      <c r="D301" t="s">
        <v>21</v>
      </c>
      <c r="E301" t="s">
        <v>45</v>
      </c>
      <c r="F301" t="str">
        <f>IF(BBDD_fashion_boutique[[#This Row],[category]]="Accessories","Accesorio",IF(BBDD_fashion_boutique[[#This Row],[size]]="","Desconocido",BBDD_fashion_boutique[[#This Row],[size]]))</f>
        <v>S</v>
      </c>
      <c r="G301" t="s">
        <v>72</v>
      </c>
      <c r="H301" s="2">
        <v>222.86</v>
      </c>
      <c r="I301">
        <v>6.6</v>
      </c>
      <c r="J301" s="5">
        <f>BBDD_fashion_boutique[[#This Row],[markdown_percentage]]/100</f>
        <v>6.6000000000000003E-2</v>
      </c>
      <c r="K301" s="2">
        <v>208.15</v>
      </c>
      <c r="L301" s="2">
        <f>BBDD_fashion_boutique[[#This Row],[original_price]]-BBDD_fashion_boutique[[#This Row],[current_price]]</f>
        <v>14.710000000000008</v>
      </c>
      <c r="M301" s="1">
        <v>45645</v>
      </c>
      <c r="N301" s="1" t="str">
        <f>PROPER(TEXT(BBDD_fashion_boutique[[#This Row],[purchase_date]],"dddd"))</f>
        <v>Jueves</v>
      </c>
      <c r="O301" s="1" t="str">
        <f>PROPER(TEXT(BBDD_fashion_boutique[[#This Row],[purchase_date]],"mmmm"))</f>
        <v>Diciembre</v>
      </c>
      <c r="P301" s="4">
        <v>29</v>
      </c>
      <c r="Q301" s="2">
        <v>2.1</v>
      </c>
      <c r="R301" t="str">
        <f>IF(BBDD_fashion_boutique[[#This Row],[stock_quantity]]&gt;9,"Ok",IF(BBDD_fashion_boutique[[#This Row],[stock_quantity]]=0,"Agotado","Pocas Unidades"))</f>
        <v>Ok</v>
      </c>
      <c r="S301" s="3">
        <f>IF(BBDD_fashion_boutique[[#This Row],[customer_rating]]="","No valorado",BBDD_fashion_boutique[[#This Row],[customer_rating]])</f>
        <v>2.1</v>
      </c>
      <c r="T301" t="s">
        <v>24</v>
      </c>
      <c r="V301">
        <f>IF(BBDD_fashion_boutique[[#This Row],[is_returned]]="False",0,1)</f>
        <v>0</v>
      </c>
      <c r="W301">
        <f>IF(BBDD_fashion_boutique[[#This Row],[is_returned]]="True",0,BBDD_fashion_boutique[[#This Row],[current_price]])</f>
        <v>208.15</v>
      </c>
      <c r="X301" t="str">
        <f>IF(BBDD_fashion_boutique[[#This Row],[return_reason]]="","No return",BBDD_fashion_boutique[[#This Row],[return_reason]])</f>
        <v>No return</v>
      </c>
      <c r="Y301">
        <f>IF(IFERROR(VLOOKUP(BBDD_fashion_boutique[[#This Row],[product_id]],A302:A2477,1,FALSE),0),1,0)</f>
        <v>0</v>
      </c>
    </row>
    <row r="302" spans="1:25" x14ac:dyDescent="0.3">
      <c r="A302" t="s">
        <v>361</v>
      </c>
      <c r="B302" t="s">
        <v>26</v>
      </c>
      <c r="C302" t="s">
        <v>49</v>
      </c>
      <c r="D302" t="s">
        <v>28</v>
      </c>
      <c r="E302" t="s">
        <v>29</v>
      </c>
      <c r="F302" t="str">
        <f>IF(BBDD_fashion_boutique[[#This Row],[category]]="Accessories","Accesorio",IF(BBDD_fashion_boutique[[#This Row],[size]]="","Desconocido",BBDD_fashion_boutique[[#This Row],[size]]))</f>
        <v>L</v>
      </c>
      <c r="G302" t="s">
        <v>46</v>
      </c>
      <c r="H302" s="2">
        <v>107.15</v>
      </c>
      <c r="I302">
        <v>0</v>
      </c>
      <c r="J302" s="5">
        <f>BBDD_fashion_boutique[[#This Row],[markdown_percentage]]/100</f>
        <v>0</v>
      </c>
      <c r="K302" s="2">
        <v>107.15</v>
      </c>
      <c r="L302" s="2">
        <f>BBDD_fashion_boutique[[#This Row],[original_price]]-BBDD_fashion_boutique[[#This Row],[current_price]]</f>
        <v>0</v>
      </c>
      <c r="M302" s="1">
        <v>45875</v>
      </c>
      <c r="N302" s="1" t="str">
        <f>PROPER(TEXT(BBDD_fashion_boutique[[#This Row],[purchase_date]],"dddd"))</f>
        <v>Miércoles</v>
      </c>
      <c r="O302" s="1" t="str">
        <f>PROPER(TEXT(BBDD_fashion_boutique[[#This Row],[purchase_date]],"mmmm"))</f>
        <v>Agosto</v>
      </c>
      <c r="P302" s="4">
        <v>33</v>
      </c>
      <c r="R302" t="str">
        <f>IF(BBDD_fashion_boutique[[#This Row],[stock_quantity]]&gt;9,"Ok",IF(BBDD_fashion_boutique[[#This Row],[stock_quantity]]=0,"Agotado","Pocas Unidades"))</f>
        <v>Ok</v>
      </c>
      <c r="S302" s="3" t="str">
        <f>IF(BBDD_fashion_boutique[[#This Row],[customer_rating]]="","No valorado",BBDD_fashion_boutique[[#This Row],[customer_rating]])</f>
        <v>No valorado</v>
      </c>
      <c r="T302" t="s">
        <v>41</v>
      </c>
      <c r="U302" t="s">
        <v>131</v>
      </c>
      <c r="V302">
        <f>IF(BBDD_fashion_boutique[[#This Row],[is_returned]]="False",0,1)</f>
        <v>1</v>
      </c>
      <c r="W302">
        <f>IF(BBDD_fashion_boutique[[#This Row],[is_returned]]="True",0,BBDD_fashion_boutique[[#This Row],[current_price]])</f>
        <v>0</v>
      </c>
      <c r="X302" t="str">
        <f>IF(BBDD_fashion_boutique[[#This Row],[return_reason]]="","No return",BBDD_fashion_boutique[[#This Row],[return_reason]])</f>
        <v>Wrong Item</v>
      </c>
      <c r="Y302">
        <f>IF(IFERROR(VLOOKUP(BBDD_fashion_boutique[[#This Row],[product_id]],A303:A2478,1,FALSE),0),1,0)</f>
        <v>0</v>
      </c>
    </row>
    <row r="303" spans="1:25" x14ac:dyDescent="0.3">
      <c r="A303" t="s">
        <v>362</v>
      </c>
      <c r="B303" t="s">
        <v>35</v>
      </c>
      <c r="C303" t="s">
        <v>54</v>
      </c>
      <c r="D303" t="s">
        <v>39</v>
      </c>
      <c r="E303" t="s">
        <v>55</v>
      </c>
      <c r="F303" t="str">
        <f>IF(BBDD_fashion_boutique[[#This Row],[category]]="Accessories","Accesorio",IF(BBDD_fashion_boutique[[#This Row],[size]]="","Desconocido",BBDD_fashion_boutique[[#This Row],[size]]))</f>
        <v>XXL</v>
      </c>
      <c r="G303" t="s">
        <v>46</v>
      </c>
      <c r="H303" s="2">
        <v>85.54</v>
      </c>
      <c r="I303">
        <v>0</v>
      </c>
      <c r="J303" s="5">
        <f>BBDD_fashion_boutique[[#This Row],[markdown_percentage]]/100</f>
        <v>0</v>
      </c>
      <c r="K303" s="2">
        <v>85.54</v>
      </c>
      <c r="L303" s="2">
        <f>BBDD_fashion_boutique[[#This Row],[original_price]]-BBDD_fashion_boutique[[#This Row],[current_price]]</f>
        <v>0</v>
      </c>
      <c r="M303" s="1">
        <v>45875</v>
      </c>
      <c r="N303" s="1" t="str">
        <f>PROPER(TEXT(BBDD_fashion_boutique[[#This Row],[purchase_date]],"dddd"))</f>
        <v>Miércoles</v>
      </c>
      <c r="O303" s="1" t="str">
        <f>PROPER(TEXT(BBDD_fashion_boutique[[#This Row],[purchase_date]],"mmmm"))</f>
        <v>Agosto</v>
      </c>
      <c r="P303" s="4">
        <v>30</v>
      </c>
      <c r="R303" t="str">
        <f>IF(BBDD_fashion_boutique[[#This Row],[stock_quantity]]&gt;9,"Ok",IF(BBDD_fashion_boutique[[#This Row],[stock_quantity]]=0,"Agotado","Pocas Unidades"))</f>
        <v>Ok</v>
      </c>
      <c r="S303" s="3" t="str">
        <f>IF(BBDD_fashion_boutique[[#This Row],[customer_rating]]="","No valorado",BBDD_fashion_boutique[[#This Row],[customer_rating]])</f>
        <v>No valorado</v>
      </c>
      <c r="T303" t="s">
        <v>24</v>
      </c>
      <c r="V303">
        <f>IF(BBDD_fashion_boutique[[#This Row],[is_returned]]="False",0,1)</f>
        <v>0</v>
      </c>
      <c r="W303">
        <f>IF(BBDD_fashion_boutique[[#This Row],[is_returned]]="True",0,BBDD_fashion_boutique[[#This Row],[current_price]])</f>
        <v>85.54</v>
      </c>
      <c r="X303" t="str">
        <f>IF(BBDD_fashion_boutique[[#This Row],[return_reason]]="","No return",BBDD_fashion_boutique[[#This Row],[return_reason]])</f>
        <v>No return</v>
      </c>
      <c r="Y303">
        <f>IF(IFERROR(VLOOKUP(BBDD_fashion_boutique[[#This Row],[product_id]],A304:A2479,1,FALSE),0),1,0)</f>
        <v>0</v>
      </c>
    </row>
    <row r="304" spans="1:25" x14ac:dyDescent="0.3">
      <c r="A304" t="s">
        <v>363</v>
      </c>
      <c r="B304" t="s">
        <v>44</v>
      </c>
      <c r="C304" t="s">
        <v>49</v>
      </c>
      <c r="D304" t="s">
        <v>68</v>
      </c>
      <c r="E304" t="s">
        <v>22</v>
      </c>
      <c r="F304" t="str">
        <f>IF(BBDD_fashion_boutique[[#This Row],[category]]="Accessories","Accesorio",IF(BBDD_fashion_boutique[[#This Row],[size]]="","Desconocido",BBDD_fashion_boutique[[#This Row],[size]]))</f>
        <v>XL</v>
      </c>
      <c r="G304" t="s">
        <v>52</v>
      </c>
      <c r="H304" s="2">
        <v>34.36</v>
      </c>
      <c r="I304">
        <v>5.4</v>
      </c>
      <c r="J304" s="5">
        <f>BBDD_fashion_boutique[[#This Row],[markdown_percentage]]/100</f>
        <v>5.4000000000000006E-2</v>
      </c>
      <c r="K304" s="2">
        <v>32.5</v>
      </c>
      <c r="L304" s="2">
        <f>BBDD_fashion_boutique[[#This Row],[original_price]]-BBDD_fashion_boutique[[#This Row],[current_price]]</f>
        <v>1.8599999999999994</v>
      </c>
      <c r="M304" s="1">
        <v>45875</v>
      </c>
      <c r="N304" s="1" t="str">
        <f>PROPER(TEXT(BBDD_fashion_boutique[[#This Row],[purchase_date]],"dddd"))</f>
        <v>Miércoles</v>
      </c>
      <c r="O304" s="1" t="str">
        <f>PROPER(TEXT(BBDD_fashion_boutique[[#This Row],[purchase_date]],"mmmm"))</f>
        <v>Agosto</v>
      </c>
      <c r="P304" s="4">
        <v>49</v>
      </c>
      <c r="Q304" s="2">
        <v>4.5</v>
      </c>
      <c r="R304" t="str">
        <f>IF(BBDD_fashion_boutique[[#This Row],[stock_quantity]]&gt;9,"Ok",IF(BBDD_fashion_boutique[[#This Row],[stock_quantity]]=0,"Agotado","Pocas Unidades"))</f>
        <v>Ok</v>
      </c>
      <c r="S304" s="3">
        <f>IF(BBDD_fashion_boutique[[#This Row],[customer_rating]]="","No valorado",BBDD_fashion_boutique[[#This Row],[customer_rating]])</f>
        <v>4.5</v>
      </c>
      <c r="T304" t="s">
        <v>24</v>
      </c>
      <c r="V304">
        <f>IF(BBDD_fashion_boutique[[#This Row],[is_returned]]="False",0,1)</f>
        <v>0</v>
      </c>
      <c r="W304">
        <f>IF(BBDD_fashion_boutique[[#This Row],[is_returned]]="True",0,BBDD_fashion_boutique[[#This Row],[current_price]])</f>
        <v>32.5</v>
      </c>
      <c r="X304" t="str">
        <f>IF(BBDD_fashion_boutique[[#This Row],[return_reason]]="","No return",BBDD_fashion_boutique[[#This Row],[return_reason]])</f>
        <v>No return</v>
      </c>
      <c r="Y304">
        <f>IF(IFERROR(VLOOKUP(BBDD_fashion_boutique[[#This Row],[product_id]],A305:A2480,1,FALSE),0),1,0)</f>
        <v>0</v>
      </c>
    </row>
    <row r="305" spans="1:25" x14ac:dyDescent="0.3">
      <c r="A305" t="s">
        <v>364</v>
      </c>
      <c r="B305" t="s">
        <v>44</v>
      </c>
      <c r="C305" t="s">
        <v>49</v>
      </c>
      <c r="D305" t="s">
        <v>28</v>
      </c>
      <c r="E305" t="s">
        <v>22</v>
      </c>
      <c r="F305" t="str">
        <f>IF(BBDD_fashion_boutique[[#This Row],[category]]="Accessories","Accesorio",IF(BBDD_fashion_boutique[[#This Row],[size]]="","Desconocido",BBDD_fashion_boutique[[#This Row],[size]]))</f>
        <v>XL</v>
      </c>
      <c r="G305" t="s">
        <v>33</v>
      </c>
      <c r="H305" s="2">
        <v>111.25</v>
      </c>
      <c r="I305">
        <v>42.2</v>
      </c>
      <c r="J305" s="5">
        <f>BBDD_fashion_boutique[[#This Row],[markdown_percentage]]/100</f>
        <v>0.42200000000000004</v>
      </c>
      <c r="K305" s="2">
        <v>64.3</v>
      </c>
      <c r="L305" s="2">
        <f>BBDD_fashion_boutique[[#This Row],[original_price]]-BBDD_fashion_boutique[[#This Row],[current_price]]</f>
        <v>46.95</v>
      </c>
      <c r="M305" s="1">
        <v>45875</v>
      </c>
      <c r="N305" s="1" t="str">
        <f>PROPER(TEXT(BBDD_fashion_boutique[[#This Row],[purchase_date]],"dddd"))</f>
        <v>Miércoles</v>
      </c>
      <c r="O305" s="1" t="str">
        <f>PROPER(TEXT(BBDD_fashion_boutique[[#This Row],[purchase_date]],"mmmm"))</f>
        <v>Agosto</v>
      </c>
      <c r="P305" s="4">
        <v>34</v>
      </c>
      <c r="Q305" s="2">
        <v>3</v>
      </c>
      <c r="R305" t="str">
        <f>IF(BBDD_fashion_boutique[[#This Row],[stock_quantity]]&gt;9,"Ok",IF(BBDD_fashion_boutique[[#This Row],[stock_quantity]]=0,"Agotado","Pocas Unidades"))</f>
        <v>Ok</v>
      </c>
      <c r="S305" s="3">
        <f>IF(BBDD_fashion_boutique[[#This Row],[customer_rating]]="","No valorado",BBDD_fashion_boutique[[#This Row],[customer_rating]])</f>
        <v>3</v>
      </c>
      <c r="T305" t="s">
        <v>24</v>
      </c>
      <c r="V305">
        <f>IF(BBDD_fashion_boutique[[#This Row],[is_returned]]="False",0,1)</f>
        <v>0</v>
      </c>
      <c r="W305">
        <f>IF(BBDD_fashion_boutique[[#This Row],[is_returned]]="True",0,BBDD_fashion_boutique[[#This Row],[current_price]])</f>
        <v>64.3</v>
      </c>
      <c r="X305" t="str">
        <f>IF(BBDD_fashion_boutique[[#This Row],[return_reason]]="","No return",BBDD_fashion_boutique[[#This Row],[return_reason]])</f>
        <v>No return</v>
      </c>
      <c r="Y305">
        <f>IF(IFERROR(VLOOKUP(BBDD_fashion_boutique[[#This Row],[product_id]],A306:A2481,1,FALSE),0),1,0)</f>
        <v>0</v>
      </c>
    </row>
    <row r="306" spans="1:25" x14ac:dyDescent="0.3">
      <c r="A306" t="s">
        <v>365</v>
      </c>
      <c r="B306" t="s">
        <v>26</v>
      </c>
      <c r="C306" t="s">
        <v>20</v>
      </c>
      <c r="D306" t="s">
        <v>21</v>
      </c>
      <c r="E306" t="s">
        <v>55</v>
      </c>
      <c r="F306" t="str">
        <f>IF(BBDD_fashion_boutique[[#This Row],[category]]="Accessories","Accesorio",IF(BBDD_fashion_boutique[[#This Row],[size]]="","Desconocido",BBDD_fashion_boutique[[#This Row],[size]]))</f>
        <v>XXL</v>
      </c>
      <c r="G306" t="s">
        <v>30</v>
      </c>
      <c r="H306" s="2">
        <v>39.97</v>
      </c>
      <c r="I306">
        <v>35.200000000000003</v>
      </c>
      <c r="J306" s="5">
        <f>BBDD_fashion_boutique[[#This Row],[markdown_percentage]]/100</f>
        <v>0.35200000000000004</v>
      </c>
      <c r="K306" s="2">
        <v>25.9</v>
      </c>
      <c r="L306" s="2">
        <f>BBDD_fashion_boutique[[#This Row],[original_price]]-BBDD_fashion_boutique[[#This Row],[current_price]]</f>
        <v>14.07</v>
      </c>
      <c r="M306" s="1">
        <v>45679</v>
      </c>
      <c r="N306" s="1" t="str">
        <f>PROPER(TEXT(BBDD_fashion_boutique[[#This Row],[purchase_date]],"dddd"))</f>
        <v>Miércoles</v>
      </c>
      <c r="O306" s="1" t="str">
        <f>PROPER(TEXT(BBDD_fashion_boutique[[#This Row],[purchase_date]],"mmmm"))</f>
        <v>Enero</v>
      </c>
      <c r="P306" s="4">
        <v>15</v>
      </c>
      <c r="Q306" s="2">
        <v>2.2999999999999998</v>
      </c>
      <c r="R306" t="str">
        <f>IF(BBDD_fashion_boutique[[#This Row],[stock_quantity]]&gt;9,"Ok",IF(BBDD_fashion_boutique[[#This Row],[stock_quantity]]=0,"Agotado","Pocas Unidades"))</f>
        <v>Ok</v>
      </c>
      <c r="S306" s="3">
        <f>IF(BBDD_fashion_boutique[[#This Row],[customer_rating]]="","No valorado",BBDD_fashion_boutique[[#This Row],[customer_rating]])</f>
        <v>2.2999999999999998</v>
      </c>
      <c r="T306" t="s">
        <v>24</v>
      </c>
      <c r="V306">
        <f>IF(BBDD_fashion_boutique[[#This Row],[is_returned]]="False",0,1)</f>
        <v>0</v>
      </c>
      <c r="W306">
        <f>IF(BBDD_fashion_boutique[[#This Row],[is_returned]]="True",0,BBDD_fashion_boutique[[#This Row],[current_price]])</f>
        <v>25.9</v>
      </c>
      <c r="X306" t="str">
        <f>IF(BBDD_fashion_boutique[[#This Row],[return_reason]]="","No return",BBDD_fashion_boutique[[#This Row],[return_reason]])</f>
        <v>No return</v>
      </c>
      <c r="Y306">
        <f>IF(IFERROR(VLOOKUP(BBDD_fashion_boutique[[#This Row],[product_id]],A307:A2482,1,FALSE),0),1,0)</f>
        <v>0</v>
      </c>
    </row>
    <row r="307" spans="1:25" x14ac:dyDescent="0.3">
      <c r="A307" t="s">
        <v>366</v>
      </c>
      <c r="B307" t="s">
        <v>35</v>
      </c>
      <c r="C307" t="s">
        <v>81</v>
      </c>
      <c r="D307" t="s">
        <v>68</v>
      </c>
      <c r="E307" t="s">
        <v>64</v>
      </c>
      <c r="F307" t="str">
        <f>IF(BBDD_fashion_boutique[[#This Row],[category]]="Accessories","Accesorio",IF(BBDD_fashion_boutique[[#This Row],[size]]="","Desconocido",BBDD_fashion_boutique[[#This Row],[size]]))</f>
        <v>M</v>
      </c>
      <c r="G307" t="s">
        <v>40</v>
      </c>
      <c r="H307" s="2">
        <v>60.34</v>
      </c>
      <c r="I307">
        <v>0</v>
      </c>
      <c r="J307" s="5">
        <f>BBDD_fashion_boutique[[#This Row],[markdown_percentage]]/100</f>
        <v>0</v>
      </c>
      <c r="K307" s="2">
        <v>60.34</v>
      </c>
      <c r="L307" s="2">
        <f>BBDD_fashion_boutique[[#This Row],[original_price]]-BBDD_fashion_boutique[[#This Row],[current_price]]</f>
        <v>0</v>
      </c>
      <c r="M307" s="1">
        <v>45875</v>
      </c>
      <c r="N307" s="1" t="str">
        <f>PROPER(TEXT(BBDD_fashion_boutique[[#This Row],[purchase_date]],"dddd"))</f>
        <v>Miércoles</v>
      </c>
      <c r="O307" s="1" t="str">
        <f>PROPER(TEXT(BBDD_fashion_boutique[[#This Row],[purchase_date]],"mmmm"))</f>
        <v>Agosto</v>
      </c>
      <c r="P307" s="4">
        <v>4</v>
      </c>
      <c r="R307" t="str">
        <f>IF(BBDD_fashion_boutique[[#This Row],[stock_quantity]]&gt;9,"Ok",IF(BBDD_fashion_boutique[[#This Row],[stock_quantity]]=0,"Agotado","Pocas Unidades"))</f>
        <v>Pocas Unidades</v>
      </c>
      <c r="S307" s="3" t="str">
        <f>IF(BBDD_fashion_boutique[[#This Row],[customer_rating]]="","No valorado",BBDD_fashion_boutique[[#This Row],[customer_rating]])</f>
        <v>No valorado</v>
      </c>
      <c r="T307" t="s">
        <v>24</v>
      </c>
      <c r="V307">
        <f>IF(BBDD_fashion_boutique[[#This Row],[is_returned]]="False",0,1)</f>
        <v>0</v>
      </c>
      <c r="W307">
        <f>IF(BBDD_fashion_boutique[[#This Row],[is_returned]]="True",0,BBDD_fashion_boutique[[#This Row],[current_price]])</f>
        <v>60.34</v>
      </c>
      <c r="X307" t="str">
        <f>IF(BBDD_fashion_boutique[[#This Row],[return_reason]]="","No return",BBDD_fashion_boutique[[#This Row],[return_reason]])</f>
        <v>No return</v>
      </c>
      <c r="Y307">
        <f>IF(IFERROR(VLOOKUP(BBDD_fashion_boutique[[#This Row],[product_id]],A308:A2483,1,FALSE),0),1,0)</f>
        <v>0</v>
      </c>
    </row>
    <row r="308" spans="1:25" x14ac:dyDescent="0.3">
      <c r="A308" t="s">
        <v>367</v>
      </c>
      <c r="B308" t="s">
        <v>32</v>
      </c>
      <c r="C308" t="s">
        <v>67</v>
      </c>
      <c r="D308" t="s">
        <v>68</v>
      </c>
      <c r="F308" t="str">
        <f>IF(BBDD_fashion_boutique[[#This Row],[category]]="Accessories","Accesorio",IF(BBDD_fashion_boutique[[#This Row],[size]]="","Desconocido",BBDD_fashion_boutique[[#This Row],[size]]))</f>
        <v>Accesorio</v>
      </c>
      <c r="G308" t="s">
        <v>50</v>
      </c>
      <c r="H308" s="2">
        <v>17.7</v>
      </c>
      <c r="I308">
        <v>0</v>
      </c>
      <c r="J308" s="5">
        <f>BBDD_fashion_boutique[[#This Row],[markdown_percentage]]/100</f>
        <v>0</v>
      </c>
      <c r="K308" s="2">
        <v>17.7</v>
      </c>
      <c r="L308" s="2">
        <f>BBDD_fashion_boutique[[#This Row],[original_price]]-BBDD_fashion_boutique[[#This Row],[current_price]]</f>
        <v>0</v>
      </c>
      <c r="M308" s="1">
        <v>45875</v>
      </c>
      <c r="N308" s="1" t="str">
        <f>PROPER(TEXT(BBDD_fashion_boutique[[#This Row],[purchase_date]],"dddd"))</f>
        <v>Miércoles</v>
      </c>
      <c r="O308" s="1" t="str">
        <f>PROPER(TEXT(BBDD_fashion_boutique[[#This Row],[purchase_date]],"mmmm"))</f>
        <v>Agosto</v>
      </c>
      <c r="P308" s="4">
        <v>42</v>
      </c>
      <c r="Q308" s="2">
        <v>3.9</v>
      </c>
      <c r="R308" t="str">
        <f>IF(BBDD_fashion_boutique[[#This Row],[stock_quantity]]&gt;9,"Ok",IF(BBDD_fashion_boutique[[#This Row],[stock_quantity]]=0,"Agotado","Pocas Unidades"))</f>
        <v>Ok</v>
      </c>
      <c r="S308" s="3">
        <f>IF(BBDD_fashion_boutique[[#This Row],[customer_rating]]="","No valorado",BBDD_fashion_boutique[[#This Row],[customer_rating]])</f>
        <v>3.9</v>
      </c>
      <c r="T308" t="s">
        <v>24</v>
      </c>
      <c r="V308">
        <f>IF(BBDD_fashion_boutique[[#This Row],[is_returned]]="False",0,1)</f>
        <v>0</v>
      </c>
      <c r="W308">
        <f>IF(BBDD_fashion_boutique[[#This Row],[is_returned]]="True",0,BBDD_fashion_boutique[[#This Row],[current_price]])</f>
        <v>17.7</v>
      </c>
      <c r="X308" t="str">
        <f>IF(BBDD_fashion_boutique[[#This Row],[return_reason]]="","No return",BBDD_fashion_boutique[[#This Row],[return_reason]])</f>
        <v>No return</v>
      </c>
      <c r="Y308">
        <f>IF(IFERROR(VLOOKUP(BBDD_fashion_boutique[[#This Row],[product_id]],A309:A2484,1,FALSE),0),1,0)</f>
        <v>0</v>
      </c>
    </row>
    <row r="309" spans="1:25" x14ac:dyDescent="0.3">
      <c r="A309" t="s">
        <v>368</v>
      </c>
      <c r="B309" t="s">
        <v>44</v>
      </c>
      <c r="C309" t="s">
        <v>49</v>
      </c>
      <c r="D309" t="s">
        <v>68</v>
      </c>
      <c r="E309" t="s">
        <v>64</v>
      </c>
      <c r="F309" t="str">
        <f>IF(BBDD_fashion_boutique[[#This Row],[category]]="Accessories","Accesorio",IF(BBDD_fashion_boutique[[#This Row],[size]]="","Desconocido",BBDD_fashion_boutique[[#This Row],[size]]))</f>
        <v>M</v>
      </c>
      <c r="G309" t="s">
        <v>40</v>
      </c>
      <c r="H309" s="2">
        <v>57.88</v>
      </c>
      <c r="I309">
        <v>0</v>
      </c>
      <c r="J309" s="5">
        <f>BBDD_fashion_boutique[[#This Row],[markdown_percentage]]/100</f>
        <v>0</v>
      </c>
      <c r="K309" s="2">
        <v>57.88</v>
      </c>
      <c r="L309" s="2">
        <f>BBDD_fashion_boutique[[#This Row],[original_price]]-BBDD_fashion_boutique[[#This Row],[current_price]]</f>
        <v>0</v>
      </c>
      <c r="M309" s="1">
        <v>45875</v>
      </c>
      <c r="N309" s="1" t="str">
        <f>PROPER(TEXT(BBDD_fashion_boutique[[#This Row],[purchase_date]],"dddd"))</f>
        <v>Miércoles</v>
      </c>
      <c r="O309" s="1" t="str">
        <f>PROPER(TEXT(BBDD_fashion_boutique[[#This Row],[purchase_date]],"mmmm"))</f>
        <v>Agosto</v>
      </c>
      <c r="P309" s="4">
        <v>39</v>
      </c>
      <c r="Q309" s="2">
        <v>3</v>
      </c>
      <c r="R309" t="str">
        <f>IF(BBDD_fashion_boutique[[#This Row],[stock_quantity]]&gt;9,"Ok",IF(BBDD_fashion_boutique[[#This Row],[stock_quantity]]=0,"Agotado","Pocas Unidades"))</f>
        <v>Ok</v>
      </c>
      <c r="S309" s="3">
        <f>IF(BBDD_fashion_boutique[[#This Row],[customer_rating]]="","No valorado",BBDD_fashion_boutique[[#This Row],[customer_rating]])</f>
        <v>3</v>
      </c>
      <c r="T309" t="s">
        <v>24</v>
      </c>
      <c r="V309">
        <f>IF(BBDD_fashion_boutique[[#This Row],[is_returned]]="False",0,1)</f>
        <v>0</v>
      </c>
      <c r="W309">
        <f>IF(BBDD_fashion_boutique[[#This Row],[is_returned]]="True",0,BBDD_fashion_boutique[[#This Row],[current_price]])</f>
        <v>57.88</v>
      </c>
      <c r="X309" t="str">
        <f>IF(BBDD_fashion_boutique[[#This Row],[return_reason]]="","No return",BBDD_fashion_boutique[[#This Row],[return_reason]])</f>
        <v>No return</v>
      </c>
      <c r="Y309">
        <f>IF(IFERROR(VLOOKUP(BBDD_fashion_boutique[[#This Row],[product_id]],A310:A2485,1,FALSE),0),1,0)</f>
        <v>0</v>
      </c>
    </row>
    <row r="310" spans="1:25" x14ac:dyDescent="0.3">
      <c r="A310" t="s">
        <v>369</v>
      </c>
      <c r="B310" t="s">
        <v>26</v>
      </c>
      <c r="C310" t="s">
        <v>49</v>
      </c>
      <c r="D310" t="s">
        <v>68</v>
      </c>
      <c r="E310" t="s">
        <v>45</v>
      </c>
      <c r="F310" t="str">
        <f>IF(BBDD_fashion_boutique[[#This Row],[category]]="Accessories","Accesorio",IF(BBDD_fashion_boutique[[#This Row],[size]]="","Desconocido",BBDD_fashion_boutique[[#This Row],[size]]))</f>
        <v>S</v>
      </c>
      <c r="G310" t="s">
        <v>50</v>
      </c>
      <c r="H310" s="2">
        <v>25.15</v>
      </c>
      <c r="I310">
        <v>0</v>
      </c>
      <c r="J310" s="5">
        <f>BBDD_fashion_boutique[[#This Row],[markdown_percentage]]/100</f>
        <v>0</v>
      </c>
      <c r="K310" s="2">
        <v>25.15</v>
      </c>
      <c r="L310" s="2">
        <f>BBDD_fashion_boutique[[#This Row],[original_price]]-BBDD_fashion_boutique[[#This Row],[current_price]]</f>
        <v>0</v>
      </c>
      <c r="M310" s="1">
        <v>45875</v>
      </c>
      <c r="N310" s="1" t="str">
        <f>PROPER(TEXT(BBDD_fashion_boutique[[#This Row],[purchase_date]],"dddd"))</f>
        <v>Miércoles</v>
      </c>
      <c r="O310" s="1" t="str">
        <f>PROPER(TEXT(BBDD_fashion_boutique[[#This Row],[purchase_date]],"mmmm"))</f>
        <v>Agosto</v>
      </c>
      <c r="P310" s="4">
        <v>34</v>
      </c>
      <c r="Q310" s="2">
        <v>2.6</v>
      </c>
      <c r="R310" t="str">
        <f>IF(BBDD_fashion_boutique[[#This Row],[stock_quantity]]&gt;9,"Ok",IF(BBDD_fashion_boutique[[#This Row],[stock_quantity]]=0,"Agotado","Pocas Unidades"))</f>
        <v>Ok</v>
      </c>
      <c r="S310" s="3">
        <f>IF(BBDD_fashion_boutique[[#This Row],[customer_rating]]="","No valorado",BBDD_fashion_boutique[[#This Row],[customer_rating]])</f>
        <v>2.6</v>
      </c>
      <c r="T310" t="s">
        <v>24</v>
      </c>
      <c r="V310">
        <f>IF(BBDD_fashion_boutique[[#This Row],[is_returned]]="False",0,1)</f>
        <v>0</v>
      </c>
      <c r="W310">
        <f>IF(BBDD_fashion_boutique[[#This Row],[is_returned]]="True",0,BBDD_fashion_boutique[[#This Row],[current_price]])</f>
        <v>25.15</v>
      </c>
      <c r="X310" t="str">
        <f>IF(BBDD_fashion_boutique[[#This Row],[return_reason]]="","No return",BBDD_fashion_boutique[[#This Row],[return_reason]])</f>
        <v>No return</v>
      </c>
      <c r="Y310">
        <f>IF(IFERROR(VLOOKUP(BBDD_fashion_boutique[[#This Row],[product_id]],A311:A2486,1,FALSE),0),1,0)</f>
        <v>0</v>
      </c>
    </row>
    <row r="311" spans="1:25" x14ac:dyDescent="0.3">
      <c r="A311" t="s">
        <v>370</v>
      </c>
      <c r="B311" t="s">
        <v>19</v>
      </c>
      <c r="C311" t="s">
        <v>49</v>
      </c>
      <c r="D311" t="s">
        <v>21</v>
      </c>
      <c r="E311" t="s">
        <v>29</v>
      </c>
      <c r="F311" t="str">
        <f>IF(BBDD_fashion_boutique[[#This Row],[category]]="Accessories","Accesorio",IF(BBDD_fashion_boutique[[#This Row],[size]]="","Desconocido",BBDD_fashion_boutique[[#This Row],[size]]))</f>
        <v>L</v>
      </c>
      <c r="G311" t="s">
        <v>72</v>
      </c>
      <c r="H311" s="2">
        <v>157.44999999999999</v>
      </c>
      <c r="I311">
        <v>0</v>
      </c>
      <c r="J311" s="5">
        <f>BBDD_fashion_boutique[[#This Row],[markdown_percentage]]/100</f>
        <v>0</v>
      </c>
      <c r="K311" s="2">
        <v>157.44999999999999</v>
      </c>
      <c r="L311" s="2">
        <f>BBDD_fashion_boutique[[#This Row],[original_price]]-BBDD_fashion_boutique[[#This Row],[current_price]]</f>
        <v>0</v>
      </c>
      <c r="M311" s="1">
        <v>45803</v>
      </c>
      <c r="N311" s="1" t="str">
        <f>PROPER(TEXT(BBDD_fashion_boutique[[#This Row],[purchase_date]],"dddd"))</f>
        <v>Lunes</v>
      </c>
      <c r="O311" s="1" t="str">
        <f>PROPER(TEXT(BBDD_fashion_boutique[[#This Row],[purchase_date]],"mmmm"))</f>
        <v>Mayo</v>
      </c>
      <c r="P311" s="4">
        <v>7</v>
      </c>
      <c r="Q311" s="2">
        <v>2.9</v>
      </c>
      <c r="R311" t="str">
        <f>IF(BBDD_fashion_boutique[[#This Row],[stock_quantity]]&gt;9,"Ok",IF(BBDD_fashion_boutique[[#This Row],[stock_quantity]]=0,"Agotado","Pocas Unidades"))</f>
        <v>Pocas Unidades</v>
      </c>
      <c r="S311" s="3">
        <f>IF(BBDD_fashion_boutique[[#This Row],[customer_rating]]="","No valorado",BBDD_fashion_boutique[[#This Row],[customer_rating]])</f>
        <v>2.9</v>
      </c>
      <c r="T311" t="s">
        <v>24</v>
      </c>
      <c r="V311">
        <f>IF(BBDD_fashion_boutique[[#This Row],[is_returned]]="False",0,1)</f>
        <v>0</v>
      </c>
      <c r="W311">
        <f>IF(BBDD_fashion_boutique[[#This Row],[is_returned]]="True",0,BBDD_fashion_boutique[[#This Row],[current_price]])</f>
        <v>157.44999999999999</v>
      </c>
      <c r="X311" t="str">
        <f>IF(BBDD_fashion_boutique[[#This Row],[return_reason]]="","No return",BBDD_fashion_boutique[[#This Row],[return_reason]])</f>
        <v>No return</v>
      </c>
      <c r="Y311">
        <f>IF(IFERROR(VLOOKUP(BBDD_fashion_boutique[[#This Row],[product_id]],A312:A2487,1,FALSE),0),1,0)</f>
        <v>0</v>
      </c>
    </row>
    <row r="312" spans="1:25" x14ac:dyDescent="0.3">
      <c r="A312" t="s">
        <v>371</v>
      </c>
      <c r="B312" t="s">
        <v>44</v>
      </c>
      <c r="C312" t="s">
        <v>54</v>
      </c>
      <c r="D312" t="s">
        <v>28</v>
      </c>
      <c r="E312" t="s">
        <v>29</v>
      </c>
      <c r="F312" t="str">
        <f>IF(BBDD_fashion_boutique[[#This Row],[category]]="Accessories","Accesorio",IF(BBDD_fashion_boutique[[#This Row],[size]]="","Desconocido",BBDD_fashion_boutique[[#This Row],[size]]))</f>
        <v>L</v>
      </c>
      <c r="G312" t="s">
        <v>72</v>
      </c>
      <c r="H312" s="2">
        <v>65.72</v>
      </c>
      <c r="I312">
        <v>9.1</v>
      </c>
      <c r="J312" s="5">
        <f>BBDD_fashion_boutique[[#This Row],[markdown_percentage]]/100</f>
        <v>9.0999999999999998E-2</v>
      </c>
      <c r="K312" s="2">
        <v>59.74</v>
      </c>
      <c r="L312" s="2">
        <f>BBDD_fashion_boutique[[#This Row],[original_price]]-BBDD_fashion_boutique[[#This Row],[current_price]]</f>
        <v>5.9799999999999969</v>
      </c>
      <c r="M312" s="1">
        <v>45875</v>
      </c>
      <c r="N312" s="1" t="str">
        <f>PROPER(TEXT(BBDD_fashion_boutique[[#This Row],[purchase_date]],"dddd"))</f>
        <v>Miércoles</v>
      </c>
      <c r="O312" s="1" t="str">
        <f>PROPER(TEXT(BBDD_fashion_boutique[[#This Row],[purchase_date]],"mmmm"))</f>
        <v>Agosto</v>
      </c>
      <c r="P312" s="4">
        <v>10</v>
      </c>
      <c r="Q312" s="2">
        <v>2.8</v>
      </c>
      <c r="R312" t="str">
        <f>IF(BBDD_fashion_boutique[[#This Row],[stock_quantity]]&gt;9,"Ok",IF(BBDD_fashion_boutique[[#This Row],[stock_quantity]]=0,"Agotado","Pocas Unidades"))</f>
        <v>Ok</v>
      </c>
      <c r="S312" s="3">
        <f>IF(BBDD_fashion_boutique[[#This Row],[customer_rating]]="","No valorado",BBDD_fashion_boutique[[#This Row],[customer_rating]])</f>
        <v>2.8</v>
      </c>
      <c r="T312" t="s">
        <v>41</v>
      </c>
      <c r="U312" t="s">
        <v>89</v>
      </c>
      <c r="V312">
        <f>IF(BBDD_fashion_boutique[[#This Row],[is_returned]]="False",0,1)</f>
        <v>1</v>
      </c>
      <c r="W312">
        <f>IF(BBDD_fashion_boutique[[#This Row],[is_returned]]="True",0,BBDD_fashion_boutique[[#This Row],[current_price]])</f>
        <v>0</v>
      </c>
      <c r="X312" t="str">
        <f>IF(BBDD_fashion_boutique[[#This Row],[return_reason]]="","No return",BBDD_fashion_boutique[[#This Row],[return_reason]])</f>
        <v>Quality Issue</v>
      </c>
      <c r="Y312">
        <f>IF(IFERROR(VLOOKUP(BBDD_fashion_boutique[[#This Row],[product_id]],A313:A2488,1,FALSE),0),1,0)</f>
        <v>0</v>
      </c>
    </row>
    <row r="313" spans="1:25" x14ac:dyDescent="0.3">
      <c r="A313" t="s">
        <v>372</v>
      </c>
      <c r="B313" t="s">
        <v>48</v>
      </c>
      <c r="C313" t="s">
        <v>81</v>
      </c>
      <c r="D313" t="s">
        <v>28</v>
      </c>
      <c r="E313" t="s">
        <v>55</v>
      </c>
      <c r="F313" t="str">
        <f>IF(BBDD_fashion_boutique[[#This Row],[category]]="Accessories","Accesorio",IF(BBDD_fashion_boutique[[#This Row],[size]]="","Desconocido",BBDD_fashion_boutique[[#This Row],[size]]))</f>
        <v>XXL</v>
      </c>
      <c r="G313" t="s">
        <v>76</v>
      </c>
      <c r="H313" s="2">
        <v>92.8</v>
      </c>
      <c r="I313">
        <v>0</v>
      </c>
      <c r="J313" s="5">
        <f>BBDD_fashion_boutique[[#This Row],[markdown_percentage]]/100</f>
        <v>0</v>
      </c>
      <c r="K313" s="2">
        <v>92.8</v>
      </c>
      <c r="L313" s="2">
        <f>BBDD_fashion_boutique[[#This Row],[original_price]]-BBDD_fashion_boutique[[#This Row],[current_price]]</f>
        <v>0</v>
      </c>
      <c r="M313" s="1">
        <v>45875</v>
      </c>
      <c r="N313" s="1" t="str">
        <f>PROPER(TEXT(BBDD_fashion_boutique[[#This Row],[purchase_date]],"dddd"))</f>
        <v>Miércoles</v>
      </c>
      <c r="O313" s="1" t="str">
        <f>PROPER(TEXT(BBDD_fashion_boutique[[#This Row],[purchase_date]],"mmmm"))</f>
        <v>Agosto</v>
      </c>
      <c r="P313" s="4">
        <v>25</v>
      </c>
      <c r="Q313" s="2">
        <v>2.5</v>
      </c>
      <c r="R313" t="str">
        <f>IF(BBDD_fashion_boutique[[#This Row],[stock_quantity]]&gt;9,"Ok",IF(BBDD_fashion_boutique[[#This Row],[stock_quantity]]=0,"Agotado","Pocas Unidades"))</f>
        <v>Ok</v>
      </c>
      <c r="S313" s="3">
        <f>IF(BBDD_fashion_boutique[[#This Row],[customer_rating]]="","No valorado",BBDD_fashion_boutique[[#This Row],[customer_rating]])</f>
        <v>2.5</v>
      </c>
      <c r="T313" t="s">
        <v>24</v>
      </c>
      <c r="V313">
        <f>IF(BBDD_fashion_boutique[[#This Row],[is_returned]]="False",0,1)</f>
        <v>0</v>
      </c>
      <c r="W313">
        <f>IF(BBDD_fashion_boutique[[#This Row],[is_returned]]="True",0,BBDD_fashion_boutique[[#This Row],[current_price]])</f>
        <v>92.8</v>
      </c>
      <c r="X313" t="str">
        <f>IF(BBDD_fashion_boutique[[#This Row],[return_reason]]="","No return",BBDD_fashion_boutique[[#This Row],[return_reason]])</f>
        <v>No return</v>
      </c>
      <c r="Y313">
        <f>IF(IFERROR(VLOOKUP(BBDD_fashion_boutique[[#This Row],[product_id]],A314:A2489,1,FALSE),0),1,0)</f>
        <v>0</v>
      </c>
    </row>
    <row r="314" spans="1:25" x14ac:dyDescent="0.3">
      <c r="A314" t="s">
        <v>373</v>
      </c>
      <c r="B314" t="s">
        <v>48</v>
      </c>
      <c r="C314" t="s">
        <v>37</v>
      </c>
      <c r="D314" t="s">
        <v>28</v>
      </c>
      <c r="E314" t="s">
        <v>22</v>
      </c>
      <c r="F314" t="str">
        <f>IF(BBDD_fashion_boutique[[#This Row],[category]]="Accessories","Accesorio",IF(BBDD_fashion_boutique[[#This Row],[size]]="","Desconocido",BBDD_fashion_boutique[[#This Row],[size]]))</f>
        <v>XL</v>
      </c>
      <c r="G314" t="s">
        <v>50</v>
      </c>
      <c r="H314" s="2">
        <v>88.65</v>
      </c>
      <c r="I314">
        <v>0</v>
      </c>
      <c r="J314" s="5">
        <f>BBDD_fashion_boutique[[#This Row],[markdown_percentage]]/100</f>
        <v>0</v>
      </c>
      <c r="K314" s="2">
        <v>88.65</v>
      </c>
      <c r="L314" s="2">
        <f>BBDD_fashion_boutique[[#This Row],[original_price]]-BBDD_fashion_boutique[[#This Row],[current_price]]</f>
        <v>0</v>
      </c>
      <c r="M314" s="1">
        <v>45875</v>
      </c>
      <c r="N314" s="1" t="str">
        <f>PROPER(TEXT(BBDD_fashion_boutique[[#This Row],[purchase_date]],"dddd"))</f>
        <v>Miércoles</v>
      </c>
      <c r="O314" s="1" t="str">
        <f>PROPER(TEXT(BBDD_fashion_boutique[[#This Row],[purchase_date]],"mmmm"))</f>
        <v>Agosto</v>
      </c>
      <c r="P314" s="4">
        <v>11</v>
      </c>
      <c r="Q314" s="2">
        <v>3.3</v>
      </c>
      <c r="R314" t="str">
        <f>IF(BBDD_fashion_boutique[[#This Row],[stock_quantity]]&gt;9,"Ok",IF(BBDD_fashion_boutique[[#This Row],[stock_quantity]]=0,"Agotado","Pocas Unidades"))</f>
        <v>Ok</v>
      </c>
      <c r="S314" s="3">
        <f>IF(BBDD_fashion_boutique[[#This Row],[customer_rating]]="","No valorado",BBDD_fashion_boutique[[#This Row],[customer_rating]])</f>
        <v>3.3</v>
      </c>
      <c r="T314" t="s">
        <v>24</v>
      </c>
      <c r="V314">
        <f>IF(BBDD_fashion_boutique[[#This Row],[is_returned]]="False",0,1)</f>
        <v>0</v>
      </c>
      <c r="W314">
        <f>IF(BBDD_fashion_boutique[[#This Row],[is_returned]]="True",0,BBDD_fashion_boutique[[#This Row],[current_price]])</f>
        <v>88.65</v>
      </c>
      <c r="X314" t="str">
        <f>IF(BBDD_fashion_boutique[[#This Row],[return_reason]]="","No return",BBDD_fashion_boutique[[#This Row],[return_reason]])</f>
        <v>No return</v>
      </c>
      <c r="Y314">
        <f>IF(IFERROR(VLOOKUP(BBDD_fashion_boutique[[#This Row],[product_id]],A315:A2490,1,FALSE),0),1,0)</f>
        <v>0</v>
      </c>
    </row>
    <row r="315" spans="1:25" x14ac:dyDescent="0.3">
      <c r="A315" t="s">
        <v>374</v>
      </c>
      <c r="B315" t="s">
        <v>26</v>
      </c>
      <c r="C315" t="s">
        <v>20</v>
      </c>
      <c r="D315" t="s">
        <v>28</v>
      </c>
      <c r="E315" t="s">
        <v>55</v>
      </c>
      <c r="F315" t="str">
        <f>IF(BBDD_fashion_boutique[[#This Row],[category]]="Accessories","Accesorio",IF(BBDD_fashion_boutique[[#This Row],[size]]="","Desconocido",BBDD_fashion_boutique[[#This Row],[size]]))</f>
        <v>XXL</v>
      </c>
      <c r="G315" t="s">
        <v>62</v>
      </c>
      <c r="H315" s="2">
        <v>47.07</v>
      </c>
      <c r="I315">
        <v>57.4</v>
      </c>
      <c r="J315" s="5">
        <f>BBDD_fashion_boutique[[#This Row],[markdown_percentage]]/100</f>
        <v>0.57399999999999995</v>
      </c>
      <c r="K315" s="2">
        <v>20.05</v>
      </c>
      <c r="L315" s="2">
        <f>BBDD_fashion_boutique[[#This Row],[original_price]]-BBDD_fashion_boutique[[#This Row],[current_price]]</f>
        <v>27.02</v>
      </c>
      <c r="M315" s="1">
        <v>45875</v>
      </c>
      <c r="N315" s="1" t="str">
        <f>PROPER(TEXT(BBDD_fashion_boutique[[#This Row],[purchase_date]],"dddd"))</f>
        <v>Miércoles</v>
      </c>
      <c r="O315" s="1" t="str">
        <f>PROPER(TEXT(BBDD_fashion_boutique[[#This Row],[purchase_date]],"mmmm"))</f>
        <v>Agosto</v>
      </c>
      <c r="P315" s="4">
        <v>24</v>
      </c>
      <c r="Q315" s="2">
        <v>1.3</v>
      </c>
      <c r="R315" t="str">
        <f>IF(BBDD_fashion_boutique[[#This Row],[stock_quantity]]&gt;9,"Ok",IF(BBDD_fashion_boutique[[#This Row],[stock_quantity]]=0,"Agotado","Pocas Unidades"))</f>
        <v>Ok</v>
      </c>
      <c r="S315" s="3">
        <f>IF(BBDD_fashion_boutique[[#This Row],[customer_rating]]="","No valorado",BBDD_fashion_boutique[[#This Row],[customer_rating]])</f>
        <v>1.3</v>
      </c>
      <c r="T315" t="s">
        <v>41</v>
      </c>
      <c r="U315" t="s">
        <v>79</v>
      </c>
      <c r="V315">
        <f>IF(BBDD_fashion_boutique[[#This Row],[is_returned]]="False",0,1)</f>
        <v>1</v>
      </c>
      <c r="W315">
        <f>IF(BBDD_fashion_boutique[[#This Row],[is_returned]]="True",0,BBDD_fashion_boutique[[#This Row],[current_price]])</f>
        <v>0</v>
      </c>
      <c r="X315" t="str">
        <f>IF(BBDD_fashion_boutique[[#This Row],[return_reason]]="","No return",BBDD_fashion_boutique[[#This Row],[return_reason]])</f>
        <v>Size Issue</v>
      </c>
      <c r="Y315">
        <f>IF(IFERROR(VLOOKUP(BBDD_fashion_boutique[[#This Row],[product_id]],A316:A2491,1,FALSE),0),1,0)</f>
        <v>0</v>
      </c>
    </row>
    <row r="316" spans="1:25" x14ac:dyDescent="0.3">
      <c r="A316" t="s">
        <v>375</v>
      </c>
      <c r="B316" t="s">
        <v>19</v>
      </c>
      <c r="C316" t="s">
        <v>59</v>
      </c>
      <c r="D316" t="s">
        <v>68</v>
      </c>
      <c r="E316" t="s">
        <v>61</v>
      </c>
      <c r="F316" t="str">
        <f>IF(BBDD_fashion_boutique[[#This Row],[category]]="Accessories","Accesorio",IF(BBDD_fashion_boutique[[#This Row],[size]]="","Desconocido",BBDD_fashion_boutique[[#This Row],[size]]))</f>
        <v>XS</v>
      </c>
      <c r="G316" t="s">
        <v>23</v>
      </c>
      <c r="H316" s="2">
        <v>101.75</v>
      </c>
      <c r="I316">
        <v>0</v>
      </c>
      <c r="J316" s="5">
        <f>BBDD_fashion_boutique[[#This Row],[markdown_percentage]]/100</f>
        <v>0</v>
      </c>
      <c r="K316" s="2">
        <v>101.75</v>
      </c>
      <c r="L316" s="2">
        <f>BBDD_fashion_boutique[[#This Row],[original_price]]-BBDD_fashion_boutique[[#This Row],[current_price]]</f>
        <v>0</v>
      </c>
      <c r="M316" s="1">
        <v>45875</v>
      </c>
      <c r="N316" s="1" t="str">
        <f>PROPER(TEXT(BBDD_fashion_boutique[[#This Row],[purchase_date]],"dddd"))</f>
        <v>Miércoles</v>
      </c>
      <c r="O316" s="1" t="str">
        <f>PROPER(TEXT(BBDD_fashion_boutique[[#This Row],[purchase_date]],"mmmm"))</f>
        <v>Agosto</v>
      </c>
      <c r="P316" s="4">
        <v>7</v>
      </c>
      <c r="Q316" s="2">
        <v>3.1</v>
      </c>
      <c r="R316" t="str">
        <f>IF(BBDD_fashion_boutique[[#This Row],[stock_quantity]]&gt;9,"Ok",IF(BBDD_fashion_boutique[[#This Row],[stock_quantity]]=0,"Agotado","Pocas Unidades"))</f>
        <v>Pocas Unidades</v>
      </c>
      <c r="S316" s="3">
        <f>IF(BBDD_fashion_boutique[[#This Row],[customer_rating]]="","No valorado",BBDD_fashion_boutique[[#This Row],[customer_rating]])</f>
        <v>3.1</v>
      </c>
      <c r="T316" t="s">
        <v>24</v>
      </c>
      <c r="V316">
        <f>IF(BBDD_fashion_boutique[[#This Row],[is_returned]]="False",0,1)</f>
        <v>0</v>
      </c>
      <c r="W316">
        <f>IF(BBDD_fashion_boutique[[#This Row],[is_returned]]="True",0,BBDD_fashion_boutique[[#This Row],[current_price]])</f>
        <v>101.75</v>
      </c>
      <c r="X316" t="str">
        <f>IF(BBDD_fashion_boutique[[#This Row],[return_reason]]="","No return",BBDD_fashion_boutique[[#This Row],[return_reason]])</f>
        <v>No return</v>
      </c>
      <c r="Y316">
        <f>IF(IFERROR(VLOOKUP(BBDD_fashion_boutique[[#This Row],[product_id]],A317:A2492,1,FALSE),0),1,0)</f>
        <v>0</v>
      </c>
    </row>
    <row r="317" spans="1:25" x14ac:dyDescent="0.3">
      <c r="A317" t="s">
        <v>376</v>
      </c>
      <c r="B317" t="s">
        <v>48</v>
      </c>
      <c r="C317" t="s">
        <v>49</v>
      </c>
      <c r="D317" t="s">
        <v>21</v>
      </c>
      <c r="E317" t="s">
        <v>61</v>
      </c>
      <c r="F317" t="str">
        <f>IF(BBDD_fashion_boutique[[#This Row],[category]]="Accessories","Accesorio",IF(BBDD_fashion_boutique[[#This Row],[size]]="","Desconocido",BBDD_fashion_boutique[[#This Row],[size]]))</f>
        <v>XS</v>
      </c>
      <c r="G317" t="s">
        <v>50</v>
      </c>
      <c r="H317" s="2">
        <v>131.08000000000001</v>
      </c>
      <c r="I317">
        <v>7.5</v>
      </c>
      <c r="J317" s="5">
        <f>BBDD_fashion_boutique[[#This Row],[markdown_percentage]]/100</f>
        <v>7.4999999999999997E-2</v>
      </c>
      <c r="K317" s="2">
        <v>121.25</v>
      </c>
      <c r="L317" s="2">
        <f>BBDD_fashion_boutique[[#This Row],[original_price]]-BBDD_fashion_boutique[[#This Row],[current_price]]</f>
        <v>9.8300000000000125</v>
      </c>
      <c r="M317" s="1">
        <v>45630</v>
      </c>
      <c r="N317" s="1" t="str">
        <f>PROPER(TEXT(BBDD_fashion_boutique[[#This Row],[purchase_date]],"dddd"))</f>
        <v>Miércoles</v>
      </c>
      <c r="O317" s="1" t="str">
        <f>PROPER(TEXT(BBDD_fashion_boutique[[#This Row],[purchase_date]],"mmmm"))</f>
        <v>Diciembre</v>
      </c>
      <c r="P317" s="4">
        <v>20</v>
      </c>
      <c r="Q317" s="2">
        <v>4.5</v>
      </c>
      <c r="R317" t="str">
        <f>IF(BBDD_fashion_boutique[[#This Row],[stock_quantity]]&gt;9,"Ok",IF(BBDD_fashion_boutique[[#This Row],[stock_quantity]]=0,"Agotado","Pocas Unidades"))</f>
        <v>Ok</v>
      </c>
      <c r="S317" s="3">
        <f>IF(BBDD_fashion_boutique[[#This Row],[customer_rating]]="","No valorado",BBDD_fashion_boutique[[#This Row],[customer_rating]])</f>
        <v>4.5</v>
      </c>
      <c r="T317" t="s">
        <v>41</v>
      </c>
      <c r="U317" t="s">
        <v>131</v>
      </c>
      <c r="V317">
        <f>IF(BBDD_fashion_boutique[[#This Row],[is_returned]]="False",0,1)</f>
        <v>1</v>
      </c>
      <c r="W317">
        <f>IF(BBDD_fashion_boutique[[#This Row],[is_returned]]="True",0,BBDD_fashion_boutique[[#This Row],[current_price]])</f>
        <v>0</v>
      </c>
      <c r="X317" t="str">
        <f>IF(BBDD_fashion_boutique[[#This Row],[return_reason]]="","No return",BBDD_fashion_boutique[[#This Row],[return_reason]])</f>
        <v>Wrong Item</v>
      </c>
      <c r="Y317">
        <f>IF(IFERROR(VLOOKUP(BBDD_fashion_boutique[[#This Row],[product_id]],A318:A2493,1,FALSE),0),1,0)</f>
        <v>0</v>
      </c>
    </row>
    <row r="318" spans="1:25" x14ac:dyDescent="0.3">
      <c r="A318" t="s">
        <v>377</v>
      </c>
      <c r="B318" t="s">
        <v>26</v>
      </c>
      <c r="C318" t="s">
        <v>20</v>
      </c>
      <c r="D318" t="s">
        <v>39</v>
      </c>
      <c r="E318" t="s">
        <v>61</v>
      </c>
      <c r="F318" t="str">
        <f>IF(BBDD_fashion_boutique[[#This Row],[category]]="Accessories","Accesorio",IF(BBDD_fashion_boutique[[#This Row],[size]]="","Desconocido",BBDD_fashion_boutique[[#This Row],[size]]))</f>
        <v>XS</v>
      </c>
      <c r="G318" t="s">
        <v>33</v>
      </c>
      <c r="H318" s="2">
        <v>82.06</v>
      </c>
      <c r="I318">
        <v>26.1</v>
      </c>
      <c r="J318" s="5">
        <f>BBDD_fashion_boutique[[#This Row],[markdown_percentage]]/100</f>
        <v>0.26100000000000001</v>
      </c>
      <c r="K318" s="2">
        <v>60.64</v>
      </c>
      <c r="L318" s="2">
        <f>BBDD_fashion_boutique[[#This Row],[original_price]]-BBDD_fashion_boutique[[#This Row],[current_price]]</f>
        <v>21.42</v>
      </c>
      <c r="M318" s="1">
        <v>45875</v>
      </c>
      <c r="N318" s="1" t="str">
        <f>PROPER(TEXT(BBDD_fashion_boutique[[#This Row],[purchase_date]],"dddd"))</f>
        <v>Miércoles</v>
      </c>
      <c r="O318" s="1" t="str">
        <f>PROPER(TEXT(BBDD_fashion_boutique[[#This Row],[purchase_date]],"mmmm"))</f>
        <v>Agosto</v>
      </c>
      <c r="P318" s="4">
        <v>32</v>
      </c>
      <c r="Q318" s="2">
        <v>1.5</v>
      </c>
      <c r="R318" t="str">
        <f>IF(BBDD_fashion_boutique[[#This Row],[stock_quantity]]&gt;9,"Ok",IF(BBDD_fashion_boutique[[#This Row],[stock_quantity]]=0,"Agotado","Pocas Unidades"))</f>
        <v>Ok</v>
      </c>
      <c r="S318" s="3">
        <f>IF(BBDD_fashion_boutique[[#This Row],[customer_rating]]="","No valorado",BBDD_fashion_boutique[[#This Row],[customer_rating]])</f>
        <v>1.5</v>
      </c>
      <c r="T318" t="s">
        <v>24</v>
      </c>
      <c r="V318">
        <f>IF(BBDD_fashion_boutique[[#This Row],[is_returned]]="False",0,1)</f>
        <v>0</v>
      </c>
      <c r="W318">
        <f>IF(BBDD_fashion_boutique[[#This Row],[is_returned]]="True",0,BBDD_fashion_boutique[[#This Row],[current_price]])</f>
        <v>60.64</v>
      </c>
      <c r="X318" t="str">
        <f>IF(BBDD_fashion_boutique[[#This Row],[return_reason]]="","No return",BBDD_fashion_boutique[[#This Row],[return_reason]])</f>
        <v>No return</v>
      </c>
      <c r="Y318">
        <f>IF(IFERROR(VLOOKUP(BBDD_fashion_boutique[[#This Row],[product_id]],A319:A2494,1,FALSE),0),1,0)</f>
        <v>0</v>
      </c>
    </row>
    <row r="319" spans="1:25" x14ac:dyDescent="0.3">
      <c r="A319" t="s">
        <v>378</v>
      </c>
      <c r="B319" t="s">
        <v>48</v>
      </c>
      <c r="C319" t="s">
        <v>54</v>
      </c>
      <c r="D319" t="s">
        <v>68</v>
      </c>
      <c r="E319" t="s">
        <v>29</v>
      </c>
      <c r="F319" t="str">
        <f>IF(BBDD_fashion_boutique[[#This Row],[category]]="Accessories","Accesorio",IF(BBDD_fashion_boutique[[#This Row],[size]]="","Desconocido",BBDD_fashion_boutique[[#This Row],[size]]))</f>
        <v>L</v>
      </c>
      <c r="G319" t="s">
        <v>72</v>
      </c>
      <c r="H319" s="2">
        <v>66.31</v>
      </c>
      <c r="I319">
        <v>0</v>
      </c>
      <c r="J319" s="5">
        <f>BBDD_fashion_boutique[[#This Row],[markdown_percentage]]/100</f>
        <v>0</v>
      </c>
      <c r="K319" s="2">
        <v>66.31</v>
      </c>
      <c r="L319" s="2">
        <f>BBDD_fashion_boutique[[#This Row],[original_price]]-BBDD_fashion_boutique[[#This Row],[current_price]]</f>
        <v>0</v>
      </c>
      <c r="M319" s="1">
        <v>45875</v>
      </c>
      <c r="N319" s="1" t="str">
        <f>PROPER(TEXT(BBDD_fashion_boutique[[#This Row],[purchase_date]],"dddd"))</f>
        <v>Miércoles</v>
      </c>
      <c r="O319" s="1" t="str">
        <f>PROPER(TEXT(BBDD_fashion_boutique[[#This Row],[purchase_date]],"mmmm"))</f>
        <v>Agosto</v>
      </c>
      <c r="P319" s="4">
        <v>47</v>
      </c>
      <c r="Q319" s="2">
        <v>3.9</v>
      </c>
      <c r="R319" t="str">
        <f>IF(BBDD_fashion_boutique[[#This Row],[stock_quantity]]&gt;9,"Ok",IF(BBDD_fashion_boutique[[#This Row],[stock_quantity]]=0,"Agotado","Pocas Unidades"))</f>
        <v>Ok</v>
      </c>
      <c r="S319" s="3">
        <f>IF(BBDD_fashion_boutique[[#This Row],[customer_rating]]="","No valorado",BBDD_fashion_boutique[[#This Row],[customer_rating]])</f>
        <v>3.9</v>
      </c>
      <c r="T319" t="s">
        <v>24</v>
      </c>
      <c r="V319">
        <f>IF(BBDD_fashion_boutique[[#This Row],[is_returned]]="False",0,1)</f>
        <v>0</v>
      </c>
      <c r="W319">
        <f>IF(BBDD_fashion_boutique[[#This Row],[is_returned]]="True",0,BBDD_fashion_boutique[[#This Row],[current_price]])</f>
        <v>66.31</v>
      </c>
      <c r="X319" t="str">
        <f>IF(BBDD_fashion_boutique[[#This Row],[return_reason]]="","No return",BBDD_fashion_boutique[[#This Row],[return_reason]])</f>
        <v>No return</v>
      </c>
      <c r="Y319">
        <f>IF(IFERROR(VLOOKUP(BBDD_fashion_boutique[[#This Row],[product_id]],A320:A2495,1,FALSE),0),1,0)</f>
        <v>0</v>
      </c>
    </row>
    <row r="320" spans="1:25" x14ac:dyDescent="0.3">
      <c r="A320" t="s">
        <v>379</v>
      </c>
      <c r="B320" t="s">
        <v>32</v>
      </c>
      <c r="C320" t="s">
        <v>27</v>
      </c>
      <c r="D320" t="s">
        <v>39</v>
      </c>
      <c r="F320" t="str">
        <f>IF(BBDD_fashion_boutique[[#This Row],[category]]="Accessories","Accesorio",IF(BBDD_fashion_boutique[[#This Row],[size]]="","Desconocido",BBDD_fashion_boutique[[#This Row],[size]]))</f>
        <v>Accesorio</v>
      </c>
      <c r="G320" t="s">
        <v>52</v>
      </c>
      <c r="H320" s="2">
        <v>26.03</v>
      </c>
      <c r="I320">
        <v>0</v>
      </c>
      <c r="J320" s="5">
        <f>BBDD_fashion_boutique[[#This Row],[markdown_percentage]]/100</f>
        <v>0</v>
      </c>
      <c r="K320" s="2">
        <v>26.03</v>
      </c>
      <c r="L320" s="2">
        <f>BBDD_fashion_boutique[[#This Row],[original_price]]-BBDD_fashion_boutique[[#This Row],[current_price]]</f>
        <v>0</v>
      </c>
      <c r="M320" s="1">
        <v>45875</v>
      </c>
      <c r="N320" s="1" t="str">
        <f>PROPER(TEXT(BBDD_fashion_boutique[[#This Row],[purchase_date]],"dddd"))</f>
        <v>Miércoles</v>
      </c>
      <c r="O320" s="1" t="str">
        <f>PROPER(TEXT(BBDD_fashion_boutique[[#This Row],[purchase_date]],"mmmm"))</f>
        <v>Agosto</v>
      </c>
      <c r="P320" s="4">
        <v>15</v>
      </c>
      <c r="Q320" s="2">
        <v>3.8</v>
      </c>
      <c r="R320" t="str">
        <f>IF(BBDD_fashion_boutique[[#This Row],[stock_quantity]]&gt;9,"Ok",IF(BBDD_fashion_boutique[[#This Row],[stock_quantity]]=0,"Agotado","Pocas Unidades"))</f>
        <v>Ok</v>
      </c>
      <c r="S320" s="3">
        <f>IF(BBDD_fashion_boutique[[#This Row],[customer_rating]]="","No valorado",BBDD_fashion_boutique[[#This Row],[customer_rating]])</f>
        <v>3.8</v>
      </c>
      <c r="T320" t="s">
        <v>24</v>
      </c>
      <c r="V320">
        <f>IF(BBDD_fashion_boutique[[#This Row],[is_returned]]="False",0,1)</f>
        <v>0</v>
      </c>
      <c r="W320">
        <f>IF(BBDD_fashion_boutique[[#This Row],[is_returned]]="True",0,BBDD_fashion_boutique[[#This Row],[current_price]])</f>
        <v>26.03</v>
      </c>
      <c r="X320" t="str">
        <f>IF(BBDD_fashion_boutique[[#This Row],[return_reason]]="","No return",BBDD_fashion_boutique[[#This Row],[return_reason]])</f>
        <v>No return</v>
      </c>
      <c r="Y320">
        <f>IF(IFERROR(VLOOKUP(BBDD_fashion_boutique[[#This Row],[product_id]],A321:A2496,1,FALSE),0),1,0)</f>
        <v>0</v>
      </c>
    </row>
    <row r="321" spans="1:25" x14ac:dyDescent="0.3">
      <c r="A321" t="s">
        <v>380</v>
      </c>
      <c r="B321" t="s">
        <v>35</v>
      </c>
      <c r="C321" t="s">
        <v>27</v>
      </c>
      <c r="D321" t="s">
        <v>21</v>
      </c>
      <c r="E321" t="s">
        <v>45</v>
      </c>
      <c r="F321" t="str">
        <f>IF(BBDD_fashion_boutique[[#This Row],[category]]="Accessories","Accesorio",IF(BBDD_fashion_boutique[[#This Row],[size]]="","Desconocido",BBDD_fashion_boutique[[#This Row],[size]]))</f>
        <v>S</v>
      </c>
      <c r="G321" t="s">
        <v>62</v>
      </c>
      <c r="H321" s="2">
        <v>152.53</v>
      </c>
      <c r="I321">
        <v>0</v>
      </c>
      <c r="J321" s="5">
        <f>BBDD_fashion_boutique[[#This Row],[markdown_percentage]]/100</f>
        <v>0</v>
      </c>
      <c r="K321" s="2">
        <v>152.53</v>
      </c>
      <c r="L321" s="2">
        <f>BBDD_fashion_boutique[[#This Row],[original_price]]-BBDD_fashion_boutique[[#This Row],[current_price]]</f>
        <v>0</v>
      </c>
      <c r="M321" s="1">
        <v>45617</v>
      </c>
      <c r="N321" s="1" t="str">
        <f>PROPER(TEXT(BBDD_fashion_boutique[[#This Row],[purchase_date]],"dddd"))</f>
        <v>Jueves</v>
      </c>
      <c r="O321" s="1" t="str">
        <f>PROPER(TEXT(BBDD_fashion_boutique[[#This Row],[purchase_date]],"mmmm"))</f>
        <v>Noviembre</v>
      </c>
      <c r="P321" s="4">
        <v>24</v>
      </c>
      <c r="Q321" s="2">
        <v>4.2</v>
      </c>
      <c r="R321" t="str">
        <f>IF(BBDD_fashion_boutique[[#This Row],[stock_quantity]]&gt;9,"Ok",IF(BBDD_fashion_boutique[[#This Row],[stock_quantity]]=0,"Agotado","Pocas Unidades"))</f>
        <v>Ok</v>
      </c>
      <c r="S321" s="3">
        <f>IF(BBDD_fashion_boutique[[#This Row],[customer_rating]]="","No valorado",BBDD_fashion_boutique[[#This Row],[customer_rating]])</f>
        <v>4.2</v>
      </c>
      <c r="T321" t="s">
        <v>24</v>
      </c>
      <c r="V321">
        <f>IF(BBDD_fashion_boutique[[#This Row],[is_returned]]="False",0,1)</f>
        <v>0</v>
      </c>
      <c r="W321">
        <f>IF(BBDD_fashion_boutique[[#This Row],[is_returned]]="True",0,BBDD_fashion_boutique[[#This Row],[current_price]])</f>
        <v>152.53</v>
      </c>
      <c r="X321" t="str">
        <f>IF(BBDD_fashion_boutique[[#This Row],[return_reason]]="","No return",BBDD_fashion_boutique[[#This Row],[return_reason]])</f>
        <v>No return</v>
      </c>
      <c r="Y321">
        <f>IF(IFERROR(VLOOKUP(BBDD_fashion_boutique[[#This Row],[product_id]],A322:A2497,1,FALSE),0),1,0)</f>
        <v>0</v>
      </c>
    </row>
    <row r="322" spans="1:25" x14ac:dyDescent="0.3">
      <c r="A322" t="s">
        <v>381</v>
      </c>
      <c r="B322" t="s">
        <v>44</v>
      </c>
      <c r="C322" t="s">
        <v>49</v>
      </c>
      <c r="D322" t="s">
        <v>39</v>
      </c>
      <c r="E322" t="s">
        <v>45</v>
      </c>
      <c r="F322" t="str">
        <f>IF(BBDD_fashion_boutique[[#This Row],[category]]="Accessories","Accesorio",IF(BBDD_fashion_boutique[[#This Row],[size]]="","Desconocido",BBDD_fashion_boutique[[#This Row],[size]]))</f>
        <v>S</v>
      </c>
      <c r="G322" t="s">
        <v>62</v>
      </c>
      <c r="H322" s="2">
        <v>26.16</v>
      </c>
      <c r="I322">
        <v>16.2</v>
      </c>
      <c r="J322" s="5">
        <f>BBDD_fashion_boutique[[#This Row],[markdown_percentage]]/100</f>
        <v>0.16200000000000001</v>
      </c>
      <c r="K322" s="2">
        <v>21.92</v>
      </c>
      <c r="L322" s="2">
        <f>BBDD_fashion_boutique[[#This Row],[original_price]]-BBDD_fashion_boutique[[#This Row],[current_price]]</f>
        <v>4.2399999999999984</v>
      </c>
      <c r="M322" s="1">
        <v>45875</v>
      </c>
      <c r="N322" s="1" t="str">
        <f>PROPER(TEXT(BBDD_fashion_boutique[[#This Row],[purchase_date]],"dddd"))</f>
        <v>Miércoles</v>
      </c>
      <c r="O322" s="1" t="str">
        <f>PROPER(TEXT(BBDD_fashion_boutique[[#This Row],[purchase_date]],"mmmm"))</f>
        <v>Agosto</v>
      </c>
      <c r="P322" s="4">
        <v>13</v>
      </c>
      <c r="Q322" s="2">
        <v>2.2999999999999998</v>
      </c>
      <c r="R322" t="str">
        <f>IF(BBDD_fashion_boutique[[#This Row],[stock_quantity]]&gt;9,"Ok",IF(BBDD_fashion_boutique[[#This Row],[stock_quantity]]=0,"Agotado","Pocas Unidades"))</f>
        <v>Ok</v>
      </c>
      <c r="S322" s="3">
        <f>IF(BBDD_fashion_boutique[[#This Row],[customer_rating]]="","No valorado",BBDD_fashion_boutique[[#This Row],[customer_rating]])</f>
        <v>2.2999999999999998</v>
      </c>
      <c r="T322" t="s">
        <v>24</v>
      </c>
      <c r="V322">
        <f>IF(BBDD_fashion_boutique[[#This Row],[is_returned]]="False",0,1)</f>
        <v>0</v>
      </c>
      <c r="W322">
        <f>IF(BBDD_fashion_boutique[[#This Row],[is_returned]]="True",0,BBDD_fashion_boutique[[#This Row],[current_price]])</f>
        <v>21.92</v>
      </c>
      <c r="X322" t="str">
        <f>IF(BBDD_fashion_boutique[[#This Row],[return_reason]]="","No return",BBDD_fashion_boutique[[#This Row],[return_reason]])</f>
        <v>No return</v>
      </c>
      <c r="Y322">
        <f>IF(IFERROR(VLOOKUP(BBDD_fashion_boutique[[#This Row],[product_id]],A323:A2498,1,FALSE),0),1,0)</f>
        <v>0</v>
      </c>
    </row>
    <row r="323" spans="1:25" x14ac:dyDescent="0.3">
      <c r="A323" t="s">
        <v>382</v>
      </c>
      <c r="B323" t="s">
        <v>48</v>
      </c>
      <c r="C323" t="s">
        <v>27</v>
      </c>
      <c r="D323" t="s">
        <v>28</v>
      </c>
      <c r="E323" t="s">
        <v>55</v>
      </c>
      <c r="F323" t="str">
        <f>IF(BBDD_fashion_boutique[[#This Row],[category]]="Accessories","Accesorio",IF(BBDD_fashion_boutique[[#This Row],[size]]="","Desconocido",BBDD_fashion_boutique[[#This Row],[size]]))</f>
        <v>XXL</v>
      </c>
      <c r="G323" t="s">
        <v>50</v>
      </c>
      <c r="H323" s="2">
        <v>89.17</v>
      </c>
      <c r="I323">
        <v>10.8</v>
      </c>
      <c r="J323" s="5">
        <f>BBDD_fashion_boutique[[#This Row],[markdown_percentage]]/100</f>
        <v>0.10800000000000001</v>
      </c>
      <c r="K323" s="2">
        <v>79.540000000000006</v>
      </c>
      <c r="L323" s="2">
        <f>BBDD_fashion_boutique[[#This Row],[original_price]]-BBDD_fashion_boutique[[#This Row],[current_price]]</f>
        <v>9.6299999999999955</v>
      </c>
      <c r="M323" s="1">
        <v>45875</v>
      </c>
      <c r="N323" s="1" t="str">
        <f>PROPER(TEXT(BBDD_fashion_boutique[[#This Row],[purchase_date]],"dddd"))</f>
        <v>Miércoles</v>
      </c>
      <c r="O323" s="1" t="str">
        <f>PROPER(TEXT(BBDD_fashion_boutique[[#This Row],[purchase_date]],"mmmm"))</f>
        <v>Agosto</v>
      </c>
      <c r="P323" s="4">
        <v>27</v>
      </c>
      <c r="Q323" s="2">
        <v>3.3</v>
      </c>
      <c r="R323" t="str">
        <f>IF(BBDD_fashion_boutique[[#This Row],[stock_quantity]]&gt;9,"Ok",IF(BBDD_fashion_boutique[[#This Row],[stock_quantity]]=0,"Agotado","Pocas Unidades"))</f>
        <v>Ok</v>
      </c>
      <c r="S323" s="3">
        <f>IF(BBDD_fashion_boutique[[#This Row],[customer_rating]]="","No valorado",BBDD_fashion_boutique[[#This Row],[customer_rating]])</f>
        <v>3.3</v>
      </c>
      <c r="T323" t="s">
        <v>24</v>
      </c>
      <c r="V323">
        <f>IF(BBDD_fashion_boutique[[#This Row],[is_returned]]="False",0,1)</f>
        <v>0</v>
      </c>
      <c r="W323">
        <f>IF(BBDD_fashion_boutique[[#This Row],[is_returned]]="True",0,BBDD_fashion_boutique[[#This Row],[current_price]])</f>
        <v>79.540000000000006</v>
      </c>
      <c r="X323" t="str">
        <f>IF(BBDD_fashion_boutique[[#This Row],[return_reason]]="","No return",BBDD_fashion_boutique[[#This Row],[return_reason]])</f>
        <v>No return</v>
      </c>
      <c r="Y323">
        <f>IF(IFERROR(VLOOKUP(BBDD_fashion_boutique[[#This Row],[product_id]],A324:A2499,1,FALSE),0),1,0)</f>
        <v>0</v>
      </c>
    </row>
    <row r="324" spans="1:25" x14ac:dyDescent="0.3">
      <c r="A324" t="s">
        <v>383</v>
      </c>
      <c r="B324" t="s">
        <v>44</v>
      </c>
      <c r="C324" t="s">
        <v>54</v>
      </c>
      <c r="D324" t="s">
        <v>21</v>
      </c>
      <c r="F324" t="str">
        <f>IF(BBDD_fashion_boutique[[#This Row],[category]]="Accessories","Accesorio",IF(BBDD_fashion_boutique[[#This Row],[size]]="","Desconocido",BBDD_fashion_boutique[[#This Row],[size]]))</f>
        <v>Desconocido</v>
      </c>
      <c r="G324" t="s">
        <v>40</v>
      </c>
      <c r="H324" s="2">
        <v>106.37</v>
      </c>
      <c r="I324">
        <v>0</v>
      </c>
      <c r="J324" s="5">
        <f>BBDD_fashion_boutique[[#This Row],[markdown_percentage]]/100</f>
        <v>0</v>
      </c>
      <c r="K324" s="2">
        <v>106.37</v>
      </c>
      <c r="L324" s="2">
        <f>BBDD_fashion_boutique[[#This Row],[original_price]]-BBDD_fashion_boutique[[#This Row],[current_price]]</f>
        <v>0</v>
      </c>
      <c r="M324" s="1">
        <v>45753</v>
      </c>
      <c r="N324" s="1" t="str">
        <f>PROPER(TEXT(BBDD_fashion_boutique[[#This Row],[purchase_date]],"dddd"))</f>
        <v>Domingo</v>
      </c>
      <c r="O324" s="1" t="str">
        <f>PROPER(TEXT(BBDD_fashion_boutique[[#This Row],[purchase_date]],"mmmm"))</f>
        <v>Abril</v>
      </c>
      <c r="P324" s="4">
        <v>37</v>
      </c>
      <c r="Q324" s="2">
        <v>4.9000000000000004</v>
      </c>
      <c r="R324" t="str">
        <f>IF(BBDD_fashion_boutique[[#This Row],[stock_quantity]]&gt;9,"Ok",IF(BBDD_fashion_boutique[[#This Row],[stock_quantity]]=0,"Agotado","Pocas Unidades"))</f>
        <v>Ok</v>
      </c>
      <c r="S324" s="3">
        <f>IF(BBDD_fashion_boutique[[#This Row],[customer_rating]]="","No valorado",BBDD_fashion_boutique[[#This Row],[customer_rating]])</f>
        <v>4.9000000000000004</v>
      </c>
      <c r="T324" t="s">
        <v>24</v>
      </c>
      <c r="V324">
        <f>IF(BBDD_fashion_boutique[[#This Row],[is_returned]]="False",0,1)</f>
        <v>0</v>
      </c>
      <c r="W324">
        <f>IF(BBDD_fashion_boutique[[#This Row],[is_returned]]="True",0,BBDD_fashion_boutique[[#This Row],[current_price]])</f>
        <v>106.37</v>
      </c>
      <c r="X324" t="str">
        <f>IF(BBDD_fashion_boutique[[#This Row],[return_reason]]="","No return",BBDD_fashion_boutique[[#This Row],[return_reason]])</f>
        <v>No return</v>
      </c>
      <c r="Y324">
        <f>IF(IFERROR(VLOOKUP(BBDD_fashion_boutique[[#This Row],[product_id]],A325:A2500,1,FALSE),0),1,0)</f>
        <v>0</v>
      </c>
    </row>
    <row r="325" spans="1:25" x14ac:dyDescent="0.3">
      <c r="A325" t="s">
        <v>384</v>
      </c>
      <c r="B325" t="s">
        <v>48</v>
      </c>
      <c r="C325" t="s">
        <v>49</v>
      </c>
      <c r="D325" t="s">
        <v>39</v>
      </c>
      <c r="E325" t="s">
        <v>22</v>
      </c>
      <c r="F325" t="str">
        <f>IF(BBDD_fashion_boutique[[#This Row],[category]]="Accessories","Accesorio",IF(BBDD_fashion_boutique[[#This Row],[size]]="","Desconocido",BBDD_fashion_boutique[[#This Row],[size]]))</f>
        <v>XL</v>
      </c>
      <c r="G325" t="s">
        <v>40</v>
      </c>
      <c r="H325" s="2">
        <v>80.95</v>
      </c>
      <c r="I325">
        <v>36.799999999999997</v>
      </c>
      <c r="J325" s="5">
        <f>BBDD_fashion_boutique[[#This Row],[markdown_percentage]]/100</f>
        <v>0.36799999999999999</v>
      </c>
      <c r="K325" s="2">
        <v>51.16</v>
      </c>
      <c r="L325" s="2">
        <f>BBDD_fashion_boutique[[#This Row],[original_price]]-BBDD_fashion_boutique[[#This Row],[current_price]]</f>
        <v>29.790000000000006</v>
      </c>
      <c r="M325" s="1">
        <v>45875</v>
      </c>
      <c r="N325" s="1" t="str">
        <f>PROPER(TEXT(BBDD_fashion_boutique[[#This Row],[purchase_date]],"dddd"))</f>
        <v>Miércoles</v>
      </c>
      <c r="O325" s="1" t="str">
        <f>PROPER(TEXT(BBDD_fashion_boutique[[#This Row],[purchase_date]],"mmmm"))</f>
        <v>Agosto</v>
      </c>
      <c r="P325" s="4">
        <v>16</v>
      </c>
      <c r="Q325" s="2">
        <v>2.5</v>
      </c>
      <c r="R325" t="str">
        <f>IF(BBDD_fashion_boutique[[#This Row],[stock_quantity]]&gt;9,"Ok",IF(BBDD_fashion_boutique[[#This Row],[stock_quantity]]=0,"Agotado","Pocas Unidades"))</f>
        <v>Ok</v>
      </c>
      <c r="S325" s="3">
        <f>IF(BBDD_fashion_boutique[[#This Row],[customer_rating]]="","No valorado",BBDD_fashion_boutique[[#This Row],[customer_rating]])</f>
        <v>2.5</v>
      </c>
      <c r="T325" t="s">
        <v>24</v>
      </c>
      <c r="V325">
        <f>IF(BBDD_fashion_boutique[[#This Row],[is_returned]]="False",0,1)</f>
        <v>0</v>
      </c>
      <c r="W325">
        <f>IF(BBDD_fashion_boutique[[#This Row],[is_returned]]="True",0,BBDD_fashion_boutique[[#This Row],[current_price]])</f>
        <v>51.16</v>
      </c>
      <c r="X325" t="str">
        <f>IF(BBDD_fashion_boutique[[#This Row],[return_reason]]="","No return",BBDD_fashion_boutique[[#This Row],[return_reason]])</f>
        <v>No return</v>
      </c>
      <c r="Y325">
        <f>IF(IFERROR(VLOOKUP(BBDD_fashion_boutique[[#This Row],[product_id]],A326:A2501,1,FALSE),0),1,0)</f>
        <v>0</v>
      </c>
    </row>
    <row r="326" spans="1:25" x14ac:dyDescent="0.3">
      <c r="A326" t="s">
        <v>385</v>
      </c>
      <c r="B326" t="s">
        <v>19</v>
      </c>
      <c r="C326" t="s">
        <v>37</v>
      </c>
      <c r="D326" t="s">
        <v>68</v>
      </c>
      <c r="E326" t="s">
        <v>64</v>
      </c>
      <c r="F326" t="str">
        <f>IF(BBDD_fashion_boutique[[#This Row],[category]]="Accessories","Accesorio",IF(BBDD_fashion_boutique[[#This Row],[size]]="","Desconocido",BBDD_fashion_boutique[[#This Row],[size]]))</f>
        <v>M</v>
      </c>
      <c r="G326" t="s">
        <v>70</v>
      </c>
      <c r="H326" s="2">
        <v>169.84</v>
      </c>
      <c r="I326">
        <v>50.2</v>
      </c>
      <c r="J326" s="5">
        <f>BBDD_fashion_boutique[[#This Row],[markdown_percentage]]/100</f>
        <v>0.502</v>
      </c>
      <c r="K326" s="2">
        <v>84.58</v>
      </c>
      <c r="L326" s="2">
        <f>BBDD_fashion_boutique[[#This Row],[original_price]]-BBDD_fashion_boutique[[#This Row],[current_price]]</f>
        <v>85.26</v>
      </c>
      <c r="M326" s="1">
        <v>45875</v>
      </c>
      <c r="N326" s="1" t="str">
        <f>PROPER(TEXT(BBDD_fashion_boutique[[#This Row],[purchase_date]],"dddd"))</f>
        <v>Miércoles</v>
      </c>
      <c r="O326" s="1" t="str">
        <f>PROPER(TEXT(BBDD_fashion_boutique[[#This Row],[purchase_date]],"mmmm"))</f>
        <v>Agosto</v>
      </c>
      <c r="P326" s="4">
        <v>21</v>
      </c>
      <c r="Q326" s="2">
        <v>3</v>
      </c>
      <c r="R326" t="str">
        <f>IF(BBDD_fashion_boutique[[#This Row],[stock_quantity]]&gt;9,"Ok",IF(BBDD_fashion_boutique[[#This Row],[stock_quantity]]=0,"Agotado","Pocas Unidades"))</f>
        <v>Ok</v>
      </c>
      <c r="S326" s="3">
        <f>IF(BBDD_fashion_boutique[[#This Row],[customer_rating]]="","No valorado",BBDD_fashion_boutique[[#This Row],[customer_rating]])</f>
        <v>3</v>
      </c>
      <c r="T326" t="s">
        <v>41</v>
      </c>
      <c r="U326" t="s">
        <v>89</v>
      </c>
      <c r="V326">
        <f>IF(BBDD_fashion_boutique[[#This Row],[is_returned]]="False",0,1)</f>
        <v>1</v>
      </c>
      <c r="W326">
        <f>IF(BBDD_fashion_boutique[[#This Row],[is_returned]]="True",0,BBDD_fashion_boutique[[#This Row],[current_price]])</f>
        <v>0</v>
      </c>
      <c r="X326" t="str">
        <f>IF(BBDD_fashion_boutique[[#This Row],[return_reason]]="","No return",BBDD_fashion_boutique[[#This Row],[return_reason]])</f>
        <v>Quality Issue</v>
      </c>
      <c r="Y326">
        <f>IF(IFERROR(VLOOKUP(BBDD_fashion_boutique[[#This Row],[product_id]],A327:A2502,1,FALSE),0),1,0)</f>
        <v>0</v>
      </c>
    </row>
    <row r="327" spans="1:25" x14ac:dyDescent="0.3">
      <c r="A327" t="s">
        <v>386</v>
      </c>
      <c r="B327" t="s">
        <v>48</v>
      </c>
      <c r="C327" t="s">
        <v>81</v>
      </c>
      <c r="D327" t="s">
        <v>39</v>
      </c>
      <c r="E327" t="s">
        <v>64</v>
      </c>
      <c r="F327" t="str">
        <f>IF(BBDD_fashion_boutique[[#This Row],[category]]="Accessories","Accesorio",IF(BBDD_fashion_boutique[[#This Row],[size]]="","Desconocido",BBDD_fashion_boutique[[#This Row],[size]]))</f>
        <v>M</v>
      </c>
      <c r="G327" t="s">
        <v>52</v>
      </c>
      <c r="H327" s="2">
        <v>159.4</v>
      </c>
      <c r="I327">
        <v>8.8000000000000007</v>
      </c>
      <c r="J327" s="5">
        <f>BBDD_fashion_boutique[[#This Row],[markdown_percentage]]/100</f>
        <v>8.8000000000000009E-2</v>
      </c>
      <c r="K327" s="2">
        <v>145.37</v>
      </c>
      <c r="L327" s="2">
        <f>BBDD_fashion_boutique[[#This Row],[original_price]]-BBDD_fashion_boutique[[#This Row],[current_price]]</f>
        <v>14.030000000000001</v>
      </c>
      <c r="M327" s="1">
        <v>45875</v>
      </c>
      <c r="N327" s="1" t="str">
        <f>PROPER(TEXT(BBDD_fashion_boutique[[#This Row],[purchase_date]],"dddd"))</f>
        <v>Miércoles</v>
      </c>
      <c r="O327" s="1" t="str">
        <f>PROPER(TEXT(BBDD_fashion_boutique[[#This Row],[purchase_date]],"mmmm"))</f>
        <v>Agosto</v>
      </c>
      <c r="P327" s="4">
        <v>43</v>
      </c>
      <c r="Q327" s="2">
        <v>4.5</v>
      </c>
      <c r="R327" t="str">
        <f>IF(BBDD_fashion_boutique[[#This Row],[stock_quantity]]&gt;9,"Ok",IF(BBDD_fashion_boutique[[#This Row],[stock_quantity]]=0,"Agotado","Pocas Unidades"))</f>
        <v>Ok</v>
      </c>
      <c r="S327" s="3">
        <f>IF(BBDD_fashion_boutique[[#This Row],[customer_rating]]="","No valorado",BBDD_fashion_boutique[[#This Row],[customer_rating]])</f>
        <v>4.5</v>
      </c>
      <c r="T327" t="s">
        <v>24</v>
      </c>
      <c r="V327">
        <f>IF(BBDD_fashion_boutique[[#This Row],[is_returned]]="False",0,1)</f>
        <v>0</v>
      </c>
      <c r="W327">
        <f>IF(BBDD_fashion_boutique[[#This Row],[is_returned]]="True",0,BBDD_fashion_boutique[[#This Row],[current_price]])</f>
        <v>145.37</v>
      </c>
      <c r="X327" t="str">
        <f>IF(BBDD_fashion_boutique[[#This Row],[return_reason]]="","No return",BBDD_fashion_boutique[[#This Row],[return_reason]])</f>
        <v>No return</v>
      </c>
      <c r="Y327">
        <f>IF(IFERROR(VLOOKUP(BBDD_fashion_boutique[[#This Row],[product_id]],A328:A2503,1,FALSE),0),1,0)</f>
        <v>0</v>
      </c>
    </row>
    <row r="328" spans="1:25" x14ac:dyDescent="0.3">
      <c r="A328" t="s">
        <v>387</v>
      </c>
      <c r="B328" t="s">
        <v>44</v>
      </c>
      <c r="C328" t="s">
        <v>81</v>
      </c>
      <c r="D328" t="s">
        <v>28</v>
      </c>
      <c r="E328" t="s">
        <v>45</v>
      </c>
      <c r="F328" t="str">
        <f>IF(BBDD_fashion_boutique[[#This Row],[category]]="Accessories","Accesorio",IF(BBDD_fashion_boutique[[#This Row],[size]]="","Desconocido",BBDD_fashion_boutique[[#This Row],[size]]))</f>
        <v>S</v>
      </c>
      <c r="G328" t="s">
        <v>33</v>
      </c>
      <c r="H328" s="2">
        <v>106.53</v>
      </c>
      <c r="I328">
        <v>46.5</v>
      </c>
      <c r="J328" s="5">
        <f>BBDD_fashion_boutique[[#This Row],[markdown_percentage]]/100</f>
        <v>0.46500000000000002</v>
      </c>
      <c r="K328" s="2">
        <v>56.99</v>
      </c>
      <c r="L328" s="2">
        <f>BBDD_fashion_boutique[[#This Row],[original_price]]-BBDD_fashion_boutique[[#This Row],[current_price]]</f>
        <v>49.54</v>
      </c>
      <c r="M328" s="1">
        <v>45875</v>
      </c>
      <c r="N328" s="1" t="str">
        <f>PROPER(TEXT(BBDD_fashion_boutique[[#This Row],[purchase_date]],"dddd"))</f>
        <v>Miércoles</v>
      </c>
      <c r="O328" s="1" t="str">
        <f>PROPER(TEXT(BBDD_fashion_boutique[[#This Row],[purchase_date]],"mmmm"))</f>
        <v>Agosto</v>
      </c>
      <c r="P328" s="4">
        <v>17</v>
      </c>
      <c r="R328" t="str">
        <f>IF(BBDD_fashion_boutique[[#This Row],[stock_quantity]]&gt;9,"Ok",IF(BBDD_fashion_boutique[[#This Row],[stock_quantity]]=0,"Agotado","Pocas Unidades"))</f>
        <v>Ok</v>
      </c>
      <c r="S328" s="3" t="str">
        <f>IF(BBDD_fashion_boutique[[#This Row],[customer_rating]]="","No valorado",BBDD_fashion_boutique[[#This Row],[customer_rating]])</f>
        <v>No valorado</v>
      </c>
      <c r="T328" t="s">
        <v>24</v>
      </c>
      <c r="V328">
        <f>IF(BBDD_fashion_boutique[[#This Row],[is_returned]]="False",0,1)</f>
        <v>0</v>
      </c>
      <c r="W328">
        <f>IF(BBDD_fashion_boutique[[#This Row],[is_returned]]="True",0,BBDD_fashion_boutique[[#This Row],[current_price]])</f>
        <v>56.99</v>
      </c>
      <c r="X328" t="str">
        <f>IF(BBDD_fashion_boutique[[#This Row],[return_reason]]="","No return",BBDD_fashion_boutique[[#This Row],[return_reason]])</f>
        <v>No return</v>
      </c>
      <c r="Y328">
        <f>IF(IFERROR(VLOOKUP(BBDD_fashion_boutique[[#This Row],[product_id]],A329:A2504,1,FALSE),0),1,0)</f>
        <v>0</v>
      </c>
    </row>
    <row r="329" spans="1:25" x14ac:dyDescent="0.3">
      <c r="A329" t="s">
        <v>388</v>
      </c>
      <c r="B329" t="s">
        <v>32</v>
      </c>
      <c r="C329" t="s">
        <v>67</v>
      </c>
      <c r="D329" t="s">
        <v>21</v>
      </c>
      <c r="F329" t="str">
        <f>IF(BBDD_fashion_boutique[[#This Row],[category]]="Accessories","Accesorio",IF(BBDD_fashion_boutique[[#This Row],[size]]="","Desconocido",BBDD_fashion_boutique[[#This Row],[size]]))</f>
        <v>Accesorio</v>
      </c>
      <c r="G329" t="s">
        <v>33</v>
      </c>
      <c r="H329" s="2">
        <v>78.81</v>
      </c>
      <c r="I329">
        <v>44.7</v>
      </c>
      <c r="J329" s="5">
        <f>BBDD_fashion_boutique[[#This Row],[markdown_percentage]]/100</f>
        <v>0.44700000000000001</v>
      </c>
      <c r="K329" s="2">
        <v>43.58</v>
      </c>
      <c r="L329" s="2">
        <f>BBDD_fashion_boutique[[#This Row],[original_price]]-BBDD_fashion_boutique[[#This Row],[current_price]]</f>
        <v>35.230000000000004</v>
      </c>
      <c r="M329" s="1">
        <v>45548</v>
      </c>
      <c r="N329" s="1" t="str">
        <f>PROPER(TEXT(BBDD_fashion_boutique[[#This Row],[purchase_date]],"dddd"))</f>
        <v>Viernes</v>
      </c>
      <c r="O329" s="1" t="str">
        <f>PROPER(TEXT(BBDD_fashion_boutique[[#This Row],[purchase_date]],"mmmm"))</f>
        <v>Septiembre</v>
      </c>
      <c r="P329" s="4">
        <v>34</v>
      </c>
      <c r="Q329" s="2">
        <v>1.4</v>
      </c>
      <c r="R329" t="str">
        <f>IF(BBDD_fashion_boutique[[#This Row],[stock_quantity]]&gt;9,"Ok",IF(BBDD_fashion_boutique[[#This Row],[stock_quantity]]=0,"Agotado","Pocas Unidades"))</f>
        <v>Ok</v>
      </c>
      <c r="S329" s="3">
        <f>IF(BBDD_fashion_boutique[[#This Row],[customer_rating]]="","No valorado",BBDD_fashion_boutique[[#This Row],[customer_rating]])</f>
        <v>1.4</v>
      </c>
      <c r="T329" t="s">
        <v>24</v>
      </c>
      <c r="V329">
        <f>IF(BBDD_fashion_boutique[[#This Row],[is_returned]]="False",0,1)</f>
        <v>0</v>
      </c>
      <c r="W329">
        <f>IF(BBDD_fashion_boutique[[#This Row],[is_returned]]="True",0,BBDD_fashion_boutique[[#This Row],[current_price]])</f>
        <v>43.58</v>
      </c>
      <c r="X329" t="str">
        <f>IF(BBDD_fashion_boutique[[#This Row],[return_reason]]="","No return",BBDD_fashion_boutique[[#This Row],[return_reason]])</f>
        <v>No return</v>
      </c>
      <c r="Y329">
        <f>IF(IFERROR(VLOOKUP(BBDD_fashion_boutique[[#This Row],[product_id]],A330:A2505,1,FALSE),0),1,0)</f>
        <v>0</v>
      </c>
    </row>
    <row r="330" spans="1:25" x14ac:dyDescent="0.3">
      <c r="A330" t="s">
        <v>389</v>
      </c>
      <c r="B330" t="s">
        <v>19</v>
      </c>
      <c r="C330" t="s">
        <v>27</v>
      </c>
      <c r="D330" t="s">
        <v>68</v>
      </c>
      <c r="E330" t="s">
        <v>61</v>
      </c>
      <c r="F330" t="str">
        <f>IF(BBDD_fashion_boutique[[#This Row],[category]]="Accessories","Accesorio",IF(BBDD_fashion_boutique[[#This Row],[size]]="","Desconocido",BBDD_fashion_boutique[[#This Row],[size]]))</f>
        <v>XS</v>
      </c>
      <c r="G330" t="s">
        <v>46</v>
      </c>
      <c r="H330" s="2">
        <v>117.45</v>
      </c>
      <c r="I330">
        <v>29.5</v>
      </c>
      <c r="J330" s="5">
        <f>BBDD_fashion_boutique[[#This Row],[markdown_percentage]]/100</f>
        <v>0.29499999999999998</v>
      </c>
      <c r="K330" s="2">
        <v>82.8</v>
      </c>
      <c r="L330" s="2">
        <f>BBDD_fashion_boutique[[#This Row],[original_price]]-BBDD_fashion_boutique[[#This Row],[current_price]]</f>
        <v>34.650000000000006</v>
      </c>
      <c r="M330" s="1">
        <v>45875</v>
      </c>
      <c r="N330" s="1" t="str">
        <f>PROPER(TEXT(BBDD_fashion_boutique[[#This Row],[purchase_date]],"dddd"))</f>
        <v>Miércoles</v>
      </c>
      <c r="O330" s="1" t="str">
        <f>PROPER(TEXT(BBDD_fashion_boutique[[#This Row],[purchase_date]],"mmmm"))</f>
        <v>Agosto</v>
      </c>
      <c r="P330" s="4">
        <v>43</v>
      </c>
      <c r="Q330" s="2">
        <v>1.2</v>
      </c>
      <c r="R330" t="str">
        <f>IF(BBDD_fashion_boutique[[#This Row],[stock_quantity]]&gt;9,"Ok",IF(BBDD_fashion_boutique[[#This Row],[stock_quantity]]=0,"Agotado","Pocas Unidades"))</f>
        <v>Ok</v>
      </c>
      <c r="S330" s="3">
        <f>IF(BBDD_fashion_boutique[[#This Row],[customer_rating]]="","No valorado",BBDD_fashion_boutique[[#This Row],[customer_rating]])</f>
        <v>1.2</v>
      </c>
      <c r="T330" t="s">
        <v>24</v>
      </c>
      <c r="V330">
        <f>IF(BBDD_fashion_boutique[[#This Row],[is_returned]]="False",0,1)</f>
        <v>0</v>
      </c>
      <c r="W330">
        <f>IF(BBDD_fashion_boutique[[#This Row],[is_returned]]="True",0,BBDD_fashion_boutique[[#This Row],[current_price]])</f>
        <v>82.8</v>
      </c>
      <c r="X330" t="str">
        <f>IF(BBDD_fashion_boutique[[#This Row],[return_reason]]="","No return",BBDD_fashion_boutique[[#This Row],[return_reason]])</f>
        <v>No return</v>
      </c>
      <c r="Y330">
        <f>IF(IFERROR(VLOOKUP(BBDD_fashion_boutique[[#This Row],[product_id]],A331:A2506,1,FALSE),0),1,0)</f>
        <v>0</v>
      </c>
    </row>
    <row r="331" spans="1:25" x14ac:dyDescent="0.3">
      <c r="A331" t="s">
        <v>390</v>
      </c>
      <c r="B331" t="s">
        <v>32</v>
      </c>
      <c r="C331" t="s">
        <v>67</v>
      </c>
      <c r="D331" t="s">
        <v>21</v>
      </c>
      <c r="F331" t="str">
        <f>IF(BBDD_fashion_boutique[[#This Row],[category]]="Accessories","Accesorio",IF(BBDD_fashion_boutique[[#This Row],[size]]="","Desconocido",BBDD_fashion_boutique[[#This Row],[size]]))</f>
        <v>Accesorio</v>
      </c>
      <c r="G331" t="s">
        <v>62</v>
      </c>
      <c r="H331" s="2">
        <v>76.94</v>
      </c>
      <c r="I331">
        <v>0</v>
      </c>
      <c r="J331" s="5">
        <f>BBDD_fashion_boutique[[#This Row],[markdown_percentage]]/100</f>
        <v>0</v>
      </c>
      <c r="K331" s="2">
        <v>76.94</v>
      </c>
      <c r="L331" s="2">
        <f>BBDD_fashion_boutique[[#This Row],[original_price]]-BBDD_fashion_boutique[[#This Row],[current_price]]</f>
        <v>0</v>
      </c>
      <c r="M331" s="1">
        <v>45821</v>
      </c>
      <c r="N331" s="1" t="str">
        <f>PROPER(TEXT(BBDD_fashion_boutique[[#This Row],[purchase_date]],"dddd"))</f>
        <v>Viernes</v>
      </c>
      <c r="O331" s="1" t="str">
        <f>PROPER(TEXT(BBDD_fashion_boutique[[#This Row],[purchase_date]],"mmmm"))</f>
        <v>Junio</v>
      </c>
      <c r="P331" s="4">
        <v>21</v>
      </c>
      <c r="Q331" s="2">
        <v>4.3</v>
      </c>
      <c r="R331" t="str">
        <f>IF(BBDD_fashion_boutique[[#This Row],[stock_quantity]]&gt;9,"Ok",IF(BBDD_fashion_boutique[[#This Row],[stock_quantity]]=0,"Agotado","Pocas Unidades"))</f>
        <v>Ok</v>
      </c>
      <c r="S331" s="3">
        <f>IF(BBDD_fashion_boutique[[#This Row],[customer_rating]]="","No valorado",BBDD_fashion_boutique[[#This Row],[customer_rating]])</f>
        <v>4.3</v>
      </c>
      <c r="T331" t="s">
        <v>24</v>
      </c>
      <c r="V331">
        <f>IF(BBDD_fashion_boutique[[#This Row],[is_returned]]="False",0,1)</f>
        <v>0</v>
      </c>
      <c r="W331">
        <f>IF(BBDD_fashion_boutique[[#This Row],[is_returned]]="True",0,BBDD_fashion_boutique[[#This Row],[current_price]])</f>
        <v>76.94</v>
      </c>
      <c r="X331" t="str">
        <f>IF(BBDD_fashion_boutique[[#This Row],[return_reason]]="","No return",BBDD_fashion_boutique[[#This Row],[return_reason]])</f>
        <v>No return</v>
      </c>
      <c r="Y331">
        <f>IF(IFERROR(VLOOKUP(BBDD_fashion_boutique[[#This Row],[product_id]],A332:A2507,1,FALSE),0),1,0)</f>
        <v>0</v>
      </c>
    </row>
    <row r="332" spans="1:25" x14ac:dyDescent="0.3">
      <c r="A332" t="s">
        <v>391</v>
      </c>
      <c r="B332" t="s">
        <v>19</v>
      </c>
      <c r="C332" t="s">
        <v>67</v>
      </c>
      <c r="D332" t="s">
        <v>68</v>
      </c>
      <c r="E332" t="s">
        <v>29</v>
      </c>
      <c r="F332" t="str">
        <f>IF(BBDD_fashion_boutique[[#This Row],[category]]="Accessories","Accesorio",IF(BBDD_fashion_boutique[[#This Row],[size]]="","Desconocido",BBDD_fashion_boutique[[#This Row],[size]]))</f>
        <v>L</v>
      </c>
      <c r="G332" t="s">
        <v>40</v>
      </c>
      <c r="H332" s="2">
        <v>232.19</v>
      </c>
      <c r="I332">
        <v>0</v>
      </c>
      <c r="J332" s="5">
        <f>BBDD_fashion_boutique[[#This Row],[markdown_percentage]]/100</f>
        <v>0</v>
      </c>
      <c r="K332" s="2">
        <v>232.19</v>
      </c>
      <c r="L332" s="2">
        <f>BBDD_fashion_boutique[[#This Row],[original_price]]-BBDD_fashion_boutique[[#This Row],[current_price]]</f>
        <v>0</v>
      </c>
      <c r="M332" s="1">
        <v>45875</v>
      </c>
      <c r="N332" s="1" t="str">
        <f>PROPER(TEXT(BBDD_fashion_boutique[[#This Row],[purchase_date]],"dddd"))</f>
        <v>Miércoles</v>
      </c>
      <c r="O332" s="1" t="str">
        <f>PROPER(TEXT(BBDD_fashion_boutique[[#This Row],[purchase_date]],"mmmm"))</f>
        <v>Agosto</v>
      </c>
      <c r="P332" s="4">
        <v>31</v>
      </c>
      <c r="Q332" s="2">
        <v>1.3</v>
      </c>
      <c r="R332" t="str">
        <f>IF(BBDD_fashion_boutique[[#This Row],[stock_quantity]]&gt;9,"Ok",IF(BBDD_fashion_boutique[[#This Row],[stock_quantity]]=0,"Agotado","Pocas Unidades"))</f>
        <v>Ok</v>
      </c>
      <c r="S332" s="3">
        <f>IF(BBDD_fashion_boutique[[#This Row],[customer_rating]]="","No valorado",BBDD_fashion_boutique[[#This Row],[customer_rating]])</f>
        <v>1.3</v>
      </c>
      <c r="T332" t="s">
        <v>41</v>
      </c>
      <c r="U332" t="s">
        <v>121</v>
      </c>
      <c r="V332">
        <f>IF(BBDD_fashion_boutique[[#This Row],[is_returned]]="False",0,1)</f>
        <v>1</v>
      </c>
      <c r="W332">
        <f>IF(BBDD_fashion_boutique[[#This Row],[is_returned]]="True",0,BBDD_fashion_boutique[[#This Row],[current_price]])</f>
        <v>0</v>
      </c>
      <c r="X332" t="str">
        <f>IF(BBDD_fashion_boutique[[#This Row],[return_reason]]="","No return",BBDD_fashion_boutique[[#This Row],[return_reason]])</f>
        <v>Changed Mind</v>
      </c>
      <c r="Y332">
        <f>IF(IFERROR(VLOOKUP(BBDD_fashion_boutique[[#This Row],[product_id]],A333:A2508,1,FALSE),0),1,0)</f>
        <v>0</v>
      </c>
    </row>
    <row r="333" spans="1:25" x14ac:dyDescent="0.3">
      <c r="A333" t="s">
        <v>392</v>
      </c>
      <c r="B333" t="s">
        <v>48</v>
      </c>
      <c r="C333" t="s">
        <v>81</v>
      </c>
      <c r="D333" t="s">
        <v>39</v>
      </c>
      <c r="E333" t="s">
        <v>61</v>
      </c>
      <c r="F333" t="str">
        <f>IF(BBDD_fashion_boutique[[#This Row],[category]]="Accessories","Accesorio",IF(BBDD_fashion_boutique[[#This Row],[size]]="","Desconocido",BBDD_fashion_boutique[[#This Row],[size]]))</f>
        <v>XS</v>
      </c>
      <c r="G333" t="s">
        <v>70</v>
      </c>
      <c r="H333" s="2">
        <v>80.400000000000006</v>
      </c>
      <c r="I333">
        <v>52.1</v>
      </c>
      <c r="J333" s="5">
        <f>BBDD_fashion_boutique[[#This Row],[markdown_percentage]]/100</f>
        <v>0.52100000000000002</v>
      </c>
      <c r="K333" s="2">
        <v>38.51</v>
      </c>
      <c r="L333" s="2">
        <f>BBDD_fashion_boutique[[#This Row],[original_price]]-BBDD_fashion_boutique[[#This Row],[current_price]]</f>
        <v>41.890000000000008</v>
      </c>
      <c r="M333" s="1">
        <v>45875</v>
      </c>
      <c r="N333" s="1" t="str">
        <f>PROPER(TEXT(BBDD_fashion_boutique[[#This Row],[purchase_date]],"dddd"))</f>
        <v>Miércoles</v>
      </c>
      <c r="O333" s="1" t="str">
        <f>PROPER(TEXT(BBDD_fashion_boutique[[#This Row],[purchase_date]],"mmmm"))</f>
        <v>Agosto</v>
      </c>
      <c r="P333" s="4">
        <v>7</v>
      </c>
      <c r="Q333" s="2">
        <v>1.2</v>
      </c>
      <c r="R333" t="str">
        <f>IF(BBDD_fashion_boutique[[#This Row],[stock_quantity]]&gt;9,"Ok",IF(BBDD_fashion_boutique[[#This Row],[stock_quantity]]=0,"Agotado","Pocas Unidades"))</f>
        <v>Pocas Unidades</v>
      </c>
      <c r="S333" s="3">
        <f>IF(BBDD_fashion_boutique[[#This Row],[customer_rating]]="","No valorado",BBDD_fashion_boutique[[#This Row],[customer_rating]])</f>
        <v>1.2</v>
      </c>
      <c r="T333" t="s">
        <v>24</v>
      </c>
      <c r="V333">
        <f>IF(BBDD_fashion_boutique[[#This Row],[is_returned]]="False",0,1)</f>
        <v>0</v>
      </c>
      <c r="W333">
        <f>IF(BBDD_fashion_boutique[[#This Row],[is_returned]]="True",0,BBDD_fashion_boutique[[#This Row],[current_price]])</f>
        <v>38.51</v>
      </c>
      <c r="X333" t="str">
        <f>IF(BBDD_fashion_boutique[[#This Row],[return_reason]]="","No return",BBDD_fashion_boutique[[#This Row],[return_reason]])</f>
        <v>No return</v>
      </c>
      <c r="Y333">
        <f>IF(IFERROR(VLOOKUP(BBDD_fashion_boutique[[#This Row],[product_id]],A334:A2509,1,FALSE),0),1,0)</f>
        <v>0</v>
      </c>
    </row>
    <row r="334" spans="1:25" x14ac:dyDescent="0.3">
      <c r="A334" t="s">
        <v>393</v>
      </c>
      <c r="B334" t="s">
        <v>44</v>
      </c>
      <c r="C334" t="s">
        <v>49</v>
      </c>
      <c r="D334" t="s">
        <v>68</v>
      </c>
      <c r="E334" t="s">
        <v>22</v>
      </c>
      <c r="F334" t="str">
        <f>IF(BBDD_fashion_boutique[[#This Row],[category]]="Accessories","Accesorio",IF(BBDD_fashion_boutique[[#This Row],[size]]="","Desconocido",BBDD_fashion_boutique[[#This Row],[size]]))</f>
        <v>XL</v>
      </c>
      <c r="G334" t="s">
        <v>33</v>
      </c>
      <c r="H334" s="2">
        <v>102.82</v>
      </c>
      <c r="I334">
        <v>0</v>
      </c>
      <c r="J334" s="5">
        <f>BBDD_fashion_boutique[[#This Row],[markdown_percentage]]/100</f>
        <v>0</v>
      </c>
      <c r="K334" s="2">
        <v>102.82</v>
      </c>
      <c r="L334" s="2">
        <f>BBDD_fashion_boutique[[#This Row],[original_price]]-BBDD_fashion_boutique[[#This Row],[current_price]]</f>
        <v>0</v>
      </c>
      <c r="M334" s="1">
        <v>45875</v>
      </c>
      <c r="N334" s="1" t="str">
        <f>PROPER(TEXT(BBDD_fashion_boutique[[#This Row],[purchase_date]],"dddd"))</f>
        <v>Miércoles</v>
      </c>
      <c r="O334" s="1" t="str">
        <f>PROPER(TEXT(BBDD_fashion_boutique[[#This Row],[purchase_date]],"mmmm"))</f>
        <v>Agosto</v>
      </c>
      <c r="P334" s="4">
        <v>50</v>
      </c>
      <c r="Q334" s="2">
        <v>3.6</v>
      </c>
      <c r="R334" t="str">
        <f>IF(BBDD_fashion_boutique[[#This Row],[stock_quantity]]&gt;9,"Ok",IF(BBDD_fashion_boutique[[#This Row],[stock_quantity]]=0,"Agotado","Pocas Unidades"))</f>
        <v>Ok</v>
      </c>
      <c r="S334" s="3">
        <f>IF(BBDD_fashion_boutique[[#This Row],[customer_rating]]="","No valorado",BBDD_fashion_boutique[[#This Row],[customer_rating]])</f>
        <v>3.6</v>
      </c>
      <c r="T334" t="s">
        <v>24</v>
      </c>
      <c r="V334">
        <f>IF(BBDD_fashion_boutique[[#This Row],[is_returned]]="False",0,1)</f>
        <v>0</v>
      </c>
      <c r="W334">
        <f>IF(BBDD_fashion_boutique[[#This Row],[is_returned]]="True",0,BBDD_fashion_boutique[[#This Row],[current_price]])</f>
        <v>102.82</v>
      </c>
      <c r="X334" t="str">
        <f>IF(BBDD_fashion_boutique[[#This Row],[return_reason]]="","No return",BBDD_fashion_boutique[[#This Row],[return_reason]])</f>
        <v>No return</v>
      </c>
      <c r="Y334">
        <f>IF(IFERROR(VLOOKUP(BBDD_fashion_boutique[[#This Row],[product_id]],A335:A2510,1,FALSE),0),1,0)</f>
        <v>0</v>
      </c>
    </row>
    <row r="335" spans="1:25" x14ac:dyDescent="0.3">
      <c r="A335" t="s">
        <v>394</v>
      </c>
      <c r="B335" t="s">
        <v>32</v>
      </c>
      <c r="C335" t="s">
        <v>20</v>
      </c>
      <c r="D335" t="s">
        <v>21</v>
      </c>
      <c r="F335" t="str">
        <f>IF(BBDD_fashion_boutique[[#This Row],[category]]="Accessories","Accesorio",IF(BBDD_fashion_boutique[[#This Row],[size]]="","Desconocido",BBDD_fashion_boutique[[#This Row],[size]]))</f>
        <v>Accesorio</v>
      </c>
      <c r="G335" t="s">
        <v>70</v>
      </c>
      <c r="H335" s="2">
        <v>48.5</v>
      </c>
      <c r="I335">
        <v>0</v>
      </c>
      <c r="J335" s="5">
        <f>BBDD_fashion_boutique[[#This Row],[markdown_percentage]]/100</f>
        <v>0</v>
      </c>
      <c r="K335" s="2">
        <v>48.5</v>
      </c>
      <c r="L335" s="2">
        <f>BBDD_fashion_boutique[[#This Row],[original_price]]-BBDD_fashion_boutique[[#This Row],[current_price]]</f>
        <v>0</v>
      </c>
      <c r="M335" s="1">
        <v>45786</v>
      </c>
      <c r="N335" s="1" t="str">
        <f>PROPER(TEXT(BBDD_fashion_boutique[[#This Row],[purchase_date]],"dddd"))</f>
        <v>Viernes</v>
      </c>
      <c r="O335" s="1" t="str">
        <f>PROPER(TEXT(BBDD_fashion_boutique[[#This Row],[purchase_date]],"mmmm"))</f>
        <v>Mayo</v>
      </c>
      <c r="P335" s="4">
        <v>46</v>
      </c>
      <c r="R335" t="str">
        <f>IF(BBDD_fashion_boutique[[#This Row],[stock_quantity]]&gt;9,"Ok",IF(BBDD_fashion_boutique[[#This Row],[stock_quantity]]=0,"Agotado","Pocas Unidades"))</f>
        <v>Ok</v>
      </c>
      <c r="S335" s="3" t="str">
        <f>IF(BBDD_fashion_boutique[[#This Row],[customer_rating]]="","No valorado",BBDD_fashion_boutique[[#This Row],[customer_rating]])</f>
        <v>No valorado</v>
      </c>
      <c r="T335" t="s">
        <v>24</v>
      </c>
      <c r="V335">
        <f>IF(BBDD_fashion_boutique[[#This Row],[is_returned]]="False",0,1)</f>
        <v>0</v>
      </c>
      <c r="W335">
        <f>IF(BBDD_fashion_boutique[[#This Row],[is_returned]]="True",0,BBDD_fashion_boutique[[#This Row],[current_price]])</f>
        <v>48.5</v>
      </c>
      <c r="X335" t="str">
        <f>IF(BBDD_fashion_boutique[[#This Row],[return_reason]]="","No return",BBDD_fashion_boutique[[#This Row],[return_reason]])</f>
        <v>No return</v>
      </c>
      <c r="Y335">
        <f>IF(IFERROR(VLOOKUP(BBDD_fashion_boutique[[#This Row],[product_id]],A336:A2511,1,FALSE),0),1,0)</f>
        <v>0</v>
      </c>
    </row>
    <row r="336" spans="1:25" x14ac:dyDescent="0.3">
      <c r="A336" t="s">
        <v>395</v>
      </c>
      <c r="B336" t="s">
        <v>44</v>
      </c>
      <c r="C336" t="s">
        <v>49</v>
      </c>
      <c r="D336" t="s">
        <v>39</v>
      </c>
      <c r="F336" t="str">
        <f>IF(BBDD_fashion_boutique[[#This Row],[category]]="Accessories","Accesorio",IF(BBDD_fashion_boutique[[#This Row],[size]]="","Desconocido",BBDD_fashion_boutique[[#This Row],[size]]))</f>
        <v>Desconocido</v>
      </c>
      <c r="G336" t="s">
        <v>30</v>
      </c>
      <c r="H336" s="2">
        <v>88.4</v>
      </c>
      <c r="I336">
        <v>0</v>
      </c>
      <c r="J336" s="5">
        <f>BBDD_fashion_boutique[[#This Row],[markdown_percentage]]/100</f>
        <v>0</v>
      </c>
      <c r="K336" s="2">
        <v>88.4</v>
      </c>
      <c r="L336" s="2">
        <f>BBDD_fashion_boutique[[#This Row],[original_price]]-BBDD_fashion_boutique[[#This Row],[current_price]]</f>
        <v>0</v>
      </c>
      <c r="M336" s="1">
        <v>45875</v>
      </c>
      <c r="N336" s="1" t="str">
        <f>PROPER(TEXT(BBDD_fashion_boutique[[#This Row],[purchase_date]],"dddd"))</f>
        <v>Miércoles</v>
      </c>
      <c r="O336" s="1" t="str">
        <f>PROPER(TEXT(BBDD_fashion_boutique[[#This Row],[purchase_date]],"mmmm"))</f>
        <v>Agosto</v>
      </c>
      <c r="P336" s="4">
        <v>1</v>
      </c>
      <c r="Q336" s="2">
        <v>1.4</v>
      </c>
      <c r="R336" t="str">
        <f>IF(BBDD_fashion_boutique[[#This Row],[stock_quantity]]&gt;9,"Ok",IF(BBDD_fashion_boutique[[#This Row],[stock_quantity]]=0,"Agotado","Pocas Unidades"))</f>
        <v>Pocas Unidades</v>
      </c>
      <c r="S336" s="3">
        <f>IF(BBDD_fashion_boutique[[#This Row],[customer_rating]]="","No valorado",BBDD_fashion_boutique[[#This Row],[customer_rating]])</f>
        <v>1.4</v>
      </c>
      <c r="T336" t="s">
        <v>24</v>
      </c>
      <c r="V336">
        <f>IF(BBDD_fashion_boutique[[#This Row],[is_returned]]="False",0,1)</f>
        <v>0</v>
      </c>
      <c r="W336">
        <f>IF(BBDD_fashion_boutique[[#This Row],[is_returned]]="True",0,BBDD_fashion_boutique[[#This Row],[current_price]])</f>
        <v>88.4</v>
      </c>
      <c r="X336" t="str">
        <f>IF(BBDD_fashion_boutique[[#This Row],[return_reason]]="","No return",BBDD_fashion_boutique[[#This Row],[return_reason]])</f>
        <v>No return</v>
      </c>
      <c r="Y336">
        <f>IF(IFERROR(VLOOKUP(BBDD_fashion_boutique[[#This Row],[product_id]],A337:A2512,1,FALSE),0),1,0)</f>
        <v>0</v>
      </c>
    </row>
    <row r="337" spans="1:25" x14ac:dyDescent="0.3">
      <c r="A337" t="s">
        <v>396</v>
      </c>
      <c r="B337" t="s">
        <v>35</v>
      </c>
      <c r="C337" t="s">
        <v>49</v>
      </c>
      <c r="D337" t="s">
        <v>28</v>
      </c>
      <c r="E337" t="s">
        <v>45</v>
      </c>
      <c r="F337" t="str">
        <f>IF(BBDD_fashion_boutique[[#This Row],[category]]="Accessories","Accesorio",IF(BBDD_fashion_boutique[[#This Row],[size]]="","Desconocido",BBDD_fashion_boutique[[#This Row],[size]]))</f>
        <v>S</v>
      </c>
      <c r="G337" t="s">
        <v>33</v>
      </c>
      <c r="H337" s="2">
        <v>112.5</v>
      </c>
      <c r="I337">
        <v>0</v>
      </c>
      <c r="J337" s="5">
        <f>BBDD_fashion_boutique[[#This Row],[markdown_percentage]]/100</f>
        <v>0</v>
      </c>
      <c r="K337" s="2">
        <v>112.5</v>
      </c>
      <c r="L337" s="2">
        <f>BBDD_fashion_boutique[[#This Row],[original_price]]-BBDD_fashion_boutique[[#This Row],[current_price]]</f>
        <v>0</v>
      </c>
      <c r="M337" s="1">
        <v>45875</v>
      </c>
      <c r="N337" s="1" t="str">
        <f>PROPER(TEXT(BBDD_fashion_boutique[[#This Row],[purchase_date]],"dddd"))</f>
        <v>Miércoles</v>
      </c>
      <c r="O337" s="1" t="str">
        <f>PROPER(TEXT(BBDD_fashion_boutique[[#This Row],[purchase_date]],"mmmm"))</f>
        <v>Agosto</v>
      </c>
      <c r="P337" s="4">
        <v>11</v>
      </c>
      <c r="Q337" s="2">
        <v>4.3</v>
      </c>
      <c r="R337" t="str">
        <f>IF(BBDD_fashion_boutique[[#This Row],[stock_quantity]]&gt;9,"Ok",IF(BBDD_fashion_boutique[[#This Row],[stock_quantity]]=0,"Agotado","Pocas Unidades"))</f>
        <v>Ok</v>
      </c>
      <c r="S337" s="3">
        <f>IF(BBDD_fashion_boutique[[#This Row],[customer_rating]]="","No valorado",BBDD_fashion_boutique[[#This Row],[customer_rating]])</f>
        <v>4.3</v>
      </c>
      <c r="T337" t="s">
        <v>24</v>
      </c>
      <c r="V337">
        <f>IF(BBDD_fashion_boutique[[#This Row],[is_returned]]="False",0,1)</f>
        <v>0</v>
      </c>
      <c r="W337">
        <f>IF(BBDD_fashion_boutique[[#This Row],[is_returned]]="True",0,BBDD_fashion_boutique[[#This Row],[current_price]])</f>
        <v>112.5</v>
      </c>
      <c r="X337" t="str">
        <f>IF(BBDD_fashion_boutique[[#This Row],[return_reason]]="","No return",BBDD_fashion_boutique[[#This Row],[return_reason]])</f>
        <v>No return</v>
      </c>
      <c r="Y337">
        <f>IF(IFERROR(VLOOKUP(BBDD_fashion_boutique[[#This Row],[product_id]],A338:A2513,1,FALSE),0),1,0)</f>
        <v>0</v>
      </c>
    </row>
    <row r="338" spans="1:25" x14ac:dyDescent="0.3">
      <c r="A338" t="s">
        <v>397</v>
      </c>
      <c r="B338" t="s">
        <v>44</v>
      </c>
      <c r="C338" t="s">
        <v>20</v>
      </c>
      <c r="D338" t="s">
        <v>39</v>
      </c>
      <c r="E338" t="s">
        <v>55</v>
      </c>
      <c r="F338" t="str">
        <f>IF(BBDD_fashion_boutique[[#This Row],[category]]="Accessories","Accesorio",IF(BBDD_fashion_boutique[[#This Row],[size]]="","Desconocido",BBDD_fashion_boutique[[#This Row],[size]]))</f>
        <v>XXL</v>
      </c>
      <c r="G338" t="s">
        <v>46</v>
      </c>
      <c r="H338" s="2">
        <v>97.95</v>
      </c>
      <c r="I338">
        <v>11.1</v>
      </c>
      <c r="J338" s="5">
        <f>BBDD_fashion_boutique[[#This Row],[markdown_percentage]]/100</f>
        <v>0.111</v>
      </c>
      <c r="K338" s="2">
        <v>87.08</v>
      </c>
      <c r="L338" s="2">
        <f>BBDD_fashion_boutique[[#This Row],[original_price]]-BBDD_fashion_boutique[[#This Row],[current_price]]</f>
        <v>10.870000000000005</v>
      </c>
      <c r="M338" s="1">
        <v>45875</v>
      </c>
      <c r="N338" s="1" t="str">
        <f>PROPER(TEXT(BBDD_fashion_boutique[[#This Row],[purchase_date]],"dddd"))</f>
        <v>Miércoles</v>
      </c>
      <c r="O338" s="1" t="str">
        <f>PROPER(TEXT(BBDD_fashion_boutique[[#This Row],[purchase_date]],"mmmm"))</f>
        <v>Agosto</v>
      </c>
      <c r="P338" s="4">
        <v>25</v>
      </c>
      <c r="Q338" s="2">
        <v>2.4</v>
      </c>
      <c r="R338" t="str">
        <f>IF(BBDD_fashion_boutique[[#This Row],[stock_quantity]]&gt;9,"Ok",IF(BBDD_fashion_boutique[[#This Row],[stock_quantity]]=0,"Agotado","Pocas Unidades"))</f>
        <v>Ok</v>
      </c>
      <c r="S338" s="3">
        <f>IF(BBDD_fashion_boutique[[#This Row],[customer_rating]]="","No valorado",BBDD_fashion_boutique[[#This Row],[customer_rating]])</f>
        <v>2.4</v>
      </c>
      <c r="T338" t="s">
        <v>24</v>
      </c>
      <c r="V338">
        <f>IF(BBDD_fashion_boutique[[#This Row],[is_returned]]="False",0,1)</f>
        <v>0</v>
      </c>
      <c r="W338">
        <f>IF(BBDD_fashion_boutique[[#This Row],[is_returned]]="True",0,BBDD_fashion_boutique[[#This Row],[current_price]])</f>
        <v>87.08</v>
      </c>
      <c r="X338" t="str">
        <f>IF(BBDD_fashion_boutique[[#This Row],[return_reason]]="","No return",BBDD_fashion_boutique[[#This Row],[return_reason]])</f>
        <v>No return</v>
      </c>
      <c r="Y338">
        <f>IF(IFERROR(VLOOKUP(BBDD_fashion_boutique[[#This Row],[product_id]],A339:A2514,1,FALSE),0),1,0)</f>
        <v>0</v>
      </c>
    </row>
    <row r="339" spans="1:25" x14ac:dyDescent="0.3">
      <c r="A339" t="s">
        <v>398</v>
      </c>
      <c r="B339" t="s">
        <v>19</v>
      </c>
      <c r="C339" t="s">
        <v>54</v>
      </c>
      <c r="D339" t="s">
        <v>68</v>
      </c>
      <c r="E339" t="s">
        <v>64</v>
      </c>
      <c r="F339" t="str">
        <f>IF(BBDD_fashion_boutique[[#This Row],[category]]="Accessories","Accesorio",IF(BBDD_fashion_boutique[[#This Row],[size]]="","Desconocido",BBDD_fashion_boutique[[#This Row],[size]]))</f>
        <v>M</v>
      </c>
      <c r="G339" t="s">
        <v>30</v>
      </c>
      <c r="H339" s="2">
        <v>114.51</v>
      </c>
      <c r="I339">
        <v>36.9</v>
      </c>
      <c r="J339" s="5">
        <f>BBDD_fashion_boutique[[#This Row],[markdown_percentage]]/100</f>
        <v>0.36899999999999999</v>
      </c>
      <c r="K339" s="2">
        <v>72.260000000000005</v>
      </c>
      <c r="L339" s="2">
        <f>BBDD_fashion_boutique[[#This Row],[original_price]]-BBDD_fashion_boutique[[#This Row],[current_price]]</f>
        <v>42.25</v>
      </c>
      <c r="M339" s="1">
        <v>45875</v>
      </c>
      <c r="N339" s="1" t="str">
        <f>PROPER(TEXT(BBDD_fashion_boutique[[#This Row],[purchase_date]],"dddd"))</f>
        <v>Miércoles</v>
      </c>
      <c r="O339" s="1" t="str">
        <f>PROPER(TEXT(BBDD_fashion_boutique[[#This Row],[purchase_date]],"mmmm"))</f>
        <v>Agosto</v>
      </c>
      <c r="P339" s="4">
        <v>33</v>
      </c>
      <c r="Q339" s="2">
        <v>1.5</v>
      </c>
      <c r="R339" t="str">
        <f>IF(BBDD_fashion_boutique[[#This Row],[stock_quantity]]&gt;9,"Ok",IF(BBDD_fashion_boutique[[#This Row],[stock_quantity]]=0,"Agotado","Pocas Unidades"))</f>
        <v>Ok</v>
      </c>
      <c r="S339" s="3">
        <f>IF(BBDD_fashion_boutique[[#This Row],[customer_rating]]="","No valorado",BBDD_fashion_boutique[[#This Row],[customer_rating]])</f>
        <v>1.5</v>
      </c>
      <c r="T339" t="s">
        <v>24</v>
      </c>
      <c r="V339">
        <f>IF(BBDD_fashion_boutique[[#This Row],[is_returned]]="False",0,1)</f>
        <v>0</v>
      </c>
      <c r="W339">
        <f>IF(BBDD_fashion_boutique[[#This Row],[is_returned]]="True",0,BBDD_fashion_boutique[[#This Row],[current_price]])</f>
        <v>72.260000000000005</v>
      </c>
      <c r="X339" t="str">
        <f>IF(BBDD_fashion_boutique[[#This Row],[return_reason]]="","No return",BBDD_fashion_boutique[[#This Row],[return_reason]])</f>
        <v>No return</v>
      </c>
      <c r="Y339">
        <f>IF(IFERROR(VLOOKUP(BBDD_fashion_boutique[[#This Row],[product_id]],A340:A2515,1,FALSE),0),1,0)</f>
        <v>0</v>
      </c>
    </row>
    <row r="340" spans="1:25" x14ac:dyDescent="0.3">
      <c r="A340" t="s">
        <v>399</v>
      </c>
      <c r="B340" t="s">
        <v>44</v>
      </c>
      <c r="C340" t="s">
        <v>20</v>
      </c>
      <c r="D340" t="s">
        <v>28</v>
      </c>
      <c r="E340" t="s">
        <v>61</v>
      </c>
      <c r="F340" t="str">
        <f>IF(BBDD_fashion_boutique[[#This Row],[category]]="Accessories","Accesorio",IF(BBDD_fashion_boutique[[#This Row],[size]]="","Desconocido",BBDD_fashion_boutique[[#This Row],[size]]))</f>
        <v>XS</v>
      </c>
      <c r="G340" t="s">
        <v>76</v>
      </c>
      <c r="H340" s="2">
        <v>27.85</v>
      </c>
      <c r="I340">
        <v>0</v>
      </c>
      <c r="J340" s="5">
        <f>BBDD_fashion_boutique[[#This Row],[markdown_percentage]]/100</f>
        <v>0</v>
      </c>
      <c r="K340" s="2">
        <v>27.85</v>
      </c>
      <c r="L340" s="2">
        <f>BBDD_fashion_boutique[[#This Row],[original_price]]-BBDD_fashion_boutique[[#This Row],[current_price]]</f>
        <v>0</v>
      </c>
      <c r="M340" s="1">
        <v>45875</v>
      </c>
      <c r="N340" s="1" t="str">
        <f>PROPER(TEXT(BBDD_fashion_boutique[[#This Row],[purchase_date]],"dddd"))</f>
        <v>Miércoles</v>
      </c>
      <c r="O340" s="1" t="str">
        <f>PROPER(TEXT(BBDD_fashion_boutique[[#This Row],[purchase_date]],"mmmm"))</f>
        <v>Agosto</v>
      </c>
      <c r="P340" s="4">
        <v>0</v>
      </c>
      <c r="Q340" s="2">
        <v>1.5</v>
      </c>
      <c r="R340" t="str">
        <f>IF(BBDD_fashion_boutique[[#This Row],[stock_quantity]]&gt;9,"Ok",IF(BBDD_fashion_boutique[[#This Row],[stock_quantity]]=0,"Agotado","Pocas Unidades"))</f>
        <v>Agotado</v>
      </c>
      <c r="S340" s="3">
        <f>IF(BBDD_fashion_boutique[[#This Row],[customer_rating]]="","No valorado",BBDD_fashion_boutique[[#This Row],[customer_rating]])</f>
        <v>1.5</v>
      </c>
      <c r="T340" t="s">
        <v>24</v>
      </c>
      <c r="V340">
        <f>IF(BBDD_fashion_boutique[[#This Row],[is_returned]]="False",0,1)</f>
        <v>0</v>
      </c>
      <c r="W340">
        <f>IF(BBDD_fashion_boutique[[#This Row],[is_returned]]="True",0,BBDD_fashion_boutique[[#This Row],[current_price]])</f>
        <v>27.85</v>
      </c>
      <c r="X340" t="str">
        <f>IF(BBDD_fashion_boutique[[#This Row],[return_reason]]="","No return",BBDD_fashion_boutique[[#This Row],[return_reason]])</f>
        <v>No return</v>
      </c>
      <c r="Y340">
        <f>IF(IFERROR(VLOOKUP(BBDD_fashion_boutique[[#This Row],[product_id]],A341:A2516,1,FALSE),0),1,0)</f>
        <v>0</v>
      </c>
    </row>
    <row r="341" spans="1:25" x14ac:dyDescent="0.3">
      <c r="A341" t="s">
        <v>400</v>
      </c>
      <c r="B341" t="s">
        <v>35</v>
      </c>
      <c r="C341" t="s">
        <v>59</v>
      </c>
      <c r="D341" t="s">
        <v>21</v>
      </c>
      <c r="E341" t="s">
        <v>22</v>
      </c>
      <c r="F341" t="str">
        <f>IF(BBDD_fashion_boutique[[#This Row],[category]]="Accessories","Accesorio",IF(BBDD_fashion_boutique[[#This Row],[size]]="","Desconocido",BBDD_fashion_boutique[[#This Row],[size]]))</f>
        <v>XL</v>
      </c>
      <c r="G341" t="s">
        <v>50</v>
      </c>
      <c r="H341" s="2">
        <v>82.08</v>
      </c>
      <c r="I341">
        <v>40.6</v>
      </c>
      <c r="J341" s="5">
        <f>BBDD_fashion_boutique[[#This Row],[markdown_percentage]]/100</f>
        <v>0.40600000000000003</v>
      </c>
      <c r="K341" s="2">
        <v>48.76</v>
      </c>
      <c r="L341" s="2">
        <f>BBDD_fashion_boutique[[#This Row],[original_price]]-BBDD_fashion_boutique[[#This Row],[current_price]]</f>
        <v>33.32</v>
      </c>
      <c r="M341" s="1">
        <v>45800</v>
      </c>
      <c r="N341" s="1" t="str">
        <f>PROPER(TEXT(BBDD_fashion_boutique[[#This Row],[purchase_date]],"dddd"))</f>
        <v>Viernes</v>
      </c>
      <c r="O341" s="1" t="str">
        <f>PROPER(TEXT(BBDD_fashion_boutique[[#This Row],[purchase_date]],"mmmm"))</f>
        <v>Mayo</v>
      </c>
      <c r="P341" s="4">
        <v>43</v>
      </c>
      <c r="Q341" s="2">
        <v>2.5</v>
      </c>
      <c r="R341" t="str">
        <f>IF(BBDD_fashion_boutique[[#This Row],[stock_quantity]]&gt;9,"Ok",IF(BBDD_fashion_boutique[[#This Row],[stock_quantity]]=0,"Agotado","Pocas Unidades"))</f>
        <v>Ok</v>
      </c>
      <c r="S341" s="3">
        <f>IF(BBDD_fashion_boutique[[#This Row],[customer_rating]]="","No valorado",BBDD_fashion_boutique[[#This Row],[customer_rating]])</f>
        <v>2.5</v>
      </c>
      <c r="T341" t="s">
        <v>41</v>
      </c>
      <c r="U341" t="s">
        <v>89</v>
      </c>
      <c r="V341">
        <f>IF(BBDD_fashion_boutique[[#This Row],[is_returned]]="False",0,1)</f>
        <v>1</v>
      </c>
      <c r="W341">
        <f>IF(BBDD_fashion_boutique[[#This Row],[is_returned]]="True",0,BBDD_fashion_boutique[[#This Row],[current_price]])</f>
        <v>0</v>
      </c>
      <c r="X341" t="str">
        <f>IF(BBDD_fashion_boutique[[#This Row],[return_reason]]="","No return",BBDD_fashion_boutique[[#This Row],[return_reason]])</f>
        <v>Quality Issue</v>
      </c>
      <c r="Y341">
        <f>IF(IFERROR(VLOOKUP(BBDD_fashion_boutique[[#This Row],[product_id]],A342:A2517,1,FALSE),0),1,0)</f>
        <v>0</v>
      </c>
    </row>
    <row r="342" spans="1:25" x14ac:dyDescent="0.3">
      <c r="A342" t="s">
        <v>401</v>
      </c>
      <c r="B342" t="s">
        <v>44</v>
      </c>
      <c r="C342" t="s">
        <v>49</v>
      </c>
      <c r="D342" t="s">
        <v>68</v>
      </c>
      <c r="E342" t="s">
        <v>45</v>
      </c>
      <c r="F342" t="str">
        <f>IF(BBDD_fashion_boutique[[#This Row],[category]]="Accessories","Accesorio",IF(BBDD_fashion_boutique[[#This Row],[size]]="","Desconocido",BBDD_fashion_boutique[[#This Row],[size]]))</f>
        <v>S</v>
      </c>
      <c r="G342" t="s">
        <v>33</v>
      </c>
      <c r="H342" s="2">
        <v>116.41</v>
      </c>
      <c r="I342">
        <v>40.700000000000003</v>
      </c>
      <c r="J342" s="5">
        <f>BBDD_fashion_boutique[[#This Row],[markdown_percentage]]/100</f>
        <v>0.40700000000000003</v>
      </c>
      <c r="K342" s="2">
        <v>69.03</v>
      </c>
      <c r="L342" s="2">
        <f>BBDD_fashion_boutique[[#This Row],[original_price]]-BBDD_fashion_boutique[[#This Row],[current_price]]</f>
        <v>47.379999999999995</v>
      </c>
      <c r="M342" s="1">
        <v>45875</v>
      </c>
      <c r="N342" s="1" t="str">
        <f>PROPER(TEXT(BBDD_fashion_boutique[[#This Row],[purchase_date]],"dddd"))</f>
        <v>Miércoles</v>
      </c>
      <c r="O342" s="1" t="str">
        <f>PROPER(TEXT(BBDD_fashion_boutique[[#This Row],[purchase_date]],"mmmm"))</f>
        <v>Agosto</v>
      </c>
      <c r="P342" s="4">
        <v>23</v>
      </c>
      <c r="Q342" s="2">
        <v>1.2</v>
      </c>
      <c r="R342" t="str">
        <f>IF(BBDD_fashion_boutique[[#This Row],[stock_quantity]]&gt;9,"Ok",IF(BBDD_fashion_boutique[[#This Row],[stock_quantity]]=0,"Agotado","Pocas Unidades"))</f>
        <v>Ok</v>
      </c>
      <c r="S342" s="3">
        <f>IF(BBDD_fashion_boutique[[#This Row],[customer_rating]]="","No valorado",BBDD_fashion_boutique[[#This Row],[customer_rating]])</f>
        <v>1.2</v>
      </c>
      <c r="T342" t="s">
        <v>24</v>
      </c>
      <c r="V342">
        <f>IF(BBDD_fashion_boutique[[#This Row],[is_returned]]="False",0,1)</f>
        <v>0</v>
      </c>
      <c r="W342">
        <f>IF(BBDD_fashion_boutique[[#This Row],[is_returned]]="True",0,BBDD_fashion_boutique[[#This Row],[current_price]])</f>
        <v>69.03</v>
      </c>
      <c r="X342" t="str">
        <f>IF(BBDD_fashion_boutique[[#This Row],[return_reason]]="","No return",BBDD_fashion_boutique[[#This Row],[return_reason]])</f>
        <v>No return</v>
      </c>
      <c r="Y342">
        <f>IF(IFERROR(VLOOKUP(BBDD_fashion_boutique[[#This Row],[product_id]],A343:A2518,1,FALSE),0),1,0)</f>
        <v>0</v>
      </c>
    </row>
    <row r="343" spans="1:25" x14ac:dyDescent="0.3">
      <c r="A343" t="s">
        <v>402</v>
      </c>
      <c r="B343" t="s">
        <v>44</v>
      </c>
      <c r="C343" t="s">
        <v>59</v>
      </c>
      <c r="D343" t="s">
        <v>21</v>
      </c>
      <c r="E343" t="s">
        <v>64</v>
      </c>
      <c r="F343" t="str">
        <f>IF(BBDD_fashion_boutique[[#This Row],[category]]="Accessories","Accesorio",IF(BBDD_fashion_boutique[[#This Row],[size]]="","Desconocido",BBDD_fashion_boutique[[#This Row],[size]]))</f>
        <v>M</v>
      </c>
      <c r="G343" t="s">
        <v>40</v>
      </c>
      <c r="H343" s="2">
        <v>95.61</v>
      </c>
      <c r="I343">
        <v>0</v>
      </c>
      <c r="J343" s="5">
        <f>BBDD_fashion_boutique[[#This Row],[markdown_percentage]]/100</f>
        <v>0</v>
      </c>
      <c r="K343" s="2">
        <v>95.61</v>
      </c>
      <c r="L343" s="2">
        <f>BBDD_fashion_boutique[[#This Row],[original_price]]-BBDD_fashion_boutique[[#This Row],[current_price]]</f>
        <v>0</v>
      </c>
      <c r="M343" s="1">
        <v>45818</v>
      </c>
      <c r="N343" s="1" t="str">
        <f>PROPER(TEXT(BBDD_fashion_boutique[[#This Row],[purchase_date]],"dddd"))</f>
        <v>Martes</v>
      </c>
      <c r="O343" s="1" t="str">
        <f>PROPER(TEXT(BBDD_fashion_boutique[[#This Row],[purchase_date]],"mmmm"))</f>
        <v>Junio</v>
      </c>
      <c r="P343" s="4">
        <v>47</v>
      </c>
      <c r="Q343" s="2">
        <v>4.7</v>
      </c>
      <c r="R343" t="str">
        <f>IF(BBDD_fashion_boutique[[#This Row],[stock_quantity]]&gt;9,"Ok",IF(BBDD_fashion_boutique[[#This Row],[stock_quantity]]=0,"Agotado","Pocas Unidades"))</f>
        <v>Ok</v>
      </c>
      <c r="S343" s="3">
        <f>IF(BBDD_fashion_boutique[[#This Row],[customer_rating]]="","No valorado",BBDD_fashion_boutique[[#This Row],[customer_rating]])</f>
        <v>4.7</v>
      </c>
      <c r="T343" t="s">
        <v>41</v>
      </c>
      <c r="U343" t="s">
        <v>89</v>
      </c>
      <c r="V343">
        <f>IF(BBDD_fashion_boutique[[#This Row],[is_returned]]="False",0,1)</f>
        <v>1</v>
      </c>
      <c r="W343">
        <f>IF(BBDD_fashion_boutique[[#This Row],[is_returned]]="True",0,BBDD_fashion_boutique[[#This Row],[current_price]])</f>
        <v>0</v>
      </c>
      <c r="X343" t="str">
        <f>IF(BBDD_fashion_boutique[[#This Row],[return_reason]]="","No return",BBDD_fashion_boutique[[#This Row],[return_reason]])</f>
        <v>Quality Issue</v>
      </c>
      <c r="Y343">
        <f>IF(IFERROR(VLOOKUP(BBDD_fashion_boutique[[#This Row],[product_id]],A344:A2519,1,FALSE),0),1,0)</f>
        <v>0</v>
      </c>
    </row>
    <row r="344" spans="1:25" x14ac:dyDescent="0.3">
      <c r="A344" t="s">
        <v>403</v>
      </c>
      <c r="B344" t="s">
        <v>35</v>
      </c>
      <c r="C344" t="s">
        <v>49</v>
      </c>
      <c r="D344" t="s">
        <v>39</v>
      </c>
      <c r="E344" t="s">
        <v>64</v>
      </c>
      <c r="F344" t="str">
        <f>IF(BBDD_fashion_boutique[[#This Row],[category]]="Accessories","Accesorio",IF(BBDD_fashion_boutique[[#This Row],[size]]="","Desconocido",BBDD_fashion_boutique[[#This Row],[size]]))</f>
        <v>M</v>
      </c>
      <c r="G344" t="s">
        <v>40</v>
      </c>
      <c r="H344" s="2">
        <v>70.040000000000006</v>
      </c>
      <c r="I344">
        <v>0</v>
      </c>
      <c r="J344" s="5">
        <f>BBDD_fashion_boutique[[#This Row],[markdown_percentage]]/100</f>
        <v>0</v>
      </c>
      <c r="K344" s="2">
        <v>70.040000000000006</v>
      </c>
      <c r="L344" s="2">
        <f>BBDD_fashion_boutique[[#This Row],[original_price]]-BBDD_fashion_boutique[[#This Row],[current_price]]</f>
        <v>0</v>
      </c>
      <c r="M344" s="1">
        <v>45875</v>
      </c>
      <c r="N344" s="1" t="str">
        <f>PROPER(TEXT(BBDD_fashion_boutique[[#This Row],[purchase_date]],"dddd"))</f>
        <v>Miércoles</v>
      </c>
      <c r="O344" s="1" t="str">
        <f>PROPER(TEXT(BBDD_fashion_boutique[[#This Row],[purchase_date]],"mmmm"))</f>
        <v>Agosto</v>
      </c>
      <c r="P344" s="4">
        <v>12</v>
      </c>
      <c r="Q344" s="2">
        <v>2.4</v>
      </c>
      <c r="R344" t="str">
        <f>IF(BBDD_fashion_boutique[[#This Row],[stock_quantity]]&gt;9,"Ok",IF(BBDD_fashion_boutique[[#This Row],[stock_quantity]]=0,"Agotado","Pocas Unidades"))</f>
        <v>Ok</v>
      </c>
      <c r="S344" s="3">
        <f>IF(BBDD_fashion_boutique[[#This Row],[customer_rating]]="","No valorado",BBDD_fashion_boutique[[#This Row],[customer_rating]])</f>
        <v>2.4</v>
      </c>
      <c r="T344" t="s">
        <v>24</v>
      </c>
      <c r="V344">
        <f>IF(BBDD_fashion_boutique[[#This Row],[is_returned]]="False",0,1)</f>
        <v>0</v>
      </c>
      <c r="W344">
        <f>IF(BBDD_fashion_boutique[[#This Row],[is_returned]]="True",0,BBDD_fashion_boutique[[#This Row],[current_price]])</f>
        <v>70.040000000000006</v>
      </c>
      <c r="X344" t="str">
        <f>IF(BBDD_fashion_boutique[[#This Row],[return_reason]]="","No return",BBDD_fashion_boutique[[#This Row],[return_reason]])</f>
        <v>No return</v>
      </c>
      <c r="Y344">
        <f>IF(IFERROR(VLOOKUP(BBDD_fashion_boutique[[#This Row],[product_id]],A345:A2520,1,FALSE),0),1,0)</f>
        <v>0</v>
      </c>
    </row>
    <row r="345" spans="1:25" x14ac:dyDescent="0.3">
      <c r="A345" t="s">
        <v>404</v>
      </c>
      <c r="B345" t="s">
        <v>35</v>
      </c>
      <c r="C345" t="s">
        <v>37</v>
      </c>
      <c r="D345" t="s">
        <v>28</v>
      </c>
      <c r="E345" t="s">
        <v>45</v>
      </c>
      <c r="F345" t="str">
        <f>IF(BBDD_fashion_boutique[[#This Row],[category]]="Accessories","Accesorio",IF(BBDD_fashion_boutique[[#This Row],[size]]="","Desconocido",BBDD_fashion_boutique[[#This Row],[size]]))</f>
        <v>S</v>
      </c>
      <c r="G345" t="s">
        <v>46</v>
      </c>
      <c r="H345" s="2">
        <v>112.59</v>
      </c>
      <c r="I345">
        <v>54</v>
      </c>
      <c r="J345" s="5">
        <f>BBDD_fashion_boutique[[#This Row],[markdown_percentage]]/100</f>
        <v>0.54</v>
      </c>
      <c r="K345" s="2">
        <v>51.79</v>
      </c>
      <c r="L345" s="2">
        <f>BBDD_fashion_boutique[[#This Row],[original_price]]-BBDD_fashion_boutique[[#This Row],[current_price]]</f>
        <v>60.800000000000004</v>
      </c>
      <c r="M345" s="1">
        <v>45875</v>
      </c>
      <c r="N345" s="1" t="str">
        <f>PROPER(TEXT(BBDD_fashion_boutique[[#This Row],[purchase_date]],"dddd"))</f>
        <v>Miércoles</v>
      </c>
      <c r="O345" s="1" t="str">
        <f>PROPER(TEXT(BBDD_fashion_boutique[[#This Row],[purchase_date]],"mmmm"))</f>
        <v>Agosto</v>
      </c>
      <c r="P345" s="4">
        <v>17</v>
      </c>
      <c r="Q345" s="2">
        <v>4</v>
      </c>
      <c r="R345" t="str">
        <f>IF(BBDD_fashion_boutique[[#This Row],[stock_quantity]]&gt;9,"Ok",IF(BBDD_fashion_boutique[[#This Row],[stock_quantity]]=0,"Agotado","Pocas Unidades"))</f>
        <v>Ok</v>
      </c>
      <c r="S345" s="3">
        <f>IF(BBDD_fashion_boutique[[#This Row],[customer_rating]]="","No valorado",BBDD_fashion_boutique[[#This Row],[customer_rating]])</f>
        <v>4</v>
      </c>
      <c r="T345" t="s">
        <v>24</v>
      </c>
      <c r="V345">
        <f>IF(BBDD_fashion_boutique[[#This Row],[is_returned]]="False",0,1)</f>
        <v>0</v>
      </c>
      <c r="W345">
        <f>IF(BBDD_fashion_boutique[[#This Row],[is_returned]]="True",0,BBDD_fashion_boutique[[#This Row],[current_price]])</f>
        <v>51.79</v>
      </c>
      <c r="X345" t="str">
        <f>IF(BBDD_fashion_boutique[[#This Row],[return_reason]]="","No return",BBDD_fashion_boutique[[#This Row],[return_reason]])</f>
        <v>No return</v>
      </c>
      <c r="Y345">
        <f>IF(IFERROR(VLOOKUP(BBDD_fashion_boutique[[#This Row],[product_id]],A346:A2521,1,FALSE),0),1,0)</f>
        <v>0</v>
      </c>
    </row>
    <row r="346" spans="1:25" x14ac:dyDescent="0.3">
      <c r="A346" t="s">
        <v>405</v>
      </c>
      <c r="B346" t="s">
        <v>32</v>
      </c>
      <c r="C346" t="s">
        <v>20</v>
      </c>
      <c r="D346" t="s">
        <v>68</v>
      </c>
      <c r="F346" t="str">
        <f>IF(BBDD_fashion_boutique[[#This Row],[category]]="Accessories","Accesorio",IF(BBDD_fashion_boutique[[#This Row],[size]]="","Desconocido",BBDD_fashion_boutique[[#This Row],[size]]))</f>
        <v>Accesorio</v>
      </c>
      <c r="G346" t="s">
        <v>72</v>
      </c>
      <c r="H346" s="2">
        <v>26.8</v>
      </c>
      <c r="I346">
        <v>0.9</v>
      </c>
      <c r="J346" s="5">
        <f>BBDD_fashion_boutique[[#This Row],[markdown_percentage]]/100</f>
        <v>9.0000000000000011E-3</v>
      </c>
      <c r="K346" s="2">
        <v>26.56</v>
      </c>
      <c r="L346" s="2">
        <f>BBDD_fashion_boutique[[#This Row],[original_price]]-BBDD_fashion_boutique[[#This Row],[current_price]]</f>
        <v>0.24000000000000199</v>
      </c>
      <c r="M346" s="1">
        <v>45875</v>
      </c>
      <c r="N346" s="1" t="str">
        <f>PROPER(TEXT(BBDD_fashion_boutique[[#This Row],[purchase_date]],"dddd"))</f>
        <v>Miércoles</v>
      </c>
      <c r="O346" s="1" t="str">
        <f>PROPER(TEXT(BBDD_fashion_boutique[[#This Row],[purchase_date]],"mmmm"))</f>
        <v>Agosto</v>
      </c>
      <c r="P346" s="4">
        <v>25</v>
      </c>
      <c r="Q346" s="2">
        <v>1.2</v>
      </c>
      <c r="R346" t="str">
        <f>IF(BBDD_fashion_boutique[[#This Row],[stock_quantity]]&gt;9,"Ok",IF(BBDD_fashion_boutique[[#This Row],[stock_quantity]]=0,"Agotado","Pocas Unidades"))</f>
        <v>Ok</v>
      </c>
      <c r="S346" s="3">
        <f>IF(BBDD_fashion_boutique[[#This Row],[customer_rating]]="","No valorado",BBDD_fashion_boutique[[#This Row],[customer_rating]])</f>
        <v>1.2</v>
      </c>
      <c r="T346" t="s">
        <v>41</v>
      </c>
      <c r="U346" t="s">
        <v>42</v>
      </c>
      <c r="V346">
        <f>IF(BBDD_fashion_boutique[[#This Row],[is_returned]]="False",0,1)</f>
        <v>1</v>
      </c>
      <c r="W346">
        <f>IF(BBDD_fashion_boutique[[#This Row],[is_returned]]="True",0,BBDD_fashion_boutique[[#This Row],[current_price]])</f>
        <v>0</v>
      </c>
      <c r="X346" t="str">
        <f>IF(BBDD_fashion_boutique[[#This Row],[return_reason]]="","No return",BBDD_fashion_boutique[[#This Row],[return_reason]])</f>
        <v>Color Mismatch</v>
      </c>
      <c r="Y346">
        <f>IF(IFERROR(VLOOKUP(BBDD_fashion_boutique[[#This Row],[product_id]],A347:A2522,1,FALSE),0),1,0)</f>
        <v>0</v>
      </c>
    </row>
    <row r="347" spans="1:25" x14ac:dyDescent="0.3">
      <c r="A347" t="s">
        <v>406</v>
      </c>
      <c r="B347" t="s">
        <v>26</v>
      </c>
      <c r="C347" t="s">
        <v>54</v>
      </c>
      <c r="D347" t="s">
        <v>68</v>
      </c>
      <c r="E347" t="s">
        <v>29</v>
      </c>
      <c r="F347" t="str">
        <f>IF(BBDD_fashion_boutique[[#This Row],[category]]="Accessories","Accesorio",IF(BBDD_fashion_boutique[[#This Row],[size]]="","Desconocido",BBDD_fashion_boutique[[#This Row],[size]]))</f>
        <v>L</v>
      </c>
      <c r="G347" t="s">
        <v>50</v>
      </c>
      <c r="H347" s="2">
        <v>50.09</v>
      </c>
      <c r="I347">
        <v>0</v>
      </c>
      <c r="J347" s="5">
        <f>BBDD_fashion_boutique[[#This Row],[markdown_percentage]]/100</f>
        <v>0</v>
      </c>
      <c r="K347" s="2">
        <v>50.09</v>
      </c>
      <c r="L347" s="2">
        <f>BBDD_fashion_boutique[[#This Row],[original_price]]-BBDD_fashion_boutique[[#This Row],[current_price]]</f>
        <v>0</v>
      </c>
      <c r="M347" s="1">
        <v>45875</v>
      </c>
      <c r="N347" s="1" t="str">
        <f>PROPER(TEXT(BBDD_fashion_boutique[[#This Row],[purchase_date]],"dddd"))</f>
        <v>Miércoles</v>
      </c>
      <c r="O347" s="1" t="str">
        <f>PROPER(TEXT(BBDD_fashion_boutique[[#This Row],[purchase_date]],"mmmm"))</f>
        <v>Agosto</v>
      </c>
      <c r="P347" s="4">
        <v>47</v>
      </c>
      <c r="Q347" s="2">
        <v>4</v>
      </c>
      <c r="R347" t="str">
        <f>IF(BBDD_fashion_boutique[[#This Row],[stock_quantity]]&gt;9,"Ok",IF(BBDD_fashion_boutique[[#This Row],[stock_quantity]]=0,"Agotado","Pocas Unidades"))</f>
        <v>Ok</v>
      </c>
      <c r="S347" s="3">
        <f>IF(BBDD_fashion_boutique[[#This Row],[customer_rating]]="","No valorado",BBDD_fashion_boutique[[#This Row],[customer_rating]])</f>
        <v>4</v>
      </c>
      <c r="T347" t="s">
        <v>24</v>
      </c>
      <c r="V347">
        <f>IF(BBDD_fashion_boutique[[#This Row],[is_returned]]="False",0,1)</f>
        <v>0</v>
      </c>
      <c r="W347">
        <f>IF(BBDD_fashion_boutique[[#This Row],[is_returned]]="True",0,BBDD_fashion_boutique[[#This Row],[current_price]])</f>
        <v>50.09</v>
      </c>
      <c r="X347" t="str">
        <f>IF(BBDD_fashion_boutique[[#This Row],[return_reason]]="","No return",BBDD_fashion_boutique[[#This Row],[return_reason]])</f>
        <v>No return</v>
      </c>
      <c r="Y347">
        <f>IF(IFERROR(VLOOKUP(BBDD_fashion_boutique[[#This Row],[product_id]],A348:A2523,1,FALSE),0),1,0)</f>
        <v>0</v>
      </c>
    </row>
    <row r="348" spans="1:25" x14ac:dyDescent="0.3">
      <c r="A348" t="s">
        <v>407</v>
      </c>
      <c r="B348" t="s">
        <v>44</v>
      </c>
      <c r="C348" t="s">
        <v>49</v>
      </c>
      <c r="D348" t="s">
        <v>21</v>
      </c>
      <c r="E348" t="s">
        <v>61</v>
      </c>
      <c r="F348" t="str">
        <f>IF(BBDD_fashion_boutique[[#This Row],[category]]="Accessories","Accesorio",IF(BBDD_fashion_boutique[[#This Row],[size]]="","Desconocido",BBDD_fashion_boutique[[#This Row],[size]]))</f>
        <v>XS</v>
      </c>
      <c r="G348" t="s">
        <v>52</v>
      </c>
      <c r="H348" s="2">
        <v>92.84</v>
      </c>
      <c r="I348">
        <v>4.2</v>
      </c>
      <c r="J348" s="5">
        <f>BBDD_fashion_boutique[[#This Row],[markdown_percentage]]/100</f>
        <v>4.2000000000000003E-2</v>
      </c>
      <c r="K348" s="2">
        <v>88.94</v>
      </c>
      <c r="L348" s="2">
        <f>BBDD_fashion_boutique[[#This Row],[original_price]]-BBDD_fashion_boutique[[#This Row],[current_price]]</f>
        <v>3.9000000000000057</v>
      </c>
      <c r="M348" s="1">
        <v>45670</v>
      </c>
      <c r="N348" s="1" t="str">
        <f>PROPER(TEXT(BBDD_fashion_boutique[[#This Row],[purchase_date]],"dddd"))</f>
        <v>Lunes</v>
      </c>
      <c r="O348" s="1" t="str">
        <f>PROPER(TEXT(BBDD_fashion_boutique[[#This Row],[purchase_date]],"mmmm"))</f>
        <v>Enero</v>
      </c>
      <c r="P348" s="4">
        <v>0</v>
      </c>
      <c r="R348" t="str">
        <f>IF(BBDD_fashion_boutique[[#This Row],[stock_quantity]]&gt;9,"Ok",IF(BBDD_fashion_boutique[[#This Row],[stock_quantity]]=0,"Agotado","Pocas Unidades"))</f>
        <v>Agotado</v>
      </c>
      <c r="S348" s="3" t="str">
        <f>IF(BBDD_fashion_boutique[[#This Row],[customer_rating]]="","No valorado",BBDD_fashion_boutique[[#This Row],[customer_rating]])</f>
        <v>No valorado</v>
      </c>
      <c r="T348" t="s">
        <v>41</v>
      </c>
      <c r="U348" t="s">
        <v>79</v>
      </c>
      <c r="V348">
        <f>IF(BBDD_fashion_boutique[[#This Row],[is_returned]]="False",0,1)</f>
        <v>1</v>
      </c>
      <c r="W348">
        <f>IF(BBDD_fashion_boutique[[#This Row],[is_returned]]="True",0,BBDD_fashion_boutique[[#This Row],[current_price]])</f>
        <v>0</v>
      </c>
      <c r="X348" t="str">
        <f>IF(BBDD_fashion_boutique[[#This Row],[return_reason]]="","No return",BBDD_fashion_boutique[[#This Row],[return_reason]])</f>
        <v>Size Issue</v>
      </c>
      <c r="Y348">
        <f>IF(IFERROR(VLOOKUP(BBDD_fashion_boutique[[#This Row],[product_id]],A349:A2524,1,FALSE),0),1,0)</f>
        <v>0</v>
      </c>
    </row>
    <row r="349" spans="1:25" x14ac:dyDescent="0.3">
      <c r="A349" t="s">
        <v>408</v>
      </c>
      <c r="B349" t="s">
        <v>26</v>
      </c>
      <c r="C349" t="s">
        <v>27</v>
      </c>
      <c r="D349" t="s">
        <v>68</v>
      </c>
      <c r="E349" t="s">
        <v>55</v>
      </c>
      <c r="F349" t="str">
        <f>IF(BBDD_fashion_boutique[[#This Row],[category]]="Accessories","Accesorio",IF(BBDD_fashion_boutique[[#This Row],[size]]="","Desconocido",BBDD_fashion_boutique[[#This Row],[size]]))</f>
        <v>XXL</v>
      </c>
      <c r="G349" t="s">
        <v>46</v>
      </c>
      <c r="H349" s="2">
        <v>114.63</v>
      </c>
      <c r="I349">
        <v>0</v>
      </c>
      <c r="J349" s="5">
        <f>BBDD_fashion_boutique[[#This Row],[markdown_percentage]]/100</f>
        <v>0</v>
      </c>
      <c r="K349" s="2">
        <v>114.63</v>
      </c>
      <c r="L349" s="2">
        <f>BBDD_fashion_boutique[[#This Row],[original_price]]-BBDD_fashion_boutique[[#This Row],[current_price]]</f>
        <v>0</v>
      </c>
      <c r="M349" s="1">
        <v>45875</v>
      </c>
      <c r="N349" s="1" t="str">
        <f>PROPER(TEXT(BBDD_fashion_boutique[[#This Row],[purchase_date]],"dddd"))</f>
        <v>Miércoles</v>
      </c>
      <c r="O349" s="1" t="str">
        <f>PROPER(TEXT(BBDD_fashion_boutique[[#This Row],[purchase_date]],"mmmm"))</f>
        <v>Agosto</v>
      </c>
      <c r="P349" s="4">
        <v>47</v>
      </c>
      <c r="Q349" s="2">
        <v>3.8</v>
      </c>
      <c r="R349" t="str">
        <f>IF(BBDD_fashion_boutique[[#This Row],[stock_quantity]]&gt;9,"Ok",IF(BBDD_fashion_boutique[[#This Row],[stock_quantity]]=0,"Agotado","Pocas Unidades"))</f>
        <v>Ok</v>
      </c>
      <c r="S349" s="3">
        <f>IF(BBDD_fashion_boutique[[#This Row],[customer_rating]]="","No valorado",BBDD_fashion_boutique[[#This Row],[customer_rating]])</f>
        <v>3.8</v>
      </c>
      <c r="T349" t="s">
        <v>41</v>
      </c>
      <c r="U349" t="s">
        <v>121</v>
      </c>
      <c r="V349">
        <f>IF(BBDD_fashion_boutique[[#This Row],[is_returned]]="False",0,1)</f>
        <v>1</v>
      </c>
      <c r="W349">
        <f>IF(BBDD_fashion_boutique[[#This Row],[is_returned]]="True",0,BBDD_fashion_boutique[[#This Row],[current_price]])</f>
        <v>0</v>
      </c>
      <c r="X349" t="str">
        <f>IF(BBDD_fashion_boutique[[#This Row],[return_reason]]="","No return",BBDD_fashion_boutique[[#This Row],[return_reason]])</f>
        <v>Changed Mind</v>
      </c>
      <c r="Y349">
        <f>IF(IFERROR(VLOOKUP(BBDD_fashion_boutique[[#This Row],[product_id]],A350:A2525,1,FALSE),0),1,0)</f>
        <v>0</v>
      </c>
    </row>
    <row r="350" spans="1:25" x14ac:dyDescent="0.3">
      <c r="A350" t="s">
        <v>409</v>
      </c>
      <c r="B350" t="s">
        <v>32</v>
      </c>
      <c r="C350" t="s">
        <v>67</v>
      </c>
      <c r="D350" t="s">
        <v>68</v>
      </c>
      <c r="F350" t="str">
        <f>IF(BBDD_fashion_boutique[[#This Row],[category]]="Accessories","Accesorio",IF(BBDD_fashion_boutique[[#This Row],[size]]="","Desconocido",BBDD_fashion_boutique[[#This Row],[size]]))</f>
        <v>Accesorio</v>
      </c>
      <c r="G350" t="s">
        <v>72</v>
      </c>
      <c r="H350" s="2">
        <v>21.9</v>
      </c>
      <c r="I350">
        <v>29.2</v>
      </c>
      <c r="J350" s="5">
        <f>BBDD_fashion_boutique[[#This Row],[markdown_percentage]]/100</f>
        <v>0.29199999999999998</v>
      </c>
      <c r="K350" s="2">
        <v>15.51</v>
      </c>
      <c r="L350" s="2">
        <f>BBDD_fashion_boutique[[#This Row],[original_price]]-BBDD_fashion_boutique[[#This Row],[current_price]]</f>
        <v>6.3899999999999988</v>
      </c>
      <c r="M350" s="1">
        <v>45875</v>
      </c>
      <c r="N350" s="1" t="str">
        <f>PROPER(TEXT(BBDD_fashion_boutique[[#This Row],[purchase_date]],"dddd"))</f>
        <v>Miércoles</v>
      </c>
      <c r="O350" s="1" t="str">
        <f>PROPER(TEXT(BBDD_fashion_boutique[[#This Row],[purchase_date]],"mmmm"))</f>
        <v>Agosto</v>
      </c>
      <c r="P350" s="4">
        <v>35</v>
      </c>
      <c r="Q350" s="2">
        <v>2</v>
      </c>
      <c r="R350" t="str">
        <f>IF(BBDD_fashion_boutique[[#This Row],[stock_quantity]]&gt;9,"Ok",IF(BBDD_fashion_boutique[[#This Row],[stock_quantity]]=0,"Agotado","Pocas Unidades"))</f>
        <v>Ok</v>
      </c>
      <c r="S350" s="3">
        <f>IF(BBDD_fashion_boutique[[#This Row],[customer_rating]]="","No valorado",BBDD_fashion_boutique[[#This Row],[customer_rating]])</f>
        <v>2</v>
      </c>
      <c r="T350" t="s">
        <v>24</v>
      </c>
      <c r="V350">
        <f>IF(BBDD_fashion_boutique[[#This Row],[is_returned]]="False",0,1)</f>
        <v>0</v>
      </c>
      <c r="W350">
        <f>IF(BBDD_fashion_boutique[[#This Row],[is_returned]]="True",0,BBDD_fashion_boutique[[#This Row],[current_price]])</f>
        <v>15.51</v>
      </c>
      <c r="X350" t="str">
        <f>IF(BBDD_fashion_boutique[[#This Row],[return_reason]]="","No return",BBDD_fashion_boutique[[#This Row],[return_reason]])</f>
        <v>No return</v>
      </c>
      <c r="Y350">
        <f>IF(IFERROR(VLOOKUP(BBDD_fashion_boutique[[#This Row],[product_id]],A351:A2526,1,FALSE),0),1,0)</f>
        <v>0</v>
      </c>
    </row>
    <row r="351" spans="1:25" x14ac:dyDescent="0.3">
      <c r="A351" t="s">
        <v>410</v>
      </c>
      <c r="B351" t="s">
        <v>48</v>
      </c>
      <c r="C351" t="s">
        <v>20</v>
      </c>
      <c r="D351" t="s">
        <v>21</v>
      </c>
      <c r="E351" t="s">
        <v>61</v>
      </c>
      <c r="F351" t="str">
        <f>IF(BBDD_fashion_boutique[[#This Row],[category]]="Accessories","Accesorio",IF(BBDD_fashion_boutique[[#This Row],[size]]="","Desconocido",BBDD_fashion_boutique[[#This Row],[size]]))</f>
        <v>XS</v>
      </c>
      <c r="G351" t="s">
        <v>70</v>
      </c>
      <c r="H351" s="2">
        <v>100.55</v>
      </c>
      <c r="I351">
        <v>46.7</v>
      </c>
      <c r="J351" s="5">
        <f>BBDD_fashion_boutique[[#This Row],[markdown_percentage]]/100</f>
        <v>0.46700000000000003</v>
      </c>
      <c r="K351" s="2">
        <v>53.59</v>
      </c>
      <c r="L351" s="2">
        <f>BBDD_fashion_boutique[[#This Row],[original_price]]-BBDD_fashion_boutique[[#This Row],[current_price]]</f>
        <v>46.959999999999994</v>
      </c>
      <c r="M351" s="1">
        <v>45689</v>
      </c>
      <c r="N351" s="1" t="str">
        <f>PROPER(TEXT(BBDD_fashion_boutique[[#This Row],[purchase_date]],"dddd"))</f>
        <v>Sábado</v>
      </c>
      <c r="O351" s="1" t="str">
        <f>PROPER(TEXT(BBDD_fashion_boutique[[#This Row],[purchase_date]],"mmmm"))</f>
        <v>Febrero</v>
      </c>
      <c r="P351" s="4">
        <v>30</v>
      </c>
      <c r="R351" t="str">
        <f>IF(BBDD_fashion_boutique[[#This Row],[stock_quantity]]&gt;9,"Ok",IF(BBDD_fashion_boutique[[#This Row],[stock_quantity]]=0,"Agotado","Pocas Unidades"))</f>
        <v>Ok</v>
      </c>
      <c r="S351" s="3" t="str">
        <f>IF(BBDD_fashion_boutique[[#This Row],[customer_rating]]="","No valorado",BBDD_fashion_boutique[[#This Row],[customer_rating]])</f>
        <v>No valorado</v>
      </c>
      <c r="T351" t="s">
        <v>24</v>
      </c>
      <c r="V351">
        <f>IF(BBDD_fashion_boutique[[#This Row],[is_returned]]="False",0,1)</f>
        <v>0</v>
      </c>
      <c r="W351">
        <f>IF(BBDD_fashion_boutique[[#This Row],[is_returned]]="True",0,BBDD_fashion_boutique[[#This Row],[current_price]])</f>
        <v>53.59</v>
      </c>
      <c r="X351" t="str">
        <f>IF(BBDD_fashion_boutique[[#This Row],[return_reason]]="","No return",BBDD_fashion_boutique[[#This Row],[return_reason]])</f>
        <v>No return</v>
      </c>
      <c r="Y351">
        <f>IF(IFERROR(VLOOKUP(BBDD_fashion_boutique[[#This Row],[product_id]],A352:A2527,1,FALSE),0),1,0)</f>
        <v>0</v>
      </c>
    </row>
    <row r="352" spans="1:25" x14ac:dyDescent="0.3">
      <c r="A352" t="s">
        <v>411</v>
      </c>
      <c r="B352" t="s">
        <v>32</v>
      </c>
      <c r="C352" t="s">
        <v>81</v>
      </c>
      <c r="D352" t="s">
        <v>68</v>
      </c>
      <c r="F352" t="str">
        <f>IF(BBDD_fashion_boutique[[#This Row],[category]]="Accessories","Accesorio",IF(BBDD_fashion_boutique[[#This Row],[size]]="","Desconocido",BBDD_fashion_boutique[[#This Row],[size]]))</f>
        <v>Accesorio</v>
      </c>
      <c r="G352" t="s">
        <v>76</v>
      </c>
      <c r="H352" s="2">
        <v>47.45</v>
      </c>
      <c r="I352">
        <v>16.399999999999999</v>
      </c>
      <c r="J352" s="5">
        <f>BBDD_fashion_boutique[[#This Row],[markdown_percentage]]/100</f>
        <v>0.16399999999999998</v>
      </c>
      <c r="K352" s="2">
        <v>39.67</v>
      </c>
      <c r="L352" s="2">
        <f>BBDD_fashion_boutique[[#This Row],[original_price]]-BBDD_fashion_boutique[[#This Row],[current_price]]</f>
        <v>7.7800000000000011</v>
      </c>
      <c r="M352" s="1">
        <v>45875</v>
      </c>
      <c r="N352" s="1" t="str">
        <f>PROPER(TEXT(BBDD_fashion_boutique[[#This Row],[purchase_date]],"dddd"))</f>
        <v>Miércoles</v>
      </c>
      <c r="O352" s="1" t="str">
        <f>PROPER(TEXT(BBDD_fashion_boutique[[#This Row],[purchase_date]],"mmmm"))</f>
        <v>Agosto</v>
      </c>
      <c r="P352" s="4">
        <v>33</v>
      </c>
      <c r="Q352" s="2">
        <v>1.7</v>
      </c>
      <c r="R352" t="str">
        <f>IF(BBDD_fashion_boutique[[#This Row],[stock_quantity]]&gt;9,"Ok",IF(BBDD_fashion_boutique[[#This Row],[stock_quantity]]=0,"Agotado","Pocas Unidades"))</f>
        <v>Ok</v>
      </c>
      <c r="S352" s="3">
        <f>IF(BBDD_fashion_boutique[[#This Row],[customer_rating]]="","No valorado",BBDD_fashion_boutique[[#This Row],[customer_rating]])</f>
        <v>1.7</v>
      </c>
      <c r="T352" t="s">
        <v>24</v>
      </c>
      <c r="V352">
        <f>IF(BBDD_fashion_boutique[[#This Row],[is_returned]]="False",0,1)</f>
        <v>0</v>
      </c>
      <c r="W352">
        <f>IF(BBDD_fashion_boutique[[#This Row],[is_returned]]="True",0,BBDD_fashion_boutique[[#This Row],[current_price]])</f>
        <v>39.67</v>
      </c>
      <c r="X352" t="str">
        <f>IF(BBDD_fashion_boutique[[#This Row],[return_reason]]="","No return",BBDD_fashion_boutique[[#This Row],[return_reason]])</f>
        <v>No return</v>
      </c>
      <c r="Y352">
        <f>IF(IFERROR(VLOOKUP(BBDD_fashion_boutique[[#This Row],[product_id]],A353:A2528,1,FALSE),0),1,0)</f>
        <v>0</v>
      </c>
    </row>
    <row r="353" spans="1:25" x14ac:dyDescent="0.3">
      <c r="A353" t="s">
        <v>412</v>
      </c>
      <c r="B353" t="s">
        <v>44</v>
      </c>
      <c r="C353" t="s">
        <v>54</v>
      </c>
      <c r="D353" t="s">
        <v>68</v>
      </c>
      <c r="E353" t="s">
        <v>22</v>
      </c>
      <c r="F353" t="str">
        <f>IF(BBDD_fashion_boutique[[#This Row],[category]]="Accessories","Accesorio",IF(BBDD_fashion_boutique[[#This Row],[size]]="","Desconocido",BBDD_fashion_boutique[[#This Row],[size]]))</f>
        <v>XL</v>
      </c>
      <c r="G353" t="s">
        <v>76</v>
      </c>
      <c r="H353" s="2">
        <v>113.21</v>
      </c>
      <c r="I353">
        <v>0</v>
      </c>
      <c r="J353" s="5">
        <f>BBDD_fashion_boutique[[#This Row],[markdown_percentage]]/100</f>
        <v>0</v>
      </c>
      <c r="K353" s="2">
        <v>113.21</v>
      </c>
      <c r="L353" s="2">
        <f>BBDD_fashion_boutique[[#This Row],[original_price]]-BBDD_fashion_boutique[[#This Row],[current_price]]</f>
        <v>0</v>
      </c>
      <c r="M353" s="1">
        <v>45875</v>
      </c>
      <c r="N353" s="1" t="str">
        <f>PROPER(TEXT(BBDD_fashion_boutique[[#This Row],[purchase_date]],"dddd"))</f>
        <v>Miércoles</v>
      </c>
      <c r="O353" s="1" t="str">
        <f>PROPER(TEXT(BBDD_fashion_boutique[[#This Row],[purchase_date]],"mmmm"))</f>
        <v>Agosto</v>
      </c>
      <c r="P353" s="4">
        <v>8</v>
      </c>
      <c r="Q353" s="2">
        <v>2.7</v>
      </c>
      <c r="R353" t="str">
        <f>IF(BBDD_fashion_boutique[[#This Row],[stock_quantity]]&gt;9,"Ok",IF(BBDD_fashion_boutique[[#This Row],[stock_quantity]]=0,"Agotado","Pocas Unidades"))</f>
        <v>Pocas Unidades</v>
      </c>
      <c r="S353" s="3">
        <f>IF(BBDD_fashion_boutique[[#This Row],[customer_rating]]="","No valorado",BBDD_fashion_boutique[[#This Row],[customer_rating]])</f>
        <v>2.7</v>
      </c>
      <c r="T353" t="s">
        <v>24</v>
      </c>
      <c r="V353">
        <f>IF(BBDD_fashion_boutique[[#This Row],[is_returned]]="False",0,1)</f>
        <v>0</v>
      </c>
      <c r="W353">
        <f>IF(BBDD_fashion_boutique[[#This Row],[is_returned]]="True",0,BBDD_fashion_boutique[[#This Row],[current_price]])</f>
        <v>113.21</v>
      </c>
      <c r="X353" t="str">
        <f>IF(BBDD_fashion_boutique[[#This Row],[return_reason]]="","No return",BBDD_fashion_boutique[[#This Row],[return_reason]])</f>
        <v>No return</v>
      </c>
      <c r="Y353">
        <f>IF(IFERROR(VLOOKUP(BBDD_fashion_boutique[[#This Row],[product_id]],A354:A2529,1,FALSE),0),1,0)</f>
        <v>0</v>
      </c>
    </row>
    <row r="354" spans="1:25" x14ac:dyDescent="0.3">
      <c r="A354" t="s">
        <v>413</v>
      </c>
      <c r="B354" t="s">
        <v>48</v>
      </c>
      <c r="C354" t="s">
        <v>37</v>
      </c>
      <c r="D354" t="s">
        <v>21</v>
      </c>
      <c r="E354" t="s">
        <v>61</v>
      </c>
      <c r="F354" t="str">
        <f>IF(BBDD_fashion_boutique[[#This Row],[category]]="Accessories","Accesorio",IF(BBDD_fashion_boutique[[#This Row],[size]]="","Desconocido",BBDD_fashion_boutique[[#This Row],[size]]))</f>
        <v>XS</v>
      </c>
      <c r="G354" t="s">
        <v>33</v>
      </c>
      <c r="H354" s="2">
        <v>163.27000000000001</v>
      </c>
      <c r="I354">
        <v>0</v>
      </c>
      <c r="J354" s="5">
        <f>BBDD_fashion_boutique[[#This Row],[markdown_percentage]]/100</f>
        <v>0</v>
      </c>
      <c r="K354" s="2">
        <v>163.27000000000001</v>
      </c>
      <c r="L354" s="2">
        <f>BBDD_fashion_boutique[[#This Row],[original_price]]-BBDD_fashion_boutique[[#This Row],[current_price]]</f>
        <v>0</v>
      </c>
      <c r="M354" s="1">
        <v>45770</v>
      </c>
      <c r="N354" s="1" t="str">
        <f>PROPER(TEXT(BBDD_fashion_boutique[[#This Row],[purchase_date]],"dddd"))</f>
        <v>Miércoles</v>
      </c>
      <c r="O354" s="1" t="str">
        <f>PROPER(TEXT(BBDD_fashion_boutique[[#This Row],[purchase_date]],"mmmm"))</f>
        <v>Abril</v>
      </c>
      <c r="P354" s="4">
        <v>24</v>
      </c>
      <c r="Q354" s="2">
        <v>2.5</v>
      </c>
      <c r="R354" t="str">
        <f>IF(BBDD_fashion_boutique[[#This Row],[stock_quantity]]&gt;9,"Ok",IF(BBDD_fashion_boutique[[#This Row],[stock_quantity]]=0,"Agotado","Pocas Unidades"))</f>
        <v>Ok</v>
      </c>
      <c r="S354" s="3">
        <f>IF(BBDD_fashion_boutique[[#This Row],[customer_rating]]="","No valorado",BBDD_fashion_boutique[[#This Row],[customer_rating]])</f>
        <v>2.5</v>
      </c>
      <c r="T354" t="s">
        <v>24</v>
      </c>
      <c r="V354">
        <f>IF(BBDD_fashion_boutique[[#This Row],[is_returned]]="False",0,1)</f>
        <v>0</v>
      </c>
      <c r="W354">
        <f>IF(BBDD_fashion_boutique[[#This Row],[is_returned]]="True",0,BBDD_fashion_boutique[[#This Row],[current_price]])</f>
        <v>163.27000000000001</v>
      </c>
      <c r="X354" t="str">
        <f>IF(BBDD_fashion_boutique[[#This Row],[return_reason]]="","No return",BBDD_fashion_boutique[[#This Row],[return_reason]])</f>
        <v>No return</v>
      </c>
      <c r="Y354">
        <f>IF(IFERROR(VLOOKUP(BBDD_fashion_boutique[[#This Row],[product_id]],A355:A2530,1,FALSE),0),1,0)</f>
        <v>0</v>
      </c>
    </row>
    <row r="355" spans="1:25" x14ac:dyDescent="0.3">
      <c r="A355" t="s">
        <v>414</v>
      </c>
      <c r="B355" t="s">
        <v>32</v>
      </c>
      <c r="C355" t="s">
        <v>27</v>
      </c>
      <c r="D355" t="s">
        <v>39</v>
      </c>
      <c r="F355" t="str">
        <f>IF(BBDD_fashion_boutique[[#This Row],[category]]="Accessories","Accesorio",IF(BBDD_fashion_boutique[[#This Row],[size]]="","Desconocido",BBDD_fashion_boutique[[#This Row],[size]]))</f>
        <v>Accesorio</v>
      </c>
      <c r="G355" t="s">
        <v>33</v>
      </c>
      <c r="H355" s="2">
        <v>44.58</v>
      </c>
      <c r="I355">
        <v>0</v>
      </c>
      <c r="J355" s="5">
        <f>BBDD_fashion_boutique[[#This Row],[markdown_percentage]]/100</f>
        <v>0</v>
      </c>
      <c r="K355" s="2">
        <v>44.58</v>
      </c>
      <c r="L355" s="2">
        <f>BBDD_fashion_boutique[[#This Row],[original_price]]-BBDD_fashion_boutique[[#This Row],[current_price]]</f>
        <v>0</v>
      </c>
      <c r="M355" s="1">
        <v>45875</v>
      </c>
      <c r="N355" s="1" t="str">
        <f>PROPER(TEXT(BBDD_fashion_boutique[[#This Row],[purchase_date]],"dddd"))</f>
        <v>Miércoles</v>
      </c>
      <c r="O355" s="1" t="str">
        <f>PROPER(TEXT(BBDD_fashion_boutique[[#This Row],[purchase_date]],"mmmm"))</f>
        <v>Agosto</v>
      </c>
      <c r="P355" s="4">
        <v>21</v>
      </c>
      <c r="R355" t="str">
        <f>IF(BBDD_fashion_boutique[[#This Row],[stock_quantity]]&gt;9,"Ok",IF(BBDD_fashion_boutique[[#This Row],[stock_quantity]]=0,"Agotado","Pocas Unidades"))</f>
        <v>Ok</v>
      </c>
      <c r="S355" s="3" t="str">
        <f>IF(BBDD_fashion_boutique[[#This Row],[customer_rating]]="","No valorado",BBDD_fashion_boutique[[#This Row],[customer_rating]])</f>
        <v>No valorado</v>
      </c>
      <c r="T355" t="s">
        <v>24</v>
      </c>
      <c r="V355">
        <f>IF(BBDD_fashion_boutique[[#This Row],[is_returned]]="False",0,1)</f>
        <v>0</v>
      </c>
      <c r="W355">
        <f>IF(BBDD_fashion_boutique[[#This Row],[is_returned]]="True",0,BBDD_fashion_boutique[[#This Row],[current_price]])</f>
        <v>44.58</v>
      </c>
      <c r="X355" t="str">
        <f>IF(BBDD_fashion_boutique[[#This Row],[return_reason]]="","No return",BBDD_fashion_boutique[[#This Row],[return_reason]])</f>
        <v>No return</v>
      </c>
      <c r="Y355">
        <f>IF(IFERROR(VLOOKUP(BBDD_fashion_boutique[[#This Row],[product_id]],A356:A2531,1,FALSE),0),1,0)</f>
        <v>0</v>
      </c>
    </row>
    <row r="356" spans="1:25" x14ac:dyDescent="0.3">
      <c r="A356" t="s">
        <v>415</v>
      </c>
      <c r="B356" t="s">
        <v>48</v>
      </c>
      <c r="C356" t="s">
        <v>81</v>
      </c>
      <c r="D356" t="s">
        <v>68</v>
      </c>
      <c r="E356" t="s">
        <v>29</v>
      </c>
      <c r="F356" t="str">
        <f>IF(BBDD_fashion_boutique[[#This Row],[category]]="Accessories","Accesorio",IF(BBDD_fashion_boutique[[#This Row],[size]]="","Desconocido",BBDD_fashion_boutique[[#This Row],[size]]))</f>
        <v>L</v>
      </c>
      <c r="G356" t="s">
        <v>23</v>
      </c>
      <c r="H356" s="2">
        <v>166.53</v>
      </c>
      <c r="I356">
        <v>0</v>
      </c>
      <c r="J356" s="5">
        <f>BBDD_fashion_boutique[[#This Row],[markdown_percentage]]/100</f>
        <v>0</v>
      </c>
      <c r="K356" s="2">
        <v>166.53</v>
      </c>
      <c r="L356" s="2">
        <f>BBDD_fashion_boutique[[#This Row],[original_price]]-BBDD_fashion_boutique[[#This Row],[current_price]]</f>
        <v>0</v>
      </c>
      <c r="M356" s="1">
        <v>45875</v>
      </c>
      <c r="N356" s="1" t="str">
        <f>PROPER(TEXT(BBDD_fashion_boutique[[#This Row],[purchase_date]],"dddd"))</f>
        <v>Miércoles</v>
      </c>
      <c r="O356" s="1" t="str">
        <f>PROPER(TEXT(BBDD_fashion_boutique[[#This Row],[purchase_date]],"mmmm"))</f>
        <v>Agosto</v>
      </c>
      <c r="P356" s="4">
        <v>28</v>
      </c>
      <c r="Q356" s="2">
        <v>1.7</v>
      </c>
      <c r="R356" t="str">
        <f>IF(BBDD_fashion_boutique[[#This Row],[stock_quantity]]&gt;9,"Ok",IF(BBDD_fashion_boutique[[#This Row],[stock_quantity]]=0,"Agotado","Pocas Unidades"))</f>
        <v>Ok</v>
      </c>
      <c r="S356" s="3">
        <f>IF(BBDD_fashion_boutique[[#This Row],[customer_rating]]="","No valorado",BBDD_fashion_boutique[[#This Row],[customer_rating]])</f>
        <v>1.7</v>
      </c>
      <c r="T356" t="s">
        <v>24</v>
      </c>
      <c r="V356">
        <f>IF(BBDD_fashion_boutique[[#This Row],[is_returned]]="False",0,1)</f>
        <v>0</v>
      </c>
      <c r="W356">
        <f>IF(BBDD_fashion_boutique[[#This Row],[is_returned]]="True",0,BBDD_fashion_boutique[[#This Row],[current_price]])</f>
        <v>166.53</v>
      </c>
      <c r="X356" t="str">
        <f>IF(BBDD_fashion_boutique[[#This Row],[return_reason]]="","No return",BBDD_fashion_boutique[[#This Row],[return_reason]])</f>
        <v>No return</v>
      </c>
      <c r="Y356">
        <f>IF(IFERROR(VLOOKUP(BBDD_fashion_boutique[[#This Row],[product_id]],A357:A2532,1,FALSE),0),1,0)</f>
        <v>0</v>
      </c>
    </row>
    <row r="357" spans="1:25" x14ac:dyDescent="0.3">
      <c r="A357" t="s">
        <v>416</v>
      </c>
      <c r="B357" t="s">
        <v>35</v>
      </c>
      <c r="C357" t="s">
        <v>37</v>
      </c>
      <c r="D357" t="s">
        <v>68</v>
      </c>
      <c r="E357" t="s">
        <v>22</v>
      </c>
      <c r="F357" t="str">
        <f>IF(BBDD_fashion_boutique[[#This Row],[category]]="Accessories","Accesorio",IF(BBDD_fashion_boutique[[#This Row],[size]]="","Desconocido",BBDD_fashion_boutique[[#This Row],[size]]))</f>
        <v>XL</v>
      </c>
      <c r="G357" t="s">
        <v>30</v>
      </c>
      <c r="H357" s="2">
        <v>144.61000000000001</v>
      </c>
      <c r="I357">
        <v>0</v>
      </c>
      <c r="J357" s="5">
        <f>BBDD_fashion_boutique[[#This Row],[markdown_percentage]]/100</f>
        <v>0</v>
      </c>
      <c r="K357" s="2">
        <v>144.61000000000001</v>
      </c>
      <c r="L357" s="2">
        <f>BBDD_fashion_boutique[[#This Row],[original_price]]-BBDD_fashion_boutique[[#This Row],[current_price]]</f>
        <v>0</v>
      </c>
      <c r="M357" s="1">
        <v>45875</v>
      </c>
      <c r="N357" s="1" t="str">
        <f>PROPER(TEXT(BBDD_fashion_boutique[[#This Row],[purchase_date]],"dddd"))</f>
        <v>Miércoles</v>
      </c>
      <c r="O357" s="1" t="str">
        <f>PROPER(TEXT(BBDD_fashion_boutique[[#This Row],[purchase_date]],"mmmm"))</f>
        <v>Agosto</v>
      </c>
      <c r="P357" s="4">
        <v>21</v>
      </c>
      <c r="Q357" s="2">
        <v>2.5</v>
      </c>
      <c r="R357" t="str">
        <f>IF(BBDD_fashion_boutique[[#This Row],[stock_quantity]]&gt;9,"Ok",IF(BBDD_fashion_boutique[[#This Row],[stock_quantity]]=0,"Agotado","Pocas Unidades"))</f>
        <v>Ok</v>
      </c>
      <c r="S357" s="3">
        <f>IF(BBDD_fashion_boutique[[#This Row],[customer_rating]]="","No valorado",BBDD_fashion_boutique[[#This Row],[customer_rating]])</f>
        <v>2.5</v>
      </c>
      <c r="T357" t="s">
        <v>24</v>
      </c>
      <c r="V357">
        <f>IF(BBDD_fashion_boutique[[#This Row],[is_returned]]="False",0,1)</f>
        <v>0</v>
      </c>
      <c r="W357">
        <f>IF(BBDD_fashion_boutique[[#This Row],[is_returned]]="True",0,BBDD_fashion_boutique[[#This Row],[current_price]])</f>
        <v>144.61000000000001</v>
      </c>
      <c r="X357" t="str">
        <f>IF(BBDD_fashion_boutique[[#This Row],[return_reason]]="","No return",BBDD_fashion_boutique[[#This Row],[return_reason]])</f>
        <v>No return</v>
      </c>
      <c r="Y357">
        <f>IF(IFERROR(VLOOKUP(BBDD_fashion_boutique[[#This Row],[product_id]],A358:A2533,1,FALSE),0),1,0)</f>
        <v>0</v>
      </c>
    </row>
    <row r="358" spans="1:25" x14ac:dyDescent="0.3">
      <c r="A358" t="s">
        <v>417</v>
      </c>
      <c r="B358" t="s">
        <v>32</v>
      </c>
      <c r="C358" t="s">
        <v>49</v>
      </c>
      <c r="D358" t="s">
        <v>39</v>
      </c>
      <c r="F358" t="str">
        <f>IF(BBDD_fashion_boutique[[#This Row],[category]]="Accessories","Accesorio",IF(BBDD_fashion_boutique[[#This Row],[size]]="","Desconocido",BBDD_fashion_boutique[[#This Row],[size]]))</f>
        <v>Accesorio</v>
      </c>
      <c r="G358" t="s">
        <v>70</v>
      </c>
      <c r="H358" s="2">
        <v>31</v>
      </c>
      <c r="I358">
        <v>0</v>
      </c>
      <c r="J358" s="5">
        <f>BBDD_fashion_boutique[[#This Row],[markdown_percentage]]/100</f>
        <v>0</v>
      </c>
      <c r="K358" s="2">
        <v>31</v>
      </c>
      <c r="L358" s="2">
        <f>BBDD_fashion_boutique[[#This Row],[original_price]]-BBDD_fashion_boutique[[#This Row],[current_price]]</f>
        <v>0</v>
      </c>
      <c r="M358" s="1">
        <v>45875</v>
      </c>
      <c r="N358" s="1" t="str">
        <f>PROPER(TEXT(BBDD_fashion_boutique[[#This Row],[purchase_date]],"dddd"))</f>
        <v>Miércoles</v>
      </c>
      <c r="O358" s="1" t="str">
        <f>PROPER(TEXT(BBDD_fashion_boutique[[#This Row],[purchase_date]],"mmmm"))</f>
        <v>Agosto</v>
      </c>
      <c r="P358" s="4">
        <v>29</v>
      </c>
      <c r="Q358" s="2">
        <v>1.9</v>
      </c>
      <c r="R358" t="str">
        <f>IF(BBDD_fashion_boutique[[#This Row],[stock_quantity]]&gt;9,"Ok",IF(BBDD_fashion_boutique[[#This Row],[stock_quantity]]=0,"Agotado","Pocas Unidades"))</f>
        <v>Ok</v>
      </c>
      <c r="S358" s="3">
        <f>IF(BBDD_fashion_boutique[[#This Row],[customer_rating]]="","No valorado",BBDD_fashion_boutique[[#This Row],[customer_rating]])</f>
        <v>1.9</v>
      </c>
      <c r="T358" t="s">
        <v>24</v>
      </c>
      <c r="V358">
        <f>IF(BBDD_fashion_boutique[[#This Row],[is_returned]]="False",0,1)</f>
        <v>0</v>
      </c>
      <c r="W358">
        <f>IF(BBDD_fashion_boutique[[#This Row],[is_returned]]="True",0,BBDD_fashion_boutique[[#This Row],[current_price]])</f>
        <v>31</v>
      </c>
      <c r="X358" t="str">
        <f>IF(BBDD_fashion_boutique[[#This Row],[return_reason]]="","No return",BBDD_fashion_boutique[[#This Row],[return_reason]])</f>
        <v>No return</v>
      </c>
      <c r="Y358">
        <f>IF(IFERROR(VLOOKUP(BBDD_fashion_boutique[[#This Row],[product_id]],A359:A2534,1,FALSE),0),1,0)</f>
        <v>0</v>
      </c>
    </row>
    <row r="359" spans="1:25" x14ac:dyDescent="0.3">
      <c r="A359" t="s">
        <v>418</v>
      </c>
      <c r="B359" t="s">
        <v>32</v>
      </c>
      <c r="C359" t="s">
        <v>81</v>
      </c>
      <c r="D359" t="s">
        <v>28</v>
      </c>
      <c r="F359" t="str">
        <f>IF(BBDD_fashion_boutique[[#This Row],[category]]="Accessories","Accesorio",IF(BBDD_fashion_boutique[[#This Row],[size]]="","Desconocido",BBDD_fashion_boutique[[#This Row],[size]]))</f>
        <v>Accesorio</v>
      </c>
      <c r="G359" t="s">
        <v>30</v>
      </c>
      <c r="H359" s="2">
        <v>68.569999999999993</v>
      </c>
      <c r="I359">
        <v>29.4</v>
      </c>
      <c r="J359" s="5">
        <f>BBDD_fashion_boutique[[#This Row],[markdown_percentage]]/100</f>
        <v>0.29399999999999998</v>
      </c>
      <c r="K359" s="2">
        <v>48.41</v>
      </c>
      <c r="L359" s="2">
        <f>BBDD_fashion_boutique[[#This Row],[original_price]]-BBDD_fashion_boutique[[#This Row],[current_price]]</f>
        <v>20.159999999999997</v>
      </c>
      <c r="M359" s="1">
        <v>45875</v>
      </c>
      <c r="N359" s="1" t="str">
        <f>PROPER(TEXT(BBDD_fashion_boutique[[#This Row],[purchase_date]],"dddd"))</f>
        <v>Miércoles</v>
      </c>
      <c r="O359" s="1" t="str">
        <f>PROPER(TEXT(BBDD_fashion_boutique[[#This Row],[purchase_date]],"mmmm"))</f>
        <v>Agosto</v>
      </c>
      <c r="P359" s="4">
        <v>4</v>
      </c>
      <c r="Q359" s="2">
        <v>3.5</v>
      </c>
      <c r="R359" t="str">
        <f>IF(BBDD_fashion_boutique[[#This Row],[stock_quantity]]&gt;9,"Ok",IF(BBDD_fashion_boutique[[#This Row],[stock_quantity]]=0,"Agotado","Pocas Unidades"))</f>
        <v>Pocas Unidades</v>
      </c>
      <c r="S359" s="3">
        <f>IF(BBDD_fashion_boutique[[#This Row],[customer_rating]]="","No valorado",BBDD_fashion_boutique[[#This Row],[customer_rating]])</f>
        <v>3.5</v>
      </c>
      <c r="T359" t="s">
        <v>24</v>
      </c>
      <c r="V359">
        <f>IF(BBDD_fashion_boutique[[#This Row],[is_returned]]="False",0,1)</f>
        <v>0</v>
      </c>
      <c r="W359">
        <f>IF(BBDD_fashion_boutique[[#This Row],[is_returned]]="True",0,BBDD_fashion_boutique[[#This Row],[current_price]])</f>
        <v>48.41</v>
      </c>
      <c r="X359" t="str">
        <f>IF(BBDD_fashion_boutique[[#This Row],[return_reason]]="","No return",BBDD_fashion_boutique[[#This Row],[return_reason]])</f>
        <v>No return</v>
      </c>
      <c r="Y359">
        <f>IF(IFERROR(VLOOKUP(BBDD_fashion_boutique[[#This Row],[product_id]],A360:A2535,1,FALSE),0),1,0)</f>
        <v>0</v>
      </c>
    </row>
    <row r="360" spans="1:25" x14ac:dyDescent="0.3">
      <c r="A360" t="s">
        <v>419</v>
      </c>
      <c r="B360" t="s">
        <v>48</v>
      </c>
      <c r="C360" t="s">
        <v>81</v>
      </c>
      <c r="D360" t="s">
        <v>68</v>
      </c>
      <c r="E360" t="s">
        <v>29</v>
      </c>
      <c r="F360" t="str">
        <f>IF(BBDD_fashion_boutique[[#This Row],[category]]="Accessories","Accesorio",IF(BBDD_fashion_boutique[[#This Row],[size]]="","Desconocido",BBDD_fashion_boutique[[#This Row],[size]]))</f>
        <v>L</v>
      </c>
      <c r="G360" t="s">
        <v>23</v>
      </c>
      <c r="H360" s="2">
        <v>73.040000000000006</v>
      </c>
      <c r="I360">
        <v>56.5</v>
      </c>
      <c r="J360" s="5">
        <f>BBDD_fashion_boutique[[#This Row],[markdown_percentage]]/100</f>
        <v>0.56499999999999995</v>
      </c>
      <c r="K360" s="2">
        <v>31.77</v>
      </c>
      <c r="L360" s="2">
        <f>BBDD_fashion_boutique[[#This Row],[original_price]]-BBDD_fashion_boutique[[#This Row],[current_price]]</f>
        <v>41.27000000000001</v>
      </c>
      <c r="M360" s="1">
        <v>45875</v>
      </c>
      <c r="N360" s="1" t="str">
        <f>PROPER(TEXT(BBDD_fashion_boutique[[#This Row],[purchase_date]],"dddd"))</f>
        <v>Miércoles</v>
      </c>
      <c r="O360" s="1" t="str">
        <f>PROPER(TEXT(BBDD_fashion_boutique[[#This Row],[purchase_date]],"mmmm"))</f>
        <v>Agosto</v>
      </c>
      <c r="P360" s="4">
        <v>15</v>
      </c>
      <c r="Q360" s="2">
        <v>3</v>
      </c>
      <c r="R360" t="str">
        <f>IF(BBDD_fashion_boutique[[#This Row],[stock_quantity]]&gt;9,"Ok",IF(BBDD_fashion_boutique[[#This Row],[stock_quantity]]=0,"Agotado","Pocas Unidades"))</f>
        <v>Ok</v>
      </c>
      <c r="S360" s="3">
        <f>IF(BBDD_fashion_boutique[[#This Row],[customer_rating]]="","No valorado",BBDD_fashion_boutique[[#This Row],[customer_rating]])</f>
        <v>3</v>
      </c>
      <c r="T360" t="s">
        <v>41</v>
      </c>
      <c r="U360" t="s">
        <v>121</v>
      </c>
      <c r="V360">
        <f>IF(BBDD_fashion_boutique[[#This Row],[is_returned]]="False",0,1)</f>
        <v>1</v>
      </c>
      <c r="W360">
        <f>IF(BBDD_fashion_boutique[[#This Row],[is_returned]]="True",0,BBDD_fashion_boutique[[#This Row],[current_price]])</f>
        <v>0</v>
      </c>
      <c r="X360" t="str">
        <f>IF(BBDD_fashion_boutique[[#This Row],[return_reason]]="","No return",BBDD_fashion_boutique[[#This Row],[return_reason]])</f>
        <v>Changed Mind</v>
      </c>
      <c r="Y360">
        <f>IF(IFERROR(VLOOKUP(BBDD_fashion_boutique[[#This Row],[product_id]],A361:A2536,1,FALSE),0),1,0)</f>
        <v>0</v>
      </c>
    </row>
    <row r="361" spans="1:25" x14ac:dyDescent="0.3">
      <c r="A361" t="s">
        <v>420</v>
      </c>
      <c r="B361" t="s">
        <v>26</v>
      </c>
      <c r="C361" t="s">
        <v>54</v>
      </c>
      <c r="D361" t="s">
        <v>21</v>
      </c>
      <c r="E361" t="s">
        <v>29</v>
      </c>
      <c r="F361" t="str">
        <f>IF(BBDD_fashion_boutique[[#This Row],[category]]="Accessories","Accesorio",IF(BBDD_fashion_boutique[[#This Row],[size]]="","Desconocido",BBDD_fashion_boutique[[#This Row],[size]]))</f>
        <v>L</v>
      </c>
      <c r="G361" t="s">
        <v>72</v>
      </c>
      <c r="H361" s="2">
        <v>95.19</v>
      </c>
      <c r="I361">
        <v>0</v>
      </c>
      <c r="J361" s="5">
        <f>BBDD_fashion_boutique[[#This Row],[markdown_percentage]]/100</f>
        <v>0</v>
      </c>
      <c r="K361" s="2">
        <v>95.19</v>
      </c>
      <c r="L361" s="2">
        <f>BBDD_fashion_boutique[[#This Row],[original_price]]-BBDD_fashion_boutique[[#This Row],[current_price]]</f>
        <v>0</v>
      </c>
      <c r="M361" s="1">
        <v>45697</v>
      </c>
      <c r="N361" s="1" t="str">
        <f>PROPER(TEXT(BBDD_fashion_boutique[[#This Row],[purchase_date]],"dddd"))</f>
        <v>Domingo</v>
      </c>
      <c r="O361" s="1" t="str">
        <f>PROPER(TEXT(BBDD_fashion_boutique[[#This Row],[purchase_date]],"mmmm"))</f>
        <v>Febrero</v>
      </c>
      <c r="P361" s="4">
        <v>13</v>
      </c>
      <c r="Q361" s="2">
        <v>4.0999999999999996</v>
      </c>
      <c r="R361" t="str">
        <f>IF(BBDD_fashion_boutique[[#This Row],[stock_quantity]]&gt;9,"Ok",IF(BBDD_fashion_boutique[[#This Row],[stock_quantity]]=0,"Agotado","Pocas Unidades"))</f>
        <v>Ok</v>
      </c>
      <c r="S361" s="3">
        <f>IF(BBDD_fashion_boutique[[#This Row],[customer_rating]]="","No valorado",BBDD_fashion_boutique[[#This Row],[customer_rating]])</f>
        <v>4.0999999999999996</v>
      </c>
      <c r="T361" t="s">
        <v>24</v>
      </c>
      <c r="V361">
        <f>IF(BBDD_fashion_boutique[[#This Row],[is_returned]]="False",0,1)</f>
        <v>0</v>
      </c>
      <c r="W361">
        <f>IF(BBDD_fashion_boutique[[#This Row],[is_returned]]="True",0,BBDD_fashion_boutique[[#This Row],[current_price]])</f>
        <v>95.19</v>
      </c>
      <c r="X361" t="str">
        <f>IF(BBDD_fashion_boutique[[#This Row],[return_reason]]="","No return",BBDD_fashion_boutique[[#This Row],[return_reason]])</f>
        <v>No return</v>
      </c>
      <c r="Y361">
        <f>IF(IFERROR(VLOOKUP(BBDD_fashion_boutique[[#This Row],[product_id]],A362:A2537,1,FALSE),0),1,0)</f>
        <v>0</v>
      </c>
    </row>
    <row r="362" spans="1:25" x14ac:dyDescent="0.3">
      <c r="A362" t="s">
        <v>421</v>
      </c>
      <c r="B362" t="s">
        <v>26</v>
      </c>
      <c r="C362" t="s">
        <v>67</v>
      </c>
      <c r="D362" t="s">
        <v>28</v>
      </c>
      <c r="E362" t="s">
        <v>61</v>
      </c>
      <c r="F362" t="str">
        <f>IF(BBDD_fashion_boutique[[#This Row],[category]]="Accessories","Accesorio",IF(BBDD_fashion_boutique[[#This Row],[size]]="","Desconocido",BBDD_fashion_boutique[[#This Row],[size]]))</f>
        <v>XS</v>
      </c>
      <c r="G362" t="s">
        <v>72</v>
      </c>
      <c r="H362" s="2">
        <v>104.94</v>
      </c>
      <c r="I362">
        <v>0</v>
      </c>
      <c r="J362" s="5">
        <f>BBDD_fashion_boutique[[#This Row],[markdown_percentage]]/100</f>
        <v>0</v>
      </c>
      <c r="K362" s="2">
        <v>104.94</v>
      </c>
      <c r="L362" s="2">
        <f>BBDD_fashion_boutique[[#This Row],[original_price]]-BBDD_fashion_boutique[[#This Row],[current_price]]</f>
        <v>0</v>
      </c>
      <c r="M362" s="1">
        <v>45875</v>
      </c>
      <c r="N362" s="1" t="str">
        <f>PROPER(TEXT(BBDD_fashion_boutique[[#This Row],[purchase_date]],"dddd"))</f>
        <v>Miércoles</v>
      </c>
      <c r="O362" s="1" t="str">
        <f>PROPER(TEXT(BBDD_fashion_boutique[[#This Row],[purchase_date]],"mmmm"))</f>
        <v>Agosto</v>
      </c>
      <c r="P362" s="4">
        <v>42</v>
      </c>
      <c r="Q362" s="2">
        <v>2</v>
      </c>
      <c r="R362" t="str">
        <f>IF(BBDD_fashion_boutique[[#This Row],[stock_quantity]]&gt;9,"Ok",IF(BBDD_fashion_boutique[[#This Row],[stock_quantity]]=0,"Agotado","Pocas Unidades"))</f>
        <v>Ok</v>
      </c>
      <c r="S362" s="3">
        <f>IF(BBDD_fashion_boutique[[#This Row],[customer_rating]]="","No valorado",BBDD_fashion_boutique[[#This Row],[customer_rating]])</f>
        <v>2</v>
      </c>
      <c r="T362" t="s">
        <v>24</v>
      </c>
      <c r="V362">
        <f>IF(BBDD_fashion_boutique[[#This Row],[is_returned]]="False",0,1)</f>
        <v>0</v>
      </c>
      <c r="W362">
        <f>IF(BBDD_fashion_boutique[[#This Row],[is_returned]]="True",0,BBDD_fashion_boutique[[#This Row],[current_price]])</f>
        <v>104.94</v>
      </c>
      <c r="X362" t="str">
        <f>IF(BBDD_fashion_boutique[[#This Row],[return_reason]]="","No return",BBDD_fashion_boutique[[#This Row],[return_reason]])</f>
        <v>No return</v>
      </c>
      <c r="Y362">
        <f>IF(IFERROR(VLOOKUP(BBDD_fashion_boutique[[#This Row],[product_id]],A363:A2538,1,FALSE),0),1,0)</f>
        <v>0</v>
      </c>
    </row>
    <row r="363" spans="1:25" x14ac:dyDescent="0.3">
      <c r="A363" t="s">
        <v>422</v>
      </c>
      <c r="B363" t="s">
        <v>44</v>
      </c>
      <c r="C363" t="s">
        <v>67</v>
      </c>
      <c r="D363" t="s">
        <v>21</v>
      </c>
      <c r="E363" t="s">
        <v>55</v>
      </c>
      <c r="F363" t="str">
        <f>IF(BBDD_fashion_boutique[[#This Row],[category]]="Accessories","Accesorio",IF(BBDD_fashion_boutique[[#This Row],[size]]="","Desconocido",BBDD_fashion_boutique[[#This Row],[size]]))</f>
        <v>XXL</v>
      </c>
      <c r="G363" t="s">
        <v>62</v>
      </c>
      <c r="H363" s="2">
        <v>97.29</v>
      </c>
      <c r="I363">
        <v>0</v>
      </c>
      <c r="J363" s="5">
        <f>BBDD_fashion_boutique[[#This Row],[markdown_percentage]]/100</f>
        <v>0</v>
      </c>
      <c r="K363" s="2">
        <v>97.29</v>
      </c>
      <c r="L363" s="2">
        <f>BBDD_fashion_boutique[[#This Row],[original_price]]-BBDD_fashion_boutique[[#This Row],[current_price]]</f>
        <v>0</v>
      </c>
      <c r="M363" s="1">
        <v>45867</v>
      </c>
      <c r="N363" s="1" t="str">
        <f>PROPER(TEXT(BBDD_fashion_boutique[[#This Row],[purchase_date]],"dddd"))</f>
        <v>Martes</v>
      </c>
      <c r="O363" s="1" t="str">
        <f>PROPER(TEXT(BBDD_fashion_boutique[[#This Row],[purchase_date]],"mmmm"))</f>
        <v>Julio</v>
      </c>
      <c r="P363" s="4">
        <v>42</v>
      </c>
      <c r="Q363" s="2">
        <v>4.5</v>
      </c>
      <c r="R363" t="str">
        <f>IF(BBDD_fashion_boutique[[#This Row],[stock_quantity]]&gt;9,"Ok",IF(BBDD_fashion_boutique[[#This Row],[stock_quantity]]=0,"Agotado","Pocas Unidades"))</f>
        <v>Ok</v>
      </c>
      <c r="S363" s="3">
        <f>IF(BBDD_fashion_boutique[[#This Row],[customer_rating]]="","No valorado",BBDD_fashion_boutique[[#This Row],[customer_rating]])</f>
        <v>4.5</v>
      </c>
      <c r="T363" t="s">
        <v>24</v>
      </c>
      <c r="V363">
        <f>IF(BBDD_fashion_boutique[[#This Row],[is_returned]]="False",0,1)</f>
        <v>0</v>
      </c>
      <c r="W363">
        <f>IF(BBDD_fashion_boutique[[#This Row],[is_returned]]="True",0,BBDD_fashion_boutique[[#This Row],[current_price]])</f>
        <v>97.29</v>
      </c>
      <c r="X363" t="str">
        <f>IF(BBDD_fashion_boutique[[#This Row],[return_reason]]="","No return",BBDD_fashion_boutique[[#This Row],[return_reason]])</f>
        <v>No return</v>
      </c>
      <c r="Y363">
        <f>IF(IFERROR(VLOOKUP(BBDD_fashion_boutique[[#This Row],[product_id]],A364:A2539,1,FALSE),0),1,0)</f>
        <v>0</v>
      </c>
    </row>
    <row r="364" spans="1:25" x14ac:dyDescent="0.3">
      <c r="A364" t="s">
        <v>423</v>
      </c>
      <c r="B364" t="s">
        <v>35</v>
      </c>
      <c r="C364" t="s">
        <v>49</v>
      </c>
      <c r="D364" t="s">
        <v>28</v>
      </c>
      <c r="E364" t="s">
        <v>29</v>
      </c>
      <c r="F364" t="str">
        <f>IF(BBDD_fashion_boutique[[#This Row],[category]]="Accessories","Accesorio",IF(BBDD_fashion_boutique[[#This Row],[size]]="","Desconocido",BBDD_fashion_boutique[[#This Row],[size]]))</f>
        <v>L</v>
      </c>
      <c r="G364" t="s">
        <v>40</v>
      </c>
      <c r="H364" s="2">
        <v>83.05</v>
      </c>
      <c r="I364">
        <v>39.799999999999997</v>
      </c>
      <c r="J364" s="5">
        <f>BBDD_fashion_boutique[[#This Row],[markdown_percentage]]/100</f>
        <v>0.39799999999999996</v>
      </c>
      <c r="K364" s="2">
        <v>50</v>
      </c>
      <c r="L364" s="2">
        <f>BBDD_fashion_boutique[[#This Row],[original_price]]-BBDD_fashion_boutique[[#This Row],[current_price]]</f>
        <v>33.049999999999997</v>
      </c>
      <c r="M364" s="1">
        <v>45875</v>
      </c>
      <c r="N364" s="1" t="str">
        <f>PROPER(TEXT(BBDD_fashion_boutique[[#This Row],[purchase_date]],"dddd"))</f>
        <v>Miércoles</v>
      </c>
      <c r="O364" s="1" t="str">
        <f>PROPER(TEXT(BBDD_fashion_boutique[[#This Row],[purchase_date]],"mmmm"))</f>
        <v>Agosto</v>
      </c>
      <c r="P364" s="4">
        <v>5</v>
      </c>
      <c r="Q364" s="2">
        <v>3.4</v>
      </c>
      <c r="R364" t="str">
        <f>IF(BBDD_fashion_boutique[[#This Row],[stock_quantity]]&gt;9,"Ok",IF(BBDD_fashion_boutique[[#This Row],[stock_quantity]]=0,"Agotado","Pocas Unidades"))</f>
        <v>Pocas Unidades</v>
      </c>
      <c r="S364" s="3">
        <f>IF(BBDD_fashion_boutique[[#This Row],[customer_rating]]="","No valorado",BBDD_fashion_boutique[[#This Row],[customer_rating]])</f>
        <v>3.4</v>
      </c>
      <c r="T364" t="s">
        <v>24</v>
      </c>
      <c r="V364">
        <f>IF(BBDD_fashion_boutique[[#This Row],[is_returned]]="False",0,1)</f>
        <v>0</v>
      </c>
      <c r="W364">
        <f>IF(BBDD_fashion_boutique[[#This Row],[is_returned]]="True",0,BBDD_fashion_boutique[[#This Row],[current_price]])</f>
        <v>50</v>
      </c>
      <c r="X364" t="str">
        <f>IF(BBDD_fashion_boutique[[#This Row],[return_reason]]="","No return",BBDD_fashion_boutique[[#This Row],[return_reason]])</f>
        <v>No return</v>
      </c>
      <c r="Y364">
        <f>IF(IFERROR(VLOOKUP(BBDD_fashion_boutique[[#This Row],[product_id]],A365:A2540,1,FALSE),0),1,0)</f>
        <v>0</v>
      </c>
    </row>
    <row r="365" spans="1:25" x14ac:dyDescent="0.3">
      <c r="A365" t="s">
        <v>424</v>
      </c>
      <c r="B365" t="s">
        <v>19</v>
      </c>
      <c r="C365" t="s">
        <v>27</v>
      </c>
      <c r="D365" t="s">
        <v>39</v>
      </c>
      <c r="E365" t="s">
        <v>45</v>
      </c>
      <c r="F365" t="str">
        <f>IF(BBDD_fashion_boutique[[#This Row],[category]]="Accessories","Accesorio",IF(BBDD_fashion_boutique[[#This Row],[size]]="","Desconocido",BBDD_fashion_boutique[[#This Row],[size]]))</f>
        <v>S</v>
      </c>
      <c r="G365" t="s">
        <v>62</v>
      </c>
      <c r="H365" s="2">
        <v>86.13</v>
      </c>
      <c r="I365">
        <v>0</v>
      </c>
      <c r="J365" s="5">
        <f>BBDD_fashion_boutique[[#This Row],[markdown_percentage]]/100</f>
        <v>0</v>
      </c>
      <c r="K365" s="2">
        <v>86.13</v>
      </c>
      <c r="L365" s="2">
        <f>BBDD_fashion_boutique[[#This Row],[original_price]]-BBDD_fashion_boutique[[#This Row],[current_price]]</f>
        <v>0</v>
      </c>
      <c r="M365" s="1">
        <v>45875</v>
      </c>
      <c r="N365" s="1" t="str">
        <f>PROPER(TEXT(BBDD_fashion_boutique[[#This Row],[purchase_date]],"dddd"))</f>
        <v>Miércoles</v>
      </c>
      <c r="O365" s="1" t="str">
        <f>PROPER(TEXT(BBDD_fashion_boutique[[#This Row],[purchase_date]],"mmmm"))</f>
        <v>Agosto</v>
      </c>
      <c r="P365" s="4">
        <v>28</v>
      </c>
      <c r="Q365" s="2">
        <v>2.7</v>
      </c>
      <c r="R365" t="str">
        <f>IF(BBDD_fashion_boutique[[#This Row],[stock_quantity]]&gt;9,"Ok",IF(BBDD_fashion_boutique[[#This Row],[stock_quantity]]=0,"Agotado","Pocas Unidades"))</f>
        <v>Ok</v>
      </c>
      <c r="S365" s="3">
        <f>IF(BBDD_fashion_boutique[[#This Row],[customer_rating]]="","No valorado",BBDD_fashion_boutique[[#This Row],[customer_rating]])</f>
        <v>2.7</v>
      </c>
      <c r="T365" t="s">
        <v>24</v>
      </c>
      <c r="V365">
        <f>IF(BBDD_fashion_boutique[[#This Row],[is_returned]]="False",0,1)</f>
        <v>0</v>
      </c>
      <c r="W365">
        <f>IF(BBDD_fashion_boutique[[#This Row],[is_returned]]="True",0,BBDD_fashion_boutique[[#This Row],[current_price]])</f>
        <v>86.13</v>
      </c>
      <c r="X365" t="str">
        <f>IF(BBDD_fashion_boutique[[#This Row],[return_reason]]="","No return",BBDD_fashion_boutique[[#This Row],[return_reason]])</f>
        <v>No return</v>
      </c>
      <c r="Y365">
        <f>IF(IFERROR(VLOOKUP(BBDD_fashion_boutique[[#This Row],[product_id]],A366:A2541,1,FALSE),0),1,0)</f>
        <v>0</v>
      </c>
    </row>
    <row r="366" spans="1:25" x14ac:dyDescent="0.3">
      <c r="A366" t="s">
        <v>425</v>
      </c>
      <c r="B366" t="s">
        <v>44</v>
      </c>
      <c r="C366" t="s">
        <v>37</v>
      </c>
      <c r="D366" t="s">
        <v>68</v>
      </c>
      <c r="E366" t="s">
        <v>45</v>
      </c>
      <c r="F366" t="str">
        <f>IF(BBDD_fashion_boutique[[#This Row],[category]]="Accessories","Accesorio",IF(BBDD_fashion_boutique[[#This Row],[size]]="","Desconocido",BBDD_fashion_boutique[[#This Row],[size]]))</f>
        <v>S</v>
      </c>
      <c r="G366" t="s">
        <v>40</v>
      </c>
      <c r="H366" s="2">
        <v>104.13</v>
      </c>
      <c r="I366">
        <v>28.7</v>
      </c>
      <c r="J366" s="5">
        <f>BBDD_fashion_boutique[[#This Row],[markdown_percentage]]/100</f>
        <v>0.28699999999999998</v>
      </c>
      <c r="K366" s="2">
        <v>74.239999999999995</v>
      </c>
      <c r="L366" s="2">
        <f>BBDD_fashion_boutique[[#This Row],[original_price]]-BBDD_fashion_boutique[[#This Row],[current_price]]</f>
        <v>29.89</v>
      </c>
      <c r="M366" s="1">
        <v>45875</v>
      </c>
      <c r="N366" s="1" t="str">
        <f>PROPER(TEXT(BBDD_fashion_boutique[[#This Row],[purchase_date]],"dddd"))</f>
        <v>Miércoles</v>
      </c>
      <c r="O366" s="1" t="str">
        <f>PROPER(TEXT(BBDD_fashion_boutique[[#This Row],[purchase_date]],"mmmm"))</f>
        <v>Agosto</v>
      </c>
      <c r="P366" s="4">
        <v>23</v>
      </c>
      <c r="Q366" s="2">
        <v>3.1</v>
      </c>
      <c r="R366" t="str">
        <f>IF(BBDD_fashion_boutique[[#This Row],[stock_quantity]]&gt;9,"Ok",IF(BBDD_fashion_boutique[[#This Row],[stock_quantity]]=0,"Agotado","Pocas Unidades"))</f>
        <v>Ok</v>
      </c>
      <c r="S366" s="3">
        <f>IF(BBDD_fashion_boutique[[#This Row],[customer_rating]]="","No valorado",BBDD_fashion_boutique[[#This Row],[customer_rating]])</f>
        <v>3.1</v>
      </c>
      <c r="T366" t="s">
        <v>24</v>
      </c>
      <c r="V366">
        <f>IF(BBDD_fashion_boutique[[#This Row],[is_returned]]="False",0,1)</f>
        <v>0</v>
      </c>
      <c r="W366">
        <f>IF(BBDD_fashion_boutique[[#This Row],[is_returned]]="True",0,BBDD_fashion_boutique[[#This Row],[current_price]])</f>
        <v>74.239999999999995</v>
      </c>
      <c r="X366" t="str">
        <f>IF(BBDD_fashion_boutique[[#This Row],[return_reason]]="","No return",BBDD_fashion_boutique[[#This Row],[return_reason]])</f>
        <v>No return</v>
      </c>
      <c r="Y366">
        <f>IF(IFERROR(VLOOKUP(BBDD_fashion_boutique[[#This Row],[product_id]],A367:A2542,1,FALSE),0),1,0)</f>
        <v>0</v>
      </c>
    </row>
    <row r="367" spans="1:25" x14ac:dyDescent="0.3">
      <c r="A367" t="s">
        <v>426</v>
      </c>
      <c r="B367" t="s">
        <v>32</v>
      </c>
      <c r="C367" t="s">
        <v>27</v>
      </c>
      <c r="D367" t="s">
        <v>39</v>
      </c>
      <c r="F367" t="str">
        <f>IF(BBDD_fashion_boutique[[#This Row],[category]]="Accessories","Accesorio",IF(BBDD_fashion_boutique[[#This Row],[size]]="","Desconocido",BBDD_fashion_boutique[[#This Row],[size]]))</f>
        <v>Accesorio</v>
      </c>
      <c r="G367" t="s">
        <v>52</v>
      </c>
      <c r="H367" s="2">
        <v>41.7</v>
      </c>
      <c r="I367">
        <v>0</v>
      </c>
      <c r="J367" s="5">
        <f>BBDD_fashion_boutique[[#This Row],[markdown_percentage]]/100</f>
        <v>0</v>
      </c>
      <c r="K367" s="2">
        <v>41.7</v>
      </c>
      <c r="L367" s="2">
        <f>BBDD_fashion_boutique[[#This Row],[original_price]]-BBDD_fashion_boutique[[#This Row],[current_price]]</f>
        <v>0</v>
      </c>
      <c r="M367" s="1">
        <v>45875</v>
      </c>
      <c r="N367" s="1" t="str">
        <f>PROPER(TEXT(BBDD_fashion_boutique[[#This Row],[purchase_date]],"dddd"))</f>
        <v>Miércoles</v>
      </c>
      <c r="O367" s="1" t="str">
        <f>PROPER(TEXT(BBDD_fashion_boutique[[#This Row],[purchase_date]],"mmmm"))</f>
        <v>Agosto</v>
      </c>
      <c r="P367" s="4">
        <v>18</v>
      </c>
      <c r="Q367" s="2">
        <v>3.2</v>
      </c>
      <c r="R367" t="str">
        <f>IF(BBDD_fashion_boutique[[#This Row],[stock_quantity]]&gt;9,"Ok",IF(BBDD_fashion_boutique[[#This Row],[stock_quantity]]=0,"Agotado","Pocas Unidades"))</f>
        <v>Ok</v>
      </c>
      <c r="S367" s="3">
        <f>IF(BBDD_fashion_boutique[[#This Row],[customer_rating]]="","No valorado",BBDD_fashion_boutique[[#This Row],[customer_rating]])</f>
        <v>3.2</v>
      </c>
      <c r="T367" t="s">
        <v>24</v>
      </c>
      <c r="V367">
        <f>IF(BBDD_fashion_boutique[[#This Row],[is_returned]]="False",0,1)</f>
        <v>0</v>
      </c>
      <c r="W367">
        <f>IF(BBDD_fashion_boutique[[#This Row],[is_returned]]="True",0,BBDD_fashion_boutique[[#This Row],[current_price]])</f>
        <v>41.7</v>
      </c>
      <c r="X367" t="str">
        <f>IF(BBDD_fashion_boutique[[#This Row],[return_reason]]="","No return",BBDD_fashion_boutique[[#This Row],[return_reason]])</f>
        <v>No return</v>
      </c>
      <c r="Y367">
        <f>IF(IFERROR(VLOOKUP(BBDD_fashion_boutique[[#This Row],[product_id]],A368:A2543,1,FALSE),0),1,0)</f>
        <v>0</v>
      </c>
    </row>
    <row r="368" spans="1:25" x14ac:dyDescent="0.3">
      <c r="A368" t="s">
        <v>427</v>
      </c>
      <c r="B368" t="s">
        <v>19</v>
      </c>
      <c r="C368" t="s">
        <v>37</v>
      </c>
      <c r="D368" t="s">
        <v>21</v>
      </c>
      <c r="E368" t="s">
        <v>29</v>
      </c>
      <c r="F368" t="str">
        <f>IF(BBDD_fashion_boutique[[#This Row],[category]]="Accessories","Accesorio",IF(BBDD_fashion_boutique[[#This Row],[size]]="","Desconocido",BBDD_fashion_boutique[[#This Row],[size]]))</f>
        <v>L</v>
      </c>
      <c r="G368" t="s">
        <v>40</v>
      </c>
      <c r="H368" s="2">
        <v>80.11</v>
      </c>
      <c r="I368">
        <v>0</v>
      </c>
      <c r="J368" s="5">
        <f>BBDD_fashion_boutique[[#This Row],[markdown_percentage]]/100</f>
        <v>0</v>
      </c>
      <c r="K368" s="2">
        <v>80.11</v>
      </c>
      <c r="L368" s="2">
        <f>BBDD_fashion_boutique[[#This Row],[original_price]]-BBDD_fashion_boutique[[#This Row],[current_price]]</f>
        <v>0</v>
      </c>
      <c r="M368" s="1">
        <v>45763</v>
      </c>
      <c r="N368" s="1" t="str">
        <f>PROPER(TEXT(BBDD_fashion_boutique[[#This Row],[purchase_date]],"dddd"))</f>
        <v>Miércoles</v>
      </c>
      <c r="O368" s="1" t="str">
        <f>PROPER(TEXT(BBDD_fashion_boutique[[#This Row],[purchase_date]],"mmmm"))</f>
        <v>Abril</v>
      </c>
      <c r="P368" s="4">
        <v>34</v>
      </c>
      <c r="Q368" s="2">
        <v>1.8</v>
      </c>
      <c r="R368" t="str">
        <f>IF(BBDD_fashion_boutique[[#This Row],[stock_quantity]]&gt;9,"Ok",IF(BBDD_fashion_boutique[[#This Row],[stock_quantity]]=0,"Agotado","Pocas Unidades"))</f>
        <v>Ok</v>
      </c>
      <c r="S368" s="3">
        <f>IF(BBDD_fashion_boutique[[#This Row],[customer_rating]]="","No valorado",BBDD_fashion_boutique[[#This Row],[customer_rating]])</f>
        <v>1.8</v>
      </c>
      <c r="T368" t="s">
        <v>24</v>
      </c>
      <c r="V368">
        <f>IF(BBDD_fashion_boutique[[#This Row],[is_returned]]="False",0,1)</f>
        <v>0</v>
      </c>
      <c r="W368">
        <f>IF(BBDD_fashion_boutique[[#This Row],[is_returned]]="True",0,BBDD_fashion_boutique[[#This Row],[current_price]])</f>
        <v>80.11</v>
      </c>
      <c r="X368" t="str">
        <f>IF(BBDD_fashion_boutique[[#This Row],[return_reason]]="","No return",BBDD_fashion_boutique[[#This Row],[return_reason]])</f>
        <v>No return</v>
      </c>
      <c r="Y368">
        <f>IF(IFERROR(VLOOKUP(BBDD_fashion_boutique[[#This Row],[product_id]],A369:A2544,1,FALSE),0),1,0)</f>
        <v>0</v>
      </c>
    </row>
    <row r="369" spans="1:25" x14ac:dyDescent="0.3">
      <c r="A369" t="s">
        <v>428</v>
      </c>
      <c r="B369" t="s">
        <v>26</v>
      </c>
      <c r="C369" t="s">
        <v>59</v>
      </c>
      <c r="D369" t="s">
        <v>39</v>
      </c>
      <c r="E369" t="s">
        <v>29</v>
      </c>
      <c r="F369" t="str">
        <f>IF(BBDD_fashion_boutique[[#This Row],[category]]="Accessories","Accesorio",IF(BBDD_fashion_boutique[[#This Row],[size]]="","Desconocido",BBDD_fashion_boutique[[#This Row],[size]]))</f>
        <v>L</v>
      </c>
      <c r="G369" t="s">
        <v>40</v>
      </c>
      <c r="H369" s="2">
        <v>97.84</v>
      </c>
      <c r="I369">
        <v>0</v>
      </c>
      <c r="J369" s="5">
        <f>BBDD_fashion_boutique[[#This Row],[markdown_percentage]]/100</f>
        <v>0</v>
      </c>
      <c r="K369" s="2">
        <v>97.84</v>
      </c>
      <c r="L369" s="2">
        <f>BBDD_fashion_boutique[[#This Row],[original_price]]-BBDD_fashion_boutique[[#This Row],[current_price]]</f>
        <v>0</v>
      </c>
      <c r="M369" s="1">
        <v>45875</v>
      </c>
      <c r="N369" s="1" t="str">
        <f>PROPER(TEXT(BBDD_fashion_boutique[[#This Row],[purchase_date]],"dddd"))</f>
        <v>Miércoles</v>
      </c>
      <c r="O369" s="1" t="str">
        <f>PROPER(TEXT(BBDD_fashion_boutique[[#This Row],[purchase_date]],"mmmm"))</f>
        <v>Agosto</v>
      </c>
      <c r="P369" s="4">
        <v>16</v>
      </c>
      <c r="R369" t="str">
        <f>IF(BBDD_fashion_boutique[[#This Row],[stock_quantity]]&gt;9,"Ok",IF(BBDD_fashion_boutique[[#This Row],[stock_quantity]]=0,"Agotado","Pocas Unidades"))</f>
        <v>Ok</v>
      </c>
      <c r="S369" s="3" t="str">
        <f>IF(BBDD_fashion_boutique[[#This Row],[customer_rating]]="","No valorado",BBDD_fashion_boutique[[#This Row],[customer_rating]])</f>
        <v>No valorado</v>
      </c>
      <c r="T369" t="s">
        <v>24</v>
      </c>
      <c r="V369">
        <f>IF(BBDD_fashion_boutique[[#This Row],[is_returned]]="False",0,1)</f>
        <v>0</v>
      </c>
      <c r="W369">
        <f>IF(BBDD_fashion_boutique[[#This Row],[is_returned]]="True",0,BBDD_fashion_boutique[[#This Row],[current_price]])</f>
        <v>97.84</v>
      </c>
      <c r="X369" t="str">
        <f>IF(BBDD_fashion_boutique[[#This Row],[return_reason]]="","No return",BBDD_fashion_boutique[[#This Row],[return_reason]])</f>
        <v>No return</v>
      </c>
      <c r="Y369">
        <f>IF(IFERROR(VLOOKUP(BBDD_fashion_boutique[[#This Row],[product_id]],A370:A2545,1,FALSE),0),1,0)</f>
        <v>0</v>
      </c>
    </row>
    <row r="370" spans="1:25" x14ac:dyDescent="0.3">
      <c r="A370" t="s">
        <v>429</v>
      </c>
      <c r="B370" t="s">
        <v>44</v>
      </c>
      <c r="C370" t="s">
        <v>67</v>
      </c>
      <c r="D370" t="s">
        <v>39</v>
      </c>
      <c r="E370" t="s">
        <v>22</v>
      </c>
      <c r="F370" t="str">
        <f>IF(BBDD_fashion_boutique[[#This Row],[category]]="Accessories","Accesorio",IF(BBDD_fashion_boutique[[#This Row],[size]]="","Desconocido",BBDD_fashion_boutique[[#This Row],[size]]))</f>
        <v>XL</v>
      </c>
      <c r="G370" t="s">
        <v>62</v>
      </c>
      <c r="H370" s="2">
        <v>77.37</v>
      </c>
      <c r="I370">
        <v>35.200000000000003</v>
      </c>
      <c r="J370" s="5">
        <f>BBDD_fashion_boutique[[#This Row],[markdown_percentage]]/100</f>
        <v>0.35200000000000004</v>
      </c>
      <c r="K370" s="2">
        <v>50.14</v>
      </c>
      <c r="L370" s="2">
        <f>BBDD_fashion_boutique[[#This Row],[original_price]]-BBDD_fashion_boutique[[#This Row],[current_price]]</f>
        <v>27.230000000000004</v>
      </c>
      <c r="M370" s="1">
        <v>45875</v>
      </c>
      <c r="N370" s="1" t="str">
        <f>PROPER(TEXT(BBDD_fashion_boutique[[#This Row],[purchase_date]],"dddd"))</f>
        <v>Miércoles</v>
      </c>
      <c r="O370" s="1" t="str">
        <f>PROPER(TEXT(BBDD_fashion_boutique[[#This Row],[purchase_date]],"mmmm"))</f>
        <v>Agosto</v>
      </c>
      <c r="P370" s="4">
        <v>14</v>
      </c>
      <c r="Q370" s="2">
        <v>2.2999999999999998</v>
      </c>
      <c r="R370" t="str">
        <f>IF(BBDD_fashion_boutique[[#This Row],[stock_quantity]]&gt;9,"Ok",IF(BBDD_fashion_boutique[[#This Row],[stock_quantity]]=0,"Agotado","Pocas Unidades"))</f>
        <v>Ok</v>
      </c>
      <c r="S370" s="3">
        <f>IF(BBDD_fashion_boutique[[#This Row],[customer_rating]]="","No valorado",BBDD_fashion_boutique[[#This Row],[customer_rating]])</f>
        <v>2.2999999999999998</v>
      </c>
      <c r="T370" t="s">
        <v>24</v>
      </c>
      <c r="V370">
        <f>IF(BBDD_fashion_boutique[[#This Row],[is_returned]]="False",0,1)</f>
        <v>0</v>
      </c>
      <c r="W370">
        <f>IF(BBDD_fashion_boutique[[#This Row],[is_returned]]="True",0,BBDD_fashion_boutique[[#This Row],[current_price]])</f>
        <v>50.14</v>
      </c>
      <c r="X370" t="str">
        <f>IF(BBDD_fashion_boutique[[#This Row],[return_reason]]="","No return",BBDD_fashion_boutique[[#This Row],[return_reason]])</f>
        <v>No return</v>
      </c>
      <c r="Y370">
        <f>IF(IFERROR(VLOOKUP(BBDD_fashion_boutique[[#This Row],[product_id]],A371:A2546,1,FALSE),0),1,0)</f>
        <v>0</v>
      </c>
    </row>
    <row r="371" spans="1:25" x14ac:dyDescent="0.3">
      <c r="A371" t="s">
        <v>430</v>
      </c>
      <c r="B371" t="s">
        <v>32</v>
      </c>
      <c r="C371" t="s">
        <v>54</v>
      </c>
      <c r="D371" t="s">
        <v>39</v>
      </c>
      <c r="F371" t="str">
        <f>IF(BBDD_fashion_boutique[[#This Row],[category]]="Accessories","Accesorio",IF(BBDD_fashion_boutique[[#This Row],[size]]="","Desconocido",BBDD_fashion_boutique[[#This Row],[size]]))</f>
        <v>Accesorio</v>
      </c>
      <c r="G371" t="s">
        <v>23</v>
      </c>
      <c r="H371" s="2">
        <v>36.35</v>
      </c>
      <c r="I371">
        <v>37.6</v>
      </c>
      <c r="J371" s="5">
        <f>BBDD_fashion_boutique[[#This Row],[markdown_percentage]]/100</f>
        <v>0.376</v>
      </c>
      <c r="K371" s="2">
        <v>22.68</v>
      </c>
      <c r="L371" s="2">
        <f>BBDD_fashion_boutique[[#This Row],[original_price]]-BBDD_fashion_boutique[[#This Row],[current_price]]</f>
        <v>13.670000000000002</v>
      </c>
      <c r="M371" s="1">
        <v>45875</v>
      </c>
      <c r="N371" s="1" t="str">
        <f>PROPER(TEXT(BBDD_fashion_boutique[[#This Row],[purchase_date]],"dddd"))</f>
        <v>Miércoles</v>
      </c>
      <c r="O371" s="1" t="str">
        <f>PROPER(TEXT(BBDD_fashion_boutique[[#This Row],[purchase_date]],"mmmm"))</f>
        <v>Agosto</v>
      </c>
      <c r="P371" s="4">
        <v>49</v>
      </c>
      <c r="Q371" s="2">
        <v>4</v>
      </c>
      <c r="R371" t="str">
        <f>IF(BBDD_fashion_boutique[[#This Row],[stock_quantity]]&gt;9,"Ok",IF(BBDD_fashion_boutique[[#This Row],[stock_quantity]]=0,"Agotado","Pocas Unidades"))</f>
        <v>Ok</v>
      </c>
      <c r="S371" s="3">
        <f>IF(BBDD_fashion_boutique[[#This Row],[customer_rating]]="","No valorado",BBDD_fashion_boutique[[#This Row],[customer_rating]])</f>
        <v>4</v>
      </c>
      <c r="T371" t="s">
        <v>41</v>
      </c>
      <c r="U371" t="s">
        <v>121</v>
      </c>
      <c r="V371">
        <f>IF(BBDD_fashion_boutique[[#This Row],[is_returned]]="False",0,1)</f>
        <v>1</v>
      </c>
      <c r="W371">
        <f>IF(BBDD_fashion_boutique[[#This Row],[is_returned]]="True",0,BBDD_fashion_boutique[[#This Row],[current_price]])</f>
        <v>0</v>
      </c>
      <c r="X371" t="str">
        <f>IF(BBDD_fashion_boutique[[#This Row],[return_reason]]="","No return",BBDD_fashion_boutique[[#This Row],[return_reason]])</f>
        <v>Changed Mind</v>
      </c>
      <c r="Y371">
        <f>IF(IFERROR(VLOOKUP(BBDD_fashion_boutique[[#This Row],[product_id]],A372:A2547,1,FALSE),0),1,0)</f>
        <v>0</v>
      </c>
    </row>
    <row r="372" spans="1:25" x14ac:dyDescent="0.3">
      <c r="A372" t="s">
        <v>431</v>
      </c>
      <c r="B372" t="s">
        <v>19</v>
      </c>
      <c r="C372" t="s">
        <v>37</v>
      </c>
      <c r="D372" t="s">
        <v>28</v>
      </c>
      <c r="E372" t="s">
        <v>55</v>
      </c>
      <c r="F372" t="str">
        <f>IF(BBDD_fashion_boutique[[#This Row],[category]]="Accessories","Accesorio",IF(BBDD_fashion_boutique[[#This Row],[size]]="","Desconocido",BBDD_fashion_boutique[[#This Row],[size]]))</f>
        <v>XXL</v>
      </c>
      <c r="G372" t="s">
        <v>52</v>
      </c>
      <c r="H372" s="2">
        <v>181.04</v>
      </c>
      <c r="I372">
        <v>20.2</v>
      </c>
      <c r="J372" s="5">
        <f>BBDD_fashion_boutique[[#This Row],[markdown_percentage]]/100</f>
        <v>0.20199999999999999</v>
      </c>
      <c r="K372" s="2">
        <v>144.47</v>
      </c>
      <c r="L372" s="2">
        <f>BBDD_fashion_boutique[[#This Row],[original_price]]-BBDD_fashion_boutique[[#This Row],[current_price]]</f>
        <v>36.569999999999993</v>
      </c>
      <c r="M372" s="1">
        <v>45875</v>
      </c>
      <c r="N372" s="1" t="str">
        <f>PROPER(TEXT(BBDD_fashion_boutique[[#This Row],[purchase_date]],"dddd"))</f>
        <v>Miércoles</v>
      </c>
      <c r="O372" s="1" t="str">
        <f>PROPER(TEXT(BBDD_fashion_boutique[[#This Row],[purchase_date]],"mmmm"))</f>
        <v>Agosto</v>
      </c>
      <c r="P372" s="4">
        <v>17</v>
      </c>
      <c r="R372" t="str">
        <f>IF(BBDD_fashion_boutique[[#This Row],[stock_quantity]]&gt;9,"Ok",IF(BBDD_fashion_boutique[[#This Row],[stock_quantity]]=0,"Agotado","Pocas Unidades"))</f>
        <v>Ok</v>
      </c>
      <c r="S372" s="3" t="str">
        <f>IF(BBDD_fashion_boutique[[#This Row],[customer_rating]]="","No valorado",BBDD_fashion_boutique[[#This Row],[customer_rating]])</f>
        <v>No valorado</v>
      </c>
      <c r="T372" t="s">
        <v>41</v>
      </c>
      <c r="U372" t="s">
        <v>79</v>
      </c>
      <c r="V372">
        <f>IF(BBDD_fashion_boutique[[#This Row],[is_returned]]="False",0,1)</f>
        <v>1</v>
      </c>
      <c r="W372">
        <f>IF(BBDD_fashion_boutique[[#This Row],[is_returned]]="True",0,BBDD_fashion_boutique[[#This Row],[current_price]])</f>
        <v>0</v>
      </c>
      <c r="X372" t="str">
        <f>IF(BBDD_fashion_boutique[[#This Row],[return_reason]]="","No return",BBDD_fashion_boutique[[#This Row],[return_reason]])</f>
        <v>Size Issue</v>
      </c>
      <c r="Y372">
        <f>IF(IFERROR(VLOOKUP(BBDD_fashion_boutique[[#This Row],[product_id]],A373:A2548,1,FALSE),0),1,0)</f>
        <v>0</v>
      </c>
    </row>
    <row r="373" spans="1:25" x14ac:dyDescent="0.3">
      <c r="A373" t="s">
        <v>432</v>
      </c>
      <c r="B373" t="s">
        <v>19</v>
      </c>
      <c r="C373" t="s">
        <v>20</v>
      </c>
      <c r="D373" t="s">
        <v>21</v>
      </c>
      <c r="E373" t="s">
        <v>22</v>
      </c>
      <c r="F373" t="str">
        <f>IF(BBDD_fashion_boutique[[#This Row],[category]]="Accessories","Accesorio",IF(BBDD_fashion_boutique[[#This Row],[size]]="","Desconocido",BBDD_fashion_boutique[[#This Row],[size]]))</f>
        <v>XL</v>
      </c>
      <c r="G373" t="s">
        <v>33</v>
      </c>
      <c r="H373" s="2">
        <v>158.37</v>
      </c>
      <c r="I373">
        <v>0</v>
      </c>
      <c r="J373" s="5">
        <f>BBDD_fashion_boutique[[#This Row],[markdown_percentage]]/100</f>
        <v>0</v>
      </c>
      <c r="K373" s="2">
        <v>158.37</v>
      </c>
      <c r="L373" s="2">
        <f>BBDD_fashion_boutique[[#This Row],[original_price]]-BBDD_fashion_boutique[[#This Row],[current_price]]</f>
        <v>0</v>
      </c>
      <c r="M373" s="1">
        <v>45703</v>
      </c>
      <c r="N373" s="1" t="str">
        <f>PROPER(TEXT(BBDD_fashion_boutique[[#This Row],[purchase_date]],"dddd"))</f>
        <v>Sábado</v>
      </c>
      <c r="O373" s="1" t="str">
        <f>PROPER(TEXT(BBDD_fashion_boutique[[#This Row],[purchase_date]],"mmmm"))</f>
        <v>Febrero</v>
      </c>
      <c r="P373" s="4">
        <v>33</v>
      </c>
      <c r="R373" t="str">
        <f>IF(BBDD_fashion_boutique[[#This Row],[stock_quantity]]&gt;9,"Ok",IF(BBDD_fashion_boutique[[#This Row],[stock_quantity]]=0,"Agotado","Pocas Unidades"))</f>
        <v>Ok</v>
      </c>
      <c r="S373" s="3" t="str">
        <f>IF(BBDD_fashion_boutique[[#This Row],[customer_rating]]="","No valorado",BBDD_fashion_boutique[[#This Row],[customer_rating]])</f>
        <v>No valorado</v>
      </c>
      <c r="T373" t="s">
        <v>24</v>
      </c>
      <c r="V373">
        <f>IF(BBDD_fashion_boutique[[#This Row],[is_returned]]="False",0,1)</f>
        <v>0</v>
      </c>
      <c r="W373">
        <f>IF(BBDD_fashion_boutique[[#This Row],[is_returned]]="True",0,BBDD_fashion_boutique[[#This Row],[current_price]])</f>
        <v>158.37</v>
      </c>
      <c r="X373" t="str">
        <f>IF(BBDD_fashion_boutique[[#This Row],[return_reason]]="","No return",BBDD_fashion_boutique[[#This Row],[return_reason]])</f>
        <v>No return</v>
      </c>
      <c r="Y373">
        <f>IF(IFERROR(VLOOKUP(BBDD_fashion_boutique[[#This Row],[product_id]],A374:A2549,1,FALSE),0),1,0)</f>
        <v>0</v>
      </c>
    </row>
    <row r="374" spans="1:25" x14ac:dyDescent="0.3">
      <c r="A374" t="s">
        <v>433</v>
      </c>
      <c r="B374" t="s">
        <v>35</v>
      </c>
      <c r="C374" t="s">
        <v>81</v>
      </c>
      <c r="D374" t="s">
        <v>68</v>
      </c>
      <c r="E374" t="s">
        <v>55</v>
      </c>
      <c r="F374" t="str">
        <f>IF(BBDD_fashion_boutique[[#This Row],[category]]="Accessories","Accesorio",IF(BBDD_fashion_boutique[[#This Row],[size]]="","Desconocido",BBDD_fashion_boutique[[#This Row],[size]]))</f>
        <v>XXL</v>
      </c>
      <c r="G374" t="s">
        <v>72</v>
      </c>
      <c r="H374" s="2">
        <v>91.98</v>
      </c>
      <c r="I374">
        <v>0</v>
      </c>
      <c r="J374" s="5">
        <f>BBDD_fashion_boutique[[#This Row],[markdown_percentage]]/100</f>
        <v>0</v>
      </c>
      <c r="K374" s="2">
        <v>91.98</v>
      </c>
      <c r="L374" s="2">
        <f>BBDD_fashion_boutique[[#This Row],[original_price]]-BBDD_fashion_boutique[[#This Row],[current_price]]</f>
        <v>0</v>
      </c>
      <c r="M374" s="1">
        <v>45875</v>
      </c>
      <c r="N374" s="1" t="str">
        <f>PROPER(TEXT(BBDD_fashion_boutique[[#This Row],[purchase_date]],"dddd"))</f>
        <v>Miércoles</v>
      </c>
      <c r="O374" s="1" t="str">
        <f>PROPER(TEXT(BBDD_fashion_boutique[[#This Row],[purchase_date]],"mmmm"))</f>
        <v>Agosto</v>
      </c>
      <c r="P374" s="4">
        <v>48</v>
      </c>
      <c r="Q374" s="2">
        <v>3.9</v>
      </c>
      <c r="R374" t="str">
        <f>IF(BBDD_fashion_boutique[[#This Row],[stock_quantity]]&gt;9,"Ok",IF(BBDD_fashion_boutique[[#This Row],[stock_quantity]]=0,"Agotado","Pocas Unidades"))</f>
        <v>Ok</v>
      </c>
      <c r="S374" s="3">
        <f>IF(BBDD_fashion_boutique[[#This Row],[customer_rating]]="","No valorado",BBDD_fashion_boutique[[#This Row],[customer_rating]])</f>
        <v>3.9</v>
      </c>
      <c r="T374" t="s">
        <v>24</v>
      </c>
      <c r="V374">
        <f>IF(BBDD_fashion_boutique[[#This Row],[is_returned]]="False",0,1)</f>
        <v>0</v>
      </c>
      <c r="W374">
        <f>IF(BBDD_fashion_boutique[[#This Row],[is_returned]]="True",0,BBDD_fashion_boutique[[#This Row],[current_price]])</f>
        <v>91.98</v>
      </c>
      <c r="X374" t="str">
        <f>IF(BBDD_fashion_boutique[[#This Row],[return_reason]]="","No return",BBDD_fashion_boutique[[#This Row],[return_reason]])</f>
        <v>No return</v>
      </c>
      <c r="Y374">
        <f>IF(IFERROR(VLOOKUP(BBDD_fashion_boutique[[#This Row],[product_id]],A375:A2550,1,FALSE),0),1,0)</f>
        <v>0</v>
      </c>
    </row>
    <row r="375" spans="1:25" x14ac:dyDescent="0.3">
      <c r="A375" t="s">
        <v>434</v>
      </c>
      <c r="B375" t="s">
        <v>35</v>
      </c>
      <c r="C375" t="s">
        <v>20</v>
      </c>
      <c r="D375" t="s">
        <v>28</v>
      </c>
      <c r="E375" t="s">
        <v>45</v>
      </c>
      <c r="F375" t="str">
        <f>IF(BBDD_fashion_boutique[[#This Row],[category]]="Accessories","Accesorio",IF(BBDD_fashion_boutique[[#This Row],[size]]="","Desconocido",BBDD_fashion_boutique[[#This Row],[size]]))</f>
        <v>S</v>
      </c>
      <c r="G375" t="s">
        <v>76</v>
      </c>
      <c r="H375" s="2">
        <v>140.29</v>
      </c>
      <c r="I375">
        <v>55.3</v>
      </c>
      <c r="J375" s="5">
        <f>BBDD_fashion_boutique[[#This Row],[markdown_percentage]]/100</f>
        <v>0.55299999999999994</v>
      </c>
      <c r="K375" s="2">
        <v>62.71</v>
      </c>
      <c r="L375" s="2">
        <f>BBDD_fashion_boutique[[#This Row],[original_price]]-BBDD_fashion_boutique[[#This Row],[current_price]]</f>
        <v>77.579999999999984</v>
      </c>
      <c r="M375" s="1">
        <v>45875</v>
      </c>
      <c r="N375" s="1" t="str">
        <f>PROPER(TEXT(BBDD_fashion_boutique[[#This Row],[purchase_date]],"dddd"))</f>
        <v>Miércoles</v>
      </c>
      <c r="O375" s="1" t="str">
        <f>PROPER(TEXT(BBDD_fashion_boutique[[#This Row],[purchase_date]],"mmmm"))</f>
        <v>Agosto</v>
      </c>
      <c r="P375" s="4">
        <v>5</v>
      </c>
      <c r="Q375" s="2">
        <v>4.4000000000000004</v>
      </c>
      <c r="R375" t="str">
        <f>IF(BBDD_fashion_boutique[[#This Row],[stock_quantity]]&gt;9,"Ok",IF(BBDD_fashion_boutique[[#This Row],[stock_quantity]]=0,"Agotado","Pocas Unidades"))</f>
        <v>Pocas Unidades</v>
      </c>
      <c r="S375" s="3">
        <f>IF(BBDD_fashion_boutique[[#This Row],[customer_rating]]="","No valorado",BBDD_fashion_boutique[[#This Row],[customer_rating]])</f>
        <v>4.4000000000000004</v>
      </c>
      <c r="T375" t="s">
        <v>24</v>
      </c>
      <c r="V375">
        <f>IF(BBDD_fashion_boutique[[#This Row],[is_returned]]="False",0,1)</f>
        <v>0</v>
      </c>
      <c r="W375">
        <f>IF(BBDD_fashion_boutique[[#This Row],[is_returned]]="True",0,BBDD_fashion_boutique[[#This Row],[current_price]])</f>
        <v>62.71</v>
      </c>
      <c r="X375" t="str">
        <f>IF(BBDD_fashion_boutique[[#This Row],[return_reason]]="","No return",BBDD_fashion_boutique[[#This Row],[return_reason]])</f>
        <v>No return</v>
      </c>
      <c r="Y375">
        <f>IF(IFERROR(VLOOKUP(BBDD_fashion_boutique[[#This Row],[product_id]],A376:A2551,1,FALSE),0),1,0)</f>
        <v>0</v>
      </c>
    </row>
    <row r="376" spans="1:25" x14ac:dyDescent="0.3">
      <c r="A376" t="s">
        <v>435</v>
      </c>
      <c r="B376" t="s">
        <v>26</v>
      </c>
      <c r="C376" t="s">
        <v>27</v>
      </c>
      <c r="D376" t="s">
        <v>21</v>
      </c>
      <c r="E376" t="s">
        <v>22</v>
      </c>
      <c r="F376" t="str">
        <f>IF(BBDD_fashion_boutique[[#This Row],[category]]="Accessories","Accesorio",IF(BBDD_fashion_boutique[[#This Row],[size]]="","Desconocido",BBDD_fashion_boutique[[#This Row],[size]]))</f>
        <v>XL</v>
      </c>
      <c r="G376" t="s">
        <v>23</v>
      </c>
      <c r="H376" s="2">
        <v>26.01</v>
      </c>
      <c r="I376">
        <v>0</v>
      </c>
      <c r="J376" s="5">
        <f>BBDD_fashion_boutique[[#This Row],[markdown_percentage]]/100</f>
        <v>0</v>
      </c>
      <c r="K376" s="2">
        <v>26.01</v>
      </c>
      <c r="L376" s="2">
        <f>BBDD_fashion_boutique[[#This Row],[original_price]]-BBDD_fashion_boutique[[#This Row],[current_price]]</f>
        <v>0</v>
      </c>
      <c r="M376" s="1">
        <v>45711</v>
      </c>
      <c r="N376" s="1" t="str">
        <f>PROPER(TEXT(BBDD_fashion_boutique[[#This Row],[purchase_date]],"dddd"))</f>
        <v>Domingo</v>
      </c>
      <c r="O376" s="1" t="str">
        <f>PROPER(TEXT(BBDD_fashion_boutique[[#This Row],[purchase_date]],"mmmm"))</f>
        <v>Febrero</v>
      </c>
      <c r="P376" s="4">
        <v>9</v>
      </c>
      <c r="Q376" s="2">
        <v>4</v>
      </c>
      <c r="R376" t="str">
        <f>IF(BBDD_fashion_boutique[[#This Row],[stock_quantity]]&gt;9,"Ok",IF(BBDD_fashion_boutique[[#This Row],[stock_quantity]]=0,"Agotado","Pocas Unidades"))</f>
        <v>Pocas Unidades</v>
      </c>
      <c r="S376" s="3">
        <f>IF(BBDD_fashion_boutique[[#This Row],[customer_rating]]="","No valorado",BBDD_fashion_boutique[[#This Row],[customer_rating]])</f>
        <v>4</v>
      </c>
      <c r="T376" t="s">
        <v>24</v>
      </c>
      <c r="V376">
        <f>IF(BBDD_fashion_boutique[[#This Row],[is_returned]]="False",0,1)</f>
        <v>0</v>
      </c>
      <c r="W376">
        <f>IF(BBDD_fashion_boutique[[#This Row],[is_returned]]="True",0,BBDD_fashion_boutique[[#This Row],[current_price]])</f>
        <v>26.01</v>
      </c>
      <c r="X376" t="str">
        <f>IF(BBDD_fashion_boutique[[#This Row],[return_reason]]="","No return",BBDD_fashion_boutique[[#This Row],[return_reason]])</f>
        <v>No return</v>
      </c>
      <c r="Y376">
        <f>IF(IFERROR(VLOOKUP(BBDD_fashion_boutique[[#This Row],[product_id]],A377:A2552,1,FALSE),0),1,0)</f>
        <v>0</v>
      </c>
    </row>
    <row r="377" spans="1:25" x14ac:dyDescent="0.3">
      <c r="A377" t="s">
        <v>436</v>
      </c>
      <c r="B377" t="s">
        <v>26</v>
      </c>
      <c r="C377" t="s">
        <v>81</v>
      </c>
      <c r="D377" t="s">
        <v>28</v>
      </c>
      <c r="E377" t="s">
        <v>22</v>
      </c>
      <c r="F377" t="str">
        <f>IF(BBDD_fashion_boutique[[#This Row],[category]]="Accessories","Accesorio",IF(BBDD_fashion_boutique[[#This Row],[size]]="","Desconocido",BBDD_fashion_boutique[[#This Row],[size]]))</f>
        <v>XL</v>
      </c>
      <c r="G377" t="s">
        <v>50</v>
      </c>
      <c r="H377" s="2">
        <v>51.06</v>
      </c>
      <c r="I377">
        <v>9.5</v>
      </c>
      <c r="J377" s="5">
        <f>BBDD_fashion_boutique[[#This Row],[markdown_percentage]]/100</f>
        <v>9.5000000000000001E-2</v>
      </c>
      <c r="K377" s="2">
        <v>46.21</v>
      </c>
      <c r="L377" s="2">
        <f>BBDD_fashion_boutique[[#This Row],[original_price]]-BBDD_fashion_boutique[[#This Row],[current_price]]</f>
        <v>4.8500000000000014</v>
      </c>
      <c r="M377" s="1">
        <v>45875</v>
      </c>
      <c r="N377" s="1" t="str">
        <f>PROPER(TEXT(BBDD_fashion_boutique[[#This Row],[purchase_date]],"dddd"))</f>
        <v>Miércoles</v>
      </c>
      <c r="O377" s="1" t="str">
        <f>PROPER(TEXT(BBDD_fashion_boutique[[#This Row],[purchase_date]],"mmmm"))</f>
        <v>Agosto</v>
      </c>
      <c r="P377" s="4">
        <v>34</v>
      </c>
      <c r="Q377" s="2">
        <v>1.1000000000000001</v>
      </c>
      <c r="R377" t="str">
        <f>IF(BBDD_fashion_boutique[[#This Row],[stock_quantity]]&gt;9,"Ok",IF(BBDD_fashion_boutique[[#This Row],[stock_quantity]]=0,"Agotado","Pocas Unidades"))</f>
        <v>Ok</v>
      </c>
      <c r="S377" s="3">
        <f>IF(BBDD_fashion_boutique[[#This Row],[customer_rating]]="","No valorado",BBDD_fashion_boutique[[#This Row],[customer_rating]])</f>
        <v>1.1000000000000001</v>
      </c>
      <c r="T377" t="s">
        <v>24</v>
      </c>
      <c r="V377">
        <f>IF(BBDD_fashion_boutique[[#This Row],[is_returned]]="False",0,1)</f>
        <v>0</v>
      </c>
      <c r="W377">
        <f>IF(BBDD_fashion_boutique[[#This Row],[is_returned]]="True",0,BBDD_fashion_boutique[[#This Row],[current_price]])</f>
        <v>46.21</v>
      </c>
      <c r="X377" t="str">
        <f>IF(BBDD_fashion_boutique[[#This Row],[return_reason]]="","No return",BBDD_fashion_boutique[[#This Row],[return_reason]])</f>
        <v>No return</v>
      </c>
      <c r="Y377">
        <f>IF(IFERROR(VLOOKUP(BBDD_fashion_boutique[[#This Row],[product_id]],A378:A2553,1,FALSE),0),1,0)</f>
        <v>0</v>
      </c>
    </row>
    <row r="378" spans="1:25" x14ac:dyDescent="0.3">
      <c r="A378" t="s">
        <v>437</v>
      </c>
      <c r="B378" t="s">
        <v>19</v>
      </c>
      <c r="C378" t="s">
        <v>67</v>
      </c>
      <c r="D378" t="s">
        <v>39</v>
      </c>
      <c r="E378" t="s">
        <v>61</v>
      </c>
      <c r="F378" t="str">
        <f>IF(BBDD_fashion_boutique[[#This Row],[category]]="Accessories","Accesorio",IF(BBDD_fashion_boutique[[#This Row],[size]]="","Desconocido",BBDD_fashion_boutique[[#This Row],[size]]))</f>
        <v>XS</v>
      </c>
      <c r="G378" t="s">
        <v>23</v>
      </c>
      <c r="H378" s="2">
        <v>132.91999999999999</v>
      </c>
      <c r="I378">
        <v>0</v>
      </c>
      <c r="J378" s="5">
        <f>BBDD_fashion_boutique[[#This Row],[markdown_percentage]]/100</f>
        <v>0</v>
      </c>
      <c r="K378" s="2">
        <v>132.91999999999999</v>
      </c>
      <c r="L378" s="2">
        <f>BBDD_fashion_boutique[[#This Row],[original_price]]-BBDD_fashion_boutique[[#This Row],[current_price]]</f>
        <v>0</v>
      </c>
      <c r="M378" s="1">
        <v>45875</v>
      </c>
      <c r="N378" s="1" t="str">
        <f>PROPER(TEXT(BBDD_fashion_boutique[[#This Row],[purchase_date]],"dddd"))</f>
        <v>Miércoles</v>
      </c>
      <c r="O378" s="1" t="str">
        <f>PROPER(TEXT(BBDD_fashion_boutique[[#This Row],[purchase_date]],"mmmm"))</f>
        <v>Agosto</v>
      </c>
      <c r="P378" s="4">
        <v>36</v>
      </c>
      <c r="Q378" s="2">
        <v>1.2</v>
      </c>
      <c r="R378" t="str">
        <f>IF(BBDD_fashion_boutique[[#This Row],[stock_quantity]]&gt;9,"Ok",IF(BBDD_fashion_boutique[[#This Row],[stock_quantity]]=0,"Agotado","Pocas Unidades"))</f>
        <v>Ok</v>
      </c>
      <c r="S378" s="3">
        <f>IF(BBDD_fashion_boutique[[#This Row],[customer_rating]]="","No valorado",BBDD_fashion_boutique[[#This Row],[customer_rating]])</f>
        <v>1.2</v>
      </c>
      <c r="T378" t="s">
        <v>24</v>
      </c>
      <c r="V378">
        <f>IF(BBDD_fashion_boutique[[#This Row],[is_returned]]="False",0,1)</f>
        <v>0</v>
      </c>
      <c r="W378">
        <f>IF(BBDD_fashion_boutique[[#This Row],[is_returned]]="True",0,BBDD_fashion_boutique[[#This Row],[current_price]])</f>
        <v>132.91999999999999</v>
      </c>
      <c r="X378" t="str">
        <f>IF(BBDD_fashion_boutique[[#This Row],[return_reason]]="","No return",BBDD_fashion_boutique[[#This Row],[return_reason]])</f>
        <v>No return</v>
      </c>
      <c r="Y378">
        <f>IF(IFERROR(VLOOKUP(BBDD_fashion_boutique[[#This Row],[product_id]],A379:A2554,1,FALSE),0),1,0)</f>
        <v>0</v>
      </c>
    </row>
    <row r="379" spans="1:25" x14ac:dyDescent="0.3">
      <c r="A379" t="s">
        <v>438</v>
      </c>
      <c r="B379" t="s">
        <v>32</v>
      </c>
      <c r="C379" t="s">
        <v>67</v>
      </c>
      <c r="D379" t="s">
        <v>39</v>
      </c>
      <c r="F379" t="str">
        <f>IF(BBDD_fashion_boutique[[#This Row],[category]]="Accessories","Accesorio",IF(BBDD_fashion_boutique[[#This Row],[size]]="","Desconocido",BBDD_fashion_boutique[[#This Row],[size]]))</f>
        <v>Accesorio</v>
      </c>
      <c r="G379" t="s">
        <v>72</v>
      </c>
      <c r="H379" s="2">
        <v>16.57</v>
      </c>
      <c r="I379">
        <v>0</v>
      </c>
      <c r="J379" s="5">
        <f>BBDD_fashion_boutique[[#This Row],[markdown_percentage]]/100</f>
        <v>0</v>
      </c>
      <c r="K379" s="2">
        <v>16.57</v>
      </c>
      <c r="L379" s="2">
        <f>BBDD_fashion_boutique[[#This Row],[original_price]]-BBDD_fashion_boutique[[#This Row],[current_price]]</f>
        <v>0</v>
      </c>
      <c r="M379" s="1">
        <v>45875</v>
      </c>
      <c r="N379" s="1" t="str">
        <f>PROPER(TEXT(BBDD_fashion_boutique[[#This Row],[purchase_date]],"dddd"))</f>
        <v>Miércoles</v>
      </c>
      <c r="O379" s="1" t="str">
        <f>PROPER(TEXT(BBDD_fashion_boutique[[#This Row],[purchase_date]],"mmmm"))</f>
        <v>Agosto</v>
      </c>
      <c r="P379" s="4">
        <v>17</v>
      </c>
      <c r="R379" t="str">
        <f>IF(BBDD_fashion_boutique[[#This Row],[stock_quantity]]&gt;9,"Ok",IF(BBDD_fashion_boutique[[#This Row],[stock_quantity]]=0,"Agotado","Pocas Unidades"))</f>
        <v>Ok</v>
      </c>
      <c r="S379" s="3" t="str">
        <f>IF(BBDD_fashion_boutique[[#This Row],[customer_rating]]="","No valorado",BBDD_fashion_boutique[[#This Row],[customer_rating]])</f>
        <v>No valorado</v>
      </c>
      <c r="T379" t="s">
        <v>24</v>
      </c>
      <c r="V379">
        <f>IF(BBDD_fashion_boutique[[#This Row],[is_returned]]="False",0,1)</f>
        <v>0</v>
      </c>
      <c r="W379">
        <f>IF(BBDD_fashion_boutique[[#This Row],[is_returned]]="True",0,BBDD_fashion_boutique[[#This Row],[current_price]])</f>
        <v>16.57</v>
      </c>
      <c r="X379" t="str">
        <f>IF(BBDD_fashion_boutique[[#This Row],[return_reason]]="","No return",BBDD_fashion_boutique[[#This Row],[return_reason]])</f>
        <v>No return</v>
      </c>
      <c r="Y379">
        <f>IF(IFERROR(VLOOKUP(BBDD_fashion_boutique[[#This Row],[product_id]],A380:A2555,1,FALSE),0),1,0)</f>
        <v>0</v>
      </c>
    </row>
    <row r="380" spans="1:25" x14ac:dyDescent="0.3">
      <c r="A380" t="s">
        <v>439</v>
      </c>
      <c r="B380" t="s">
        <v>44</v>
      </c>
      <c r="C380" t="s">
        <v>81</v>
      </c>
      <c r="D380" t="s">
        <v>28</v>
      </c>
      <c r="E380" t="s">
        <v>61</v>
      </c>
      <c r="F380" t="str">
        <f>IF(BBDD_fashion_boutique[[#This Row],[category]]="Accessories","Accesorio",IF(BBDD_fashion_boutique[[#This Row],[size]]="","Desconocido",BBDD_fashion_boutique[[#This Row],[size]]))</f>
        <v>XS</v>
      </c>
      <c r="G380" t="s">
        <v>33</v>
      </c>
      <c r="H380" s="2">
        <v>78.599999999999994</v>
      </c>
      <c r="I380">
        <v>45.8</v>
      </c>
      <c r="J380" s="5">
        <f>BBDD_fashion_boutique[[#This Row],[markdown_percentage]]/100</f>
        <v>0.45799999999999996</v>
      </c>
      <c r="K380" s="2">
        <v>42.6</v>
      </c>
      <c r="L380" s="2">
        <f>BBDD_fashion_boutique[[#This Row],[original_price]]-BBDD_fashion_boutique[[#This Row],[current_price]]</f>
        <v>35.999999999999993</v>
      </c>
      <c r="M380" s="1">
        <v>45875</v>
      </c>
      <c r="N380" s="1" t="str">
        <f>PROPER(TEXT(BBDD_fashion_boutique[[#This Row],[purchase_date]],"dddd"))</f>
        <v>Miércoles</v>
      </c>
      <c r="O380" s="1" t="str">
        <f>PROPER(TEXT(BBDD_fashion_boutique[[#This Row],[purchase_date]],"mmmm"))</f>
        <v>Agosto</v>
      </c>
      <c r="P380" s="4">
        <v>6</v>
      </c>
      <c r="Q380" s="2">
        <v>2.7</v>
      </c>
      <c r="R380" t="str">
        <f>IF(BBDD_fashion_boutique[[#This Row],[stock_quantity]]&gt;9,"Ok",IF(BBDD_fashion_boutique[[#This Row],[stock_quantity]]=0,"Agotado","Pocas Unidades"))</f>
        <v>Pocas Unidades</v>
      </c>
      <c r="S380" s="3">
        <f>IF(BBDD_fashion_boutique[[#This Row],[customer_rating]]="","No valorado",BBDD_fashion_boutique[[#This Row],[customer_rating]])</f>
        <v>2.7</v>
      </c>
      <c r="T380" t="s">
        <v>24</v>
      </c>
      <c r="V380">
        <f>IF(BBDD_fashion_boutique[[#This Row],[is_returned]]="False",0,1)</f>
        <v>0</v>
      </c>
      <c r="W380">
        <f>IF(BBDD_fashion_boutique[[#This Row],[is_returned]]="True",0,BBDD_fashion_boutique[[#This Row],[current_price]])</f>
        <v>42.6</v>
      </c>
      <c r="X380" t="str">
        <f>IF(BBDD_fashion_boutique[[#This Row],[return_reason]]="","No return",BBDD_fashion_boutique[[#This Row],[return_reason]])</f>
        <v>No return</v>
      </c>
      <c r="Y380">
        <f>IF(IFERROR(VLOOKUP(BBDD_fashion_boutique[[#This Row],[product_id]],A381:A2556,1,FALSE),0),1,0)</f>
        <v>0</v>
      </c>
    </row>
    <row r="381" spans="1:25" x14ac:dyDescent="0.3">
      <c r="A381" t="s">
        <v>440</v>
      </c>
      <c r="B381" t="s">
        <v>32</v>
      </c>
      <c r="C381" t="s">
        <v>49</v>
      </c>
      <c r="D381" t="s">
        <v>68</v>
      </c>
      <c r="F381" t="str">
        <f>IF(BBDD_fashion_boutique[[#This Row],[category]]="Accessories","Accesorio",IF(BBDD_fashion_boutique[[#This Row],[size]]="","Desconocido",BBDD_fashion_boutique[[#This Row],[size]]))</f>
        <v>Accesorio</v>
      </c>
      <c r="G381" t="s">
        <v>76</v>
      </c>
      <c r="H381" s="2">
        <v>69.38</v>
      </c>
      <c r="I381">
        <v>0</v>
      </c>
      <c r="J381" s="5">
        <f>BBDD_fashion_boutique[[#This Row],[markdown_percentage]]/100</f>
        <v>0</v>
      </c>
      <c r="K381" s="2">
        <v>69.38</v>
      </c>
      <c r="L381" s="2">
        <f>BBDD_fashion_boutique[[#This Row],[original_price]]-BBDD_fashion_boutique[[#This Row],[current_price]]</f>
        <v>0</v>
      </c>
      <c r="M381" s="1">
        <v>45875</v>
      </c>
      <c r="N381" s="1" t="str">
        <f>PROPER(TEXT(BBDD_fashion_boutique[[#This Row],[purchase_date]],"dddd"))</f>
        <v>Miércoles</v>
      </c>
      <c r="O381" s="1" t="str">
        <f>PROPER(TEXT(BBDD_fashion_boutique[[#This Row],[purchase_date]],"mmmm"))</f>
        <v>Agosto</v>
      </c>
      <c r="P381" s="4">
        <v>43</v>
      </c>
      <c r="Q381" s="2">
        <v>2.4</v>
      </c>
      <c r="R381" t="str">
        <f>IF(BBDD_fashion_boutique[[#This Row],[stock_quantity]]&gt;9,"Ok",IF(BBDD_fashion_boutique[[#This Row],[stock_quantity]]=0,"Agotado","Pocas Unidades"))</f>
        <v>Ok</v>
      </c>
      <c r="S381" s="3">
        <f>IF(BBDD_fashion_boutique[[#This Row],[customer_rating]]="","No valorado",BBDD_fashion_boutique[[#This Row],[customer_rating]])</f>
        <v>2.4</v>
      </c>
      <c r="T381" t="s">
        <v>24</v>
      </c>
      <c r="V381">
        <f>IF(BBDD_fashion_boutique[[#This Row],[is_returned]]="False",0,1)</f>
        <v>0</v>
      </c>
      <c r="W381">
        <f>IF(BBDD_fashion_boutique[[#This Row],[is_returned]]="True",0,BBDD_fashion_boutique[[#This Row],[current_price]])</f>
        <v>69.38</v>
      </c>
      <c r="X381" t="str">
        <f>IF(BBDD_fashion_boutique[[#This Row],[return_reason]]="","No return",BBDD_fashion_boutique[[#This Row],[return_reason]])</f>
        <v>No return</v>
      </c>
      <c r="Y381">
        <f>IF(IFERROR(VLOOKUP(BBDD_fashion_boutique[[#This Row],[product_id]],A382:A2557,1,FALSE),0),1,0)</f>
        <v>0</v>
      </c>
    </row>
    <row r="382" spans="1:25" x14ac:dyDescent="0.3">
      <c r="A382" t="s">
        <v>441</v>
      </c>
      <c r="B382" t="s">
        <v>32</v>
      </c>
      <c r="C382" t="s">
        <v>49</v>
      </c>
      <c r="D382" t="s">
        <v>39</v>
      </c>
      <c r="F382" t="str">
        <f>IF(BBDD_fashion_boutique[[#This Row],[category]]="Accessories","Accesorio",IF(BBDD_fashion_boutique[[#This Row],[size]]="","Desconocido",BBDD_fashion_boutique[[#This Row],[size]]))</f>
        <v>Accesorio</v>
      </c>
      <c r="G382" t="s">
        <v>30</v>
      </c>
      <c r="H382" s="2">
        <v>23.58</v>
      </c>
      <c r="I382">
        <v>0</v>
      </c>
      <c r="J382" s="5">
        <f>BBDD_fashion_boutique[[#This Row],[markdown_percentage]]/100</f>
        <v>0</v>
      </c>
      <c r="K382" s="2">
        <v>23.58</v>
      </c>
      <c r="L382" s="2">
        <f>BBDD_fashion_boutique[[#This Row],[original_price]]-BBDD_fashion_boutique[[#This Row],[current_price]]</f>
        <v>0</v>
      </c>
      <c r="M382" s="1">
        <v>45875</v>
      </c>
      <c r="N382" s="1" t="str">
        <f>PROPER(TEXT(BBDD_fashion_boutique[[#This Row],[purchase_date]],"dddd"))</f>
        <v>Miércoles</v>
      </c>
      <c r="O382" s="1" t="str">
        <f>PROPER(TEXT(BBDD_fashion_boutique[[#This Row],[purchase_date]],"mmmm"))</f>
        <v>Agosto</v>
      </c>
      <c r="P382" s="4">
        <v>16</v>
      </c>
      <c r="Q382" s="2">
        <v>1.3</v>
      </c>
      <c r="R382" t="str">
        <f>IF(BBDD_fashion_boutique[[#This Row],[stock_quantity]]&gt;9,"Ok",IF(BBDD_fashion_boutique[[#This Row],[stock_quantity]]=0,"Agotado","Pocas Unidades"))</f>
        <v>Ok</v>
      </c>
      <c r="S382" s="3">
        <f>IF(BBDD_fashion_boutique[[#This Row],[customer_rating]]="","No valorado",BBDD_fashion_boutique[[#This Row],[customer_rating]])</f>
        <v>1.3</v>
      </c>
      <c r="T382" t="s">
        <v>24</v>
      </c>
      <c r="V382">
        <f>IF(BBDD_fashion_boutique[[#This Row],[is_returned]]="False",0,1)</f>
        <v>0</v>
      </c>
      <c r="W382">
        <f>IF(BBDD_fashion_boutique[[#This Row],[is_returned]]="True",0,BBDD_fashion_boutique[[#This Row],[current_price]])</f>
        <v>23.58</v>
      </c>
      <c r="X382" t="str">
        <f>IF(BBDD_fashion_boutique[[#This Row],[return_reason]]="","No return",BBDD_fashion_boutique[[#This Row],[return_reason]])</f>
        <v>No return</v>
      </c>
      <c r="Y382">
        <f>IF(IFERROR(VLOOKUP(BBDD_fashion_boutique[[#This Row],[product_id]],A383:A2558,1,FALSE),0),1,0)</f>
        <v>0</v>
      </c>
    </row>
    <row r="383" spans="1:25" x14ac:dyDescent="0.3">
      <c r="A383" t="s">
        <v>442</v>
      </c>
      <c r="B383" t="s">
        <v>26</v>
      </c>
      <c r="C383" t="s">
        <v>54</v>
      </c>
      <c r="D383" t="s">
        <v>21</v>
      </c>
      <c r="E383" t="s">
        <v>61</v>
      </c>
      <c r="F383" t="str">
        <f>IF(BBDD_fashion_boutique[[#This Row],[category]]="Accessories","Accesorio",IF(BBDD_fashion_boutique[[#This Row],[size]]="","Desconocido",BBDD_fashion_boutique[[#This Row],[size]]))</f>
        <v>XS</v>
      </c>
      <c r="G383" t="s">
        <v>70</v>
      </c>
      <c r="H383" s="2">
        <v>119.91</v>
      </c>
      <c r="I383">
        <v>27.8</v>
      </c>
      <c r="J383" s="5">
        <f>BBDD_fashion_boutique[[#This Row],[markdown_percentage]]/100</f>
        <v>0.27800000000000002</v>
      </c>
      <c r="K383" s="2">
        <v>86.58</v>
      </c>
      <c r="L383" s="2">
        <f>BBDD_fashion_boutique[[#This Row],[original_price]]-BBDD_fashion_boutique[[#This Row],[current_price]]</f>
        <v>33.33</v>
      </c>
      <c r="M383" s="1">
        <v>45563</v>
      </c>
      <c r="N383" s="1" t="str">
        <f>PROPER(TEXT(BBDD_fashion_boutique[[#This Row],[purchase_date]],"dddd"))</f>
        <v>Sábado</v>
      </c>
      <c r="O383" s="1" t="str">
        <f>PROPER(TEXT(BBDD_fashion_boutique[[#This Row],[purchase_date]],"mmmm"))</f>
        <v>Septiembre</v>
      </c>
      <c r="P383" s="4">
        <v>12</v>
      </c>
      <c r="Q383" s="2">
        <v>1.7</v>
      </c>
      <c r="R383" t="str">
        <f>IF(BBDD_fashion_boutique[[#This Row],[stock_quantity]]&gt;9,"Ok",IF(BBDD_fashion_boutique[[#This Row],[stock_quantity]]=0,"Agotado","Pocas Unidades"))</f>
        <v>Ok</v>
      </c>
      <c r="S383" s="3">
        <f>IF(BBDD_fashion_boutique[[#This Row],[customer_rating]]="","No valorado",BBDD_fashion_boutique[[#This Row],[customer_rating]])</f>
        <v>1.7</v>
      </c>
      <c r="T383" t="s">
        <v>24</v>
      </c>
      <c r="V383">
        <f>IF(BBDD_fashion_boutique[[#This Row],[is_returned]]="False",0,1)</f>
        <v>0</v>
      </c>
      <c r="W383">
        <f>IF(BBDD_fashion_boutique[[#This Row],[is_returned]]="True",0,BBDD_fashion_boutique[[#This Row],[current_price]])</f>
        <v>86.58</v>
      </c>
      <c r="X383" t="str">
        <f>IF(BBDD_fashion_boutique[[#This Row],[return_reason]]="","No return",BBDD_fashion_boutique[[#This Row],[return_reason]])</f>
        <v>No return</v>
      </c>
      <c r="Y383">
        <f>IF(IFERROR(VLOOKUP(BBDD_fashion_boutique[[#This Row],[product_id]],A384:A2559,1,FALSE),0),1,0)</f>
        <v>0</v>
      </c>
    </row>
    <row r="384" spans="1:25" x14ac:dyDescent="0.3">
      <c r="A384" t="s">
        <v>443</v>
      </c>
      <c r="B384" t="s">
        <v>19</v>
      </c>
      <c r="C384" t="s">
        <v>54</v>
      </c>
      <c r="D384" t="s">
        <v>68</v>
      </c>
      <c r="E384" t="s">
        <v>64</v>
      </c>
      <c r="F384" t="str">
        <f>IF(BBDD_fashion_boutique[[#This Row],[category]]="Accessories","Accesorio",IF(BBDD_fashion_boutique[[#This Row],[size]]="","Desconocido",BBDD_fashion_boutique[[#This Row],[size]]))</f>
        <v>M</v>
      </c>
      <c r="G384" t="s">
        <v>33</v>
      </c>
      <c r="H384" s="2">
        <v>111.05</v>
      </c>
      <c r="I384">
        <v>1.4</v>
      </c>
      <c r="J384" s="5">
        <f>BBDD_fashion_boutique[[#This Row],[markdown_percentage]]/100</f>
        <v>1.3999999999999999E-2</v>
      </c>
      <c r="K384" s="2">
        <v>109.5</v>
      </c>
      <c r="L384" s="2">
        <f>BBDD_fashion_boutique[[#This Row],[original_price]]-BBDD_fashion_boutique[[#This Row],[current_price]]</f>
        <v>1.5499999999999972</v>
      </c>
      <c r="M384" s="1">
        <v>45875</v>
      </c>
      <c r="N384" s="1" t="str">
        <f>PROPER(TEXT(BBDD_fashion_boutique[[#This Row],[purchase_date]],"dddd"))</f>
        <v>Miércoles</v>
      </c>
      <c r="O384" s="1" t="str">
        <f>PROPER(TEXT(BBDD_fashion_boutique[[#This Row],[purchase_date]],"mmmm"))</f>
        <v>Agosto</v>
      </c>
      <c r="P384" s="4">
        <v>7</v>
      </c>
      <c r="Q384" s="2">
        <v>2.8</v>
      </c>
      <c r="R384" t="str">
        <f>IF(BBDD_fashion_boutique[[#This Row],[stock_quantity]]&gt;9,"Ok",IF(BBDD_fashion_boutique[[#This Row],[stock_quantity]]=0,"Agotado","Pocas Unidades"))</f>
        <v>Pocas Unidades</v>
      </c>
      <c r="S384" s="3">
        <f>IF(BBDD_fashion_boutique[[#This Row],[customer_rating]]="","No valorado",BBDD_fashion_boutique[[#This Row],[customer_rating]])</f>
        <v>2.8</v>
      </c>
      <c r="T384" t="s">
        <v>24</v>
      </c>
      <c r="V384">
        <f>IF(BBDD_fashion_boutique[[#This Row],[is_returned]]="False",0,1)</f>
        <v>0</v>
      </c>
      <c r="W384">
        <f>IF(BBDD_fashion_boutique[[#This Row],[is_returned]]="True",0,BBDD_fashion_boutique[[#This Row],[current_price]])</f>
        <v>109.5</v>
      </c>
      <c r="X384" t="str">
        <f>IF(BBDD_fashion_boutique[[#This Row],[return_reason]]="","No return",BBDD_fashion_boutique[[#This Row],[return_reason]])</f>
        <v>No return</v>
      </c>
      <c r="Y384">
        <f>IF(IFERROR(VLOOKUP(BBDD_fashion_boutique[[#This Row],[product_id]],A385:A2560,1,FALSE),0),1,0)</f>
        <v>0</v>
      </c>
    </row>
    <row r="385" spans="1:25" x14ac:dyDescent="0.3">
      <c r="A385" t="s">
        <v>444</v>
      </c>
      <c r="B385" t="s">
        <v>32</v>
      </c>
      <c r="C385" t="s">
        <v>37</v>
      </c>
      <c r="D385" t="s">
        <v>68</v>
      </c>
      <c r="F385" t="str">
        <f>IF(BBDD_fashion_boutique[[#This Row],[category]]="Accessories","Accesorio",IF(BBDD_fashion_boutique[[#This Row],[size]]="","Desconocido",BBDD_fashion_boutique[[#This Row],[size]]))</f>
        <v>Accesorio</v>
      </c>
      <c r="G385" t="s">
        <v>46</v>
      </c>
      <c r="H385" s="2">
        <v>60.22</v>
      </c>
      <c r="I385">
        <v>0</v>
      </c>
      <c r="J385" s="5">
        <f>BBDD_fashion_boutique[[#This Row],[markdown_percentage]]/100</f>
        <v>0</v>
      </c>
      <c r="K385" s="2">
        <v>60.22</v>
      </c>
      <c r="L385" s="2">
        <f>BBDD_fashion_boutique[[#This Row],[original_price]]-BBDD_fashion_boutique[[#This Row],[current_price]]</f>
        <v>0</v>
      </c>
      <c r="M385" s="1">
        <v>45875</v>
      </c>
      <c r="N385" s="1" t="str">
        <f>PROPER(TEXT(BBDD_fashion_boutique[[#This Row],[purchase_date]],"dddd"))</f>
        <v>Miércoles</v>
      </c>
      <c r="O385" s="1" t="str">
        <f>PROPER(TEXT(BBDD_fashion_boutique[[#This Row],[purchase_date]],"mmmm"))</f>
        <v>Agosto</v>
      </c>
      <c r="P385" s="4">
        <v>6</v>
      </c>
      <c r="Q385" s="2">
        <v>2.1</v>
      </c>
      <c r="R385" t="str">
        <f>IF(BBDD_fashion_boutique[[#This Row],[stock_quantity]]&gt;9,"Ok",IF(BBDD_fashion_boutique[[#This Row],[stock_quantity]]=0,"Agotado","Pocas Unidades"))</f>
        <v>Pocas Unidades</v>
      </c>
      <c r="S385" s="3">
        <f>IF(BBDD_fashion_boutique[[#This Row],[customer_rating]]="","No valorado",BBDD_fashion_boutique[[#This Row],[customer_rating]])</f>
        <v>2.1</v>
      </c>
      <c r="T385" t="s">
        <v>24</v>
      </c>
      <c r="V385">
        <f>IF(BBDD_fashion_boutique[[#This Row],[is_returned]]="False",0,1)</f>
        <v>0</v>
      </c>
      <c r="W385">
        <f>IF(BBDD_fashion_boutique[[#This Row],[is_returned]]="True",0,BBDD_fashion_boutique[[#This Row],[current_price]])</f>
        <v>60.22</v>
      </c>
      <c r="X385" t="str">
        <f>IF(BBDD_fashion_boutique[[#This Row],[return_reason]]="","No return",BBDD_fashion_boutique[[#This Row],[return_reason]])</f>
        <v>No return</v>
      </c>
      <c r="Y385">
        <f>IF(IFERROR(VLOOKUP(BBDD_fashion_boutique[[#This Row],[product_id]],A386:A2561,1,FALSE),0),1,0)</f>
        <v>0</v>
      </c>
    </row>
    <row r="386" spans="1:25" x14ac:dyDescent="0.3">
      <c r="A386" t="s">
        <v>445</v>
      </c>
      <c r="B386" t="s">
        <v>19</v>
      </c>
      <c r="C386" t="s">
        <v>67</v>
      </c>
      <c r="D386" t="s">
        <v>28</v>
      </c>
      <c r="E386" t="s">
        <v>64</v>
      </c>
      <c r="F386" t="str">
        <f>IF(BBDD_fashion_boutique[[#This Row],[category]]="Accessories","Accesorio",IF(BBDD_fashion_boutique[[#This Row],[size]]="","Desconocido",BBDD_fashion_boutique[[#This Row],[size]]))</f>
        <v>M</v>
      </c>
      <c r="G386" t="s">
        <v>70</v>
      </c>
      <c r="H386" s="2">
        <v>133.52000000000001</v>
      </c>
      <c r="I386">
        <v>0</v>
      </c>
      <c r="J386" s="5">
        <f>BBDD_fashion_boutique[[#This Row],[markdown_percentage]]/100</f>
        <v>0</v>
      </c>
      <c r="K386" s="2">
        <v>133.52000000000001</v>
      </c>
      <c r="L386" s="2">
        <f>BBDD_fashion_boutique[[#This Row],[original_price]]-BBDD_fashion_boutique[[#This Row],[current_price]]</f>
        <v>0</v>
      </c>
      <c r="M386" s="1">
        <v>45875</v>
      </c>
      <c r="N386" s="1" t="str">
        <f>PROPER(TEXT(BBDD_fashion_boutique[[#This Row],[purchase_date]],"dddd"))</f>
        <v>Miércoles</v>
      </c>
      <c r="O386" s="1" t="str">
        <f>PROPER(TEXT(BBDD_fashion_boutique[[#This Row],[purchase_date]],"mmmm"))</f>
        <v>Agosto</v>
      </c>
      <c r="P386" s="4">
        <v>27</v>
      </c>
      <c r="Q386" s="2">
        <v>3.6</v>
      </c>
      <c r="R386" t="str">
        <f>IF(BBDD_fashion_boutique[[#This Row],[stock_quantity]]&gt;9,"Ok",IF(BBDD_fashion_boutique[[#This Row],[stock_quantity]]=0,"Agotado","Pocas Unidades"))</f>
        <v>Ok</v>
      </c>
      <c r="S386" s="3">
        <f>IF(BBDD_fashion_boutique[[#This Row],[customer_rating]]="","No valorado",BBDD_fashion_boutique[[#This Row],[customer_rating]])</f>
        <v>3.6</v>
      </c>
      <c r="T386" t="s">
        <v>24</v>
      </c>
      <c r="V386">
        <f>IF(BBDD_fashion_boutique[[#This Row],[is_returned]]="False",0,1)</f>
        <v>0</v>
      </c>
      <c r="W386">
        <f>IF(BBDD_fashion_boutique[[#This Row],[is_returned]]="True",0,BBDD_fashion_boutique[[#This Row],[current_price]])</f>
        <v>133.52000000000001</v>
      </c>
      <c r="X386" t="str">
        <f>IF(BBDD_fashion_boutique[[#This Row],[return_reason]]="","No return",BBDD_fashion_boutique[[#This Row],[return_reason]])</f>
        <v>No return</v>
      </c>
      <c r="Y386">
        <f>IF(IFERROR(VLOOKUP(BBDD_fashion_boutique[[#This Row],[product_id]],A387:A2562,1,FALSE),0),1,0)</f>
        <v>0</v>
      </c>
    </row>
    <row r="387" spans="1:25" x14ac:dyDescent="0.3">
      <c r="A387" t="s">
        <v>446</v>
      </c>
      <c r="B387" t="s">
        <v>48</v>
      </c>
      <c r="C387" t="s">
        <v>37</v>
      </c>
      <c r="D387" t="s">
        <v>21</v>
      </c>
      <c r="E387" t="s">
        <v>22</v>
      </c>
      <c r="F387" t="str">
        <f>IF(BBDD_fashion_boutique[[#This Row],[category]]="Accessories","Accesorio",IF(BBDD_fashion_boutique[[#This Row],[size]]="","Desconocido",BBDD_fashion_boutique[[#This Row],[size]]))</f>
        <v>XL</v>
      </c>
      <c r="G387" t="s">
        <v>76</v>
      </c>
      <c r="H387" s="2">
        <v>54.97</v>
      </c>
      <c r="I387">
        <v>49.6</v>
      </c>
      <c r="J387" s="5">
        <f>BBDD_fashion_boutique[[#This Row],[markdown_percentage]]/100</f>
        <v>0.496</v>
      </c>
      <c r="K387" s="2">
        <v>27.7</v>
      </c>
      <c r="L387" s="2">
        <f>BBDD_fashion_boutique[[#This Row],[original_price]]-BBDD_fashion_boutique[[#This Row],[current_price]]</f>
        <v>27.27</v>
      </c>
      <c r="M387" s="1">
        <v>45573</v>
      </c>
      <c r="N387" s="1" t="str">
        <f>PROPER(TEXT(BBDD_fashion_boutique[[#This Row],[purchase_date]],"dddd"))</f>
        <v>Martes</v>
      </c>
      <c r="O387" s="1" t="str">
        <f>PROPER(TEXT(BBDD_fashion_boutique[[#This Row],[purchase_date]],"mmmm"))</f>
        <v>Octubre</v>
      </c>
      <c r="P387" s="4">
        <v>48</v>
      </c>
      <c r="Q387" s="2">
        <v>4.5</v>
      </c>
      <c r="R387" t="str">
        <f>IF(BBDD_fashion_boutique[[#This Row],[stock_quantity]]&gt;9,"Ok",IF(BBDD_fashion_boutique[[#This Row],[stock_quantity]]=0,"Agotado","Pocas Unidades"))</f>
        <v>Ok</v>
      </c>
      <c r="S387" s="3">
        <f>IF(BBDD_fashion_boutique[[#This Row],[customer_rating]]="","No valorado",BBDD_fashion_boutique[[#This Row],[customer_rating]])</f>
        <v>4.5</v>
      </c>
      <c r="T387" t="s">
        <v>24</v>
      </c>
      <c r="V387">
        <f>IF(BBDD_fashion_boutique[[#This Row],[is_returned]]="False",0,1)</f>
        <v>0</v>
      </c>
      <c r="W387">
        <f>IF(BBDD_fashion_boutique[[#This Row],[is_returned]]="True",0,BBDD_fashion_boutique[[#This Row],[current_price]])</f>
        <v>27.7</v>
      </c>
      <c r="X387" t="str">
        <f>IF(BBDD_fashion_boutique[[#This Row],[return_reason]]="","No return",BBDD_fashion_boutique[[#This Row],[return_reason]])</f>
        <v>No return</v>
      </c>
      <c r="Y387">
        <f>IF(IFERROR(VLOOKUP(BBDD_fashion_boutique[[#This Row],[product_id]],A388:A2563,1,FALSE),0),1,0)</f>
        <v>0</v>
      </c>
    </row>
    <row r="388" spans="1:25" x14ac:dyDescent="0.3">
      <c r="A388" t="s">
        <v>447</v>
      </c>
      <c r="B388" t="s">
        <v>26</v>
      </c>
      <c r="C388" t="s">
        <v>27</v>
      </c>
      <c r="D388" t="s">
        <v>28</v>
      </c>
      <c r="E388" t="s">
        <v>29</v>
      </c>
      <c r="F388" t="str">
        <f>IF(BBDD_fashion_boutique[[#This Row],[category]]="Accessories","Accesorio",IF(BBDD_fashion_boutique[[#This Row],[size]]="","Desconocido",BBDD_fashion_boutique[[#This Row],[size]]))</f>
        <v>L</v>
      </c>
      <c r="G388" t="s">
        <v>40</v>
      </c>
      <c r="H388" s="2">
        <v>85.94</v>
      </c>
      <c r="I388">
        <v>0</v>
      </c>
      <c r="J388" s="5">
        <f>BBDD_fashion_boutique[[#This Row],[markdown_percentage]]/100</f>
        <v>0</v>
      </c>
      <c r="K388" s="2">
        <v>85.94</v>
      </c>
      <c r="L388" s="2">
        <f>BBDD_fashion_boutique[[#This Row],[original_price]]-BBDD_fashion_boutique[[#This Row],[current_price]]</f>
        <v>0</v>
      </c>
      <c r="M388" s="1">
        <v>45875</v>
      </c>
      <c r="N388" s="1" t="str">
        <f>PROPER(TEXT(BBDD_fashion_boutique[[#This Row],[purchase_date]],"dddd"))</f>
        <v>Miércoles</v>
      </c>
      <c r="O388" s="1" t="str">
        <f>PROPER(TEXT(BBDD_fashion_boutique[[#This Row],[purchase_date]],"mmmm"))</f>
        <v>Agosto</v>
      </c>
      <c r="P388" s="4">
        <v>42</v>
      </c>
      <c r="Q388" s="2">
        <v>4.3</v>
      </c>
      <c r="R388" t="str">
        <f>IF(BBDD_fashion_boutique[[#This Row],[stock_quantity]]&gt;9,"Ok",IF(BBDD_fashion_boutique[[#This Row],[stock_quantity]]=0,"Agotado","Pocas Unidades"))</f>
        <v>Ok</v>
      </c>
      <c r="S388" s="3">
        <f>IF(BBDD_fashion_boutique[[#This Row],[customer_rating]]="","No valorado",BBDD_fashion_boutique[[#This Row],[customer_rating]])</f>
        <v>4.3</v>
      </c>
      <c r="T388" t="s">
        <v>24</v>
      </c>
      <c r="V388">
        <f>IF(BBDD_fashion_boutique[[#This Row],[is_returned]]="False",0,1)</f>
        <v>0</v>
      </c>
      <c r="W388">
        <f>IF(BBDD_fashion_boutique[[#This Row],[is_returned]]="True",0,BBDD_fashion_boutique[[#This Row],[current_price]])</f>
        <v>85.94</v>
      </c>
      <c r="X388" t="str">
        <f>IF(BBDD_fashion_boutique[[#This Row],[return_reason]]="","No return",BBDD_fashion_boutique[[#This Row],[return_reason]])</f>
        <v>No return</v>
      </c>
      <c r="Y388">
        <f>IF(IFERROR(VLOOKUP(BBDD_fashion_boutique[[#This Row],[product_id]],A389:A2564,1,FALSE),0),1,0)</f>
        <v>0</v>
      </c>
    </row>
    <row r="389" spans="1:25" x14ac:dyDescent="0.3">
      <c r="A389" t="s">
        <v>448</v>
      </c>
      <c r="B389" t="s">
        <v>32</v>
      </c>
      <c r="C389" t="s">
        <v>54</v>
      </c>
      <c r="D389" t="s">
        <v>39</v>
      </c>
      <c r="F389" t="str">
        <f>IF(BBDD_fashion_boutique[[#This Row],[category]]="Accessories","Accesorio",IF(BBDD_fashion_boutique[[#This Row],[size]]="","Desconocido",BBDD_fashion_boutique[[#This Row],[size]]))</f>
        <v>Accesorio</v>
      </c>
      <c r="G389" t="s">
        <v>33</v>
      </c>
      <c r="H389" s="2">
        <v>24.64</v>
      </c>
      <c r="I389">
        <v>0</v>
      </c>
      <c r="J389" s="5">
        <f>BBDD_fashion_boutique[[#This Row],[markdown_percentage]]/100</f>
        <v>0</v>
      </c>
      <c r="K389" s="2">
        <v>24.64</v>
      </c>
      <c r="L389" s="2">
        <f>BBDD_fashion_boutique[[#This Row],[original_price]]-BBDD_fashion_boutique[[#This Row],[current_price]]</f>
        <v>0</v>
      </c>
      <c r="M389" s="1">
        <v>45875</v>
      </c>
      <c r="N389" s="1" t="str">
        <f>PROPER(TEXT(BBDD_fashion_boutique[[#This Row],[purchase_date]],"dddd"))</f>
        <v>Miércoles</v>
      </c>
      <c r="O389" s="1" t="str">
        <f>PROPER(TEXT(BBDD_fashion_boutique[[#This Row],[purchase_date]],"mmmm"))</f>
        <v>Agosto</v>
      </c>
      <c r="P389" s="4">
        <v>6</v>
      </c>
      <c r="Q389" s="2">
        <v>4.4000000000000004</v>
      </c>
      <c r="R389" t="str">
        <f>IF(BBDD_fashion_boutique[[#This Row],[stock_quantity]]&gt;9,"Ok",IF(BBDD_fashion_boutique[[#This Row],[stock_quantity]]=0,"Agotado","Pocas Unidades"))</f>
        <v>Pocas Unidades</v>
      </c>
      <c r="S389" s="3">
        <f>IF(BBDD_fashion_boutique[[#This Row],[customer_rating]]="","No valorado",BBDD_fashion_boutique[[#This Row],[customer_rating]])</f>
        <v>4.4000000000000004</v>
      </c>
      <c r="T389" t="s">
        <v>24</v>
      </c>
      <c r="V389">
        <f>IF(BBDD_fashion_boutique[[#This Row],[is_returned]]="False",0,1)</f>
        <v>0</v>
      </c>
      <c r="W389">
        <f>IF(BBDD_fashion_boutique[[#This Row],[is_returned]]="True",0,BBDD_fashion_boutique[[#This Row],[current_price]])</f>
        <v>24.64</v>
      </c>
      <c r="X389" t="str">
        <f>IF(BBDD_fashion_boutique[[#This Row],[return_reason]]="","No return",BBDD_fashion_boutique[[#This Row],[return_reason]])</f>
        <v>No return</v>
      </c>
      <c r="Y389">
        <f>IF(IFERROR(VLOOKUP(BBDD_fashion_boutique[[#This Row],[product_id]],A390:A2565,1,FALSE),0),1,0)</f>
        <v>0</v>
      </c>
    </row>
    <row r="390" spans="1:25" x14ac:dyDescent="0.3">
      <c r="A390" t="s">
        <v>449</v>
      </c>
      <c r="B390" t="s">
        <v>32</v>
      </c>
      <c r="C390" t="s">
        <v>37</v>
      </c>
      <c r="D390" t="s">
        <v>21</v>
      </c>
      <c r="F390" t="str">
        <f>IF(BBDD_fashion_boutique[[#This Row],[category]]="Accessories","Accesorio",IF(BBDD_fashion_boutique[[#This Row],[size]]="","Desconocido",BBDD_fashion_boutique[[#This Row],[size]]))</f>
        <v>Accesorio</v>
      </c>
      <c r="G390" t="s">
        <v>50</v>
      </c>
      <c r="H390" s="2">
        <v>28.82</v>
      </c>
      <c r="I390">
        <v>0</v>
      </c>
      <c r="J390" s="5">
        <f>BBDD_fashion_boutique[[#This Row],[markdown_percentage]]/100</f>
        <v>0</v>
      </c>
      <c r="K390" s="2">
        <v>28.82</v>
      </c>
      <c r="L390" s="2">
        <f>BBDD_fashion_boutique[[#This Row],[original_price]]-BBDD_fashion_boutique[[#This Row],[current_price]]</f>
        <v>0</v>
      </c>
      <c r="M390" s="1">
        <v>45588</v>
      </c>
      <c r="N390" s="1" t="str">
        <f>PROPER(TEXT(BBDD_fashion_boutique[[#This Row],[purchase_date]],"dddd"))</f>
        <v>Miércoles</v>
      </c>
      <c r="O390" s="1" t="str">
        <f>PROPER(TEXT(BBDD_fashion_boutique[[#This Row],[purchase_date]],"mmmm"))</f>
        <v>Octubre</v>
      </c>
      <c r="P390" s="4">
        <v>30</v>
      </c>
      <c r="Q390" s="2">
        <v>2.8</v>
      </c>
      <c r="R390" t="str">
        <f>IF(BBDD_fashion_boutique[[#This Row],[stock_quantity]]&gt;9,"Ok",IF(BBDD_fashion_boutique[[#This Row],[stock_quantity]]=0,"Agotado","Pocas Unidades"))</f>
        <v>Ok</v>
      </c>
      <c r="S390" s="3">
        <f>IF(BBDD_fashion_boutique[[#This Row],[customer_rating]]="","No valorado",BBDD_fashion_boutique[[#This Row],[customer_rating]])</f>
        <v>2.8</v>
      </c>
      <c r="T390" t="s">
        <v>24</v>
      </c>
      <c r="V390">
        <f>IF(BBDD_fashion_boutique[[#This Row],[is_returned]]="False",0,1)</f>
        <v>0</v>
      </c>
      <c r="W390">
        <f>IF(BBDD_fashion_boutique[[#This Row],[is_returned]]="True",0,BBDD_fashion_boutique[[#This Row],[current_price]])</f>
        <v>28.82</v>
      </c>
      <c r="X390" t="str">
        <f>IF(BBDD_fashion_boutique[[#This Row],[return_reason]]="","No return",BBDD_fashion_boutique[[#This Row],[return_reason]])</f>
        <v>No return</v>
      </c>
      <c r="Y390">
        <f>IF(IFERROR(VLOOKUP(BBDD_fashion_boutique[[#This Row],[product_id]],A391:A2566,1,FALSE),0),1,0)</f>
        <v>0</v>
      </c>
    </row>
    <row r="391" spans="1:25" x14ac:dyDescent="0.3">
      <c r="A391" t="s">
        <v>450</v>
      </c>
      <c r="B391" t="s">
        <v>35</v>
      </c>
      <c r="C391" t="s">
        <v>81</v>
      </c>
      <c r="D391" t="s">
        <v>68</v>
      </c>
      <c r="E391" t="s">
        <v>29</v>
      </c>
      <c r="F391" t="str">
        <f>IF(BBDD_fashion_boutique[[#This Row],[category]]="Accessories","Accesorio",IF(BBDD_fashion_boutique[[#This Row],[size]]="","Desconocido",BBDD_fashion_boutique[[#This Row],[size]]))</f>
        <v>L</v>
      </c>
      <c r="G391" t="s">
        <v>30</v>
      </c>
      <c r="H391" s="2">
        <v>79.59</v>
      </c>
      <c r="I391">
        <v>24.3</v>
      </c>
      <c r="J391" s="5">
        <f>BBDD_fashion_boutique[[#This Row],[markdown_percentage]]/100</f>
        <v>0.24299999999999999</v>
      </c>
      <c r="K391" s="2">
        <v>60.25</v>
      </c>
      <c r="L391" s="2">
        <f>BBDD_fashion_boutique[[#This Row],[original_price]]-BBDD_fashion_boutique[[#This Row],[current_price]]</f>
        <v>19.340000000000003</v>
      </c>
      <c r="M391" s="1">
        <v>45875</v>
      </c>
      <c r="N391" s="1" t="str">
        <f>PROPER(TEXT(BBDD_fashion_boutique[[#This Row],[purchase_date]],"dddd"))</f>
        <v>Miércoles</v>
      </c>
      <c r="O391" s="1" t="str">
        <f>PROPER(TEXT(BBDD_fashion_boutique[[#This Row],[purchase_date]],"mmmm"))</f>
        <v>Agosto</v>
      </c>
      <c r="P391" s="4">
        <v>37</v>
      </c>
      <c r="Q391" s="2">
        <v>1.7</v>
      </c>
      <c r="R391" t="str">
        <f>IF(BBDD_fashion_boutique[[#This Row],[stock_quantity]]&gt;9,"Ok",IF(BBDD_fashion_boutique[[#This Row],[stock_quantity]]=0,"Agotado","Pocas Unidades"))</f>
        <v>Ok</v>
      </c>
      <c r="S391" s="3">
        <f>IF(BBDD_fashion_boutique[[#This Row],[customer_rating]]="","No valorado",BBDD_fashion_boutique[[#This Row],[customer_rating]])</f>
        <v>1.7</v>
      </c>
      <c r="T391" t="s">
        <v>24</v>
      </c>
      <c r="V391">
        <f>IF(BBDD_fashion_boutique[[#This Row],[is_returned]]="False",0,1)</f>
        <v>0</v>
      </c>
      <c r="W391">
        <f>IF(BBDD_fashion_boutique[[#This Row],[is_returned]]="True",0,BBDD_fashion_boutique[[#This Row],[current_price]])</f>
        <v>60.25</v>
      </c>
      <c r="X391" t="str">
        <f>IF(BBDD_fashion_boutique[[#This Row],[return_reason]]="","No return",BBDD_fashion_boutique[[#This Row],[return_reason]])</f>
        <v>No return</v>
      </c>
      <c r="Y391">
        <f>IF(IFERROR(VLOOKUP(BBDD_fashion_boutique[[#This Row],[product_id]],A392:A2567,1,FALSE),0),1,0)</f>
        <v>0</v>
      </c>
    </row>
    <row r="392" spans="1:25" x14ac:dyDescent="0.3">
      <c r="A392" t="s">
        <v>451</v>
      </c>
      <c r="B392" t="s">
        <v>48</v>
      </c>
      <c r="C392" t="s">
        <v>67</v>
      </c>
      <c r="D392" t="s">
        <v>39</v>
      </c>
      <c r="E392" t="s">
        <v>22</v>
      </c>
      <c r="F392" t="str">
        <f>IF(BBDD_fashion_boutique[[#This Row],[category]]="Accessories","Accesorio",IF(BBDD_fashion_boutique[[#This Row],[size]]="","Desconocido",BBDD_fashion_boutique[[#This Row],[size]]))</f>
        <v>XL</v>
      </c>
      <c r="G392" t="s">
        <v>50</v>
      </c>
      <c r="H392" s="2">
        <v>49.44</v>
      </c>
      <c r="I392">
        <v>0</v>
      </c>
      <c r="J392" s="5">
        <f>BBDD_fashion_boutique[[#This Row],[markdown_percentage]]/100</f>
        <v>0</v>
      </c>
      <c r="K392" s="2">
        <v>49.44</v>
      </c>
      <c r="L392" s="2">
        <f>BBDD_fashion_boutique[[#This Row],[original_price]]-BBDD_fashion_boutique[[#This Row],[current_price]]</f>
        <v>0</v>
      </c>
      <c r="M392" s="1">
        <v>45875</v>
      </c>
      <c r="N392" s="1" t="str">
        <f>PROPER(TEXT(BBDD_fashion_boutique[[#This Row],[purchase_date]],"dddd"))</f>
        <v>Miércoles</v>
      </c>
      <c r="O392" s="1" t="str">
        <f>PROPER(TEXT(BBDD_fashion_boutique[[#This Row],[purchase_date]],"mmmm"))</f>
        <v>Agosto</v>
      </c>
      <c r="P392" s="4">
        <v>19</v>
      </c>
      <c r="Q392" s="2">
        <v>3.4</v>
      </c>
      <c r="R392" t="str">
        <f>IF(BBDD_fashion_boutique[[#This Row],[stock_quantity]]&gt;9,"Ok",IF(BBDD_fashion_boutique[[#This Row],[stock_quantity]]=0,"Agotado","Pocas Unidades"))</f>
        <v>Ok</v>
      </c>
      <c r="S392" s="3">
        <f>IF(BBDD_fashion_boutique[[#This Row],[customer_rating]]="","No valorado",BBDD_fashion_boutique[[#This Row],[customer_rating]])</f>
        <v>3.4</v>
      </c>
      <c r="T392" t="s">
        <v>24</v>
      </c>
      <c r="V392">
        <f>IF(BBDD_fashion_boutique[[#This Row],[is_returned]]="False",0,1)</f>
        <v>0</v>
      </c>
      <c r="W392">
        <f>IF(BBDD_fashion_boutique[[#This Row],[is_returned]]="True",0,BBDD_fashion_boutique[[#This Row],[current_price]])</f>
        <v>49.44</v>
      </c>
      <c r="X392" t="str">
        <f>IF(BBDD_fashion_boutique[[#This Row],[return_reason]]="","No return",BBDD_fashion_boutique[[#This Row],[return_reason]])</f>
        <v>No return</v>
      </c>
      <c r="Y392">
        <f>IF(IFERROR(VLOOKUP(BBDD_fashion_boutique[[#This Row],[product_id]],A393:A2568,1,FALSE),0),1,0)</f>
        <v>0</v>
      </c>
    </row>
    <row r="393" spans="1:25" x14ac:dyDescent="0.3">
      <c r="A393" t="s">
        <v>452</v>
      </c>
      <c r="B393" t="s">
        <v>26</v>
      </c>
      <c r="C393" t="s">
        <v>49</v>
      </c>
      <c r="D393" t="s">
        <v>28</v>
      </c>
      <c r="E393" t="s">
        <v>61</v>
      </c>
      <c r="F393" t="str">
        <f>IF(BBDD_fashion_boutique[[#This Row],[category]]="Accessories","Accesorio",IF(BBDD_fashion_boutique[[#This Row],[size]]="","Desconocido",BBDD_fashion_boutique[[#This Row],[size]]))</f>
        <v>XS</v>
      </c>
      <c r="G393" t="s">
        <v>50</v>
      </c>
      <c r="H393" s="2">
        <v>41.46</v>
      </c>
      <c r="I393">
        <v>0</v>
      </c>
      <c r="J393" s="5">
        <f>BBDD_fashion_boutique[[#This Row],[markdown_percentage]]/100</f>
        <v>0</v>
      </c>
      <c r="K393" s="2">
        <v>41.46</v>
      </c>
      <c r="L393" s="2">
        <f>BBDD_fashion_boutique[[#This Row],[original_price]]-BBDD_fashion_boutique[[#This Row],[current_price]]</f>
        <v>0</v>
      </c>
      <c r="M393" s="1">
        <v>45875</v>
      </c>
      <c r="N393" s="1" t="str">
        <f>PROPER(TEXT(BBDD_fashion_boutique[[#This Row],[purchase_date]],"dddd"))</f>
        <v>Miércoles</v>
      </c>
      <c r="O393" s="1" t="str">
        <f>PROPER(TEXT(BBDD_fashion_boutique[[#This Row],[purchase_date]],"mmmm"))</f>
        <v>Agosto</v>
      </c>
      <c r="P393" s="4">
        <v>36</v>
      </c>
      <c r="Q393" s="2">
        <v>3.5</v>
      </c>
      <c r="R393" t="str">
        <f>IF(BBDD_fashion_boutique[[#This Row],[stock_quantity]]&gt;9,"Ok",IF(BBDD_fashion_boutique[[#This Row],[stock_quantity]]=0,"Agotado","Pocas Unidades"))</f>
        <v>Ok</v>
      </c>
      <c r="S393" s="3">
        <f>IF(BBDD_fashion_boutique[[#This Row],[customer_rating]]="","No valorado",BBDD_fashion_boutique[[#This Row],[customer_rating]])</f>
        <v>3.5</v>
      </c>
      <c r="T393" t="s">
        <v>24</v>
      </c>
      <c r="V393">
        <f>IF(BBDD_fashion_boutique[[#This Row],[is_returned]]="False",0,1)</f>
        <v>0</v>
      </c>
      <c r="W393">
        <f>IF(BBDD_fashion_boutique[[#This Row],[is_returned]]="True",0,BBDD_fashion_boutique[[#This Row],[current_price]])</f>
        <v>41.46</v>
      </c>
      <c r="X393" t="str">
        <f>IF(BBDD_fashion_boutique[[#This Row],[return_reason]]="","No return",BBDD_fashion_boutique[[#This Row],[return_reason]])</f>
        <v>No return</v>
      </c>
      <c r="Y393">
        <f>IF(IFERROR(VLOOKUP(BBDD_fashion_boutique[[#This Row],[product_id]],A394:A2569,1,FALSE),0),1,0)</f>
        <v>0</v>
      </c>
    </row>
    <row r="394" spans="1:25" x14ac:dyDescent="0.3">
      <c r="A394" t="s">
        <v>453</v>
      </c>
      <c r="B394" t="s">
        <v>48</v>
      </c>
      <c r="C394" t="s">
        <v>27</v>
      </c>
      <c r="D394" t="s">
        <v>39</v>
      </c>
      <c r="E394" t="s">
        <v>61</v>
      </c>
      <c r="F394" t="str">
        <f>IF(BBDD_fashion_boutique[[#This Row],[category]]="Accessories","Accesorio",IF(BBDD_fashion_boutique[[#This Row],[size]]="","Desconocido",BBDD_fashion_boutique[[#This Row],[size]]))</f>
        <v>XS</v>
      </c>
      <c r="G394" t="s">
        <v>62</v>
      </c>
      <c r="H394" s="2">
        <v>131.76</v>
      </c>
      <c r="I394">
        <v>35.4</v>
      </c>
      <c r="J394" s="5">
        <f>BBDD_fashion_boutique[[#This Row],[markdown_percentage]]/100</f>
        <v>0.35399999999999998</v>
      </c>
      <c r="K394" s="2">
        <v>85.12</v>
      </c>
      <c r="L394" s="2">
        <f>BBDD_fashion_boutique[[#This Row],[original_price]]-BBDD_fashion_boutique[[#This Row],[current_price]]</f>
        <v>46.639999999999986</v>
      </c>
      <c r="M394" s="1">
        <v>45875</v>
      </c>
      <c r="N394" s="1" t="str">
        <f>PROPER(TEXT(BBDD_fashion_boutique[[#This Row],[purchase_date]],"dddd"))</f>
        <v>Miércoles</v>
      </c>
      <c r="O394" s="1" t="str">
        <f>PROPER(TEXT(BBDD_fashion_boutique[[#This Row],[purchase_date]],"mmmm"))</f>
        <v>Agosto</v>
      </c>
      <c r="P394" s="4">
        <v>21</v>
      </c>
      <c r="Q394" s="2">
        <v>4.7</v>
      </c>
      <c r="R394" t="str">
        <f>IF(BBDD_fashion_boutique[[#This Row],[stock_quantity]]&gt;9,"Ok",IF(BBDD_fashion_boutique[[#This Row],[stock_quantity]]=0,"Agotado","Pocas Unidades"))</f>
        <v>Ok</v>
      </c>
      <c r="S394" s="3">
        <f>IF(BBDD_fashion_boutique[[#This Row],[customer_rating]]="","No valorado",BBDD_fashion_boutique[[#This Row],[customer_rating]])</f>
        <v>4.7</v>
      </c>
      <c r="T394" t="s">
        <v>24</v>
      </c>
      <c r="V394">
        <f>IF(BBDD_fashion_boutique[[#This Row],[is_returned]]="False",0,1)</f>
        <v>0</v>
      </c>
      <c r="W394">
        <f>IF(BBDD_fashion_boutique[[#This Row],[is_returned]]="True",0,BBDD_fashion_boutique[[#This Row],[current_price]])</f>
        <v>85.12</v>
      </c>
      <c r="X394" t="str">
        <f>IF(BBDD_fashion_boutique[[#This Row],[return_reason]]="","No return",BBDD_fashion_boutique[[#This Row],[return_reason]])</f>
        <v>No return</v>
      </c>
      <c r="Y394">
        <f>IF(IFERROR(VLOOKUP(BBDD_fashion_boutique[[#This Row],[product_id]],A395:A2570,1,FALSE),0),1,0)</f>
        <v>0</v>
      </c>
    </row>
    <row r="395" spans="1:25" x14ac:dyDescent="0.3">
      <c r="A395" t="s">
        <v>454</v>
      </c>
      <c r="B395" t="s">
        <v>44</v>
      </c>
      <c r="C395" t="s">
        <v>49</v>
      </c>
      <c r="D395" t="s">
        <v>39</v>
      </c>
      <c r="E395" t="s">
        <v>64</v>
      </c>
      <c r="F395" t="str">
        <f>IF(BBDD_fashion_boutique[[#This Row],[category]]="Accessories","Accesorio",IF(BBDD_fashion_boutique[[#This Row],[size]]="","Desconocido",BBDD_fashion_boutique[[#This Row],[size]]))</f>
        <v>M</v>
      </c>
      <c r="G395" t="s">
        <v>50</v>
      </c>
      <c r="H395" s="2">
        <v>56.53</v>
      </c>
      <c r="I395">
        <v>27.9</v>
      </c>
      <c r="J395" s="5">
        <f>BBDD_fashion_boutique[[#This Row],[markdown_percentage]]/100</f>
        <v>0.27899999999999997</v>
      </c>
      <c r="K395" s="2">
        <v>40.76</v>
      </c>
      <c r="L395" s="2">
        <f>BBDD_fashion_boutique[[#This Row],[original_price]]-BBDD_fashion_boutique[[#This Row],[current_price]]</f>
        <v>15.770000000000003</v>
      </c>
      <c r="M395" s="1">
        <v>45875</v>
      </c>
      <c r="N395" s="1" t="str">
        <f>PROPER(TEXT(BBDD_fashion_boutique[[#This Row],[purchase_date]],"dddd"))</f>
        <v>Miércoles</v>
      </c>
      <c r="O395" s="1" t="str">
        <f>PROPER(TEXT(BBDD_fashion_boutique[[#This Row],[purchase_date]],"mmmm"))</f>
        <v>Agosto</v>
      </c>
      <c r="P395" s="4">
        <v>22</v>
      </c>
      <c r="R395" t="str">
        <f>IF(BBDD_fashion_boutique[[#This Row],[stock_quantity]]&gt;9,"Ok",IF(BBDD_fashion_boutique[[#This Row],[stock_quantity]]=0,"Agotado","Pocas Unidades"))</f>
        <v>Ok</v>
      </c>
      <c r="S395" s="3" t="str">
        <f>IF(BBDD_fashion_boutique[[#This Row],[customer_rating]]="","No valorado",BBDD_fashion_boutique[[#This Row],[customer_rating]])</f>
        <v>No valorado</v>
      </c>
      <c r="T395" t="s">
        <v>24</v>
      </c>
      <c r="V395">
        <f>IF(BBDD_fashion_boutique[[#This Row],[is_returned]]="False",0,1)</f>
        <v>0</v>
      </c>
      <c r="W395">
        <f>IF(BBDD_fashion_boutique[[#This Row],[is_returned]]="True",0,BBDD_fashion_boutique[[#This Row],[current_price]])</f>
        <v>40.76</v>
      </c>
      <c r="X395" t="str">
        <f>IF(BBDD_fashion_boutique[[#This Row],[return_reason]]="","No return",BBDD_fashion_boutique[[#This Row],[return_reason]])</f>
        <v>No return</v>
      </c>
      <c r="Y395">
        <f>IF(IFERROR(VLOOKUP(BBDD_fashion_boutique[[#This Row],[product_id]],A396:A2571,1,FALSE),0),1,0)</f>
        <v>0</v>
      </c>
    </row>
    <row r="396" spans="1:25" x14ac:dyDescent="0.3">
      <c r="A396" t="s">
        <v>455</v>
      </c>
      <c r="B396" t="s">
        <v>26</v>
      </c>
      <c r="C396" t="s">
        <v>20</v>
      </c>
      <c r="D396" t="s">
        <v>28</v>
      </c>
      <c r="F396" t="str">
        <f>IF(BBDD_fashion_boutique[[#This Row],[category]]="Accessories","Accesorio",IF(BBDD_fashion_boutique[[#This Row],[size]]="","Desconocido",BBDD_fashion_boutique[[#This Row],[size]]))</f>
        <v>Desconocido</v>
      </c>
      <c r="G396" t="s">
        <v>50</v>
      </c>
      <c r="H396" s="2">
        <v>111.72</v>
      </c>
      <c r="I396">
        <v>33.299999999999997</v>
      </c>
      <c r="J396" s="5">
        <f>BBDD_fashion_boutique[[#This Row],[markdown_percentage]]/100</f>
        <v>0.33299999999999996</v>
      </c>
      <c r="K396" s="2">
        <v>74.52</v>
      </c>
      <c r="L396" s="2">
        <f>BBDD_fashion_boutique[[#This Row],[original_price]]-BBDD_fashion_boutique[[#This Row],[current_price]]</f>
        <v>37.200000000000003</v>
      </c>
      <c r="M396" s="1">
        <v>45875</v>
      </c>
      <c r="N396" s="1" t="str">
        <f>PROPER(TEXT(BBDD_fashion_boutique[[#This Row],[purchase_date]],"dddd"))</f>
        <v>Miércoles</v>
      </c>
      <c r="O396" s="1" t="str">
        <f>PROPER(TEXT(BBDD_fashion_boutique[[#This Row],[purchase_date]],"mmmm"))</f>
        <v>Agosto</v>
      </c>
      <c r="P396" s="4">
        <v>47</v>
      </c>
      <c r="Q396" s="2">
        <v>2</v>
      </c>
      <c r="R396" t="str">
        <f>IF(BBDD_fashion_boutique[[#This Row],[stock_quantity]]&gt;9,"Ok",IF(BBDD_fashion_boutique[[#This Row],[stock_quantity]]=0,"Agotado","Pocas Unidades"))</f>
        <v>Ok</v>
      </c>
      <c r="S396" s="3">
        <f>IF(BBDD_fashion_boutique[[#This Row],[customer_rating]]="","No valorado",BBDD_fashion_boutique[[#This Row],[customer_rating]])</f>
        <v>2</v>
      </c>
      <c r="T396" t="s">
        <v>41</v>
      </c>
      <c r="U396" t="s">
        <v>89</v>
      </c>
      <c r="V396">
        <f>IF(BBDD_fashion_boutique[[#This Row],[is_returned]]="False",0,1)</f>
        <v>1</v>
      </c>
      <c r="W396">
        <f>IF(BBDD_fashion_boutique[[#This Row],[is_returned]]="True",0,BBDD_fashion_boutique[[#This Row],[current_price]])</f>
        <v>0</v>
      </c>
      <c r="X396" t="str">
        <f>IF(BBDD_fashion_boutique[[#This Row],[return_reason]]="","No return",BBDD_fashion_boutique[[#This Row],[return_reason]])</f>
        <v>Quality Issue</v>
      </c>
      <c r="Y396">
        <f>IF(IFERROR(VLOOKUP(BBDD_fashion_boutique[[#This Row],[product_id]],A397:A2572,1,FALSE),0),1,0)</f>
        <v>0</v>
      </c>
    </row>
    <row r="397" spans="1:25" x14ac:dyDescent="0.3">
      <c r="A397" t="s">
        <v>456</v>
      </c>
      <c r="B397" t="s">
        <v>26</v>
      </c>
      <c r="C397" t="s">
        <v>20</v>
      </c>
      <c r="D397" t="s">
        <v>28</v>
      </c>
      <c r="E397" t="s">
        <v>29</v>
      </c>
      <c r="F397" t="str">
        <f>IF(BBDD_fashion_boutique[[#This Row],[category]]="Accessories","Accesorio",IF(BBDD_fashion_boutique[[#This Row],[size]]="","Desconocido",BBDD_fashion_boutique[[#This Row],[size]]))</f>
        <v>L</v>
      </c>
      <c r="G397" t="s">
        <v>62</v>
      </c>
      <c r="H397" s="2">
        <v>99.96</v>
      </c>
      <c r="I397">
        <v>47.6</v>
      </c>
      <c r="J397" s="5">
        <f>BBDD_fashion_boutique[[#This Row],[markdown_percentage]]/100</f>
        <v>0.47600000000000003</v>
      </c>
      <c r="K397" s="2">
        <v>52.38</v>
      </c>
      <c r="L397" s="2">
        <f>BBDD_fashion_boutique[[#This Row],[original_price]]-BBDD_fashion_boutique[[#This Row],[current_price]]</f>
        <v>47.579999999999991</v>
      </c>
      <c r="M397" s="1">
        <v>45875</v>
      </c>
      <c r="N397" s="1" t="str">
        <f>PROPER(TEXT(BBDD_fashion_boutique[[#This Row],[purchase_date]],"dddd"))</f>
        <v>Miércoles</v>
      </c>
      <c r="O397" s="1" t="str">
        <f>PROPER(TEXT(BBDD_fashion_boutique[[#This Row],[purchase_date]],"mmmm"))</f>
        <v>Agosto</v>
      </c>
      <c r="P397" s="4">
        <v>18</v>
      </c>
      <c r="Q397" s="2">
        <v>2</v>
      </c>
      <c r="R397" t="str">
        <f>IF(BBDD_fashion_boutique[[#This Row],[stock_quantity]]&gt;9,"Ok",IF(BBDD_fashion_boutique[[#This Row],[stock_quantity]]=0,"Agotado","Pocas Unidades"))</f>
        <v>Ok</v>
      </c>
      <c r="S397" s="3">
        <f>IF(BBDD_fashion_boutique[[#This Row],[customer_rating]]="","No valorado",BBDD_fashion_boutique[[#This Row],[customer_rating]])</f>
        <v>2</v>
      </c>
      <c r="T397" t="s">
        <v>41</v>
      </c>
      <c r="U397" t="s">
        <v>89</v>
      </c>
      <c r="V397">
        <f>IF(BBDD_fashion_boutique[[#This Row],[is_returned]]="False",0,1)</f>
        <v>1</v>
      </c>
      <c r="W397">
        <f>IF(BBDD_fashion_boutique[[#This Row],[is_returned]]="True",0,BBDD_fashion_boutique[[#This Row],[current_price]])</f>
        <v>0</v>
      </c>
      <c r="X397" t="str">
        <f>IF(BBDD_fashion_boutique[[#This Row],[return_reason]]="","No return",BBDD_fashion_boutique[[#This Row],[return_reason]])</f>
        <v>Quality Issue</v>
      </c>
      <c r="Y397">
        <f>IF(IFERROR(VLOOKUP(BBDD_fashion_boutique[[#This Row],[product_id]],A398:A2573,1,FALSE),0),1,0)</f>
        <v>0</v>
      </c>
    </row>
    <row r="398" spans="1:25" x14ac:dyDescent="0.3">
      <c r="A398" t="s">
        <v>457</v>
      </c>
      <c r="B398" t="s">
        <v>48</v>
      </c>
      <c r="C398" t="s">
        <v>27</v>
      </c>
      <c r="D398" t="s">
        <v>39</v>
      </c>
      <c r="E398" t="s">
        <v>61</v>
      </c>
      <c r="F398" t="str">
        <f>IF(BBDD_fashion_boutique[[#This Row],[category]]="Accessories","Accesorio",IF(BBDD_fashion_boutique[[#This Row],[size]]="","Desconocido",BBDD_fashion_boutique[[#This Row],[size]]))</f>
        <v>XS</v>
      </c>
      <c r="G398" t="s">
        <v>23</v>
      </c>
      <c r="H398" s="2">
        <v>110.04</v>
      </c>
      <c r="I398">
        <v>57.1</v>
      </c>
      <c r="J398" s="5">
        <f>BBDD_fashion_boutique[[#This Row],[markdown_percentage]]/100</f>
        <v>0.57100000000000006</v>
      </c>
      <c r="K398" s="2">
        <v>47.21</v>
      </c>
      <c r="L398" s="2">
        <f>BBDD_fashion_boutique[[#This Row],[original_price]]-BBDD_fashion_boutique[[#This Row],[current_price]]</f>
        <v>62.830000000000005</v>
      </c>
      <c r="M398" s="1">
        <v>45875</v>
      </c>
      <c r="N398" s="1" t="str">
        <f>PROPER(TEXT(BBDD_fashion_boutique[[#This Row],[purchase_date]],"dddd"))</f>
        <v>Miércoles</v>
      </c>
      <c r="O398" s="1" t="str">
        <f>PROPER(TEXT(BBDD_fashion_boutique[[#This Row],[purchase_date]],"mmmm"))</f>
        <v>Agosto</v>
      </c>
      <c r="P398" s="4">
        <v>0</v>
      </c>
      <c r="Q398" s="2">
        <v>4.7</v>
      </c>
      <c r="R398" t="str">
        <f>IF(BBDD_fashion_boutique[[#This Row],[stock_quantity]]&gt;9,"Ok",IF(BBDD_fashion_boutique[[#This Row],[stock_quantity]]=0,"Agotado","Pocas Unidades"))</f>
        <v>Agotado</v>
      </c>
      <c r="S398" s="3">
        <f>IF(BBDD_fashion_boutique[[#This Row],[customer_rating]]="","No valorado",BBDD_fashion_boutique[[#This Row],[customer_rating]])</f>
        <v>4.7</v>
      </c>
      <c r="T398" t="s">
        <v>24</v>
      </c>
      <c r="V398">
        <f>IF(BBDD_fashion_boutique[[#This Row],[is_returned]]="False",0,1)</f>
        <v>0</v>
      </c>
      <c r="W398">
        <f>IF(BBDD_fashion_boutique[[#This Row],[is_returned]]="True",0,BBDD_fashion_boutique[[#This Row],[current_price]])</f>
        <v>47.21</v>
      </c>
      <c r="X398" t="str">
        <f>IF(BBDD_fashion_boutique[[#This Row],[return_reason]]="","No return",BBDD_fashion_boutique[[#This Row],[return_reason]])</f>
        <v>No return</v>
      </c>
      <c r="Y398">
        <f>IF(IFERROR(VLOOKUP(BBDD_fashion_boutique[[#This Row],[product_id]],A399:A2574,1,FALSE),0),1,0)</f>
        <v>0</v>
      </c>
    </row>
    <row r="399" spans="1:25" x14ac:dyDescent="0.3">
      <c r="A399" t="s">
        <v>458</v>
      </c>
      <c r="B399" t="s">
        <v>48</v>
      </c>
      <c r="C399" t="s">
        <v>81</v>
      </c>
      <c r="D399" t="s">
        <v>28</v>
      </c>
      <c r="E399" t="s">
        <v>29</v>
      </c>
      <c r="F399" t="str">
        <f>IF(BBDD_fashion_boutique[[#This Row],[category]]="Accessories","Accesorio",IF(BBDD_fashion_boutique[[#This Row],[size]]="","Desconocido",BBDD_fashion_boutique[[#This Row],[size]]))</f>
        <v>L</v>
      </c>
      <c r="G399" t="s">
        <v>50</v>
      </c>
      <c r="H399" s="2">
        <v>141.84</v>
      </c>
      <c r="I399">
        <v>0</v>
      </c>
      <c r="J399" s="5">
        <f>BBDD_fashion_boutique[[#This Row],[markdown_percentage]]/100</f>
        <v>0</v>
      </c>
      <c r="K399" s="2">
        <v>141.84</v>
      </c>
      <c r="L399" s="2">
        <f>BBDD_fashion_boutique[[#This Row],[original_price]]-BBDD_fashion_boutique[[#This Row],[current_price]]</f>
        <v>0</v>
      </c>
      <c r="M399" s="1">
        <v>45875</v>
      </c>
      <c r="N399" s="1" t="str">
        <f>PROPER(TEXT(BBDD_fashion_boutique[[#This Row],[purchase_date]],"dddd"))</f>
        <v>Miércoles</v>
      </c>
      <c r="O399" s="1" t="str">
        <f>PROPER(TEXT(BBDD_fashion_boutique[[#This Row],[purchase_date]],"mmmm"))</f>
        <v>Agosto</v>
      </c>
      <c r="P399" s="4">
        <v>39</v>
      </c>
      <c r="Q399" s="2">
        <v>1.7</v>
      </c>
      <c r="R399" t="str">
        <f>IF(BBDD_fashion_boutique[[#This Row],[stock_quantity]]&gt;9,"Ok",IF(BBDD_fashion_boutique[[#This Row],[stock_quantity]]=0,"Agotado","Pocas Unidades"))</f>
        <v>Ok</v>
      </c>
      <c r="S399" s="3">
        <f>IF(BBDD_fashion_boutique[[#This Row],[customer_rating]]="","No valorado",BBDD_fashion_boutique[[#This Row],[customer_rating]])</f>
        <v>1.7</v>
      </c>
      <c r="T399" t="s">
        <v>24</v>
      </c>
      <c r="V399">
        <f>IF(BBDD_fashion_boutique[[#This Row],[is_returned]]="False",0,1)</f>
        <v>0</v>
      </c>
      <c r="W399">
        <f>IF(BBDD_fashion_boutique[[#This Row],[is_returned]]="True",0,BBDD_fashion_boutique[[#This Row],[current_price]])</f>
        <v>141.84</v>
      </c>
      <c r="X399" t="str">
        <f>IF(BBDD_fashion_boutique[[#This Row],[return_reason]]="","No return",BBDD_fashion_boutique[[#This Row],[return_reason]])</f>
        <v>No return</v>
      </c>
      <c r="Y399">
        <f>IF(IFERROR(VLOOKUP(BBDD_fashion_boutique[[#This Row],[product_id]],A400:A2575,1,FALSE),0),1,0)</f>
        <v>0</v>
      </c>
    </row>
    <row r="400" spans="1:25" x14ac:dyDescent="0.3">
      <c r="A400" t="s">
        <v>459</v>
      </c>
      <c r="B400" t="s">
        <v>32</v>
      </c>
      <c r="C400" t="s">
        <v>54</v>
      </c>
      <c r="D400" t="s">
        <v>28</v>
      </c>
      <c r="F400" t="str">
        <f>IF(BBDD_fashion_boutique[[#This Row],[category]]="Accessories","Accesorio",IF(BBDD_fashion_boutique[[#This Row],[size]]="","Desconocido",BBDD_fashion_boutique[[#This Row],[size]]))</f>
        <v>Accesorio</v>
      </c>
      <c r="G400" t="s">
        <v>76</v>
      </c>
      <c r="H400" s="2">
        <v>32.630000000000003</v>
      </c>
      <c r="I400">
        <v>42.9</v>
      </c>
      <c r="J400" s="5">
        <f>BBDD_fashion_boutique[[#This Row],[markdown_percentage]]/100</f>
        <v>0.42899999999999999</v>
      </c>
      <c r="K400" s="2">
        <v>18.63</v>
      </c>
      <c r="L400" s="2">
        <f>BBDD_fashion_boutique[[#This Row],[original_price]]-BBDD_fashion_boutique[[#This Row],[current_price]]</f>
        <v>14.000000000000004</v>
      </c>
      <c r="M400" s="1">
        <v>45875</v>
      </c>
      <c r="N400" s="1" t="str">
        <f>PROPER(TEXT(BBDD_fashion_boutique[[#This Row],[purchase_date]],"dddd"))</f>
        <v>Miércoles</v>
      </c>
      <c r="O400" s="1" t="str">
        <f>PROPER(TEXT(BBDD_fashion_boutique[[#This Row],[purchase_date]],"mmmm"))</f>
        <v>Agosto</v>
      </c>
      <c r="P400" s="4">
        <v>5</v>
      </c>
      <c r="Q400" s="2">
        <v>1.1000000000000001</v>
      </c>
      <c r="R400" t="str">
        <f>IF(BBDD_fashion_boutique[[#This Row],[stock_quantity]]&gt;9,"Ok",IF(BBDD_fashion_boutique[[#This Row],[stock_quantity]]=0,"Agotado","Pocas Unidades"))</f>
        <v>Pocas Unidades</v>
      </c>
      <c r="S400" s="3">
        <f>IF(BBDD_fashion_boutique[[#This Row],[customer_rating]]="","No valorado",BBDD_fashion_boutique[[#This Row],[customer_rating]])</f>
        <v>1.1000000000000001</v>
      </c>
      <c r="T400" t="s">
        <v>24</v>
      </c>
      <c r="V400">
        <f>IF(BBDD_fashion_boutique[[#This Row],[is_returned]]="False",0,1)</f>
        <v>0</v>
      </c>
      <c r="W400">
        <f>IF(BBDD_fashion_boutique[[#This Row],[is_returned]]="True",0,BBDD_fashion_boutique[[#This Row],[current_price]])</f>
        <v>18.63</v>
      </c>
      <c r="X400" t="str">
        <f>IF(BBDD_fashion_boutique[[#This Row],[return_reason]]="","No return",BBDD_fashion_boutique[[#This Row],[return_reason]])</f>
        <v>No return</v>
      </c>
      <c r="Y400">
        <f>IF(IFERROR(VLOOKUP(BBDD_fashion_boutique[[#This Row],[product_id]],A401:A2576,1,FALSE),0),1,0)</f>
        <v>0</v>
      </c>
    </row>
    <row r="401" spans="1:25" x14ac:dyDescent="0.3">
      <c r="A401" t="s">
        <v>460</v>
      </c>
      <c r="B401" t="s">
        <v>19</v>
      </c>
      <c r="C401" t="s">
        <v>20</v>
      </c>
      <c r="D401" t="s">
        <v>21</v>
      </c>
      <c r="E401" t="s">
        <v>29</v>
      </c>
      <c r="F401" t="str">
        <f>IF(BBDD_fashion_boutique[[#This Row],[category]]="Accessories","Accesorio",IF(BBDD_fashion_boutique[[#This Row],[size]]="","Desconocido",BBDD_fashion_boutique[[#This Row],[size]]))</f>
        <v>L</v>
      </c>
      <c r="G401" t="s">
        <v>33</v>
      </c>
      <c r="H401" s="2">
        <v>189.68</v>
      </c>
      <c r="I401">
        <v>40.799999999999997</v>
      </c>
      <c r="J401" s="5">
        <f>BBDD_fashion_boutique[[#This Row],[markdown_percentage]]/100</f>
        <v>0.40799999999999997</v>
      </c>
      <c r="K401" s="2">
        <v>112.29</v>
      </c>
      <c r="L401" s="2">
        <f>BBDD_fashion_boutique[[#This Row],[original_price]]-BBDD_fashion_boutique[[#This Row],[current_price]]</f>
        <v>77.39</v>
      </c>
      <c r="M401" s="1">
        <v>45556</v>
      </c>
      <c r="N401" s="1" t="str">
        <f>PROPER(TEXT(BBDD_fashion_boutique[[#This Row],[purchase_date]],"dddd"))</f>
        <v>Sábado</v>
      </c>
      <c r="O401" s="1" t="str">
        <f>PROPER(TEXT(BBDD_fashion_boutique[[#This Row],[purchase_date]],"mmmm"))</f>
        <v>Septiembre</v>
      </c>
      <c r="P401" s="4">
        <v>27</v>
      </c>
      <c r="Q401" s="2">
        <v>1.8</v>
      </c>
      <c r="R401" t="str">
        <f>IF(BBDD_fashion_boutique[[#This Row],[stock_quantity]]&gt;9,"Ok",IF(BBDD_fashion_boutique[[#This Row],[stock_quantity]]=0,"Agotado","Pocas Unidades"))</f>
        <v>Ok</v>
      </c>
      <c r="S401" s="3">
        <f>IF(BBDD_fashion_boutique[[#This Row],[customer_rating]]="","No valorado",BBDD_fashion_boutique[[#This Row],[customer_rating]])</f>
        <v>1.8</v>
      </c>
      <c r="T401" t="s">
        <v>41</v>
      </c>
      <c r="U401" t="s">
        <v>84</v>
      </c>
      <c r="V401">
        <f>IF(BBDD_fashion_boutique[[#This Row],[is_returned]]="False",0,1)</f>
        <v>1</v>
      </c>
      <c r="W401">
        <f>IF(BBDD_fashion_boutique[[#This Row],[is_returned]]="True",0,BBDD_fashion_boutique[[#This Row],[current_price]])</f>
        <v>0</v>
      </c>
      <c r="X401" t="str">
        <f>IF(BBDD_fashion_boutique[[#This Row],[return_reason]]="","No return",BBDD_fashion_boutique[[#This Row],[return_reason]])</f>
        <v>Damaged</v>
      </c>
      <c r="Y401">
        <f>IF(IFERROR(VLOOKUP(BBDD_fashion_boutique[[#This Row],[product_id]],A402:A2577,1,FALSE),0),1,0)</f>
        <v>0</v>
      </c>
    </row>
    <row r="402" spans="1:25" x14ac:dyDescent="0.3">
      <c r="A402" t="s">
        <v>461</v>
      </c>
      <c r="B402" t="s">
        <v>48</v>
      </c>
      <c r="C402" t="s">
        <v>59</v>
      </c>
      <c r="D402" t="s">
        <v>39</v>
      </c>
      <c r="E402" t="s">
        <v>22</v>
      </c>
      <c r="F402" t="str">
        <f>IF(BBDD_fashion_boutique[[#This Row],[category]]="Accessories","Accesorio",IF(BBDD_fashion_boutique[[#This Row],[size]]="","Desconocido",BBDD_fashion_boutique[[#This Row],[size]]))</f>
        <v>XL</v>
      </c>
      <c r="G402" t="s">
        <v>30</v>
      </c>
      <c r="H402" s="2">
        <v>150.88999999999999</v>
      </c>
      <c r="I402">
        <v>46.8</v>
      </c>
      <c r="J402" s="5">
        <f>BBDD_fashion_boutique[[#This Row],[markdown_percentage]]/100</f>
        <v>0.46799999999999997</v>
      </c>
      <c r="K402" s="2">
        <v>80.27</v>
      </c>
      <c r="L402" s="2">
        <f>BBDD_fashion_boutique[[#This Row],[original_price]]-BBDD_fashion_boutique[[#This Row],[current_price]]</f>
        <v>70.61999999999999</v>
      </c>
      <c r="M402" s="1">
        <v>45875</v>
      </c>
      <c r="N402" s="1" t="str">
        <f>PROPER(TEXT(BBDD_fashion_boutique[[#This Row],[purchase_date]],"dddd"))</f>
        <v>Miércoles</v>
      </c>
      <c r="O402" s="1" t="str">
        <f>PROPER(TEXT(BBDD_fashion_boutique[[#This Row],[purchase_date]],"mmmm"))</f>
        <v>Agosto</v>
      </c>
      <c r="P402" s="4">
        <v>18</v>
      </c>
      <c r="Q402" s="2">
        <v>4.9000000000000004</v>
      </c>
      <c r="R402" t="str">
        <f>IF(BBDD_fashion_boutique[[#This Row],[stock_quantity]]&gt;9,"Ok",IF(BBDD_fashion_boutique[[#This Row],[stock_quantity]]=0,"Agotado","Pocas Unidades"))</f>
        <v>Ok</v>
      </c>
      <c r="S402" s="3">
        <f>IF(BBDD_fashion_boutique[[#This Row],[customer_rating]]="","No valorado",BBDD_fashion_boutique[[#This Row],[customer_rating]])</f>
        <v>4.9000000000000004</v>
      </c>
      <c r="T402" t="s">
        <v>24</v>
      </c>
      <c r="V402">
        <f>IF(BBDD_fashion_boutique[[#This Row],[is_returned]]="False",0,1)</f>
        <v>0</v>
      </c>
      <c r="W402">
        <f>IF(BBDD_fashion_boutique[[#This Row],[is_returned]]="True",0,BBDD_fashion_boutique[[#This Row],[current_price]])</f>
        <v>80.27</v>
      </c>
      <c r="X402" t="str">
        <f>IF(BBDD_fashion_boutique[[#This Row],[return_reason]]="","No return",BBDD_fashion_boutique[[#This Row],[return_reason]])</f>
        <v>No return</v>
      </c>
      <c r="Y402">
        <f>IF(IFERROR(VLOOKUP(BBDD_fashion_boutique[[#This Row],[product_id]],A403:A2578,1,FALSE),0),1,0)</f>
        <v>0</v>
      </c>
    </row>
    <row r="403" spans="1:25" x14ac:dyDescent="0.3">
      <c r="A403" t="s">
        <v>462</v>
      </c>
      <c r="B403" t="s">
        <v>32</v>
      </c>
      <c r="C403" t="s">
        <v>67</v>
      </c>
      <c r="D403" t="s">
        <v>39</v>
      </c>
      <c r="F403" t="str">
        <f>IF(BBDD_fashion_boutique[[#This Row],[category]]="Accessories","Accesorio",IF(BBDD_fashion_boutique[[#This Row],[size]]="","Desconocido",BBDD_fashion_boutique[[#This Row],[size]]))</f>
        <v>Accesorio</v>
      </c>
      <c r="G403" t="s">
        <v>70</v>
      </c>
      <c r="H403" s="2">
        <v>42.66</v>
      </c>
      <c r="I403">
        <v>21.5</v>
      </c>
      <c r="J403" s="5">
        <f>BBDD_fashion_boutique[[#This Row],[markdown_percentage]]/100</f>
        <v>0.215</v>
      </c>
      <c r="K403" s="2">
        <v>33.49</v>
      </c>
      <c r="L403" s="2">
        <f>BBDD_fashion_boutique[[#This Row],[original_price]]-BBDD_fashion_boutique[[#This Row],[current_price]]</f>
        <v>9.1699999999999946</v>
      </c>
      <c r="M403" s="1">
        <v>45875</v>
      </c>
      <c r="N403" s="1" t="str">
        <f>PROPER(TEXT(BBDD_fashion_boutique[[#This Row],[purchase_date]],"dddd"))</f>
        <v>Miércoles</v>
      </c>
      <c r="O403" s="1" t="str">
        <f>PROPER(TEXT(BBDD_fashion_boutique[[#This Row],[purchase_date]],"mmmm"))</f>
        <v>Agosto</v>
      </c>
      <c r="P403" s="4">
        <v>16</v>
      </c>
      <c r="R403" t="str">
        <f>IF(BBDD_fashion_boutique[[#This Row],[stock_quantity]]&gt;9,"Ok",IF(BBDD_fashion_boutique[[#This Row],[stock_quantity]]=0,"Agotado","Pocas Unidades"))</f>
        <v>Ok</v>
      </c>
      <c r="S403" s="3" t="str">
        <f>IF(BBDD_fashion_boutique[[#This Row],[customer_rating]]="","No valorado",BBDD_fashion_boutique[[#This Row],[customer_rating]])</f>
        <v>No valorado</v>
      </c>
      <c r="T403" t="s">
        <v>24</v>
      </c>
      <c r="V403">
        <f>IF(BBDD_fashion_boutique[[#This Row],[is_returned]]="False",0,1)</f>
        <v>0</v>
      </c>
      <c r="W403">
        <f>IF(BBDD_fashion_boutique[[#This Row],[is_returned]]="True",0,BBDD_fashion_boutique[[#This Row],[current_price]])</f>
        <v>33.49</v>
      </c>
      <c r="X403" t="str">
        <f>IF(BBDD_fashion_boutique[[#This Row],[return_reason]]="","No return",BBDD_fashion_boutique[[#This Row],[return_reason]])</f>
        <v>No return</v>
      </c>
      <c r="Y403">
        <f>IF(IFERROR(VLOOKUP(BBDD_fashion_boutique[[#This Row],[product_id]],A404:A2579,1,FALSE),0),1,0)</f>
        <v>0</v>
      </c>
    </row>
    <row r="404" spans="1:25" x14ac:dyDescent="0.3">
      <c r="A404" t="s">
        <v>463</v>
      </c>
      <c r="B404" t="s">
        <v>32</v>
      </c>
      <c r="C404" t="s">
        <v>27</v>
      </c>
      <c r="D404" t="s">
        <v>39</v>
      </c>
      <c r="F404" t="str">
        <f>IF(BBDD_fashion_boutique[[#This Row],[category]]="Accessories","Accesorio",IF(BBDD_fashion_boutique[[#This Row],[size]]="","Desconocido",BBDD_fashion_boutique[[#This Row],[size]]))</f>
        <v>Accesorio</v>
      </c>
      <c r="G404" t="s">
        <v>23</v>
      </c>
      <c r="H404" s="2">
        <v>62.05</v>
      </c>
      <c r="I404">
        <v>0</v>
      </c>
      <c r="J404" s="5">
        <f>BBDD_fashion_boutique[[#This Row],[markdown_percentage]]/100</f>
        <v>0</v>
      </c>
      <c r="K404" s="2">
        <v>62.05</v>
      </c>
      <c r="L404" s="2">
        <f>BBDD_fashion_boutique[[#This Row],[original_price]]-BBDD_fashion_boutique[[#This Row],[current_price]]</f>
        <v>0</v>
      </c>
      <c r="M404" s="1">
        <v>45875</v>
      </c>
      <c r="N404" s="1" t="str">
        <f>PROPER(TEXT(BBDD_fashion_boutique[[#This Row],[purchase_date]],"dddd"))</f>
        <v>Miércoles</v>
      </c>
      <c r="O404" s="1" t="str">
        <f>PROPER(TEXT(BBDD_fashion_boutique[[#This Row],[purchase_date]],"mmmm"))</f>
        <v>Agosto</v>
      </c>
      <c r="P404" s="4">
        <v>50</v>
      </c>
      <c r="Q404" s="2">
        <v>1.4</v>
      </c>
      <c r="R404" t="str">
        <f>IF(BBDD_fashion_boutique[[#This Row],[stock_quantity]]&gt;9,"Ok",IF(BBDD_fashion_boutique[[#This Row],[stock_quantity]]=0,"Agotado","Pocas Unidades"))</f>
        <v>Ok</v>
      </c>
      <c r="S404" s="3">
        <f>IF(BBDD_fashion_boutique[[#This Row],[customer_rating]]="","No valorado",BBDD_fashion_boutique[[#This Row],[customer_rating]])</f>
        <v>1.4</v>
      </c>
      <c r="T404" t="s">
        <v>41</v>
      </c>
      <c r="U404" t="s">
        <v>121</v>
      </c>
      <c r="V404">
        <f>IF(BBDD_fashion_boutique[[#This Row],[is_returned]]="False",0,1)</f>
        <v>1</v>
      </c>
      <c r="W404">
        <f>IF(BBDD_fashion_boutique[[#This Row],[is_returned]]="True",0,BBDD_fashion_boutique[[#This Row],[current_price]])</f>
        <v>0</v>
      </c>
      <c r="X404" t="str">
        <f>IF(BBDD_fashion_boutique[[#This Row],[return_reason]]="","No return",BBDD_fashion_boutique[[#This Row],[return_reason]])</f>
        <v>Changed Mind</v>
      </c>
      <c r="Y404">
        <f>IF(IFERROR(VLOOKUP(BBDD_fashion_boutique[[#This Row],[product_id]],A405:A2580,1,FALSE),0),1,0)</f>
        <v>0</v>
      </c>
    </row>
    <row r="405" spans="1:25" x14ac:dyDescent="0.3">
      <c r="A405" t="s">
        <v>464</v>
      </c>
      <c r="B405" t="s">
        <v>32</v>
      </c>
      <c r="C405" t="s">
        <v>37</v>
      </c>
      <c r="D405" t="s">
        <v>28</v>
      </c>
      <c r="F405" t="str">
        <f>IF(BBDD_fashion_boutique[[#This Row],[category]]="Accessories","Accesorio",IF(BBDD_fashion_boutique[[#This Row],[size]]="","Desconocido",BBDD_fashion_boutique[[#This Row],[size]]))</f>
        <v>Accesorio</v>
      </c>
      <c r="G405" t="s">
        <v>52</v>
      </c>
      <c r="H405" s="2">
        <v>74.319999999999993</v>
      </c>
      <c r="I405">
        <v>0</v>
      </c>
      <c r="J405" s="5">
        <f>BBDD_fashion_boutique[[#This Row],[markdown_percentage]]/100</f>
        <v>0</v>
      </c>
      <c r="K405" s="2">
        <v>74.319999999999993</v>
      </c>
      <c r="L405" s="2">
        <f>BBDD_fashion_boutique[[#This Row],[original_price]]-BBDD_fashion_boutique[[#This Row],[current_price]]</f>
        <v>0</v>
      </c>
      <c r="M405" s="1">
        <v>45875</v>
      </c>
      <c r="N405" s="1" t="str">
        <f>PROPER(TEXT(BBDD_fashion_boutique[[#This Row],[purchase_date]],"dddd"))</f>
        <v>Miércoles</v>
      </c>
      <c r="O405" s="1" t="str">
        <f>PROPER(TEXT(BBDD_fashion_boutique[[#This Row],[purchase_date]],"mmmm"))</f>
        <v>Agosto</v>
      </c>
      <c r="P405" s="4">
        <v>4</v>
      </c>
      <c r="Q405" s="2">
        <v>2.2000000000000002</v>
      </c>
      <c r="R405" t="str">
        <f>IF(BBDD_fashion_boutique[[#This Row],[stock_quantity]]&gt;9,"Ok",IF(BBDD_fashion_boutique[[#This Row],[stock_quantity]]=0,"Agotado","Pocas Unidades"))</f>
        <v>Pocas Unidades</v>
      </c>
      <c r="S405" s="3">
        <f>IF(BBDD_fashion_boutique[[#This Row],[customer_rating]]="","No valorado",BBDD_fashion_boutique[[#This Row],[customer_rating]])</f>
        <v>2.2000000000000002</v>
      </c>
      <c r="T405" t="s">
        <v>24</v>
      </c>
      <c r="V405">
        <f>IF(BBDD_fashion_boutique[[#This Row],[is_returned]]="False",0,1)</f>
        <v>0</v>
      </c>
      <c r="W405">
        <f>IF(BBDD_fashion_boutique[[#This Row],[is_returned]]="True",0,BBDD_fashion_boutique[[#This Row],[current_price]])</f>
        <v>74.319999999999993</v>
      </c>
      <c r="X405" t="str">
        <f>IF(BBDD_fashion_boutique[[#This Row],[return_reason]]="","No return",BBDD_fashion_boutique[[#This Row],[return_reason]])</f>
        <v>No return</v>
      </c>
      <c r="Y405">
        <f>IF(IFERROR(VLOOKUP(BBDD_fashion_boutique[[#This Row],[product_id]],A406:A2581,1,FALSE),0),1,0)</f>
        <v>0</v>
      </c>
    </row>
    <row r="406" spans="1:25" x14ac:dyDescent="0.3">
      <c r="A406" t="s">
        <v>465</v>
      </c>
      <c r="B406" t="s">
        <v>19</v>
      </c>
      <c r="C406" t="s">
        <v>27</v>
      </c>
      <c r="D406" t="s">
        <v>28</v>
      </c>
      <c r="E406" t="s">
        <v>61</v>
      </c>
      <c r="F406" t="str">
        <f>IF(BBDD_fashion_boutique[[#This Row],[category]]="Accessories","Accesorio",IF(BBDD_fashion_boutique[[#This Row],[size]]="","Desconocido",BBDD_fashion_boutique[[#This Row],[size]]))</f>
        <v>XS</v>
      </c>
      <c r="G406" t="s">
        <v>70</v>
      </c>
      <c r="H406" s="2">
        <v>217.34</v>
      </c>
      <c r="I406">
        <v>0</v>
      </c>
      <c r="J406" s="5">
        <f>BBDD_fashion_boutique[[#This Row],[markdown_percentage]]/100</f>
        <v>0</v>
      </c>
      <c r="K406" s="2">
        <v>217.34</v>
      </c>
      <c r="L406" s="2">
        <f>BBDD_fashion_boutique[[#This Row],[original_price]]-BBDD_fashion_boutique[[#This Row],[current_price]]</f>
        <v>0</v>
      </c>
      <c r="M406" s="1">
        <v>45875</v>
      </c>
      <c r="N406" s="1" t="str">
        <f>PROPER(TEXT(BBDD_fashion_boutique[[#This Row],[purchase_date]],"dddd"))</f>
        <v>Miércoles</v>
      </c>
      <c r="O406" s="1" t="str">
        <f>PROPER(TEXT(BBDD_fashion_boutique[[#This Row],[purchase_date]],"mmmm"))</f>
        <v>Agosto</v>
      </c>
      <c r="P406" s="4">
        <v>4</v>
      </c>
      <c r="Q406" s="2">
        <v>4.2</v>
      </c>
      <c r="R406" t="str">
        <f>IF(BBDD_fashion_boutique[[#This Row],[stock_quantity]]&gt;9,"Ok",IF(BBDD_fashion_boutique[[#This Row],[stock_quantity]]=0,"Agotado","Pocas Unidades"))</f>
        <v>Pocas Unidades</v>
      </c>
      <c r="S406" s="3">
        <f>IF(BBDD_fashion_boutique[[#This Row],[customer_rating]]="","No valorado",BBDD_fashion_boutique[[#This Row],[customer_rating]])</f>
        <v>4.2</v>
      </c>
      <c r="T406" t="s">
        <v>24</v>
      </c>
      <c r="V406">
        <f>IF(BBDD_fashion_boutique[[#This Row],[is_returned]]="False",0,1)</f>
        <v>0</v>
      </c>
      <c r="W406">
        <f>IF(BBDD_fashion_boutique[[#This Row],[is_returned]]="True",0,BBDD_fashion_boutique[[#This Row],[current_price]])</f>
        <v>217.34</v>
      </c>
      <c r="X406" t="str">
        <f>IF(BBDD_fashion_boutique[[#This Row],[return_reason]]="","No return",BBDD_fashion_boutique[[#This Row],[return_reason]])</f>
        <v>No return</v>
      </c>
      <c r="Y406">
        <f>IF(IFERROR(VLOOKUP(BBDD_fashion_boutique[[#This Row],[product_id]],A407:A2582,1,FALSE),0),1,0)</f>
        <v>0</v>
      </c>
    </row>
    <row r="407" spans="1:25" x14ac:dyDescent="0.3">
      <c r="A407" t="s">
        <v>466</v>
      </c>
      <c r="B407" t="s">
        <v>26</v>
      </c>
      <c r="C407" t="s">
        <v>20</v>
      </c>
      <c r="D407" t="s">
        <v>68</v>
      </c>
      <c r="E407" t="s">
        <v>22</v>
      </c>
      <c r="F407" t="str">
        <f>IF(BBDD_fashion_boutique[[#This Row],[category]]="Accessories","Accesorio",IF(BBDD_fashion_boutique[[#This Row],[size]]="","Desconocido",BBDD_fashion_boutique[[#This Row],[size]]))</f>
        <v>XL</v>
      </c>
      <c r="G407" t="s">
        <v>40</v>
      </c>
      <c r="H407" s="2">
        <v>111.14</v>
      </c>
      <c r="I407">
        <v>56.7</v>
      </c>
      <c r="J407" s="5">
        <f>BBDD_fashion_boutique[[#This Row],[markdown_percentage]]/100</f>
        <v>0.56700000000000006</v>
      </c>
      <c r="K407" s="2">
        <v>48.12</v>
      </c>
      <c r="L407" s="2">
        <f>BBDD_fashion_boutique[[#This Row],[original_price]]-BBDD_fashion_boutique[[#This Row],[current_price]]</f>
        <v>63.02</v>
      </c>
      <c r="M407" s="1">
        <v>45875</v>
      </c>
      <c r="N407" s="1" t="str">
        <f>PROPER(TEXT(BBDD_fashion_boutique[[#This Row],[purchase_date]],"dddd"))</f>
        <v>Miércoles</v>
      </c>
      <c r="O407" s="1" t="str">
        <f>PROPER(TEXT(BBDD_fashion_boutique[[#This Row],[purchase_date]],"mmmm"))</f>
        <v>Agosto</v>
      </c>
      <c r="P407" s="4">
        <v>29</v>
      </c>
      <c r="Q407" s="2">
        <v>1.5</v>
      </c>
      <c r="R407" t="str">
        <f>IF(BBDD_fashion_boutique[[#This Row],[stock_quantity]]&gt;9,"Ok",IF(BBDD_fashion_boutique[[#This Row],[stock_quantity]]=0,"Agotado","Pocas Unidades"))</f>
        <v>Ok</v>
      </c>
      <c r="S407" s="3">
        <f>IF(BBDD_fashion_boutique[[#This Row],[customer_rating]]="","No valorado",BBDD_fashion_boutique[[#This Row],[customer_rating]])</f>
        <v>1.5</v>
      </c>
      <c r="T407" t="s">
        <v>24</v>
      </c>
      <c r="V407">
        <f>IF(BBDD_fashion_boutique[[#This Row],[is_returned]]="False",0,1)</f>
        <v>0</v>
      </c>
      <c r="W407">
        <f>IF(BBDD_fashion_boutique[[#This Row],[is_returned]]="True",0,BBDD_fashion_boutique[[#This Row],[current_price]])</f>
        <v>48.12</v>
      </c>
      <c r="X407" t="str">
        <f>IF(BBDD_fashion_boutique[[#This Row],[return_reason]]="","No return",BBDD_fashion_boutique[[#This Row],[return_reason]])</f>
        <v>No return</v>
      </c>
      <c r="Y407">
        <f>IF(IFERROR(VLOOKUP(BBDD_fashion_boutique[[#This Row],[product_id]],A408:A2583,1,FALSE),0),1,0)</f>
        <v>0</v>
      </c>
    </row>
    <row r="408" spans="1:25" x14ac:dyDescent="0.3">
      <c r="A408" t="s">
        <v>467</v>
      </c>
      <c r="B408" t="s">
        <v>35</v>
      </c>
      <c r="C408" t="s">
        <v>54</v>
      </c>
      <c r="D408" t="s">
        <v>28</v>
      </c>
      <c r="E408" t="s">
        <v>22</v>
      </c>
      <c r="F408" t="str">
        <f>IF(BBDD_fashion_boutique[[#This Row],[category]]="Accessories","Accesorio",IF(BBDD_fashion_boutique[[#This Row],[size]]="","Desconocido",BBDD_fashion_boutique[[#This Row],[size]]))</f>
        <v>XL</v>
      </c>
      <c r="G408" t="s">
        <v>70</v>
      </c>
      <c r="H408" s="2">
        <v>62.5</v>
      </c>
      <c r="I408">
        <v>0</v>
      </c>
      <c r="J408" s="5">
        <f>BBDD_fashion_boutique[[#This Row],[markdown_percentage]]/100</f>
        <v>0</v>
      </c>
      <c r="K408" s="2">
        <v>62.5</v>
      </c>
      <c r="L408" s="2">
        <f>BBDD_fashion_boutique[[#This Row],[original_price]]-BBDD_fashion_boutique[[#This Row],[current_price]]</f>
        <v>0</v>
      </c>
      <c r="M408" s="1">
        <v>45875</v>
      </c>
      <c r="N408" s="1" t="str">
        <f>PROPER(TEXT(BBDD_fashion_boutique[[#This Row],[purchase_date]],"dddd"))</f>
        <v>Miércoles</v>
      </c>
      <c r="O408" s="1" t="str">
        <f>PROPER(TEXT(BBDD_fashion_boutique[[#This Row],[purchase_date]],"mmmm"))</f>
        <v>Agosto</v>
      </c>
      <c r="P408" s="4">
        <v>0</v>
      </c>
      <c r="Q408" s="2">
        <v>1.9</v>
      </c>
      <c r="R408" t="str">
        <f>IF(BBDD_fashion_boutique[[#This Row],[stock_quantity]]&gt;9,"Ok",IF(BBDD_fashion_boutique[[#This Row],[stock_quantity]]=0,"Agotado","Pocas Unidades"))</f>
        <v>Agotado</v>
      </c>
      <c r="S408" s="3">
        <f>IF(BBDD_fashion_boutique[[#This Row],[customer_rating]]="","No valorado",BBDD_fashion_boutique[[#This Row],[customer_rating]])</f>
        <v>1.9</v>
      </c>
      <c r="T408" t="s">
        <v>41</v>
      </c>
      <c r="U408" t="s">
        <v>121</v>
      </c>
      <c r="V408">
        <f>IF(BBDD_fashion_boutique[[#This Row],[is_returned]]="False",0,1)</f>
        <v>1</v>
      </c>
      <c r="W408">
        <f>IF(BBDD_fashion_boutique[[#This Row],[is_returned]]="True",0,BBDD_fashion_boutique[[#This Row],[current_price]])</f>
        <v>0</v>
      </c>
      <c r="X408" t="str">
        <f>IF(BBDD_fashion_boutique[[#This Row],[return_reason]]="","No return",BBDD_fashion_boutique[[#This Row],[return_reason]])</f>
        <v>Changed Mind</v>
      </c>
      <c r="Y408">
        <f>IF(IFERROR(VLOOKUP(BBDD_fashion_boutique[[#This Row],[product_id]],A409:A2584,1,FALSE),0),1,0)</f>
        <v>0</v>
      </c>
    </row>
    <row r="409" spans="1:25" x14ac:dyDescent="0.3">
      <c r="A409" t="s">
        <v>468</v>
      </c>
      <c r="B409" t="s">
        <v>19</v>
      </c>
      <c r="C409" t="s">
        <v>37</v>
      </c>
      <c r="D409" t="s">
        <v>28</v>
      </c>
      <c r="E409" t="s">
        <v>61</v>
      </c>
      <c r="F409" t="str">
        <f>IF(BBDD_fashion_boutique[[#This Row],[category]]="Accessories","Accesorio",IF(BBDD_fashion_boutique[[#This Row],[size]]="","Desconocido",BBDD_fashion_boutique[[#This Row],[size]]))</f>
        <v>XS</v>
      </c>
      <c r="G409" t="s">
        <v>50</v>
      </c>
      <c r="H409" s="2">
        <v>165.88</v>
      </c>
      <c r="I409">
        <v>3.4</v>
      </c>
      <c r="J409" s="5">
        <f>BBDD_fashion_boutique[[#This Row],[markdown_percentage]]/100</f>
        <v>3.4000000000000002E-2</v>
      </c>
      <c r="K409" s="2">
        <v>160.24</v>
      </c>
      <c r="L409" s="2">
        <f>BBDD_fashion_boutique[[#This Row],[original_price]]-BBDD_fashion_boutique[[#This Row],[current_price]]</f>
        <v>5.6399999999999864</v>
      </c>
      <c r="M409" s="1">
        <v>45875</v>
      </c>
      <c r="N409" s="1" t="str">
        <f>PROPER(TEXT(BBDD_fashion_boutique[[#This Row],[purchase_date]],"dddd"))</f>
        <v>Miércoles</v>
      </c>
      <c r="O409" s="1" t="str">
        <f>PROPER(TEXT(BBDD_fashion_boutique[[#This Row],[purchase_date]],"mmmm"))</f>
        <v>Agosto</v>
      </c>
      <c r="P409" s="4">
        <v>42</v>
      </c>
      <c r="Q409" s="2">
        <v>2.4</v>
      </c>
      <c r="R409" t="str">
        <f>IF(BBDD_fashion_boutique[[#This Row],[stock_quantity]]&gt;9,"Ok",IF(BBDD_fashion_boutique[[#This Row],[stock_quantity]]=0,"Agotado","Pocas Unidades"))</f>
        <v>Ok</v>
      </c>
      <c r="S409" s="3">
        <f>IF(BBDD_fashion_boutique[[#This Row],[customer_rating]]="","No valorado",BBDD_fashion_boutique[[#This Row],[customer_rating]])</f>
        <v>2.4</v>
      </c>
      <c r="T409" t="s">
        <v>24</v>
      </c>
      <c r="V409">
        <f>IF(BBDD_fashion_boutique[[#This Row],[is_returned]]="False",0,1)</f>
        <v>0</v>
      </c>
      <c r="W409">
        <f>IF(BBDD_fashion_boutique[[#This Row],[is_returned]]="True",0,BBDD_fashion_boutique[[#This Row],[current_price]])</f>
        <v>160.24</v>
      </c>
      <c r="X409" t="str">
        <f>IF(BBDD_fashion_boutique[[#This Row],[return_reason]]="","No return",BBDD_fashion_boutique[[#This Row],[return_reason]])</f>
        <v>No return</v>
      </c>
      <c r="Y409">
        <f>IF(IFERROR(VLOOKUP(BBDD_fashion_boutique[[#This Row],[product_id]],A410:A2585,1,FALSE),0),1,0)</f>
        <v>0</v>
      </c>
    </row>
    <row r="410" spans="1:25" x14ac:dyDescent="0.3">
      <c r="A410" t="s">
        <v>469</v>
      </c>
      <c r="B410" t="s">
        <v>19</v>
      </c>
      <c r="C410" t="s">
        <v>67</v>
      </c>
      <c r="D410" t="s">
        <v>39</v>
      </c>
      <c r="E410" t="s">
        <v>61</v>
      </c>
      <c r="F410" t="str">
        <f>IF(BBDD_fashion_boutique[[#This Row],[category]]="Accessories","Accesorio",IF(BBDD_fashion_boutique[[#This Row],[size]]="","Desconocido",BBDD_fashion_boutique[[#This Row],[size]]))</f>
        <v>XS</v>
      </c>
      <c r="G410" t="s">
        <v>76</v>
      </c>
      <c r="H410" s="2">
        <v>179.8</v>
      </c>
      <c r="I410">
        <v>0</v>
      </c>
      <c r="J410" s="5">
        <f>BBDD_fashion_boutique[[#This Row],[markdown_percentage]]/100</f>
        <v>0</v>
      </c>
      <c r="K410" s="2">
        <v>179.8</v>
      </c>
      <c r="L410" s="2">
        <f>BBDD_fashion_boutique[[#This Row],[original_price]]-BBDD_fashion_boutique[[#This Row],[current_price]]</f>
        <v>0</v>
      </c>
      <c r="M410" s="1">
        <v>45875</v>
      </c>
      <c r="N410" s="1" t="str">
        <f>PROPER(TEXT(BBDD_fashion_boutique[[#This Row],[purchase_date]],"dddd"))</f>
        <v>Miércoles</v>
      </c>
      <c r="O410" s="1" t="str">
        <f>PROPER(TEXT(BBDD_fashion_boutique[[#This Row],[purchase_date]],"mmmm"))</f>
        <v>Agosto</v>
      </c>
      <c r="P410" s="4">
        <v>25</v>
      </c>
      <c r="Q410" s="2">
        <v>1.7</v>
      </c>
      <c r="R410" t="str">
        <f>IF(BBDD_fashion_boutique[[#This Row],[stock_quantity]]&gt;9,"Ok",IF(BBDD_fashion_boutique[[#This Row],[stock_quantity]]=0,"Agotado","Pocas Unidades"))</f>
        <v>Ok</v>
      </c>
      <c r="S410" s="3">
        <f>IF(BBDD_fashion_boutique[[#This Row],[customer_rating]]="","No valorado",BBDD_fashion_boutique[[#This Row],[customer_rating]])</f>
        <v>1.7</v>
      </c>
      <c r="T410" t="s">
        <v>24</v>
      </c>
      <c r="V410">
        <f>IF(BBDD_fashion_boutique[[#This Row],[is_returned]]="False",0,1)</f>
        <v>0</v>
      </c>
      <c r="W410">
        <f>IF(BBDD_fashion_boutique[[#This Row],[is_returned]]="True",0,BBDD_fashion_boutique[[#This Row],[current_price]])</f>
        <v>179.8</v>
      </c>
      <c r="X410" t="str">
        <f>IF(BBDD_fashion_boutique[[#This Row],[return_reason]]="","No return",BBDD_fashion_boutique[[#This Row],[return_reason]])</f>
        <v>No return</v>
      </c>
      <c r="Y410">
        <f>IF(IFERROR(VLOOKUP(BBDD_fashion_boutique[[#This Row],[product_id]],A411:A2586,1,FALSE),0),1,0)</f>
        <v>0</v>
      </c>
    </row>
    <row r="411" spans="1:25" x14ac:dyDescent="0.3">
      <c r="A411" t="s">
        <v>470</v>
      </c>
      <c r="B411" t="s">
        <v>32</v>
      </c>
      <c r="C411" t="s">
        <v>20</v>
      </c>
      <c r="D411" t="s">
        <v>68</v>
      </c>
      <c r="F411" t="str">
        <f>IF(BBDD_fashion_boutique[[#This Row],[category]]="Accessories","Accesorio",IF(BBDD_fashion_boutique[[#This Row],[size]]="","Desconocido",BBDD_fashion_boutique[[#This Row],[size]]))</f>
        <v>Accesorio</v>
      </c>
      <c r="G411" t="s">
        <v>62</v>
      </c>
      <c r="H411" s="2">
        <v>34.15</v>
      </c>
      <c r="I411">
        <v>0</v>
      </c>
      <c r="J411" s="5">
        <f>BBDD_fashion_boutique[[#This Row],[markdown_percentage]]/100</f>
        <v>0</v>
      </c>
      <c r="K411" s="2">
        <v>34.15</v>
      </c>
      <c r="L411" s="2">
        <f>BBDD_fashion_boutique[[#This Row],[original_price]]-BBDD_fashion_boutique[[#This Row],[current_price]]</f>
        <v>0</v>
      </c>
      <c r="M411" s="1">
        <v>45875</v>
      </c>
      <c r="N411" s="1" t="str">
        <f>PROPER(TEXT(BBDD_fashion_boutique[[#This Row],[purchase_date]],"dddd"))</f>
        <v>Miércoles</v>
      </c>
      <c r="O411" s="1" t="str">
        <f>PROPER(TEXT(BBDD_fashion_boutique[[#This Row],[purchase_date]],"mmmm"))</f>
        <v>Agosto</v>
      </c>
      <c r="P411" s="4">
        <v>27</v>
      </c>
      <c r="Q411" s="2">
        <v>4.0999999999999996</v>
      </c>
      <c r="R411" t="str">
        <f>IF(BBDD_fashion_boutique[[#This Row],[stock_quantity]]&gt;9,"Ok",IF(BBDD_fashion_boutique[[#This Row],[stock_quantity]]=0,"Agotado","Pocas Unidades"))</f>
        <v>Ok</v>
      </c>
      <c r="S411" s="3">
        <f>IF(BBDD_fashion_boutique[[#This Row],[customer_rating]]="","No valorado",BBDD_fashion_boutique[[#This Row],[customer_rating]])</f>
        <v>4.0999999999999996</v>
      </c>
      <c r="T411" t="s">
        <v>24</v>
      </c>
      <c r="V411">
        <f>IF(BBDD_fashion_boutique[[#This Row],[is_returned]]="False",0,1)</f>
        <v>0</v>
      </c>
      <c r="W411">
        <f>IF(BBDD_fashion_boutique[[#This Row],[is_returned]]="True",0,BBDD_fashion_boutique[[#This Row],[current_price]])</f>
        <v>34.15</v>
      </c>
      <c r="X411" t="str">
        <f>IF(BBDD_fashion_boutique[[#This Row],[return_reason]]="","No return",BBDD_fashion_boutique[[#This Row],[return_reason]])</f>
        <v>No return</v>
      </c>
      <c r="Y411">
        <f>IF(IFERROR(VLOOKUP(BBDD_fashion_boutique[[#This Row],[product_id]],A412:A2587,1,FALSE),0),1,0)</f>
        <v>0</v>
      </c>
    </row>
    <row r="412" spans="1:25" x14ac:dyDescent="0.3">
      <c r="A412" t="s">
        <v>471</v>
      </c>
      <c r="B412" t="s">
        <v>26</v>
      </c>
      <c r="C412" t="s">
        <v>67</v>
      </c>
      <c r="D412" t="s">
        <v>21</v>
      </c>
      <c r="E412" t="s">
        <v>61</v>
      </c>
      <c r="F412" t="str">
        <f>IF(BBDD_fashion_boutique[[#This Row],[category]]="Accessories","Accesorio",IF(BBDD_fashion_boutique[[#This Row],[size]]="","Desconocido",BBDD_fashion_boutique[[#This Row],[size]]))</f>
        <v>XS</v>
      </c>
      <c r="G412" t="s">
        <v>52</v>
      </c>
      <c r="H412" s="2">
        <v>101.88</v>
      </c>
      <c r="I412">
        <v>0</v>
      </c>
      <c r="J412" s="5">
        <f>BBDD_fashion_boutique[[#This Row],[markdown_percentage]]/100</f>
        <v>0</v>
      </c>
      <c r="K412" s="2">
        <v>101.88</v>
      </c>
      <c r="L412" s="2">
        <f>BBDD_fashion_boutique[[#This Row],[original_price]]-BBDD_fashion_boutique[[#This Row],[current_price]]</f>
        <v>0</v>
      </c>
      <c r="M412" s="1">
        <v>45730</v>
      </c>
      <c r="N412" s="1" t="str">
        <f>PROPER(TEXT(BBDD_fashion_boutique[[#This Row],[purchase_date]],"dddd"))</f>
        <v>Viernes</v>
      </c>
      <c r="O412" s="1" t="str">
        <f>PROPER(TEXT(BBDD_fashion_boutique[[#This Row],[purchase_date]],"mmmm"))</f>
        <v>Marzo</v>
      </c>
      <c r="P412" s="4">
        <v>46</v>
      </c>
      <c r="R412" t="str">
        <f>IF(BBDD_fashion_boutique[[#This Row],[stock_quantity]]&gt;9,"Ok",IF(BBDD_fashion_boutique[[#This Row],[stock_quantity]]=0,"Agotado","Pocas Unidades"))</f>
        <v>Ok</v>
      </c>
      <c r="S412" s="3" t="str">
        <f>IF(BBDD_fashion_boutique[[#This Row],[customer_rating]]="","No valorado",BBDD_fashion_boutique[[#This Row],[customer_rating]])</f>
        <v>No valorado</v>
      </c>
      <c r="T412" t="s">
        <v>41</v>
      </c>
      <c r="U412" t="s">
        <v>79</v>
      </c>
      <c r="V412">
        <f>IF(BBDD_fashion_boutique[[#This Row],[is_returned]]="False",0,1)</f>
        <v>1</v>
      </c>
      <c r="W412">
        <f>IF(BBDD_fashion_boutique[[#This Row],[is_returned]]="True",0,BBDD_fashion_boutique[[#This Row],[current_price]])</f>
        <v>0</v>
      </c>
      <c r="X412" t="str">
        <f>IF(BBDD_fashion_boutique[[#This Row],[return_reason]]="","No return",BBDD_fashion_boutique[[#This Row],[return_reason]])</f>
        <v>Size Issue</v>
      </c>
      <c r="Y412">
        <f>IF(IFERROR(VLOOKUP(BBDD_fashion_boutique[[#This Row],[product_id]],A413:A2588,1,FALSE),0),1,0)</f>
        <v>0</v>
      </c>
    </row>
    <row r="413" spans="1:25" x14ac:dyDescent="0.3">
      <c r="A413" t="s">
        <v>472</v>
      </c>
      <c r="B413" t="s">
        <v>35</v>
      </c>
      <c r="C413" t="s">
        <v>37</v>
      </c>
      <c r="D413" t="s">
        <v>68</v>
      </c>
      <c r="E413" t="s">
        <v>22</v>
      </c>
      <c r="F413" t="str">
        <f>IF(BBDD_fashion_boutique[[#This Row],[category]]="Accessories","Accesorio",IF(BBDD_fashion_boutique[[#This Row],[size]]="","Desconocido",BBDD_fashion_boutique[[#This Row],[size]]))</f>
        <v>XL</v>
      </c>
      <c r="G413" t="s">
        <v>50</v>
      </c>
      <c r="H413" s="2">
        <v>187.58</v>
      </c>
      <c r="I413">
        <v>0</v>
      </c>
      <c r="J413" s="5">
        <f>BBDD_fashion_boutique[[#This Row],[markdown_percentage]]/100</f>
        <v>0</v>
      </c>
      <c r="K413" s="2">
        <v>187.58</v>
      </c>
      <c r="L413" s="2">
        <f>BBDD_fashion_boutique[[#This Row],[original_price]]-BBDD_fashion_boutique[[#This Row],[current_price]]</f>
        <v>0</v>
      </c>
      <c r="M413" s="1">
        <v>45875</v>
      </c>
      <c r="N413" s="1" t="str">
        <f>PROPER(TEXT(BBDD_fashion_boutique[[#This Row],[purchase_date]],"dddd"))</f>
        <v>Miércoles</v>
      </c>
      <c r="O413" s="1" t="str">
        <f>PROPER(TEXT(BBDD_fashion_boutique[[#This Row],[purchase_date]],"mmmm"))</f>
        <v>Agosto</v>
      </c>
      <c r="P413" s="4">
        <v>46</v>
      </c>
      <c r="Q413" s="2">
        <v>2.9</v>
      </c>
      <c r="R413" t="str">
        <f>IF(BBDD_fashion_boutique[[#This Row],[stock_quantity]]&gt;9,"Ok",IF(BBDD_fashion_boutique[[#This Row],[stock_quantity]]=0,"Agotado","Pocas Unidades"))</f>
        <v>Ok</v>
      </c>
      <c r="S413" s="3">
        <f>IF(BBDD_fashion_boutique[[#This Row],[customer_rating]]="","No valorado",BBDD_fashion_boutique[[#This Row],[customer_rating]])</f>
        <v>2.9</v>
      </c>
      <c r="T413" t="s">
        <v>24</v>
      </c>
      <c r="V413">
        <f>IF(BBDD_fashion_boutique[[#This Row],[is_returned]]="False",0,1)</f>
        <v>0</v>
      </c>
      <c r="W413">
        <f>IF(BBDD_fashion_boutique[[#This Row],[is_returned]]="True",0,BBDD_fashion_boutique[[#This Row],[current_price]])</f>
        <v>187.58</v>
      </c>
      <c r="X413" t="str">
        <f>IF(BBDD_fashion_boutique[[#This Row],[return_reason]]="","No return",BBDD_fashion_boutique[[#This Row],[return_reason]])</f>
        <v>No return</v>
      </c>
      <c r="Y413">
        <f>IF(IFERROR(VLOOKUP(BBDD_fashion_boutique[[#This Row],[product_id]],A414:A2589,1,FALSE),0),1,0)</f>
        <v>0</v>
      </c>
    </row>
    <row r="414" spans="1:25" x14ac:dyDescent="0.3">
      <c r="A414" t="s">
        <v>473</v>
      </c>
      <c r="B414" t="s">
        <v>19</v>
      </c>
      <c r="C414" t="s">
        <v>59</v>
      </c>
      <c r="D414" t="s">
        <v>39</v>
      </c>
      <c r="E414" t="s">
        <v>29</v>
      </c>
      <c r="F414" t="str">
        <f>IF(BBDD_fashion_boutique[[#This Row],[category]]="Accessories","Accesorio",IF(BBDD_fashion_boutique[[#This Row],[size]]="","Desconocido",BBDD_fashion_boutique[[#This Row],[size]]))</f>
        <v>L</v>
      </c>
      <c r="G414" t="s">
        <v>30</v>
      </c>
      <c r="H414" s="2">
        <v>145.02000000000001</v>
      </c>
      <c r="I414">
        <v>0</v>
      </c>
      <c r="J414" s="5">
        <f>BBDD_fashion_boutique[[#This Row],[markdown_percentage]]/100</f>
        <v>0</v>
      </c>
      <c r="K414" s="2">
        <v>145.02000000000001</v>
      </c>
      <c r="L414" s="2">
        <f>BBDD_fashion_boutique[[#This Row],[original_price]]-BBDD_fashion_boutique[[#This Row],[current_price]]</f>
        <v>0</v>
      </c>
      <c r="M414" s="1">
        <v>45875</v>
      </c>
      <c r="N414" s="1" t="str">
        <f>PROPER(TEXT(BBDD_fashion_boutique[[#This Row],[purchase_date]],"dddd"))</f>
        <v>Miércoles</v>
      </c>
      <c r="O414" s="1" t="str">
        <f>PROPER(TEXT(BBDD_fashion_boutique[[#This Row],[purchase_date]],"mmmm"))</f>
        <v>Agosto</v>
      </c>
      <c r="P414" s="4">
        <v>36</v>
      </c>
      <c r="Q414" s="2">
        <v>2.6</v>
      </c>
      <c r="R414" t="str">
        <f>IF(BBDD_fashion_boutique[[#This Row],[stock_quantity]]&gt;9,"Ok",IF(BBDD_fashion_boutique[[#This Row],[stock_quantity]]=0,"Agotado","Pocas Unidades"))</f>
        <v>Ok</v>
      </c>
      <c r="S414" s="3">
        <f>IF(BBDD_fashion_boutique[[#This Row],[customer_rating]]="","No valorado",BBDD_fashion_boutique[[#This Row],[customer_rating]])</f>
        <v>2.6</v>
      </c>
      <c r="T414" t="s">
        <v>24</v>
      </c>
      <c r="V414">
        <f>IF(BBDD_fashion_boutique[[#This Row],[is_returned]]="False",0,1)</f>
        <v>0</v>
      </c>
      <c r="W414">
        <f>IF(BBDD_fashion_boutique[[#This Row],[is_returned]]="True",0,BBDD_fashion_boutique[[#This Row],[current_price]])</f>
        <v>145.02000000000001</v>
      </c>
      <c r="X414" t="str">
        <f>IF(BBDD_fashion_boutique[[#This Row],[return_reason]]="","No return",BBDD_fashion_boutique[[#This Row],[return_reason]])</f>
        <v>No return</v>
      </c>
      <c r="Y414">
        <f>IF(IFERROR(VLOOKUP(BBDD_fashion_boutique[[#This Row],[product_id]],A415:A2590,1,FALSE),0),1,0)</f>
        <v>0</v>
      </c>
    </row>
    <row r="415" spans="1:25" x14ac:dyDescent="0.3">
      <c r="A415" t="s">
        <v>474</v>
      </c>
      <c r="B415" t="s">
        <v>44</v>
      </c>
      <c r="C415" t="s">
        <v>67</v>
      </c>
      <c r="D415" t="s">
        <v>68</v>
      </c>
      <c r="E415" t="s">
        <v>61</v>
      </c>
      <c r="F415" t="str">
        <f>IF(BBDD_fashion_boutique[[#This Row],[category]]="Accessories","Accesorio",IF(BBDD_fashion_boutique[[#This Row],[size]]="","Desconocido",BBDD_fashion_boutique[[#This Row],[size]]))</f>
        <v>XS</v>
      </c>
      <c r="G415" t="s">
        <v>50</v>
      </c>
      <c r="H415" s="2">
        <v>101.61</v>
      </c>
      <c r="I415">
        <v>26.9</v>
      </c>
      <c r="J415" s="5">
        <f>BBDD_fashion_boutique[[#This Row],[markdown_percentage]]/100</f>
        <v>0.26899999999999996</v>
      </c>
      <c r="K415" s="2">
        <v>74.28</v>
      </c>
      <c r="L415" s="2">
        <f>BBDD_fashion_boutique[[#This Row],[original_price]]-BBDD_fashion_boutique[[#This Row],[current_price]]</f>
        <v>27.33</v>
      </c>
      <c r="M415" s="1">
        <v>45875</v>
      </c>
      <c r="N415" s="1" t="str">
        <f>PROPER(TEXT(BBDD_fashion_boutique[[#This Row],[purchase_date]],"dddd"))</f>
        <v>Miércoles</v>
      </c>
      <c r="O415" s="1" t="str">
        <f>PROPER(TEXT(BBDD_fashion_boutique[[#This Row],[purchase_date]],"mmmm"))</f>
        <v>Agosto</v>
      </c>
      <c r="P415" s="4">
        <v>38</v>
      </c>
      <c r="Q415" s="2">
        <v>3.4</v>
      </c>
      <c r="R415" t="str">
        <f>IF(BBDD_fashion_boutique[[#This Row],[stock_quantity]]&gt;9,"Ok",IF(BBDD_fashion_boutique[[#This Row],[stock_quantity]]=0,"Agotado","Pocas Unidades"))</f>
        <v>Ok</v>
      </c>
      <c r="S415" s="3">
        <f>IF(BBDD_fashion_boutique[[#This Row],[customer_rating]]="","No valorado",BBDD_fashion_boutique[[#This Row],[customer_rating]])</f>
        <v>3.4</v>
      </c>
      <c r="T415" t="s">
        <v>41</v>
      </c>
      <c r="U415" t="s">
        <v>84</v>
      </c>
      <c r="V415">
        <f>IF(BBDD_fashion_boutique[[#This Row],[is_returned]]="False",0,1)</f>
        <v>1</v>
      </c>
      <c r="W415">
        <f>IF(BBDD_fashion_boutique[[#This Row],[is_returned]]="True",0,BBDD_fashion_boutique[[#This Row],[current_price]])</f>
        <v>0</v>
      </c>
      <c r="X415" t="str">
        <f>IF(BBDD_fashion_boutique[[#This Row],[return_reason]]="","No return",BBDD_fashion_boutique[[#This Row],[return_reason]])</f>
        <v>Damaged</v>
      </c>
      <c r="Y415">
        <f>IF(IFERROR(VLOOKUP(BBDD_fashion_boutique[[#This Row],[product_id]],A416:A2591,1,FALSE),0),1,0)</f>
        <v>0</v>
      </c>
    </row>
    <row r="416" spans="1:25" x14ac:dyDescent="0.3">
      <c r="A416" t="s">
        <v>475</v>
      </c>
      <c r="B416" t="s">
        <v>48</v>
      </c>
      <c r="C416" t="s">
        <v>54</v>
      </c>
      <c r="D416" t="s">
        <v>39</v>
      </c>
      <c r="E416" t="s">
        <v>55</v>
      </c>
      <c r="F416" t="str">
        <f>IF(BBDD_fashion_boutique[[#This Row],[category]]="Accessories","Accesorio",IF(BBDD_fashion_boutique[[#This Row],[size]]="","Desconocido",BBDD_fashion_boutique[[#This Row],[size]]))</f>
        <v>XXL</v>
      </c>
      <c r="G416" t="s">
        <v>62</v>
      </c>
      <c r="H416" s="2">
        <v>71.14</v>
      </c>
      <c r="I416">
        <v>0</v>
      </c>
      <c r="J416" s="5">
        <f>BBDD_fashion_boutique[[#This Row],[markdown_percentage]]/100</f>
        <v>0</v>
      </c>
      <c r="K416" s="2">
        <v>71.14</v>
      </c>
      <c r="L416" s="2">
        <f>BBDD_fashion_boutique[[#This Row],[original_price]]-BBDD_fashion_boutique[[#This Row],[current_price]]</f>
        <v>0</v>
      </c>
      <c r="M416" s="1">
        <v>45875</v>
      </c>
      <c r="N416" s="1" t="str">
        <f>PROPER(TEXT(BBDD_fashion_boutique[[#This Row],[purchase_date]],"dddd"))</f>
        <v>Miércoles</v>
      </c>
      <c r="O416" s="1" t="str">
        <f>PROPER(TEXT(BBDD_fashion_boutique[[#This Row],[purchase_date]],"mmmm"))</f>
        <v>Agosto</v>
      </c>
      <c r="P416" s="4">
        <v>33</v>
      </c>
      <c r="Q416" s="2">
        <v>3.1</v>
      </c>
      <c r="R416" t="str">
        <f>IF(BBDD_fashion_boutique[[#This Row],[stock_quantity]]&gt;9,"Ok",IF(BBDD_fashion_boutique[[#This Row],[stock_quantity]]=0,"Agotado","Pocas Unidades"))</f>
        <v>Ok</v>
      </c>
      <c r="S416" s="3">
        <f>IF(BBDD_fashion_boutique[[#This Row],[customer_rating]]="","No valorado",BBDD_fashion_boutique[[#This Row],[customer_rating]])</f>
        <v>3.1</v>
      </c>
      <c r="T416" t="s">
        <v>24</v>
      </c>
      <c r="V416">
        <f>IF(BBDD_fashion_boutique[[#This Row],[is_returned]]="False",0,1)</f>
        <v>0</v>
      </c>
      <c r="W416">
        <f>IF(BBDD_fashion_boutique[[#This Row],[is_returned]]="True",0,BBDD_fashion_boutique[[#This Row],[current_price]])</f>
        <v>71.14</v>
      </c>
      <c r="X416" t="str">
        <f>IF(BBDD_fashion_boutique[[#This Row],[return_reason]]="","No return",BBDD_fashion_boutique[[#This Row],[return_reason]])</f>
        <v>No return</v>
      </c>
      <c r="Y416">
        <f>IF(IFERROR(VLOOKUP(BBDD_fashion_boutique[[#This Row],[product_id]],A417:A2592,1,FALSE),0),1,0)</f>
        <v>0</v>
      </c>
    </row>
    <row r="417" spans="1:25" x14ac:dyDescent="0.3">
      <c r="A417" t="s">
        <v>476</v>
      </c>
      <c r="B417" t="s">
        <v>48</v>
      </c>
      <c r="C417" t="s">
        <v>59</v>
      </c>
      <c r="D417" t="s">
        <v>68</v>
      </c>
      <c r="E417" t="s">
        <v>64</v>
      </c>
      <c r="F417" t="str">
        <f>IF(BBDD_fashion_boutique[[#This Row],[category]]="Accessories","Accesorio",IF(BBDD_fashion_boutique[[#This Row],[size]]="","Desconocido",BBDD_fashion_boutique[[#This Row],[size]]))</f>
        <v>M</v>
      </c>
      <c r="G417" t="s">
        <v>52</v>
      </c>
      <c r="H417" s="2">
        <v>55.21</v>
      </c>
      <c r="I417">
        <v>0</v>
      </c>
      <c r="J417" s="5">
        <f>BBDD_fashion_boutique[[#This Row],[markdown_percentage]]/100</f>
        <v>0</v>
      </c>
      <c r="K417" s="2">
        <v>55.21</v>
      </c>
      <c r="L417" s="2">
        <f>BBDD_fashion_boutique[[#This Row],[original_price]]-BBDD_fashion_boutique[[#This Row],[current_price]]</f>
        <v>0</v>
      </c>
      <c r="M417" s="1">
        <v>45875</v>
      </c>
      <c r="N417" s="1" t="str">
        <f>PROPER(TEXT(BBDD_fashion_boutique[[#This Row],[purchase_date]],"dddd"))</f>
        <v>Miércoles</v>
      </c>
      <c r="O417" s="1" t="str">
        <f>PROPER(TEXT(BBDD_fashion_boutique[[#This Row],[purchase_date]],"mmmm"))</f>
        <v>Agosto</v>
      </c>
      <c r="P417" s="4">
        <v>2</v>
      </c>
      <c r="Q417" s="2">
        <v>3.8</v>
      </c>
      <c r="R417" t="str">
        <f>IF(BBDD_fashion_boutique[[#This Row],[stock_quantity]]&gt;9,"Ok",IF(BBDD_fashion_boutique[[#This Row],[stock_quantity]]=0,"Agotado","Pocas Unidades"))</f>
        <v>Pocas Unidades</v>
      </c>
      <c r="S417" s="3">
        <f>IF(BBDD_fashion_boutique[[#This Row],[customer_rating]]="","No valorado",BBDD_fashion_boutique[[#This Row],[customer_rating]])</f>
        <v>3.8</v>
      </c>
      <c r="T417" t="s">
        <v>41</v>
      </c>
      <c r="U417" t="s">
        <v>131</v>
      </c>
      <c r="V417">
        <f>IF(BBDD_fashion_boutique[[#This Row],[is_returned]]="False",0,1)</f>
        <v>1</v>
      </c>
      <c r="W417">
        <f>IF(BBDD_fashion_boutique[[#This Row],[is_returned]]="True",0,BBDD_fashion_boutique[[#This Row],[current_price]])</f>
        <v>0</v>
      </c>
      <c r="X417" t="str">
        <f>IF(BBDD_fashion_boutique[[#This Row],[return_reason]]="","No return",BBDD_fashion_boutique[[#This Row],[return_reason]])</f>
        <v>Wrong Item</v>
      </c>
      <c r="Y417">
        <f>IF(IFERROR(VLOOKUP(BBDD_fashion_boutique[[#This Row],[product_id]],A418:A2593,1,FALSE),0),1,0)</f>
        <v>0</v>
      </c>
    </row>
    <row r="418" spans="1:25" x14ac:dyDescent="0.3">
      <c r="A418" t="s">
        <v>477</v>
      </c>
      <c r="B418" t="s">
        <v>26</v>
      </c>
      <c r="C418" t="s">
        <v>20</v>
      </c>
      <c r="D418" t="s">
        <v>68</v>
      </c>
      <c r="E418" t="s">
        <v>55</v>
      </c>
      <c r="F418" t="str">
        <f>IF(BBDD_fashion_boutique[[#This Row],[category]]="Accessories","Accesorio",IF(BBDD_fashion_boutique[[#This Row],[size]]="","Desconocido",BBDD_fashion_boutique[[#This Row],[size]]))</f>
        <v>XXL</v>
      </c>
      <c r="G418" t="s">
        <v>33</v>
      </c>
      <c r="H418" s="2">
        <v>94.96</v>
      </c>
      <c r="I418">
        <v>35.4</v>
      </c>
      <c r="J418" s="5">
        <f>BBDD_fashion_boutique[[#This Row],[markdown_percentage]]/100</f>
        <v>0.35399999999999998</v>
      </c>
      <c r="K418" s="2">
        <v>61.34</v>
      </c>
      <c r="L418" s="2">
        <f>BBDD_fashion_boutique[[#This Row],[original_price]]-BBDD_fashion_boutique[[#This Row],[current_price]]</f>
        <v>33.61999999999999</v>
      </c>
      <c r="M418" s="1">
        <v>45875</v>
      </c>
      <c r="N418" s="1" t="str">
        <f>PROPER(TEXT(BBDD_fashion_boutique[[#This Row],[purchase_date]],"dddd"))</f>
        <v>Miércoles</v>
      </c>
      <c r="O418" s="1" t="str">
        <f>PROPER(TEXT(BBDD_fashion_boutique[[#This Row],[purchase_date]],"mmmm"))</f>
        <v>Agosto</v>
      </c>
      <c r="P418" s="4">
        <v>34</v>
      </c>
      <c r="Q418" s="2">
        <v>3.9</v>
      </c>
      <c r="R418" t="str">
        <f>IF(BBDD_fashion_boutique[[#This Row],[stock_quantity]]&gt;9,"Ok",IF(BBDD_fashion_boutique[[#This Row],[stock_quantity]]=0,"Agotado","Pocas Unidades"))</f>
        <v>Ok</v>
      </c>
      <c r="S418" s="3">
        <f>IF(BBDD_fashion_boutique[[#This Row],[customer_rating]]="","No valorado",BBDD_fashion_boutique[[#This Row],[customer_rating]])</f>
        <v>3.9</v>
      </c>
      <c r="T418" t="s">
        <v>24</v>
      </c>
      <c r="V418">
        <f>IF(BBDD_fashion_boutique[[#This Row],[is_returned]]="False",0,1)</f>
        <v>0</v>
      </c>
      <c r="W418">
        <f>IF(BBDD_fashion_boutique[[#This Row],[is_returned]]="True",0,BBDD_fashion_boutique[[#This Row],[current_price]])</f>
        <v>61.34</v>
      </c>
      <c r="X418" t="str">
        <f>IF(BBDD_fashion_boutique[[#This Row],[return_reason]]="","No return",BBDD_fashion_boutique[[#This Row],[return_reason]])</f>
        <v>No return</v>
      </c>
      <c r="Y418">
        <f>IF(IFERROR(VLOOKUP(BBDD_fashion_boutique[[#This Row],[product_id]],A419:A2594,1,FALSE),0),1,0)</f>
        <v>0</v>
      </c>
    </row>
    <row r="419" spans="1:25" x14ac:dyDescent="0.3">
      <c r="A419" t="s">
        <v>478</v>
      </c>
      <c r="B419" t="s">
        <v>35</v>
      </c>
      <c r="C419" t="s">
        <v>49</v>
      </c>
      <c r="D419" t="s">
        <v>21</v>
      </c>
      <c r="E419" t="s">
        <v>64</v>
      </c>
      <c r="F419" t="str">
        <f>IF(BBDD_fashion_boutique[[#This Row],[category]]="Accessories","Accesorio",IF(BBDD_fashion_boutique[[#This Row],[size]]="","Desconocido",BBDD_fashion_boutique[[#This Row],[size]]))</f>
        <v>M</v>
      </c>
      <c r="G419" t="s">
        <v>72</v>
      </c>
      <c r="H419" s="2">
        <v>138.69</v>
      </c>
      <c r="I419">
        <v>0</v>
      </c>
      <c r="J419" s="5">
        <f>BBDD_fashion_boutique[[#This Row],[markdown_percentage]]/100</f>
        <v>0</v>
      </c>
      <c r="K419" s="2">
        <v>138.69</v>
      </c>
      <c r="L419" s="2">
        <f>BBDD_fashion_boutique[[#This Row],[original_price]]-BBDD_fashion_boutique[[#This Row],[current_price]]</f>
        <v>0</v>
      </c>
      <c r="M419" s="1">
        <v>45628</v>
      </c>
      <c r="N419" s="1" t="str">
        <f>PROPER(TEXT(BBDD_fashion_boutique[[#This Row],[purchase_date]],"dddd"))</f>
        <v>Lunes</v>
      </c>
      <c r="O419" s="1" t="str">
        <f>PROPER(TEXT(BBDD_fashion_boutique[[#This Row],[purchase_date]],"mmmm"))</f>
        <v>Diciembre</v>
      </c>
      <c r="P419" s="4">
        <v>0</v>
      </c>
      <c r="Q419" s="2">
        <v>2.9</v>
      </c>
      <c r="R419" t="str">
        <f>IF(BBDD_fashion_boutique[[#This Row],[stock_quantity]]&gt;9,"Ok",IF(BBDD_fashion_boutique[[#This Row],[stock_quantity]]=0,"Agotado","Pocas Unidades"))</f>
        <v>Agotado</v>
      </c>
      <c r="S419" s="3">
        <f>IF(BBDD_fashion_boutique[[#This Row],[customer_rating]]="","No valorado",BBDD_fashion_boutique[[#This Row],[customer_rating]])</f>
        <v>2.9</v>
      </c>
      <c r="T419" t="s">
        <v>24</v>
      </c>
      <c r="V419">
        <f>IF(BBDD_fashion_boutique[[#This Row],[is_returned]]="False",0,1)</f>
        <v>0</v>
      </c>
      <c r="W419">
        <f>IF(BBDD_fashion_boutique[[#This Row],[is_returned]]="True",0,BBDD_fashion_boutique[[#This Row],[current_price]])</f>
        <v>138.69</v>
      </c>
      <c r="X419" t="str">
        <f>IF(BBDD_fashion_boutique[[#This Row],[return_reason]]="","No return",BBDD_fashion_boutique[[#This Row],[return_reason]])</f>
        <v>No return</v>
      </c>
      <c r="Y419">
        <f>IF(IFERROR(VLOOKUP(BBDD_fashion_boutique[[#This Row],[product_id]],A420:A2595,1,FALSE),0),1,0)</f>
        <v>0</v>
      </c>
    </row>
    <row r="420" spans="1:25" x14ac:dyDescent="0.3">
      <c r="A420" t="s">
        <v>479</v>
      </c>
      <c r="B420" t="s">
        <v>19</v>
      </c>
      <c r="C420" t="s">
        <v>67</v>
      </c>
      <c r="D420" t="s">
        <v>21</v>
      </c>
      <c r="E420" t="s">
        <v>55</v>
      </c>
      <c r="F420" t="str">
        <f>IF(BBDD_fashion_boutique[[#This Row],[category]]="Accessories","Accesorio",IF(BBDD_fashion_boutique[[#This Row],[size]]="","Desconocido",BBDD_fashion_boutique[[#This Row],[size]]))</f>
        <v>XXL</v>
      </c>
      <c r="G420" t="s">
        <v>70</v>
      </c>
      <c r="H420" s="2">
        <v>175.7</v>
      </c>
      <c r="I420">
        <v>0</v>
      </c>
      <c r="J420" s="5">
        <f>BBDD_fashion_boutique[[#This Row],[markdown_percentage]]/100</f>
        <v>0</v>
      </c>
      <c r="K420" s="2">
        <v>175.7</v>
      </c>
      <c r="L420" s="2">
        <f>BBDD_fashion_boutique[[#This Row],[original_price]]-BBDD_fashion_boutique[[#This Row],[current_price]]</f>
        <v>0</v>
      </c>
      <c r="M420" s="1">
        <v>45711</v>
      </c>
      <c r="N420" s="1" t="str">
        <f>PROPER(TEXT(BBDD_fashion_boutique[[#This Row],[purchase_date]],"dddd"))</f>
        <v>Domingo</v>
      </c>
      <c r="O420" s="1" t="str">
        <f>PROPER(TEXT(BBDD_fashion_boutique[[#This Row],[purchase_date]],"mmmm"))</f>
        <v>Febrero</v>
      </c>
      <c r="P420" s="4">
        <v>20</v>
      </c>
      <c r="Q420" s="2">
        <v>3</v>
      </c>
      <c r="R420" t="str">
        <f>IF(BBDD_fashion_boutique[[#This Row],[stock_quantity]]&gt;9,"Ok",IF(BBDD_fashion_boutique[[#This Row],[stock_quantity]]=0,"Agotado","Pocas Unidades"))</f>
        <v>Ok</v>
      </c>
      <c r="S420" s="3">
        <f>IF(BBDD_fashion_boutique[[#This Row],[customer_rating]]="","No valorado",BBDD_fashion_boutique[[#This Row],[customer_rating]])</f>
        <v>3</v>
      </c>
      <c r="T420" t="s">
        <v>24</v>
      </c>
      <c r="V420">
        <f>IF(BBDD_fashion_boutique[[#This Row],[is_returned]]="False",0,1)</f>
        <v>0</v>
      </c>
      <c r="W420">
        <f>IF(BBDD_fashion_boutique[[#This Row],[is_returned]]="True",0,BBDD_fashion_boutique[[#This Row],[current_price]])</f>
        <v>175.7</v>
      </c>
      <c r="X420" t="str">
        <f>IF(BBDD_fashion_boutique[[#This Row],[return_reason]]="","No return",BBDD_fashion_boutique[[#This Row],[return_reason]])</f>
        <v>No return</v>
      </c>
      <c r="Y420">
        <f>IF(IFERROR(VLOOKUP(BBDD_fashion_boutique[[#This Row],[product_id]],A421:A2596,1,FALSE),0),1,0)</f>
        <v>0</v>
      </c>
    </row>
    <row r="421" spans="1:25" x14ac:dyDescent="0.3">
      <c r="A421" t="s">
        <v>480</v>
      </c>
      <c r="B421" t="s">
        <v>35</v>
      </c>
      <c r="C421" t="s">
        <v>27</v>
      </c>
      <c r="D421" t="s">
        <v>68</v>
      </c>
      <c r="E421" t="s">
        <v>61</v>
      </c>
      <c r="F421" t="str">
        <f>IF(BBDD_fashion_boutique[[#This Row],[category]]="Accessories","Accesorio",IF(BBDD_fashion_boutique[[#This Row],[size]]="","Desconocido",BBDD_fashion_boutique[[#This Row],[size]]))</f>
        <v>XS</v>
      </c>
      <c r="G421" t="s">
        <v>33</v>
      </c>
      <c r="H421" s="2">
        <v>145.18</v>
      </c>
      <c r="I421">
        <v>35.700000000000003</v>
      </c>
      <c r="J421" s="5">
        <f>BBDD_fashion_boutique[[#This Row],[markdown_percentage]]/100</f>
        <v>0.35700000000000004</v>
      </c>
      <c r="K421" s="2">
        <v>93.35</v>
      </c>
      <c r="L421" s="2">
        <f>BBDD_fashion_boutique[[#This Row],[original_price]]-BBDD_fashion_boutique[[#This Row],[current_price]]</f>
        <v>51.830000000000013</v>
      </c>
      <c r="M421" s="1">
        <v>45875</v>
      </c>
      <c r="N421" s="1" t="str">
        <f>PROPER(TEXT(BBDD_fashion_boutique[[#This Row],[purchase_date]],"dddd"))</f>
        <v>Miércoles</v>
      </c>
      <c r="O421" s="1" t="str">
        <f>PROPER(TEXT(BBDD_fashion_boutique[[#This Row],[purchase_date]],"mmmm"))</f>
        <v>Agosto</v>
      </c>
      <c r="P421" s="4">
        <v>25</v>
      </c>
      <c r="Q421" s="2">
        <v>2.2000000000000002</v>
      </c>
      <c r="R421" t="str">
        <f>IF(BBDD_fashion_boutique[[#This Row],[stock_quantity]]&gt;9,"Ok",IF(BBDD_fashion_boutique[[#This Row],[stock_quantity]]=0,"Agotado","Pocas Unidades"))</f>
        <v>Ok</v>
      </c>
      <c r="S421" s="3">
        <f>IF(BBDD_fashion_boutique[[#This Row],[customer_rating]]="","No valorado",BBDD_fashion_boutique[[#This Row],[customer_rating]])</f>
        <v>2.2000000000000002</v>
      </c>
      <c r="T421" t="s">
        <v>24</v>
      </c>
      <c r="V421">
        <f>IF(BBDD_fashion_boutique[[#This Row],[is_returned]]="False",0,1)</f>
        <v>0</v>
      </c>
      <c r="W421">
        <f>IF(BBDD_fashion_boutique[[#This Row],[is_returned]]="True",0,BBDD_fashion_boutique[[#This Row],[current_price]])</f>
        <v>93.35</v>
      </c>
      <c r="X421" t="str">
        <f>IF(BBDD_fashion_boutique[[#This Row],[return_reason]]="","No return",BBDD_fashion_boutique[[#This Row],[return_reason]])</f>
        <v>No return</v>
      </c>
      <c r="Y421">
        <f>IF(IFERROR(VLOOKUP(BBDD_fashion_boutique[[#This Row],[product_id]],A422:A2597,1,FALSE),0),1,0)</f>
        <v>0</v>
      </c>
    </row>
    <row r="422" spans="1:25" x14ac:dyDescent="0.3">
      <c r="A422" t="s">
        <v>481</v>
      </c>
      <c r="B422" t="s">
        <v>48</v>
      </c>
      <c r="C422" t="s">
        <v>49</v>
      </c>
      <c r="D422" t="s">
        <v>68</v>
      </c>
      <c r="E422" t="s">
        <v>64</v>
      </c>
      <c r="F422" t="str">
        <f>IF(BBDD_fashion_boutique[[#This Row],[category]]="Accessories","Accesorio",IF(BBDD_fashion_boutique[[#This Row],[size]]="","Desconocido",BBDD_fashion_boutique[[#This Row],[size]]))</f>
        <v>M</v>
      </c>
      <c r="G422" t="s">
        <v>33</v>
      </c>
      <c r="H422" s="2">
        <v>169.34</v>
      </c>
      <c r="I422">
        <v>44.6</v>
      </c>
      <c r="J422" s="5">
        <f>BBDD_fashion_boutique[[#This Row],[markdown_percentage]]/100</f>
        <v>0.44600000000000001</v>
      </c>
      <c r="K422" s="2">
        <v>93.81</v>
      </c>
      <c r="L422" s="2">
        <f>BBDD_fashion_boutique[[#This Row],[original_price]]-BBDD_fashion_boutique[[#This Row],[current_price]]</f>
        <v>75.53</v>
      </c>
      <c r="M422" s="1">
        <v>45875</v>
      </c>
      <c r="N422" s="1" t="str">
        <f>PROPER(TEXT(BBDD_fashion_boutique[[#This Row],[purchase_date]],"dddd"))</f>
        <v>Miércoles</v>
      </c>
      <c r="O422" s="1" t="str">
        <f>PROPER(TEXT(BBDD_fashion_boutique[[#This Row],[purchase_date]],"mmmm"))</f>
        <v>Agosto</v>
      </c>
      <c r="P422" s="4">
        <v>37</v>
      </c>
      <c r="Q422" s="2">
        <v>2.7</v>
      </c>
      <c r="R422" t="str">
        <f>IF(BBDD_fashion_boutique[[#This Row],[stock_quantity]]&gt;9,"Ok",IF(BBDD_fashion_boutique[[#This Row],[stock_quantity]]=0,"Agotado","Pocas Unidades"))</f>
        <v>Ok</v>
      </c>
      <c r="S422" s="3">
        <f>IF(BBDD_fashion_boutique[[#This Row],[customer_rating]]="","No valorado",BBDD_fashion_boutique[[#This Row],[customer_rating]])</f>
        <v>2.7</v>
      </c>
      <c r="T422" t="s">
        <v>24</v>
      </c>
      <c r="V422">
        <f>IF(BBDD_fashion_boutique[[#This Row],[is_returned]]="False",0,1)</f>
        <v>0</v>
      </c>
      <c r="W422">
        <f>IF(BBDD_fashion_boutique[[#This Row],[is_returned]]="True",0,BBDD_fashion_boutique[[#This Row],[current_price]])</f>
        <v>93.81</v>
      </c>
      <c r="X422" t="str">
        <f>IF(BBDD_fashion_boutique[[#This Row],[return_reason]]="","No return",BBDD_fashion_boutique[[#This Row],[return_reason]])</f>
        <v>No return</v>
      </c>
      <c r="Y422">
        <f>IF(IFERROR(VLOOKUP(BBDD_fashion_boutique[[#This Row],[product_id]],A423:A2598,1,FALSE),0),1,0)</f>
        <v>0</v>
      </c>
    </row>
    <row r="423" spans="1:25" x14ac:dyDescent="0.3">
      <c r="A423" t="s">
        <v>482</v>
      </c>
      <c r="B423" t="s">
        <v>26</v>
      </c>
      <c r="C423" t="s">
        <v>27</v>
      </c>
      <c r="D423" t="s">
        <v>68</v>
      </c>
      <c r="E423" t="s">
        <v>29</v>
      </c>
      <c r="F423" t="str">
        <f>IF(BBDD_fashion_boutique[[#This Row],[category]]="Accessories","Accesorio",IF(BBDD_fashion_boutique[[#This Row],[size]]="","Desconocido",BBDD_fashion_boutique[[#This Row],[size]]))</f>
        <v>L</v>
      </c>
      <c r="G423" t="s">
        <v>23</v>
      </c>
      <c r="H423" s="2">
        <v>103.14</v>
      </c>
      <c r="I423">
        <v>0</v>
      </c>
      <c r="J423" s="5">
        <f>BBDD_fashion_boutique[[#This Row],[markdown_percentage]]/100</f>
        <v>0</v>
      </c>
      <c r="K423" s="2">
        <v>103.14</v>
      </c>
      <c r="L423" s="2">
        <f>BBDD_fashion_boutique[[#This Row],[original_price]]-BBDD_fashion_boutique[[#This Row],[current_price]]</f>
        <v>0</v>
      </c>
      <c r="M423" s="1">
        <v>45875</v>
      </c>
      <c r="N423" s="1" t="str">
        <f>PROPER(TEXT(BBDD_fashion_boutique[[#This Row],[purchase_date]],"dddd"))</f>
        <v>Miércoles</v>
      </c>
      <c r="O423" s="1" t="str">
        <f>PROPER(TEXT(BBDD_fashion_boutique[[#This Row],[purchase_date]],"mmmm"))</f>
        <v>Agosto</v>
      </c>
      <c r="P423" s="4">
        <v>13</v>
      </c>
      <c r="Q423" s="2">
        <v>4.5</v>
      </c>
      <c r="R423" t="str">
        <f>IF(BBDD_fashion_boutique[[#This Row],[stock_quantity]]&gt;9,"Ok",IF(BBDD_fashion_boutique[[#This Row],[stock_quantity]]=0,"Agotado","Pocas Unidades"))</f>
        <v>Ok</v>
      </c>
      <c r="S423" s="3">
        <f>IF(BBDD_fashion_boutique[[#This Row],[customer_rating]]="","No valorado",BBDD_fashion_boutique[[#This Row],[customer_rating]])</f>
        <v>4.5</v>
      </c>
      <c r="T423" t="s">
        <v>24</v>
      </c>
      <c r="V423">
        <f>IF(BBDD_fashion_boutique[[#This Row],[is_returned]]="False",0,1)</f>
        <v>0</v>
      </c>
      <c r="W423">
        <f>IF(BBDD_fashion_boutique[[#This Row],[is_returned]]="True",0,BBDD_fashion_boutique[[#This Row],[current_price]])</f>
        <v>103.14</v>
      </c>
      <c r="X423" t="str">
        <f>IF(BBDD_fashion_boutique[[#This Row],[return_reason]]="","No return",BBDD_fashion_boutique[[#This Row],[return_reason]])</f>
        <v>No return</v>
      </c>
      <c r="Y423">
        <f>IF(IFERROR(VLOOKUP(BBDD_fashion_boutique[[#This Row],[product_id]],A424:A2599,1,FALSE),0),1,0)</f>
        <v>0</v>
      </c>
    </row>
    <row r="424" spans="1:25" x14ac:dyDescent="0.3">
      <c r="A424" t="s">
        <v>483</v>
      </c>
      <c r="B424" t="s">
        <v>26</v>
      </c>
      <c r="C424" t="s">
        <v>49</v>
      </c>
      <c r="D424" t="s">
        <v>39</v>
      </c>
      <c r="E424" t="s">
        <v>64</v>
      </c>
      <c r="F424" t="str">
        <f>IF(BBDD_fashion_boutique[[#This Row],[category]]="Accessories","Accesorio",IF(BBDD_fashion_boutique[[#This Row],[size]]="","Desconocido",BBDD_fashion_boutique[[#This Row],[size]]))</f>
        <v>M</v>
      </c>
      <c r="G424" t="s">
        <v>62</v>
      </c>
      <c r="H424" s="2">
        <v>97.47</v>
      </c>
      <c r="I424">
        <v>32</v>
      </c>
      <c r="J424" s="5">
        <f>BBDD_fashion_boutique[[#This Row],[markdown_percentage]]/100</f>
        <v>0.32</v>
      </c>
      <c r="K424" s="2">
        <v>66.28</v>
      </c>
      <c r="L424" s="2">
        <f>BBDD_fashion_boutique[[#This Row],[original_price]]-BBDD_fashion_boutique[[#This Row],[current_price]]</f>
        <v>31.189999999999998</v>
      </c>
      <c r="M424" s="1">
        <v>45875</v>
      </c>
      <c r="N424" s="1" t="str">
        <f>PROPER(TEXT(BBDD_fashion_boutique[[#This Row],[purchase_date]],"dddd"))</f>
        <v>Miércoles</v>
      </c>
      <c r="O424" s="1" t="str">
        <f>PROPER(TEXT(BBDD_fashion_boutique[[#This Row],[purchase_date]],"mmmm"))</f>
        <v>Agosto</v>
      </c>
      <c r="P424" s="4">
        <v>27</v>
      </c>
      <c r="Q424" s="2">
        <v>3</v>
      </c>
      <c r="R424" t="str">
        <f>IF(BBDD_fashion_boutique[[#This Row],[stock_quantity]]&gt;9,"Ok",IF(BBDD_fashion_boutique[[#This Row],[stock_quantity]]=0,"Agotado","Pocas Unidades"))</f>
        <v>Ok</v>
      </c>
      <c r="S424" s="3">
        <f>IF(BBDD_fashion_boutique[[#This Row],[customer_rating]]="","No valorado",BBDD_fashion_boutique[[#This Row],[customer_rating]])</f>
        <v>3</v>
      </c>
      <c r="T424" t="s">
        <v>24</v>
      </c>
      <c r="V424">
        <f>IF(BBDD_fashion_boutique[[#This Row],[is_returned]]="False",0,1)</f>
        <v>0</v>
      </c>
      <c r="W424">
        <f>IF(BBDD_fashion_boutique[[#This Row],[is_returned]]="True",0,BBDD_fashion_boutique[[#This Row],[current_price]])</f>
        <v>66.28</v>
      </c>
      <c r="X424" t="str">
        <f>IF(BBDD_fashion_boutique[[#This Row],[return_reason]]="","No return",BBDD_fashion_boutique[[#This Row],[return_reason]])</f>
        <v>No return</v>
      </c>
      <c r="Y424">
        <f>IF(IFERROR(VLOOKUP(BBDD_fashion_boutique[[#This Row],[product_id]],A425:A2600,1,FALSE),0),1,0)</f>
        <v>0</v>
      </c>
    </row>
    <row r="425" spans="1:25" x14ac:dyDescent="0.3">
      <c r="A425" t="s">
        <v>484</v>
      </c>
      <c r="B425" t="s">
        <v>48</v>
      </c>
      <c r="C425" t="s">
        <v>59</v>
      </c>
      <c r="D425" t="s">
        <v>21</v>
      </c>
      <c r="E425" t="s">
        <v>64</v>
      </c>
      <c r="F425" t="str">
        <f>IF(BBDD_fashion_boutique[[#This Row],[category]]="Accessories","Accesorio",IF(BBDD_fashion_boutique[[#This Row],[size]]="","Desconocido",BBDD_fashion_boutique[[#This Row],[size]]))</f>
        <v>M</v>
      </c>
      <c r="G425" t="s">
        <v>70</v>
      </c>
      <c r="H425" s="2">
        <v>50.69</v>
      </c>
      <c r="I425">
        <v>26.3</v>
      </c>
      <c r="J425" s="5">
        <f>BBDD_fashion_boutique[[#This Row],[markdown_percentage]]/100</f>
        <v>0.26300000000000001</v>
      </c>
      <c r="K425" s="2">
        <v>37.36</v>
      </c>
      <c r="L425" s="2">
        <f>BBDD_fashion_boutique[[#This Row],[original_price]]-BBDD_fashion_boutique[[#This Row],[current_price]]</f>
        <v>13.329999999999998</v>
      </c>
      <c r="M425" s="1">
        <v>45594</v>
      </c>
      <c r="N425" s="1" t="str">
        <f>PROPER(TEXT(BBDD_fashion_boutique[[#This Row],[purchase_date]],"dddd"))</f>
        <v>Martes</v>
      </c>
      <c r="O425" s="1" t="str">
        <f>PROPER(TEXT(BBDD_fashion_boutique[[#This Row],[purchase_date]],"mmmm"))</f>
        <v>Octubre</v>
      </c>
      <c r="P425" s="4">
        <v>37</v>
      </c>
      <c r="Q425" s="2">
        <v>4.0999999999999996</v>
      </c>
      <c r="R425" t="str">
        <f>IF(BBDD_fashion_boutique[[#This Row],[stock_quantity]]&gt;9,"Ok",IF(BBDD_fashion_boutique[[#This Row],[stock_quantity]]=0,"Agotado","Pocas Unidades"))</f>
        <v>Ok</v>
      </c>
      <c r="S425" s="3">
        <f>IF(BBDD_fashion_boutique[[#This Row],[customer_rating]]="","No valorado",BBDD_fashion_boutique[[#This Row],[customer_rating]])</f>
        <v>4.0999999999999996</v>
      </c>
      <c r="T425" t="s">
        <v>24</v>
      </c>
      <c r="V425">
        <f>IF(BBDD_fashion_boutique[[#This Row],[is_returned]]="False",0,1)</f>
        <v>0</v>
      </c>
      <c r="W425">
        <f>IF(BBDD_fashion_boutique[[#This Row],[is_returned]]="True",0,BBDD_fashion_boutique[[#This Row],[current_price]])</f>
        <v>37.36</v>
      </c>
      <c r="X425" t="str">
        <f>IF(BBDD_fashion_boutique[[#This Row],[return_reason]]="","No return",BBDD_fashion_boutique[[#This Row],[return_reason]])</f>
        <v>No return</v>
      </c>
      <c r="Y425">
        <f>IF(IFERROR(VLOOKUP(BBDD_fashion_boutique[[#This Row],[product_id]],A426:A2601,1,FALSE),0),1,0)</f>
        <v>0</v>
      </c>
    </row>
    <row r="426" spans="1:25" x14ac:dyDescent="0.3">
      <c r="A426" t="s">
        <v>485</v>
      </c>
      <c r="B426" t="s">
        <v>19</v>
      </c>
      <c r="C426" t="s">
        <v>37</v>
      </c>
      <c r="D426" t="s">
        <v>39</v>
      </c>
      <c r="E426" t="s">
        <v>22</v>
      </c>
      <c r="F426" t="str">
        <f>IF(BBDD_fashion_boutique[[#This Row],[category]]="Accessories","Accesorio",IF(BBDD_fashion_boutique[[#This Row],[size]]="","Desconocido",BBDD_fashion_boutique[[#This Row],[size]]))</f>
        <v>XL</v>
      </c>
      <c r="G426" t="s">
        <v>33</v>
      </c>
      <c r="H426" s="2">
        <v>127.75</v>
      </c>
      <c r="I426">
        <v>0</v>
      </c>
      <c r="J426" s="5">
        <f>BBDD_fashion_boutique[[#This Row],[markdown_percentage]]/100</f>
        <v>0</v>
      </c>
      <c r="K426" s="2">
        <v>127.75</v>
      </c>
      <c r="L426" s="2">
        <f>BBDD_fashion_boutique[[#This Row],[original_price]]-BBDD_fashion_boutique[[#This Row],[current_price]]</f>
        <v>0</v>
      </c>
      <c r="M426" s="1">
        <v>45875</v>
      </c>
      <c r="N426" s="1" t="str">
        <f>PROPER(TEXT(BBDD_fashion_boutique[[#This Row],[purchase_date]],"dddd"))</f>
        <v>Miércoles</v>
      </c>
      <c r="O426" s="1" t="str">
        <f>PROPER(TEXT(BBDD_fashion_boutique[[#This Row],[purchase_date]],"mmmm"))</f>
        <v>Agosto</v>
      </c>
      <c r="P426" s="4">
        <v>32</v>
      </c>
      <c r="Q426" s="2">
        <v>3.6</v>
      </c>
      <c r="R426" t="str">
        <f>IF(BBDD_fashion_boutique[[#This Row],[stock_quantity]]&gt;9,"Ok",IF(BBDD_fashion_boutique[[#This Row],[stock_quantity]]=0,"Agotado","Pocas Unidades"))</f>
        <v>Ok</v>
      </c>
      <c r="S426" s="3">
        <f>IF(BBDD_fashion_boutique[[#This Row],[customer_rating]]="","No valorado",BBDD_fashion_boutique[[#This Row],[customer_rating]])</f>
        <v>3.6</v>
      </c>
      <c r="T426" t="s">
        <v>24</v>
      </c>
      <c r="V426">
        <f>IF(BBDD_fashion_boutique[[#This Row],[is_returned]]="False",0,1)</f>
        <v>0</v>
      </c>
      <c r="W426">
        <f>IF(BBDD_fashion_boutique[[#This Row],[is_returned]]="True",0,BBDD_fashion_boutique[[#This Row],[current_price]])</f>
        <v>127.75</v>
      </c>
      <c r="X426" t="str">
        <f>IF(BBDD_fashion_boutique[[#This Row],[return_reason]]="","No return",BBDD_fashion_boutique[[#This Row],[return_reason]])</f>
        <v>No return</v>
      </c>
      <c r="Y426">
        <f>IF(IFERROR(VLOOKUP(BBDD_fashion_boutique[[#This Row],[product_id]],A427:A2602,1,FALSE),0),1,0)</f>
        <v>0</v>
      </c>
    </row>
    <row r="427" spans="1:25" x14ac:dyDescent="0.3">
      <c r="A427" t="s">
        <v>486</v>
      </c>
      <c r="B427" t="s">
        <v>26</v>
      </c>
      <c r="C427" t="s">
        <v>81</v>
      </c>
      <c r="D427" t="s">
        <v>28</v>
      </c>
      <c r="E427" t="s">
        <v>22</v>
      </c>
      <c r="F427" t="str">
        <f>IF(BBDD_fashion_boutique[[#This Row],[category]]="Accessories","Accesorio",IF(BBDD_fashion_boutique[[#This Row],[size]]="","Desconocido",BBDD_fashion_boutique[[#This Row],[size]]))</f>
        <v>XL</v>
      </c>
      <c r="G427" t="s">
        <v>33</v>
      </c>
      <c r="H427" s="2">
        <v>111.64</v>
      </c>
      <c r="I427">
        <v>0</v>
      </c>
      <c r="J427" s="5">
        <f>BBDD_fashion_boutique[[#This Row],[markdown_percentage]]/100</f>
        <v>0</v>
      </c>
      <c r="K427" s="2">
        <v>111.64</v>
      </c>
      <c r="L427" s="2">
        <f>BBDD_fashion_boutique[[#This Row],[original_price]]-BBDD_fashion_boutique[[#This Row],[current_price]]</f>
        <v>0</v>
      </c>
      <c r="M427" s="1">
        <v>45875</v>
      </c>
      <c r="N427" s="1" t="str">
        <f>PROPER(TEXT(BBDD_fashion_boutique[[#This Row],[purchase_date]],"dddd"))</f>
        <v>Miércoles</v>
      </c>
      <c r="O427" s="1" t="str">
        <f>PROPER(TEXT(BBDD_fashion_boutique[[#This Row],[purchase_date]],"mmmm"))</f>
        <v>Agosto</v>
      </c>
      <c r="P427" s="4">
        <v>13</v>
      </c>
      <c r="Q427" s="2">
        <v>4.8</v>
      </c>
      <c r="R427" t="str">
        <f>IF(BBDD_fashion_boutique[[#This Row],[stock_quantity]]&gt;9,"Ok",IF(BBDD_fashion_boutique[[#This Row],[stock_quantity]]=0,"Agotado","Pocas Unidades"))</f>
        <v>Ok</v>
      </c>
      <c r="S427" s="3">
        <f>IF(BBDD_fashion_boutique[[#This Row],[customer_rating]]="","No valorado",BBDD_fashion_boutique[[#This Row],[customer_rating]])</f>
        <v>4.8</v>
      </c>
      <c r="T427" t="s">
        <v>24</v>
      </c>
      <c r="V427">
        <f>IF(BBDD_fashion_boutique[[#This Row],[is_returned]]="False",0,1)</f>
        <v>0</v>
      </c>
      <c r="W427">
        <f>IF(BBDD_fashion_boutique[[#This Row],[is_returned]]="True",0,BBDD_fashion_boutique[[#This Row],[current_price]])</f>
        <v>111.64</v>
      </c>
      <c r="X427" t="str">
        <f>IF(BBDD_fashion_boutique[[#This Row],[return_reason]]="","No return",BBDD_fashion_boutique[[#This Row],[return_reason]])</f>
        <v>No return</v>
      </c>
      <c r="Y427">
        <f>IF(IFERROR(VLOOKUP(BBDD_fashion_boutique[[#This Row],[product_id]],A428:A2603,1,FALSE),0),1,0)</f>
        <v>0</v>
      </c>
    </row>
    <row r="428" spans="1:25" x14ac:dyDescent="0.3">
      <c r="A428" t="s">
        <v>487</v>
      </c>
      <c r="B428" t="s">
        <v>35</v>
      </c>
      <c r="C428" t="s">
        <v>27</v>
      </c>
      <c r="D428" t="s">
        <v>39</v>
      </c>
      <c r="F428" t="str">
        <f>IF(BBDD_fashion_boutique[[#This Row],[category]]="Accessories","Accesorio",IF(BBDD_fashion_boutique[[#This Row],[size]]="","Desconocido",BBDD_fashion_boutique[[#This Row],[size]]))</f>
        <v>Desconocido</v>
      </c>
      <c r="G428" t="s">
        <v>72</v>
      </c>
      <c r="H428" s="2">
        <v>134.6</v>
      </c>
      <c r="I428">
        <v>11.6</v>
      </c>
      <c r="J428" s="5">
        <f>BBDD_fashion_boutique[[#This Row],[markdown_percentage]]/100</f>
        <v>0.11599999999999999</v>
      </c>
      <c r="K428" s="2">
        <v>118.99</v>
      </c>
      <c r="L428" s="2">
        <f>BBDD_fashion_boutique[[#This Row],[original_price]]-BBDD_fashion_boutique[[#This Row],[current_price]]</f>
        <v>15.61</v>
      </c>
      <c r="M428" s="1">
        <v>45875</v>
      </c>
      <c r="N428" s="1" t="str">
        <f>PROPER(TEXT(BBDD_fashion_boutique[[#This Row],[purchase_date]],"dddd"))</f>
        <v>Miércoles</v>
      </c>
      <c r="O428" s="1" t="str">
        <f>PROPER(TEXT(BBDD_fashion_boutique[[#This Row],[purchase_date]],"mmmm"))</f>
        <v>Agosto</v>
      </c>
      <c r="P428" s="4">
        <v>47</v>
      </c>
      <c r="Q428" s="2">
        <v>3.9</v>
      </c>
      <c r="R428" t="str">
        <f>IF(BBDD_fashion_boutique[[#This Row],[stock_quantity]]&gt;9,"Ok",IF(BBDD_fashion_boutique[[#This Row],[stock_quantity]]=0,"Agotado","Pocas Unidades"))</f>
        <v>Ok</v>
      </c>
      <c r="S428" s="3">
        <f>IF(BBDD_fashion_boutique[[#This Row],[customer_rating]]="","No valorado",BBDD_fashion_boutique[[#This Row],[customer_rating]])</f>
        <v>3.9</v>
      </c>
      <c r="T428" t="s">
        <v>24</v>
      </c>
      <c r="V428">
        <f>IF(BBDD_fashion_boutique[[#This Row],[is_returned]]="False",0,1)</f>
        <v>0</v>
      </c>
      <c r="W428">
        <f>IF(BBDD_fashion_boutique[[#This Row],[is_returned]]="True",0,BBDD_fashion_boutique[[#This Row],[current_price]])</f>
        <v>118.99</v>
      </c>
      <c r="X428" t="str">
        <f>IF(BBDD_fashion_boutique[[#This Row],[return_reason]]="","No return",BBDD_fashion_boutique[[#This Row],[return_reason]])</f>
        <v>No return</v>
      </c>
      <c r="Y428">
        <f>IF(IFERROR(VLOOKUP(BBDD_fashion_boutique[[#This Row],[product_id]],A429:A2604,1,FALSE),0),1,0)</f>
        <v>0</v>
      </c>
    </row>
    <row r="429" spans="1:25" x14ac:dyDescent="0.3">
      <c r="A429" t="s">
        <v>488</v>
      </c>
      <c r="B429" t="s">
        <v>44</v>
      </c>
      <c r="C429" t="s">
        <v>20</v>
      </c>
      <c r="D429" t="s">
        <v>21</v>
      </c>
      <c r="E429" t="s">
        <v>55</v>
      </c>
      <c r="F429" t="str">
        <f>IF(BBDD_fashion_boutique[[#This Row],[category]]="Accessories","Accesorio",IF(BBDD_fashion_boutique[[#This Row],[size]]="","Desconocido",BBDD_fashion_boutique[[#This Row],[size]]))</f>
        <v>XXL</v>
      </c>
      <c r="G429" t="s">
        <v>72</v>
      </c>
      <c r="H429" s="2">
        <v>56.05</v>
      </c>
      <c r="I429">
        <v>0</v>
      </c>
      <c r="J429" s="5">
        <f>BBDD_fashion_boutique[[#This Row],[markdown_percentage]]/100</f>
        <v>0</v>
      </c>
      <c r="K429" s="2">
        <v>56.05</v>
      </c>
      <c r="L429" s="2">
        <f>BBDD_fashion_boutique[[#This Row],[original_price]]-BBDD_fashion_boutique[[#This Row],[current_price]]</f>
        <v>0</v>
      </c>
      <c r="M429" s="1">
        <v>45854</v>
      </c>
      <c r="N429" s="1" t="str">
        <f>PROPER(TEXT(BBDD_fashion_boutique[[#This Row],[purchase_date]],"dddd"))</f>
        <v>Miércoles</v>
      </c>
      <c r="O429" s="1" t="str">
        <f>PROPER(TEXT(BBDD_fashion_boutique[[#This Row],[purchase_date]],"mmmm"))</f>
        <v>Julio</v>
      </c>
      <c r="P429" s="4">
        <v>9</v>
      </c>
      <c r="R429" t="str">
        <f>IF(BBDD_fashion_boutique[[#This Row],[stock_quantity]]&gt;9,"Ok",IF(BBDD_fashion_boutique[[#This Row],[stock_quantity]]=0,"Agotado","Pocas Unidades"))</f>
        <v>Pocas Unidades</v>
      </c>
      <c r="S429" s="3" t="str">
        <f>IF(BBDD_fashion_boutique[[#This Row],[customer_rating]]="","No valorado",BBDD_fashion_boutique[[#This Row],[customer_rating]])</f>
        <v>No valorado</v>
      </c>
      <c r="T429" t="s">
        <v>24</v>
      </c>
      <c r="V429">
        <f>IF(BBDD_fashion_boutique[[#This Row],[is_returned]]="False",0,1)</f>
        <v>0</v>
      </c>
      <c r="W429">
        <f>IF(BBDD_fashion_boutique[[#This Row],[is_returned]]="True",0,BBDD_fashion_boutique[[#This Row],[current_price]])</f>
        <v>56.05</v>
      </c>
      <c r="X429" t="str">
        <f>IF(BBDD_fashion_boutique[[#This Row],[return_reason]]="","No return",BBDD_fashion_boutique[[#This Row],[return_reason]])</f>
        <v>No return</v>
      </c>
      <c r="Y429">
        <f>IF(IFERROR(VLOOKUP(BBDD_fashion_boutique[[#This Row],[product_id]],A430:A2605,1,FALSE),0),1,0)</f>
        <v>0</v>
      </c>
    </row>
    <row r="430" spans="1:25" x14ac:dyDescent="0.3">
      <c r="A430" t="s">
        <v>489</v>
      </c>
      <c r="B430" t="s">
        <v>48</v>
      </c>
      <c r="C430" t="s">
        <v>37</v>
      </c>
      <c r="D430" t="s">
        <v>39</v>
      </c>
      <c r="E430" t="s">
        <v>22</v>
      </c>
      <c r="F430" t="str">
        <f>IF(BBDD_fashion_boutique[[#This Row],[category]]="Accessories","Accesorio",IF(BBDD_fashion_boutique[[#This Row],[size]]="","Desconocido",BBDD_fashion_boutique[[#This Row],[size]]))</f>
        <v>XL</v>
      </c>
      <c r="G430" t="s">
        <v>72</v>
      </c>
      <c r="H430" s="2">
        <v>106.2</v>
      </c>
      <c r="I430">
        <v>0</v>
      </c>
      <c r="J430" s="5">
        <f>BBDD_fashion_boutique[[#This Row],[markdown_percentage]]/100</f>
        <v>0</v>
      </c>
      <c r="K430" s="2">
        <v>106.2</v>
      </c>
      <c r="L430" s="2">
        <f>BBDD_fashion_boutique[[#This Row],[original_price]]-BBDD_fashion_boutique[[#This Row],[current_price]]</f>
        <v>0</v>
      </c>
      <c r="M430" s="1">
        <v>45875</v>
      </c>
      <c r="N430" s="1" t="str">
        <f>PROPER(TEXT(BBDD_fashion_boutique[[#This Row],[purchase_date]],"dddd"))</f>
        <v>Miércoles</v>
      </c>
      <c r="O430" s="1" t="str">
        <f>PROPER(TEXT(BBDD_fashion_boutique[[#This Row],[purchase_date]],"mmmm"))</f>
        <v>Agosto</v>
      </c>
      <c r="P430" s="4">
        <v>35</v>
      </c>
      <c r="Q430" s="2">
        <v>4.5</v>
      </c>
      <c r="R430" t="str">
        <f>IF(BBDD_fashion_boutique[[#This Row],[stock_quantity]]&gt;9,"Ok",IF(BBDD_fashion_boutique[[#This Row],[stock_quantity]]=0,"Agotado","Pocas Unidades"))</f>
        <v>Ok</v>
      </c>
      <c r="S430" s="3">
        <f>IF(BBDD_fashion_boutique[[#This Row],[customer_rating]]="","No valorado",BBDD_fashion_boutique[[#This Row],[customer_rating]])</f>
        <v>4.5</v>
      </c>
      <c r="T430" t="s">
        <v>24</v>
      </c>
      <c r="V430">
        <f>IF(BBDD_fashion_boutique[[#This Row],[is_returned]]="False",0,1)</f>
        <v>0</v>
      </c>
      <c r="W430">
        <f>IF(BBDD_fashion_boutique[[#This Row],[is_returned]]="True",0,BBDD_fashion_boutique[[#This Row],[current_price]])</f>
        <v>106.2</v>
      </c>
      <c r="X430" t="str">
        <f>IF(BBDD_fashion_boutique[[#This Row],[return_reason]]="","No return",BBDD_fashion_boutique[[#This Row],[return_reason]])</f>
        <v>No return</v>
      </c>
      <c r="Y430">
        <f>IF(IFERROR(VLOOKUP(BBDD_fashion_boutique[[#This Row],[product_id]],A431:A2606,1,FALSE),0),1,0)</f>
        <v>0</v>
      </c>
    </row>
    <row r="431" spans="1:25" x14ac:dyDescent="0.3">
      <c r="A431" t="s">
        <v>490</v>
      </c>
      <c r="B431" t="s">
        <v>35</v>
      </c>
      <c r="C431" t="s">
        <v>49</v>
      </c>
      <c r="D431" t="s">
        <v>39</v>
      </c>
      <c r="F431" t="str">
        <f>IF(BBDD_fashion_boutique[[#This Row],[category]]="Accessories","Accesorio",IF(BBDD_fashion_boutique[[#This Row],[size]]="","Desconocido",BBDD_fashion_boutique[[#This Row],[size]]))</f>
        <v>Desconocido</v>
      </c>
      <c r="G431" t="s">
        <v>52</v>
      </c>
      <c r="H431" s="2">
        <v>104.26</v>
      </c>
      <c r="I431">
        <v>20.6</v>
      </c>
      <c r="J431" s="5">
        <f>BBDD_fashion_boutique[[#This Row],[markdown_percentage]]/100</f>
        <v>0.20600000000000002</v>
      </c>
      <c r="K431" s="2">
        <v>82.78</v>
      </c>
      <c r="L431" s="2">
        <f>BBDD_fashion_boutique[[#This Row],[original_price]]-BBDD_fashion_boutique[[#This Row],[current_price]]</f>
        <v>21.480000000000004</v>
      </c>
      <c r="M431" s="1">
        <v>45875</v>
      </c>
      <c r="N431" s="1" t="str">
        <f>PROPER(TEXT(BBDD_fashion_boutique[[#This Row],[purchase_date]],"dddd"))</f>
        <v>Miércoles</v>
      </c>
      <c r="O431" s="1" t="str">
        <f>PROPER(TEXT(BBDD_fashion_boutique[[#This Row],[purchase_date]],"mmmm"))</f>
        <v>Agosto</v>
      </c>
      <c r="P431" s="4">
        <v>31</v>
      </c>
      <c r="Q431" s="2">
        <v>3</v>
      </c>
      <c r="R431" t="str">
        <f>IF(BBDD_fashion_boutique[[#This Row],[stock_quantity]]&gt;9,"Ok",IF(BBDD_fashion_boutique[[#This Row],[stock_quantity]]=0,"Agotado","Pocas Unidades"))</f>
        <v>Ok</v>
      </c>
      <c r="S431" s="3">
        <f>IF(BBDD_fashion_boutique[[#This Row],[customer_rating]]="","No valorado",BBDD_fashion_boutique[[#This Row],[customer_rating]])</f>
        <v>3</v>
      </c>
      <c r="T431" t="s">
        <v>24</v>
      </c>
      <c r="V431">
        <f>IF(BBDD_fashion_boutique[[#This Row],[is_returned]]="False",0,1)</f>
        <v>0</v>
      </c>
      <c r="W431">
        <f>IF(BBDD_fashion_boutique[[#This Row],[is_returned]]="True",0,BBDD_fashion_boutique[[#This Row],[current_price]])</f>
        <v>82.78</v>
      </c>
      <c r="X431" t="str">
        <f>IF(BBDD_fashion_boutique[[#This Row],[return_reason]]="","No return",BBDD_fashion_boutique[[#This Row],[return_reason]])</f>
        <v>No return</v>
      </c>
      <c r="Y431">
        <f>IF(IFERROR(VLOOKUP(BBDD_fashion_boutique[[#This Row],[product_id]],A432:A2607,1,FALSE),0),1,0)</f>
        <v>0</v>
      </c>
    </row>
    <row r="432" spans="1:25" x14ac:dyDescent="0.3">
      <c r="A432" t="s">
        <v>491</v>
      </c>
      <c r="B432" t="s">
        <v>32</v>
      </c>
      <c r="C432" t="s">
        <v>27</v>
      </c>
      <c r="D432" t="s">
        <v>21</v>
      </c>
      <c r="F432" t="str">
        <f>IF(BBDD_fashion_boutique[[#This Row],[category]]="Accessories","Accesorio",IF(BBDD_fashion_boutique[[#This Row],[size]]="","Desconocido",BBDD_fashion_boutique[[#This Row],[size]]))</f>
        <v>Accesorio</v>
      </c>
      <c r="G432" t="s">
        <v>72</v>
      </c>
      <c r="H432" s="2">
        <v>24.53</v>
      </c>
      <c r="I432">
        <v>0</v>
      </c>
      <c r="J432" s="5">
        <f>BBDD_fashion_boutique[[#This Row],[markdown_percentage]]/100</f>
        <v>0</v>
      </c>
      <c r="K432" s="2">
        <v>24.53</v>
      </c>
      <c r="L432" s="2">
        <f>BBDD_fashion_boutique[[#This Row],[original_price]]-BBDD_fashion_boutique[[#This Row],[current_price]]</f>
        <v>0</v>
      </c>
      <c r="M432" s="1">
        <v>45524</v>
      </c>
      <c r="N432" s="1" t="str">
        <f>PROPER(TEXT(BBDD_fashion_boutique[[#This Row],[purchase_date]],"dddd"))</f>
        <v>Martes</v>
      </c>
      <c r="O432" s="1" t="str">
        <f>PROPER(TEXT(BBDD_fashion_boutique[[#This Row],[purchase_date]],"mmmm"))</f>
        <v>Agosto</v>
      </c>
      <c r="P432" s="4">
        <v>44</v>
      </c>
      <c r="Q432" s="2">
        <v>4.2</v>
      </c>
      <c r="R432" t="str">
        <f>IF(BBDD_fashion_boutique[[#This Row],[stock_quantity]]&gt;9,"Ok",IF(BBDD_fashion_boutique[[#This Row],[stock_quantity]]=0,"Agotado","Pocas Unidades"))</f>
        <v>Ok</v>
      </c>
      <c r="S432" s="3">
        <f>IF(BBDD_fashion_boutique[[#This Row],[customer_rating]]="","No valorado",BBDD_fashion_boutique[[#This Row],[customer_rating]])</f>
        <v>4.2</v>
      </c>
      <c r="T432" t="s">
        <v>24</v>
      </c>
      <c r="V432">
        <f>IF(BBDD_fashion_boutique[[#This Row],[is_returned]]="False",0,1)</f>
        <v>0</v>
      </c>
      <c r="W432">
        <f>IF(BBDD_fashion_boutique[[#This Row],[is_returned]]="True",0,BBDD_fashion_boutique[[#This Row],[current_price]])</f>
        <v>24.53</v>
      </c>
      <c r="X432" t="str">
        <f>IF(BBDD_fashion_boutique[[#This Row],[return_reason]]="","No return",BBDD_fashion_boutique[[#This Row],[return_reason]])</f>
        <v>No return</v>
      </c>
      <c r="Y432">
        <f>IF(IFERROR(VLOOKUP(BBDD_fashion_boutique[[#This Row],[product_id]],A433:A2608,1,FALSE),0),1,0)</f>
        <v>0</v>
      </c>
    </row>
    <row r="433" spans="1:25" x14ac:dyDescent="0.3">
      <c r="A433" t="s">
        <v>492</v>
      </c>
      <c r="B433" t="s">
        <v>35</v>
      </c>
      <c r="C433" t="s">
        <v>49</v>
      </c>
      <c r="D433" t="s">
        <v>21</v>
      </c>
      <c r="E433" t="s">
        <v>29</v>
      </c>
      <c r="F433" t="str">
        <f>IF(BBDD_fashion_boutique[[#This Row],[category]]="Accessories","Accesorio",IF(BBDD_fashion_boutique[[#This Row],[size]]="","Desconocido",BBDD_fashion_boutique[[#This Row],[size]]))</f>
        <v>L</v>
      </c>
      <c r="G433" t="s">
        <v>52</v>
      </c>
      <c r="H433" s="2">
        <v>131.25</v>
      </c>
      <c r="I433">
        <v>0</v>
      </c>
      <c r="J433" s="5">
        <f>BBDD_fashion_boutique[[#This Row],[markdown_percentage]]/100</f>
        <v>0</v>
      </c>
      <c r="K433" s="2">
        <v>131.25</v>
      </c>
      <c r="L433" s="2">
        <f>BBDD_fashion_boutique[[#This Row],[original_price]]-BBDD_fashion_boutique[[#This Row],[current_price]]</f>
        <v>0</v>
      </c>
      <c r="M433" s="1">
        <v>45826</v>
      </c>
      <c r="N433" s="1" t="str">
        <f>PROPER(TEXT(BBDD_fashion_boutique[[#This Row],[purchase_date]],"dddd"))</f>
        <v>Miércoles</v>
      </c>
      <c r="O433" s="1" t="str">
        <f>PROPER(TEXT(BBDD_fashion_boutique[[#This Row],[purchase_date]],"mmmm"))</f>
        <v>Junio</v>
      </c>
      <c r="P433" s="4">
        <v>12</v>
      </c>
      <c r="Q433" s="2">
        <v>1.6</v>
      </c>
      <c r="R433" t="str">
        <f>IF(BBDD_fashion_boutique[[#This Row],[stock_quantity]]&gt;9,"Ok",IF(BBDD_fashion_boutique[[#This Row],[stock_quantity]]=0,"Agotado","Pocas Unidades"))</f>
        <v>Ok</v>
      </c>
      <c r="S433" s="3">
        <f>IF(BBDD_fashion_boutique[[#This Row],[customer_rating]]="","No valorado",BBDD_fashion_boutique[[#This Row],[customer_rating]])</f>
        <v>1.6</v>
      </c>
      <c r="T433" t="s">
        <v>24</v>
      </c>
      <c r="V433">
        <f>IF(BBDD_fashion_boutique[[#This Row],[is_returned]]="False",0,1)</f>
        <v>0</v>
      </c>
      <c r="W433">
        <f>IF(BBDD_fashion_boutique[[#This Row],[is_returned]]="True",0,BBDD_fashion_boutique[[#This Row],[current_price]])</f>
        <v>131.25</v>
      </c>
      <c r="X433" t="str">
        <f>IF(BBDD_fashion_boutique[[#This Row],[return_reason]]="","No return",BBDD_fashion_boutique[[#This Row],[return_reason]])</f>
        <v>No return</v>
      </c>
      <c r="Y433">
        <f>IF(IFERROR(VLOOKUP(BBDD_fashion_boutique[[#This Row],[product_id]],A434:A2609,1,FALSE),0),1,0)</f>
        <v>0</v>
      </c>
    </row>
    <row r="434" spans="1:25" x14ac:dyDescent="0.3">
      <c r="A434" t="s">
        <v>493</v>
      </c>
      <c r="B434" t="s">
        <v>44</v>
      </c>
      <c r="C434" t="s">
        <v>81</v>
      </c>
      <c r="D434" t="s">
        <v>39</v>
      </c>
      <c r="E434" t="s">
        <v>64</v>
      </c>
      <c r="F434" t="str">
        <f>IF(BBDD_fashion_boutique[[#This Row],[category]]="Accessories","Accesorio",IF(BBDD_fashion_boutique[[#This Row],[size]]="","Desconocido",BBDD_fashion_boutique[[#This Row],[size]]))</f>
        <v>M</v>
      </c>
      <c r="G434" t="s">
        <v>23</v>
      </c>
      <c r="H434" s="2">
        <v>72.849999999999994</v>
      </c>
      <c r="I434">
        <v>0</v>
      </c>
      <c r="J434" s="5">
        <f>BBDD_fashion_boutique[[#This Row],[markdown_percentage]]/100</f>
        <v>0</v>
      </c>
      <c r="K434" s="2">
        <v>72.849999999999994</v>
      </c>
      <c r="L434" s="2">
        <f>BBDD_fashion_boutique[[#This Row],[original_price]]-BBDD_fashion_boutique[[#This Row],[current_price]]</f>
        <v>0</v>
      </c>
      <c r="M434" s="1">
        <v>45875</v>
      </c>
      <c r="N434" s="1" t="str">
        <f>PROPER(TEXT(BBDD_fashion_boutique[[#This Row],[purchase_date]],"dddd"))</f>
        <v>Miércoles</v>
      </c>
      <c r="O434" s="1" t="str">
        <f>PROPER(TEXT(BBDD_fashion_boutique[[#This Row],[purchase_date]],"mmmm"))</f>
        <v>Agosto</v>
      </c>
      <c r="P434" s="4">
        <v>25</v>
      </c>
      <c r="Q434" s="2">
        <v>3.8</v>
      </c>
      <c r="R434" t="str">
        <f>IF(BBDD_fashion_boutique[[#This Row],[stock_quantity]]&gt;9,"Ok",IF(BBDD_fashion_boutique[[#This Row],[stock_quantity]]=0,"Agotado","Pocas Unidades"))</f>
        <v>Ok</v>
      </c>
      <c r="S434" s="3">
        <f>IF(BBDD_fashion_boutique[[#This Row],[customer_rating]]="","No valorado",BBDD_fashion_boutique[[#This Row],[customer_rating]])</f>
        <v>3.8</v>
      </c>
      <c r="T434" t="s">
        <v>24</v>
      </c>
      <c r="V434">
        <f>IF(BBDD_fashion_boutique[[#This Row],[is_returned]]="False",0,1)</f>
        <v>0</v>
      </c>
      <c r="W434">
        <f>IF(BBDD_fashion_boutique[[#This Row],[is_returned]]="True",0,BBDD_fashion_boutique[[#This Row],[current_price]])</f>
        <v>72.849999999999994</v>
      </c>
      <c r="X434" t="str">
        <f>IF(BBDD_fashion_boutique[[#This Row],[return_reason]]="","No return",BBDD_fashion_boutique[[#This Row],[return_reason]])</f>
        <v>No return</v>
      </c>
      <c r="Y434">
        <f>IF(IFERROR(VLOOKUP(BBDD_fashion_boutique[[#This Row],[product_id]],A435:A2610,1,FALSE),0),1,0)</f>
        <v>0</v>
      </c>
    </row>
    <row r="435" spans="1:25" x14ac:dyDescent="0.3">
      <c r="A435" t="s">
        <v>494</v>
      </c>
      <c r="B435" t="s">
        <v>35</v>
      </c>
      <c r="C435" t="s">
        <v>20</v>
      </c>
      <c r="D435" t="s">
        <v>28</v>
      </c>
      <c r="E435" t="s">
        <v>61</v>
      </c>
      <c r="F435" t="str">
        <f>IF(BBDD_fashion_boutique[[#This Row],[category]]="Accessories","Accesorio",IF(BBDD_fashion_boutique[[#This Row],[size]]="","Desconocido",BBDD_fashion_boutique[[#This Row],[size]]))</f>
        <v>XS</v>
      </c>
      <c r="G435" t="s">
        <v>52</v>
      </c>
      <c r="H435" s="2">
        <v>135.38999999999999</v>
      </c>
      <c r="I435">
        <v>0</v>
      </c>
      <c r="J435" s="5">
        <f>BBDD_fashion_boutique[[#This Row],[markdown_percentage]]/100</f>
        <v>0</v>
      </c>
      <c r="K435" s="2">
        <v>135.38999999999999</v>
      </c>
      <c r="L435" s="2">
        <f>BBDD_fashion_boutique[[#This Row],[original_price]]-BBDD_fashion_boutique[[#This Row],[current_price]]</f>
        <v>0</v>
      </c>
      <c r="M435" s="1">
        <v>45875</v>
      </c>
      <c r="N435" s="1" t="str">
        <f>PROPER(TEXT(BBDD_fashion_boutique[[#This Row],[purchase_date]],"dddd"))</f>
        <v>Miércoles</v>
      </c>
      <c r="O435" s="1" t="str">
        <f>PROPER(TEXT(BBDD_fashion_boutique[[#This Row],[purchase_date]],"mmmm"))</f>
        <v>Agosto</v>
      </c>
      <c r="P435" s="4">
        <v>26</v>
      </c>
      <c r="Q435" s="2">
        <v>3.9</v>
      </c>
      <c r="R435" t="str">
        <f>IF(BBDD_fashion_boutique[[#This Row],[stock_quantity]]&gt;9,"Ok",IF(BBDD_fashion_boutique[[#This Row],[stock_quantity]]=0,"Agotado","Pocas Unidades"))</f>
        <v>Ok</v>
      </c>
      <c r="S435" s="3">
        <f>IF(BBDD_fashion_boutique[[#This Row],[customer_rating]]="","No valorado",BBDD_fashion_boutique[[#This Row],[customer_rating]])</f>
        <v>3.9</v>
      </c>
      <c r="T435" t="s">
        <v>24</v>
      </c>
      <c r="V435">
        <f>IF(BBDD_fashion_boutique[[#This Row],[is_returned]]="False",0,1)</f>
        <v>0</v>
      </c>
      <c r="W435">
        <f>IF(BBDD_fashion_boutique[[#This Row],[is_returned]]="True",0,BBDD_fashion_boutique[[#This Row],[current_price]])</f>
        <v>135.38999999999999</v>
      </c>
      <c r="X435" t="str">
        <f>IF(BBDD_fashion_boutique[[#This Row],[return_reason]]="","No return",BBDD_fashion_boutique[[#This Row],[return_reason]])</f>
        <v>No return</v>
      </c>
      <c r="Y435">
        <f>IF(IFERROR(VLOOKUP(BBDD_fashion_boutique[[#This Row],[product_id]],A436:A2611,1,FALSE),0),1,0)</f>
        <v>0</v>
      </c>
    </row>
    <row r="436" spans="1:25" x14ac:dyDescent="0.3">
      <c r="A436" t="s">
        <v>495</v>
      </c>
      <c r="B436" t="s">
        <v>35</v>
      </c>
      <c r="C436" t="s">
        <v>20</v>
      </c>
      <c r="D436" t="s">
        <v>28</v>
      </c>
      <c r="E436" t="s">
        <v>22</v>
      </c>
      <c r="F436" t="str">
        <f>IF(BBDD_fashion_boutique[[#This Row],[category]]="Accessories","Accesorio",IF(BBDD_fashion_boutique[[#This Row],[size]]="","Desconocido",BBDD_fashion_boutique[[#This Row],[size]]))</f>
        <v>XL</v>
      </c>
      <c r="G436" t="s">
        <v>70</v>
      </c>
      <c r="H436" s="2">
        <v>166.94</v>
      </c>
      <c r="I436">
        <v>4.2</v>
      </c>
      <c r="J436" s="5">
        <f>BBDD_fashion_boutique[[#This Row],[markdown_percentage]]/100</f>
        <v>4.2000000000000003E-2</v>
      </c>
      <c r="K436" s="2">
        <v>159.93</v>
      </c>
      <c r="L436" s="2">
        <f>BBDD_fashion_boutique[[#This Row],[original_price]]-BBDD_fashion_boutique[[#This Row],[current_price]]</f>
        <v>7.0099999999999909</v>
      </c>
      <c r="M436" s="1">
        <v>45875</v>
      </c>
      <c r="N436" s="1" t="str">
        <f>PROPER(TEXT(BBDD_fashion_boutique[[#This Row],[purchase_date]],"dddd"))</f>
        <v>Miércoles</v>
      </c>
      <c r="O436" s="1" t="str">
        <f>PROPER(TEXT(BBDD_fashion_boutique[[#This Row],[purchase_date]],"mmmm"))</f>
        <v>Agosto</v>
      </c>
      <c r="P436" s="4">
        <v>17</v>
      </c>
      <c r="Q436" s="2">
        <v>2.6</v>
      </c>
      <c r="R436" t="str">
        <f>IF(BBDD_fashion_boutique[[#This Row],[stock_quantity]]&gt;9,"Ok",IF(BBDD_fashion_boutique[[#This Row],[stock_quantity]]=0,"Agotado","Pocas Unidades"))</f>
        <v>Ok</v>
      </c>
      <c r="S436" s="3">
        <f>IF(BBDD_fashion_boutique[[#This Row],[customer_rating]]="","No valorado",BBDD_fashion_boutique[[#This Row],[customer_rating]])</f>
        <v>2.6</v>
      </c>
      <c r="T436" t="s">
        <v>41</v>
      </c>
      <c r="U436" t="s">
        <v>42</v>
      </c>
      <c r="V436">
        <f>IF(BBDD_fashion_boutique[[#This Row],[is_returned]]="False",0,1)</f>
        <v>1</v>
      </c>
      <c r="W436">
        <f>IF(BBDD_fashion_boutique[[#This Row],[is_returned]]="True",0,BBDD_fashion_boutique[[#This Row],[current_price]])</f>
        <v>0</v>
      </c>
      <c r="X436" t="str">
        <f>IF(BBDD_fashion_boutique[[#This Row],[return_reason]]="","No return",BBDD_fashion_boutique[[#This Row],[return_reason]])</f>
        <v>Color Mismatch</v>
      </c>
      <c r="Y436">
        <f>IF(IFERROR(VLOOKUP(BBDD_fashion_boutique[[#This Row],[product_id]],A437:A2612,1,FALSE),0),1,0)</f>
        <v>0</v>
      </c>
    </row>
    <row r="437" spans="1:25" x14ac:dyDescent="0.3">
      <c r="A437" t="s">
        <v>496</v>
      </c>
      <c r="B437" t="s">
        <v>35</v>
      </c>
      <c r="C437" t="s">
        <v>37</v>
      </c>
      <c r="D437" t="s">
        <v>21</v>
      </c>
      <c r="E437" t="s">
        <v>22</v>
      </c>
      <c r="F437" t="str">
        <f>IF(BBDD_fashion_boutique[[#This Row],[category]]="Accessories","Accesorio",IF(BBDD_fashion_boutique[[#This Row],[size]]="","Desconocido",BBDD_fashion_boutique[[#This Row],[size]]))</f>
        <v>XL</v>
      </c>
      <c r="G437" t="s">
        <v>52</v>
      </c>
      <c r="H437" s="2">
        <v>135.36000000000001</v>
      </c>
      <c r="I437">
        <v>41.7</v>
      </c>
      <c r="J437" s="5">
        <f>BBDD_fashion_boutique[[#This Row],[markdown_percentage]]/100</f>
        <v>0.41700000000000004</v>
      </c>
      <c r="K437" s="2">
        <v>78.91</v>
      </c>
      <c r="L437" s="2">
        <f>BBDD_fashion_boutique[[#This Row],[original_price]]-BBDD_fashion_boutique[[#This Row],[current_price]]</f>
        <v>56.450000000000017</v>
      </c>
      <c r="M437" s="1">
        <v>45646</v>
      </c>
      <c r="N437" s="1" t="str">
        <f>PROPER(TEXT(BBDD_fashion_boutique[[#This Row],[purchase_date]],"dddd"))</f>
        <v>Viernes</v>
      </c>
      <c r="O437" s="1" t="str">
        <f>PROPER(TEXT(BBDD_fashion_boutique[[#This Row],[purchase_date]],"mmmm"))</f>
        <v>Diciembre</v>
      </c>
      <c r="P437" s="4">
        <v>17</v>
      </c>
      <c r="Q437" s="2">
        <v>4.3</v>
      </c>
      <c r="R437" t="str">
        <f>IF(BBDD_fashion_boutique[[#This Row],[stock_quantity]]&gt;9,"Ok",IF(BBDD_fashion_boutique[[#This Row],[stock_quantity]]=0,"Agotado","Pocas Unidades"))</f>
        <v>Ok</v>
      </c>
      <c r="S437" s="3">
        <f>IF(BBDD_fashion_boutique[[#This Row],[customer_rating]]="","No valorado",BBDD_fashion_boutique[[#This Row],[customer_rating]])</f>
        <v>4.3</v>
      </c>
      <c r="T437" t="s">
        <v>24</v>
      </c>
      <c r="V437">
        <f>IF(BBDD_fashion_boutique[[#This Row],[is_returned]]="False",0,1)</f>
        <v>0</v>
      </c>
      <c r="W437">
        <f>IF(BBDD_fashion_boutique[[#This Row],[is_returned]]="True",0,BBDD_fashion_boutique[[#This Row],[current_price]])</f>
        <v>78.91</v>
      </c>
      <c r="X437" t="str">
        <f>IF(BBDD_fashion_boutique[[#This Row],[return_reason]]="","No return",BBDD_fashion_boutique[[#This Row],[return_reason]])</f>
        <v>No return</v>
      </c>
      <c r="Y437">
        <f>IF(IFERROR(VLOOKUP(BBDD_fashion_boutique[[#This Row],[product_id]],A438:A2613,1,FALSE),0),1,0)</f>
        <v>0</v>
      </c>
    </row>
    <row r="438" spans="1:25" x14ac:dyDescent="0.3">
      <c r="A438" t="s">
        <v>497</v>
      </c>
      <c r="B438" t="s">
        <v>44</v>
      </c>
      <c r="C438" t="s">
        <v>59</v>
      </c>
      <c r="D438" t="s">
        <v>21</v>
      </c>
      <c r="E438" t="s">
        <v>29</v>
      </c>
      <c r="F438" t="str">
        <f>IF(BBDD_fashion_boutique[[#This Row],[category]]="Accessories","Accesorio",IF(BBDD_fashion_boutique[[#This Row],[size]]="","Desconocido",BBDD_fashion_boutique[[#This Row],[size]]))</f>
        <v>L</v>
      </c>
      <c r="G438" t="s">
        <v>50</v>
      </c>
      <c r="H438" s="2">
        <v>96.05</v>
      </c>
      <c r="I438">
        <v>0</v>
      </c>
      <c r="J438" s="5">
        <f>BBDD_fashion_boutique[[#This Row],[markdown_percentage]]/100</f>
        <v>0</v>
      </c>
      <c r="K438" s="2">
        <v>96.05</v>
      </c>
      <c r="L438" s="2">
        <f>BBDD_fashion_boutique[[#This Row],[original_price]]-BBDD_fashion_boutique[[#This Row],[current_price]]</f>
        <v>0</v>
      </c>
      <c r="M438" s="1">
        <v>45544</v>
      </c>
      <c r="N438" s="1" t="str">
        <f>PROPER(TEXT(BBDD_fashion_boutique[[#This Row],[purchase_date]],"dddd"))</f>
        <v>Lunes</v>
      </c>
      <c r="O438" s="1" t="str">
        <f>PROPER(TEXT(BBDD_fashion_boutique[[#This Row],[purchase_date]],"mmmm"))</f>
        <v>Septiembre</v>
      </c>
      <c r="P438" s="4">
        <v>15</v>
      </c>
      <c r="Q438" s="2">
        <v>4</v>
      </c>
      <c r="R438" t="str">
        <f>IF(BBDD_fashion_boutique[[#This Row],[stock_quantity]]&gt;9,"Ok",IF(BBDD_fashion_boutique[[#This Row],[stock_quantity]]=0,"Agotado","Pocas Unidades"))</f>
        <v>Ok</v>
      </c>
      <c r="S438" s="3">
        <f>IF(BBDD_fashion_boutique[[#This Row],[customer_rating]]="","No valorado",BBDD_fashion_boutique[[#This Row],[customer_rating]])</f>
        <v>4</v>
      </c>
      <c r="T438" t="s">
        <v>24</v>
      </c>
      <c r="V438">
        <f>IF(BBDD_fashion_boutique[[#This Row],[is_returned]]="False",0,1)</f>
        <v>0</v>
      </c>
      <c r="W438">
        <f>IF(BBDD_fashion_boutique[[#This Row],[is_returned]]="True",0,BBDD_fashion_boutique[[#This Row],[current_price]])</f>
        <v>96.05</v>
      </c>
      <c r="X438" t="str">
        <f>IF(BBDD_fashion_boutique[[#This Row],[return_reason]]="","No return",BBDD_fashion_boutique[[#This Row],[return_reason]])</f>
        <v>No return</v>
      </c>
      <c r="Y438">
        <f>IF(IFERROR(VLOOKUP(BBDD_fashion_boutique[[#This Row],[product_id]],A439:A2614,1,FALSE),0),1,0)</f>
        <v>0</v>
      </c>
    </row>
    <row r="439" spans="1:25" x14ac:dyDescent="0.3">
      <c r="A439" t="s">
        <v>498</v>
      </c>
      <c r="B439" t="s">
        <v>19</v>
      </c>
      <c r="C439" t="s">
        <v>54</v>
      </c>
      <c r="D439" t="s">
        <v>68</v>
      </c>
      <c r="E439" t="s">
        <v>29</v>
      </c>
      <c r="F439" t="str">
        <f>IF(BBDD_fashion_boutique[[#This Row],[category]]="Accessories","Accesorio",IF(BBDD_fashion_boutique[[#This Row],[size]]="","Desconocido",BBDD_fashion_boutique[[#This Row],[size]]))</f>
        <v>L</v>
      </c>
      <c r="G439" t="s">
        <v>23</v>
      </c>
      <c r="H439" s="2">
        <v>116.1</v>
      </c>
      <c r="I439">
        <v>0</v>
      </c>
      <c r="J439" s="5">
        <f>BBDD_fashion_boutique[[#This Row],[markdown_percentage]]/100</f>
        <v>0</v>
      </c>
      <c r="K439" s="2">
        <v>116.1</v>
      </c>
      <c r="L439" s="2">
        <f>BBDD_fashion_boutique[[#This Row],[original_price]]-BBDD_fashion_boutique[[#This Row],[current_price]]</f>
        <v>0</v>
      </c>
      <c r="M439" s="1">
        <v>45875</v>
      </c>
      <c r="N439" s="1" t="str">
        <f>PROPER(TEXT(BBDD_fashion_boutique[[#This Row],[purchase_date]],"dddd"))</f>
        <v>Miércoles</v>
      </c>
      <c r="O439" s="1" t="str">
        <f>PROPER(TEXT(BBDD_fashion_boutique[[#This Row],[purchase_date]],"mmmm"))</f>
        <v>Agosto</v>
      </c>
      <c r="P439" s="4">
        <v>27</v>
      </c>
      <c r="Q439" s="2">
        <v>3.6</v>
      </c>
      <c r="R439" t="str">
        <f>IF(BBDD_fashion_boutique[[#This Row],[stock_quantity]]&gt;9,"Ok",IF(BBDD_fashion_boutique[[#This Row],[stock_quantity]]=0,"Agotado","Pocas Unidades"))</f>
        <v>Ok</v>
      </c>
      <c r="S439" s="3">
        <f>IF(BBDD_fashion_boutique[[#This Row],[customer_rating]]="","No valorado",BBDD_fashion_boutique[[#This Row],[customer_rating]])</f>
        <v>3.6</v>
      </c>
      <c r="T439" t="s">
        <v>41</v>
      </c>
      <c r="U439" t="s">
        <v>121</v>
      </c>
      <c r="V439">
        <f>IF(BBDD_fashion_boutique[[#This Row],[is_returned]]="False",0,1)</f>
        <v>1</v>
      </c>
      <c r="W439">
        <f>IF(BBDD_fashion_boutique[[#This Row],[is_returned]]="True",0,BBDD_fashion_boutique[[#This Row],[current_price]])</f>
        <v>0</v>
      </c>
      <c r="X439" t="str">
        <f>IF(BBDD_fashion_boutique[[#This Row],[return_reason]]="","No return",BBDD_fashion_boutique[[#This Row],[return_reason]])</f>
        <v>Changed Mind</v>
      </c>
      <c r="Y439">
        <f>IF(IFERROR(VLOOKUP(BBDD_fashion_boutique[[#This Row],[product_id]],A440:A2615,1,FALSE),0),1,0)</f>
        <v>0</v>
      </c>
    </row>
    <row r="440" spans="1:25" x14ac:dyDescent="0.3">
      <c r="A440" t="s">
        <v>499</v>
      </c>
      <c r="B440" t="s">
        <v>35</v>
      </c>
      <c r="C440" t="s">
        <v>49</v>
      </c>
      <c r="D440" t="s">
        <v>39</v>
      </c>
      <c r="E440" t="s">
        <v>29</v>
      </c>
      <c r="F440" t="str">
        <f>IF(BBDD_fashion_boutique[[#This Row],[category]]="Accessories","Accesorio",IF(BBDD_fashion_boutique[[#This Row],[size]]="","Desconocido",BBDD_fashion_boutique[[#This Row],[size]]))</f>
        <v>L</v>
      </c>
      <c r="G440" t="s">
        <v>33</v>
      </c>
      <c r="H440" s="2">
        <v>91.53</v>
      </c>
      <c r="I440">
        <v>0</v>
      </c>
      <c r="J440" s="5">
        <f>BBDD_fashion_boutique[[#This Row],[markdown_percentage]]/100</f>
        <v>0</v>
      </c>
      <c r="K440" s="2">
        <v>91.53</v>
      </c>
      <c r="L440" s="2">
        <f>BBDD_fashion_boutique[[#This Row],[original_price]]-BBDD_fashion_boutique[[#This Row],[current_price]]</f>
        <v>0</v>
      </c>
      <c r="M440" s="1">
        <v>45875</v>
      </c>
      <c r="N440" s="1" t="str">
        <f>PROPER(TEXT(BBDD_fashion_boutique[[#This Row],[purchase_date]],"dddd"))</f>
        <v>Miércoles</v>
      </c>
      <c r="O440" s="1" t="str">
        <f>PROPER(TEXT(BBDD_fashion_boutique[[#This Row],[purchase_date]],"mmmm"))</f>
        <v>Agosto</v>
      </c>
      <c r="P440" s="4">
        <v>8</v>
      </c>
      <c r="Q440" s="2">
        <v>1.5</v>
      </c>
      <c r="R440" t="str">
        <f>IF(BBDD_fashion_boutique[[#This Row],[stock_quantity]]&gt;9,"Ok",IF(BBDD_fashion_boutique[[#This Row],[stock_quantity]]=0,"Agotado","Pocas Unidades"))</f>
        <v>Pocas Unidades</v>
      </c>
      <c r="S440" s="3">
        <f>IF(BBDD_fashion_boutique[[#This Row],[customer_rating]]="","No valorado",BBDD_fashion_boutique[[#This Row],[customer_rating]])</f>
        <v>1.5</v>
      </c>
      <c r="T440" t="s">
        <v>24</v>
      </c>
      <c r="V440">
        <f>IF(BBDD_fashion_boutique[[#This Row],[is_returned]]="False",0,1)</f>
        <v>0</v>
      </c>
      <c r="W440">
        <f>IF(BBDD_fashion_boutique[[#This Row],[is_returned]]="True",0,BBDD_fashion_boutique[[#This Row],[current_price]])</f>
        <v>91.53</v>
      </c>
      <c r="X440" t="str">
        <f>IF(BBDD_fashion_boutique[[#This Row],[return_reason]]="","No return",BBDD_fashion_boutique[[#This Row],[return_reason]])</f>
        <v>No return</v>
      </c>
      <c r="Y440">
        <f>IF(IFERROR(VLOOKUP(BBDD_fashion_boutique[[#This Row],[product_id]],A441:A2616,1,FALSE),0),1,0)</f>
        <v>0</v>
      </c>
    </row>
    <row r="441" spans="1:25" x14ac:dyDescent="0.3">
      <c r="A441" t="s">
        <v>500</v>
      </c>
      <c r="B441" t="s">
        <v>44</v>
      </c>
      <c r="C441" t="s">
        <v>20</v>
      </c>
      <c r="D441" t="s">
        <v>28</v>
      </c>
      <c r="E441" t="s">
        <v>61</v>
      </c>
      <c r="F441" t="str">
        <f>IF(BBDD_fashion_boutique[[#This Row],[category]]="Accessories","Accesorio",IF(BBDD_fashion_boutique[[#This Row],[size]]="","Desconocido",BBDD_fashion_boutique[[#This Row],[size]]))</f>
        <v>XS</v>
      </c>
      <c r="G441" t="s">
        <v>46</v>
      </c>
      <c r="H441" s="2">
        <v>102.16</v>
      </c>
      <c r="I441">
        <v>0</v>
      </c>
      <c r="J441" s="5">
        <f>BBDD_fashion_boutique[[#This Row],[markdown_percentage]]/100</f>
        <v>0</v>
      </c>
      <c r="K441" s="2">
        <v>102.16</v>
      </c>
      <c r="L441" s="2">
        <f>BBDD_fashion_boutique[[#This Row],[original_price]]-BBDD_fashion_boutique[[#This Row],[current_price]]</f>
        <v>0</v>
      </c>
      <c r="M441" s="1">
        <v>45875</v>
      </c>
      <c r="N441" s="1" t="str">
        <f>PROPER(TEXT(BBDD_fashion_boutique[[#This Row],[purchase_date]],"dddd"))</f>
        <v>Miércoles</v>
      </c>
      <c r="O441" s="1" t="str">
        <f>PROPER(TEXT(BBDD_fashion_boutique[[#This Row],[purchase_date]],"mmmm"))</f>
        <v>Agosto</v>
      </c>
      <c r="P441" s="4">
        <v>50</v>
      </c>
      <c r="R441" t="str">
        <f>IF(BBDD_fashion_boutique[[#This Row],[stock_quantity]]&gt;9,"Ok",IF(BBDD_fashion_boutique[[#This Row],[stock_quantity]]=0,"Agotado","Pocas Unidades"))</f>
        <v>Ok</v>
      </c>
      <c r="S441" s="3" t="str">
        <f>IF(BBDD_fashion_boutique[[#This Row],[customer_rating]]="","No valorado",BBDD_fashion_boutique[[#This Row],[customer_rating]])</f>
        <v>No valorado</v>
      </c>
      <c r="T441" t="s">
        <v>24</v>
      </c>
      <c r="V441">
        <f>IF(BBDD_fashion_boutique[[#This Row],[is_returned]]="False",0,1)</f>
        <v>0</v>
      </c>
      <c r="W441">
        <f>IF(BBDD_fashion_boutique[[#This Row],[is_returned]]="True",0,BBDD_fashion_boutique[[#This Row],[current_price]])</f>
        <v>102.16</v>
      </c>
      <c r="X441" t="str">
        <f>IF(BBDD_fashion_boutique[[#This Row],[return_reason]]="","No return",BBDD_fashion_boutique[[#This Row],[return_reason]])</f>
        <v>No return</v>
      </c>
      <c r="Y441">
        <f>IF(IFERROR(VLOOKUP(BBDD_fashion_boutique[[#This Row],[product_id]],A442:A2617,1,FALSE),0),1,0)</f>
        <v>0</v>
      </c>
    </row>
    <row r="442" spans="1:25" x14ac:dyDescent="0.3">
      <c r="A442" t="s">
        <v>501</v>
      </c>
      <c r="B442" t="s">
        <v>35</v>
      </c>
      <c r="C442" t="s">
        <v>27</v>
      </c>
      <c r="D442" t="s">
        <v>28</v>
      </c>
      <c r="E442" t="s">
        <v>29</v>
      </c>
      <c r="F442" t="str">
        <f>IF(BBDD_fashion_boutique[[#This Row],[category]]="Accessories","Accesorio",IF(BBDD_fashion_boutique[[#This Row],[size]]="","Desconocido",BBDD_fashion_boutique[[#This Row],[size]]))</f>
        <v>L</v>
      </c>
      <c r="G442" t="s">
        <v>46</v>
      </c>
      <c r="H442" s="2">
        <v>67.739999999999995</v>
      </c>
      <c r="I442">
        <v>3.3</v>
      </c>
      <c r="J442" s="5">
        <f>BBDD_fashion_boutique[[#This Row],[markdown_percentage]]/100</f>
        <v>3.3000000000000002E-2</v>
      </c>
      <c r="K442" s="2">
        <v>65.5</v>
      </c>
      <c r="L442" s="2">
        <f>BBDD_fashion_boutique[[#This Row],[original_price]]-BBDD_fashion_boutique[[#This Row],[current_price]]</f>
        <v>2.2399999999999949</v>
      </c>
      <c r="M442" s="1">
        <v>45875</v>
      </c>
      <c r="N442" s="1" t="str">
        <f>PROPER(TEXT(BBDD_fashion_boutique[[#This Row],[purchase_date]],"dddd"))</f>
        <v>Miércoles</v>
      </c>
      <c r="O442" s="1" t="str">
        <f>PROPER(TEXT(BBDD_fashion_boutique[[#This Row],[purchase_date]],"mmmm"))</f>
        <v>Agosto</v>
      </c>
      <c r="P442" s="4">
        <v>23</v>
      </c>
      <c r="Q442" s="2">
        <v>1.5</v>
      </c>
      <c r="R442" t="str">
        <f>IF(BBDD_fashion_boutique[[#This Row],[stock_quantity]]&gt;9,"Ok",IF(BBDD_fashion_boutique[[#This Row],[stock_quantity]]=0,"Agotado","Pocas Unidades"))</f>
        <v>Ok</v>
      </c>
      <c r="S442" s="3">
        <f>IF(BBDD_fashion_boutique[[#This Row],[customer_rating]]="","No valorado",BBDD_fashion_boutique[[#This Row],[customer_rating]])</f>
        <v>1.5</v>
      </c>
      <c r="T442" t="s">
        <v>24</v>
      </c>
      <c r="V442">
        <f>IF(BBDD_fashion_boutique[[#This Row],[is_returned]]="False",0,1)</f>
        <v>0</v>
      </c>
      <c r="W442">
        <f>IF(BBDD_fashion_boutique[[#This Row],[is_returned]]="True",0,BBDD_fashion_boutique[[#This Row],[current_price]])</f>
        <v>65.5</v>
      </c>
      <c r="X442" t="str">
        <f>IF(BBDD_fashion_boutique[[#This Row],[return_reason]]="","No return",BBDD_fashion_boutique[[#This Row],[return_reason]])</f>
        <v>No return</v>
      </c>
      <c r="Y442">
        <f>IF(IFERROR(VLOOKUP(BBDD_fashion_boutique[[#This Row],[product_id]],A443:A2618,1,FALSE),0),1,0)</f>
        <v>0</v>
      </c>
    </row>
    <row r="443" spans="1:25" x14ac:dyDescent="0.3">
      <c r="A443" t="s">
        <v>502</v>
      </c>
      <c r="B443" t="s">
        <v>32</v>
      </c>
      <c r="C443" t="s">
        <v>37</v>
      </c>
      <c r="D443" t="s">
        <v>28</v>
      </c>
      <c r="F443" t="str">
        <f>IF(BBDD_fashion_boutique[[#This Row],[category]]="Accessories","Accesorio",IF(BBDD_fashion_boutique[[#This Row],[size]]="","Desconocido",BBDD_fashion_boutique[[#This Row],[size]]))</f>
        <v>Accesorio</v>
      </c>
      <c r="G443" t="s">
        <v>52</v>
      </c>
      <c r="H443" s="2">
        <v>38.340000000000003</v>
      </c>
      <c r="I443">
        <v>0</v>
      </c>
      <c r="J443" s="5">
        <f>BBDD_fashion_boutique[[#This Row],[markdown_percentage]]/100</f>
        <v>0</v>
      </c>
      <c r="K443" s="2">
        <v>38.340000000000003</v>
      </c>
      <c r="L443" s="2">
        <f>BBDD_fashion_boutique[[#This Row],[original_price]]-BBDD_fashion_boutique[[#This Row],[current_price]]</f>
        <v>0</v>
      </c>
      <c r="M443" s="1">
        <v>45875</v>
      </c>
      <c r="N443" s="1" t="str">
        <f>PROPER(TEXT(BBDD_fashion_boutique[[#This Row],[purchase_date]],"dddd"))</f>
        <v>Miércoles</v>
      </c>
      <c r="O443" s="1" t="str">
        <f>PROPER(TEXT(BBDD_fashion_boutique[[#This Row],[purchase_date]],"mmmm"))</f>
        <v>Agosto</v>
      </c>
      <c r="P443" s="4">
        <v>14</v>
      </c>
      <c r="Q443" s="2">
        <v>1.4</v>
      </c>
      <c r="R443" t="str">
        <f>IF(BBDD_fashion_boutique[[#This Row],[stock_quantity]]&gt;9,"Ok",IF(BBDD_fashion_boutique[[#This Row],[stock_quantity]]=0,"Agotado","Pocas Unidades"))</f>
        <v>Ok</v>
      </c>
      <c r="S443" s="3">
        <f>IF(BBDD_fashion_boutique[[#This Row],[customer_rating]]="","No valorado",BBDD_fashion_boutique[[#This Row],[customer_rating]])</f>
        <v>1.4</v>
      </c>
      <c r="T443" t="s">
        <v>24</v>
      </c>
      <c r="V443">
        <f>IF(BBDD_fashion_boutique[[#This Row],[is_returned]]="False",0,1)</f>
        <v>0</v>
      </c>
      <c r="W443">
        <f>IF(BBDD_fashion_boutique[[#This Row],[is_returned]]="True",0,BBDD_fashion_boutique[[#This Row],[current_price]])</f>
        <v>38.340000000000003</v>
      </c>
      <c r="X443" t="str">
        <f>IF(BBDD_fashion_boutique[[#This Row],[return_reason]]="","No return",BBDD_fashion_boutique[[#This Row],[return_reason]])</f>
        <v>No return</v>
      </c>
      <c r="Y443">
        <f>IF(IFERROR(VLOOKUP(BBDD_fashion_boutique[[#This Row],[product_id]],A444:A2619,1,FALSE),0),1,0)</f>
        <v>0</v>
      </c>
    </row>
    <row r="444" spans="1:25" x14ac:dyDescent="0.3">
      <c r="A444" t="s">
        <v>503</v>
      </c>
      <c r="B444" t="s">
        <v>32</v>
      </c>
      <c r="C444" t="s">
        <v>20</v>
      </c>
      <c r="D444" t="s">
        <v>28</v>
      </c>
      <c r="F444" t="str">
        <f>IF(BBDD_fashion_boutique[[#This Row],[category]]="Accessories","Accesorio",IF(BBDD_fashion_boutique[[#This Row],[size]]="","Desconocido",BBDD_fashion_boutique[[#This Row],[size]]))</f>
        <v>Accesorio</v>
      </c>
      <c r="G444" t="s">
        <v>46</v>
      </c>
      <c r="H444" s="2">
        <v>60.49</v>
      </c>
      <c r="I444">
        <v>0</v>
      </c>
      <c r="J444" s="5">
        <f>BBDD_fashion_boutique[[#This Row],[markdown_percentage]]/100</f>
        <v>0</v>
      </c>
      <c r="K444" s="2">
        <v>60.49</v>
      </c>
      <c r="L444" s="2">
        <f>BBDD_fashion_boutique[[#This Row],[original_price]]-BBDD_fashion_boutique[[#This Row],[current_price]]</f>
        <v>0</v>
      </c>
      <c r="M444" s="1">
        <v>45875</v>
      </c>
      <c r="N444" s="1" t="str">
        <f>PROPER(TEXT(BBDD_fashion_boutique[[#This Row],[purchase_date]],"dddd"))</f>
        <v>Miércoles</v>
      </c>
      <c r="O444" s="1" t="str">
        <f>PROPER(TEXT(BBDD_fashion_boutique[[#This Row],[purchase_date]],"mmmm"))</f>
        <v>Agosto</v>
      </c>
      <c r="P444" s="4">
        <v>30</v>
      </c>
      <c r="Q444" s="2">
        <v>2.5</v>
      </c>
      <c r="R444" t="str">
        <f>IF(BBDD_fashion_boutique[[#This Row],[stock_quantity]]&gt;9,"Ok",IF(BBDD_fashion_boutique[[#This Row],[stock_quantity]]=0,"Agotado","Pocas Unidades"))</f>
        <v>Ok</v>
      </c>
      <c r="S444" s="3">
        <f>IF(BBDD_fashion_boutique[[#This Row],[customer_rating]]="","No valorado",BBDD_fashion_boutique[[#This Row],[customer_rating]])</f>
        <v>2.5</v>
      </c>
      <c r="T444" t="s">
        <v>24</v>
      </c>
      <c r="V444">
        <f>IF(BBDD_fashion_boutique[[#This Row],[is_returned]]="False",0,1)</f>
        <v>0</v>
      </c>
      <c r="W444">
        <f>IF(BBDD_fashion_boutique[[#This Row],[is_returned]]="True",0,BBDD_fashion_boutique[[#This Row],[current_price]])</f>
        <v>60.49</v>
      </c>
      <c r="X444" t="str">
        <f>IF(BBDD_fashion_boutique[[#This Row],[return_reason]]="","No return",BBDD_fashion_boutique[[#This Row],[return_reason]])</f>
        <v>No return</v>
      </c>
      <c r="Y444">
        <f>IF(IFERROR(VLOOKUP(BBDD_fashion_boutique[[#This Row],[product_id]],A445:A2620,1,FALSE),0),1,0)</f>
        <v>0</v>
      </c>
    </row>
    <row r="445" spans="1:25" x14ac:dyDescent="0.3">
      <c r="A445" t="s">
        <v>504</v>
      </c>
      <c r="B445" t="s">
        <v>19</v>
      </c>
      <c r="C445" t="s">
        <v>37</v>
      </c>
      <c r="D445" t="s">
        <v>21</v>
      </c>
      <c r="E445" t="s">
        <v>29</v>
      </c>
      <c r="F445" t="str">
        <f>IF(BBDD_fashion_boutique[[#This Row],[category]]="Accessories","Accesorio",IF(BBDD_fashion_boutique[[#This Row],[size]]="","Desconocido",BBDD_fashion_boutique[[#This Row],[size]]))</f>
        <v>L</v>
      </c>
      <c r="G445" t="s">
        <v>70</v>
      </c>
      <c r="H445" s="2">
        <v>90.27</v>
      </c>
      <c r="I445">
        <v>0</v>
      </c>
      <c r="J445" s="5">
        <f>BBDD_fashion_boutique[[#This Row],[markdown_percentage]]/100</f>
        <v>0</v>
      </c>
      <c r="K445" s="2">
        <v>90.27</v>
      </c>
      <c r="L445" s="2">
        <f>BBDD_fashion_boutique[[#This Row],[original_price]]-BBDD_fashion_boutique[[#This Row],[current_price]]</f>
        <v>0</v>
      </c>
      <c r="M445" s="1">
        <v>45763</v>
      </c>
      <c r="N445" s="1" t="str">
        <f>PROPER(TEXT(BBDD_fashion_boutique[[#This Row],[purchase_date]],"dddd"))</f>
        <v>Miércoles</v>
      </c>
      <c r="O445" s="1" t="str">
        <f>PROPER(TEXT(BBDD_fashion_boutique[[#This Row],[purchase_date]],"mmmm"))</f>
        <v>Abril</v>
      </c>
      <c r="P445" s="4">
        <v>35</v>
      </c>
      <c r="Q445" s="2">
        <v>4.2</v>
      </c>
      <c r="R445" t="str">
        <f>IF(BBDD_fashion_boutique[[#This Row],[stock_quantity]]&gt;9,"Ok",IF(BBDD_fashion_boutique[[#This Row],[stock_quantity]]=0,"Agotado","Pocas Unidades"))</f>
        <v>Ok</v>
      </c>
      <c r="S445" s="3">
        <f>IF(BBDD_fashion_boutique[[#This Row],[customer_rating]]="","No valorado",BBDD_fashion_boutique[[#This Row],[customer_rating]])</f>
        <v>4.2</v>
      </c>
      <c r="T445" t="s">
        <v>24</v>
      </c>
      <c r="V445">
        <f>IF(BBDD_fashion_boutique[[#This Row],[is_returned]]="False",0,1)</f>
        <v>0</v>
      </c>
      <c r="W445">
        <f>IF(BBDD_fashion_boutique[[#This Row],[is_returned]]="True",0,BBDD_fashion_boutique[[#This Row],[current_price]])</f>
        <v>90.27</v>
      </c>
      <c r="X445" t="str">
        <f>IF(BBDD_fashion_boutique[[#This Row],[return_reason]]="","No return",BBDD_fashion_boutique[[#This Row],[return_reason]])</f>
        <v>No return</v>
      </c>
      <c r="Y445">
        <f>IF(IFERROR(VLOOKUP(BBDD_fashion_boutique[[#This Row],[product_id]],A446:A2621,1,FALSE),0),1,0)</f>
        <v>0</v>
      </c>
    </row>
    <row r="446" spans="1:25" x14ac:dyDescent="0.3">
      <c r="A446" t="s">
        <v>505</v>
      </c>
      <c r="B446" t="s">
        <v>32</v>
      </c>
      <c r="C446" t="s">
        <v>37</v>
      </c>
      <c r="D446" t="s">
        <v>68</v>
      </c>
      <c r="F446" t="str">
        <f>IF(BBDD_fashion_boutique[[#This Row],[category]]="Accessories","Accesorio",IF(BBDD_fashion_boutique[[#This Row],[size]]="","Desconocido",BBDD_fashion_boutique[[#This Row],[size]]))</f>
        <v>Accesorio</v>
      </c>
      <c r="G446" t="s">
        <v>23</v>
      </c>
      <c r="H446" s="2">
        <v>45.42</v>
      </c>
      <c r="I446">
        <v>0</v>
      </c>
      <c r="J446" s="5">
        <f>BBDD_fashion_boutique[[#This Row],[markdown_percentage]]/100</f>
        <v>0</v>
      </c>
      <c r="K446" s="2">
        <v>45.42</v>
      </c>
      <c r="L446" s="2">
        <f>BBDD_fashion_boutique[[#This Row],[original_price]]-BBDD_fashion_boutique[[#This Row],[current_price]]</f>
        <v>0</v>
      </c>
      <c r="M446" s="1">
        <v>45875</v>
      </c>
      <c r="N446" s="1" t="str">
        <f>PROPER(TEXT(BBDD_fashion_boutique[[#This Row],[purchase_date]],"dddd"))</f>
        <v>Miércoles</v>
      </c>
      <c r="O446" s="1" t="str">
        <f>PROPER(TEXT(BBDD_fashion_boutique[[#This Row],[purchase_date]],"mmmm"))</f>
        <v>Agosto</v>
      </c>
      <c r="P446" s="4">
        <v>36</v>
      </c>
      <c r="Q446" s="2">
        <v>1.3</v>
      </c>
      <c r="R446" t="str">
        <f>IF(BBDD_fashion_boutique[[#This Row],[stock_quantity]]&gt;9,"Ok",IF(BBDD_fashion_boutique[[#This Row],[stock_quantity]]=0,"Agotado","Pocas Unidades"))</f>
        <v>Ok</v>
      </c>
      <c r="S446" s="3">
        <f>IF(BBDD_fashion_boutique[[#This Row],[customer_rating]]="","No valorado",BBDD_fashion_boutique[[#This Row],[customer_rating]])</f>
        <v>1.3</v>
      </c>
      <c r="T446" t="s">
        <v>24</v>
      </c>
      <c r="V446">
        <f>IF(BBDD_fashion_boutique[[#This Row],[is_returned]]="False",0,1)</f>
        <v>0</v>
      </c>
      <c r="W446">
        <f>IF(BBDD_fashion_boutique[[#This Row],[is_returned]]="True",0,BBDD_fashion_boutique[[#This Row],[current_price]])</f>
        <v>45.42</v>
      </c>
      <c r="X446" t="str">
        <f>IF(BBDD_fashion_boutique[[#This Row],[return_reason]]="","No return",BBDD_fashion_boutique[[#This Row],[return_reason]])</f>
        <v>No return</v>
      </c>
      <c r="Y446">
        <f>IF(IFERROR(VLOOKUP(BBDD_fashion_boutique[[#This Row],[product_id]],A447:A2622,1,FALSE),0),1,0)</f>
        <v>0</v>
      </c>
    </row>
    <row r="447" spans="1:25" x14ac:dyDescent="0.3">
      <c r="A447" t="s">
        <v>506</v>
      </c>
      <c r="B447" t="s">
        <v>26</v>
      </c>
      <c r="C447" t="s">
        <v>59</v>
      </c>
      <c r="D447" t="s">
        <v>21</v>
      </c>
      <c r="F447" t="str">
        <f>IF(BBDD_fashion_boutique[[#This Row],[category]]="Accessories","Accesorio",IF(BBDD_fashion_boutique[[#This Row],[size]]="","Desconocido",BBDD_fashion_boutique[[#This Row],[size]]))</f>
        <v>Desconocido</v>
      </c>
      <c r="G447" t="s">
        <v>72</v>
      </c>
      <c r="H447" s="2">
        <v>58.56</v>
      </c>
      <c r="I447">
        <v>0</v>
      </c>
      <c r="J447" s="5">
        <f>BBDD_fashion_boutique[[#This Row],[markdown_percentage]]/100</f>
        <v>0</v>
      </c>
      <c r="K447" s="2">
        <v>58.56</v>
      </c>
      <c r="L447" s="2">
        <f>BBDD_fashion_boutique[[#This Row],[original_price]]-BBDD_fashion_boutique[[#This Row],[current_price]]</f>
        <v>0</v>
      </c>
      <c r="M447" s="1">
        <v>45680</v>
      </c>
      <c r="N447" s="1" t="str">
        <f>PROPER(TEXT(BBDD_fashion_boutique[[#This Row],[purchase_date]],"dddd"))</f>
        <v>Jueves</v>
      </c>
      <c r="O447" s="1" t="str">
        <f>PROPER(TEXT(BBDD_fashion_boutique[[#This Row],[purchase_date]],"mmmm"))</f>
        <v>Enero</v>
      </c>
      <c r="P447" s="4">
        <v>21</v>
      </c>
      <c r="Q447" s="2">
        <v>2.2999999999999998</v>
      </c>
      <c r="R447" t="str">
        <f>IF(BBDD_fashion_boutique[[#This Row],[stock_quantity]]&gt;9,"Ok",IF(BBDD_fashion_boutique[[#This Row],[stock_quantity]]=0,"Agotado","Pocas Unidades"))</f>
        <v>Ok</v>
      </c>
      <c r="S447" s="3">
        <f>IF(BBDD_fashion_boutique[[#This Row],[customer_rating]]="","No valorado",BBDD_fashion_boutique[[#This Row],[customer_rating]])</f>
        <v>2.2999999999999998</v>
      </c>
      <c r="T447" t="s">
        <v>24</v>
      </c>
      <c r="V447">
        <f>IF(BBDD_fashion_boutique[[#This Row],[is_returned]]="False",0,1)</f>
        <v>0</v>
      </c>
      <c r="W447">
        <f>IF(BBDD_fashion_boutique[[#This Row],[is_returned]]="True",0,BBDD_fashion_boutique[[#This Row],[current_price]])</f>
        <v>58.56</v>
      </c>
      <c r="X447" t="str">
        <f>IF(BBDD_fashion_boutique[[#This Row],[return_reason]]="","No return",BBDD_fashion_boutique[[#This Row],[return_reason]])</f>
        <v>No return</v>
      </c>
      <c r="Y447">
        <f>IF(IFERROR(VLOOKUP(BBDD_fashion_boutique[[#This Row],[product_id]],A448:A2623,1,FALSE),0),1,0)</f>
        <v>0</v>
      </c>
    </row>
    <row r="448" spans="1:25" x14ac:dyDescent="0.3">
      <c r="A448" t="s">
        <v>507</v>
      </c>
      <c r="B448" t="s">
        <v>48</v>
      </c>
      <c r="C448" t="s">
        <v>54</v>
      </c>
      <c r="D448" t="s">
        <v>68</v>
      </c>
      <c r="E448" t="s">
        <v>29</v>
      </c>
      <c r="F448" t="str">
        <f>IF(BBDD_fashion_boutique[[#This Row],[category]]="Accessories","Accesorio",IF(BBDD_fashion_boutique[[#This Row],[size]]="","Desconocido",BBDD_fashion_boutique[[#This Row],[size]]))</f>
        <v>L</v>
      </c>
      <c r="G448" t="s">
        <v>30</v>
      </c>
      <c r="H448" s="2">
        <v>167.64</v>
      </c>
      <c r="I448">
        <v>0</v>
      </c>
      <c r="J448" s="5">
        <f>BBDD_fashion_boutique[[#This Row],[markdown_percentage]]/100</f>
        <v>0</v>
      </c>
      <c r="K448" s="2">
        <v>167.64</v>
      </c>
      <c r="L448" s="2">
        <f>BBDD_fashion_boutique[[#This Row],[original_price]]-BBDD_fashion_boutique[[#This Row],[current_price]]</f>
        <v>0</v>
      </c>
      <c r="M448" s="1">
        <v>45875</v>
      </c>
      <c r="N448" s="1" t="str">
        <f>PROPER(TEXT(BBDD_fashion_boutique[[#This Row],[purchase_date]],"dddd"))</f>
        <v>Miércoles</v>
      </c>
      <c r="O448" s="1" t="str">
        <f>PROPER(TEXT(BBDD_fashion_boutique[[#This Row],[purchase_date]],"mmmm"))</f>
        <v>Agosto</v>
      </c>
      <c r="P448" s="4">
        <v>18</v>
      </c>
      <c r="Q448" s="2">
        <v>4.0999999999999996</v>
      </c>
      <c r="R448" t="str">
        <f>IF(BBDD_fashion_boutique[[#This Row],[stock_quantity]]&gt;9,"Ok",IF(BBDD_fashion_boutique[[#This Row],[stock_quantity]]=0,"Agotado","Pocas Unidades"))</f>
        <v>Ok</v>
      </c>
      <c r="S448" s="3">
        <f>IF(BBDD_fashion_boutique[[#This Row],[customer_rating]]="","No valorado",BBDD_fashion_boutique[[#This Row],[customer_rating]])</f>
        <v>4.0999999999999996</v>
      </c>
      <c r="T448" t="s">
        <v>24</v>
      </c>
      <c r="V448">
        <f>IF(BBDD_fashion_boutique[[#This Row],[is_returned]]="False",0,1)</f>
        <v>0</v>
      </c>
      <c r="W448">
        <f>IF(BBDD_fashion_boutique[[#This Row],[is_returned]]="True",0,BBDD_fashion_boutique[[#This Row],[current_price]])</f>
        <v>167.64</v>
      </c>
      <c r="X448" t="str">
        <f>IF(BBDD_fashion_boutique[[#This Row],[return_reason]]="","No return",BBDD_fashion_boutique[[#This Row],[return_reason]])</f>
        <v>No return</v>
      </c>
      <c r="Y448">
        <f>IF(IFERROR(VLOOKUP(BBDD_fashion_boutique[[#This Row],[product_id]],A449:A2624,1,FALSE),0),1,0)</f>
        <v>0</v>
      </c>
    </row>
    <row r="449" spans="1:25" x14ac:dyDescent="0.3">
      <c r="A449" t="s">
        <v>508</v>
      </c>
      <c r="B449" t="s">
        <v>19</v>
      </c>
      <c r="C449" t="s">
        <v>20</v>
      </c>
      <c r="D449" t="s">
        <v>39</v>
      </c>
      <c r="E449" t="s">
        <v>55</v>
      </c>
      <c r="F449" t="str">
        <f>IF(BBDD_fashion_boutique[[#This Row],[category]]="Accessories","Accesorio",IF(BBDD_fashion_boutique[[#This Row],[size]]="","Desconocido",BBDD_fashion_boutique[[#This Row],[size]]))</f>
        <v>XXL</v>
      </c>
      <c r="G449" t="s">
        <v>23</v>
      </c>
      <c r="H449" s="2">
        <v>193.14</v>
      </c>
      <c r="I449">
        <v>0</v>
      </c>
      <c r="J449" s="5">
        <f>BBDD_fashion_boutique[[#This Row],[markdown_percentage]]/100</f>
        <v>0</v>
      </c>
      <c r="K449" s="2">
        <v>193.14</v>
      </c>
      <c r="L449" s="2">
        <f>BBDD_fashion_boutique[[#This Row],[original_price]]-BBDD_fashion_boutique[[#This Row],[current_price]]</f>
        <v>0</v>
      </c>
      <c r="M449" s="1">
        <v>45875</v>
      </c>
      <c r="N449" s="1" t="str">
        <f>PROPER(TEXT(BBDD_fashion_boutique[[#This Row],[purchase_date]],"dddd"))</f>
        <v>Miércoles</v>
      </c>
      <c r="O449" s="1" t="str">
        <f>PROPER(TEXT(BBDD_fashion_boutique[[#This Row],[purchase_date]],"mmmm"))</f>
        <v>Agosto</v>
      </c>
      <c r="P449" s="4">
        <v>7</v>
      </c>
      <c r="Q449" s="2">
        <v>3.5</v>
      </c>
      <c r="R449" t="str">
        <f>IF(BBDD_fashion_boutique[[#This Row],[stock_quantity]]&gt;9,"Ok",IF(BBDD_fashion_boutique[[#This Row],[stock_quantity]]=0,"Agotado","Pocas Unidades"))</f>
        <v>Pocas Unidades</v>
      </c>
      <c r="S449" s="3">
        <f>IF(BBDD_fashion_boutique[[#This Row],[customer_rating]]="","No valorado",BBDD_fashion_boutique[[#This Row],[customer_rating]])</f>
        <v>3.5</v>
      </c>
      <c r="T449" t="s">
        <v>24</v>
      </c>
      <c r="V449">
        <f>IF(BBDD_fashion_boutique[[#This Row],[is_returned]]="False",0,1)</f>
        <v>0</v>
      </c>
      <c r="W449">
        <f>IF(BBDD_fashion_boutique[[#This Row],[is_returned]]="True",0,BBDD_fashion_boutique[[#This Row],[current_price]])</f>
        <v>193.14</v>
      </c>
      <c r="X449" t="str">
        <f>IF(BBDD_fashion_boutique[[#This Row],[return_reason]]="","No return",BBDD_fashion_boutique[[#This Row],[return_reason]])</f>
        <v>No return</v>
      </c>
      <c r="Y449">
        <f>IF(IFERROR(VLOOKUP(BBDD_fashion_boutique[[#This Row],[product_id]],A450:A2625,1,FALSE),0),1,0)</f>
        <v>0</v>
      </c>
    </row>
    <row r="450" spans="1:25" x14ac:dyDescent="0.3">
      <c r="A450" t="s">
        <v>509</v>
      </c>
      <c r="B450" t="s">
        <v>32</v>
      </c>
      <c r="C450" t="s">
        <v>67</v>
      </c>
      <c r="D450" t="s">
        <v>28</v>
      </c>
      <c r="F450" t="str">
        <f>IF(BBDD_fashion_boutique[[#This Row],[category]]="Accessories","Accesorio",IF(BBDD_fashion_boutique[[#This Row],[size]]="","Desconocido",BBDD_fashion_boutique[[#This Row],[size]]))</f>
        <v>Accesorio</v>
      </c>
      <c r="G450" t="s">
        <v>46</v>
      </c>
      <c r="H450" s="2">
        <v>60.06</v>
      </c>
      <c r="I450">
        <v>15.6</v>
      </c>
      <c r="J450" s="5">
        <f>BBDD_fashion_boutique[[#This Row],[markdown_percentage]]/100</f>
        <v>0.156</v>
      </c>
      <c r="K450" s="2">
        <v>50.69</v>
      </c>
      <c r="L450" s="2">
        <f>BBDD_fashion_boutique[[#This Row],[original_price]]-BBDD_fashion_boutique[[#This Row],[current_price]]</f>
        <v>9.3700000000000045</v>
      </c>
      <c r="M450" s="1">
        <v>45875</v>
      </c>
      <c r="N450" s="1" t="str">
        <f>PROPER(TEXT(BBDD_fashion_boutique[[#This Row],[purchase_date]],"dddd"))</f>
        <v>Miércoles</v>
      </c>
      <c r="O450" s="1" t="str">
        <f>PROPER(TEXT(BBDD_fashion_boutique[[#This Row],[purchase_date]],"mmmm"))</f>
        <v>Agosto</v>
      </c>
      <c r="P450" s="4">
        <v>49</v>
      </c>
      <c r="Q450" s="2">
        <v>2</v>
      </c>
      <c r="R450" t="str">
        <f>IF(BBDD_fashion_boutique[[#This Row],[stock_quantity]]&gt;9,"Ok",IF(BBDD_fashion_boutique[[#This Row],[stock_quantity]]=0,"Agotado","Pocas Unidades"))</f>
        <v>Ok</v>
      </c>
      <c r="S450" s="3">
        <f>IF(BBDD_fashion_boutique[[#This Row],[customer_rating]]="","No valorado",BBDD_fashion_boutique[[#This Row],[customer_rating]])</f>
        <v>2</v>
      </c>
      <c r="T450" t="s">
        <v>41</v>
      </c>
      <c r="U450" t="s">
        <v>42</v>
      </c>
      <c r="V450">
        <f>IF(BBDD_fashion_boutique[[#This Row],[is_returned]]="False",0,1)</f>
        <v>1</v>
      </c>
      <c r="W450">
        <f>IF(BBDD_fashion_boutique[[#This Row],[is_returned]]="True",0,BBDD_fashion_boutique[[#This Row],[current_price]])</f>
        <v>0</v>
      </c>
      <c r="X450" t="str">
        <f>IF(BBDD_fashion_boutique[[#This Row],[return_reason]]="","No return",BBDD_fashion_boutique[[#This Row],[return_reason]])</f>
        <v>Color Mismatch</v>
      </c>
      <c r="Y450">
        <f>IF(IFERROR(VLOOKUP(BBDD_fashion_boutique[[#This Row],[product_id]],A451:A2626,1,FALSE),0),1,0)</f>
        <v>0</v>
      </c>
    </row>
    <row r="451" spans="1:25" x14ac:dyDescent="0.3">
      <c r="A451" t="s">
        <v>510</v>
      </c>
      <c r="B451" t="s">
        <v>44</v>
      </c>
      <c r="C451" t="s">
        <v>37</v>
      </c>
      <c r="D451" t="s">
        <v>39</v>
      </c>
      <c r="E451" t="s">
        <v>64</v>
      </c>
      <c r="F451" t="str">
        <f>IF(BBDD_fashion_boutique[[#This Row],[category]]="Accessories","Accesorio",IF(BBDD_fashion_boutique[[#This Row],[size]]="","Desconocido",BBDD_fashion_boutique[[#This Row],[size]]))</f>
        <v>M</v>
      </c>
      <c r="G451" t="s">
        <v>46</v>
      </c>
      <c r="H451" s="2">
        <v>35.369999999999997</v>
      </c>
      <c r="I451">
        <v>0</v>
      </c>
      <c r="J451" s="5">
        <f>BBDD_fashion_boutique[[#This Row],[markdown_percentage]]/100</f>
        <v>0</v>
      </c>
      <c r="K451" s="2">
        <v>35.369999999999997</v>
      </c>
      <c r="L451" s="2">
        <f>BBDD_fashion_boutique[[#This Row],[original_price]]-BBDD_fashion_boutique[[#This Row],[current_price]]</f>
        <v>0</v>
      </c>
      <c r="M451" s="1">
        <v>45875</v>
      </c>
      <c r="N451" s="1" t="str">
        <f>PROPER(TEXT(BBDD_fashion_boutique[[#This Row],[purchase_date]],"dddd"))</f>
        <v>Miércoles</v>
      </c>
      <c r="O451" s="1" t="str">
        <f>PROPER(TEXT(BBDD_fashion_boutique[[#This Row],[purchase_date]],"mmmm"))</f>
        <v>Agosto</v>
      </c>
      <c r="P451" s="4">
        <v>29</v>
      </c>
      <c r="Q451" s="2">
        <v>4.7</v>
      </c>
      <c r="R451" t="str">
        <f>IF(BBDD_fashion_boutique[[#This Row],[stock_quantity]]&gt;9,"Ok",IF(BBDD_fashion_boutique[[#This Row],[stock_quantity]]=0,"Agotado","Pocas Unidades"))</f>
        <v>Ok</v>
      </c>
      <c r="S451" s="3">
        <f>IF(BBDD_fashion_boutique[[#This Row],[customer_rating]]="","No valorado",BBDD_fashion_boutique[[#This Row],[customer_rating]])</f>
        <v>4.7</v>
      </c>
      <c r="T451" t="s">
        <v>24</v>
      </c>
      <c r="V451">
        <f>IF(BBDD_fashion_boutique[[#This Row],[is_returned]]="False",0,1)</f>
        <v>0</v>
      </c>
      <c r="W451">
        <f>IF(BBDD_fashion_boutique[[#This Row],[is_returned]]="True",0,BBDD_fashion_boutique[[#This Row],[current_price]])</f>
        <v>35.369999999999997</v>
      </c>
      <c r="X451" t="str">
        <f>IF(BBDD_fashion_boutique[[#This Row],[return_reason]]="","No return",BBDD_fashion_boutique[[#This Row],[return_reason]])</f>
        <v>No return</v>
      </c>
      <c r="Y451">
        <f>IF(IFERROR(VLOOKUP(BBDD_fashion_boutique[[#This Row],[product_id]],A452:A2627,1,FALSE),0),1,0)</f>
        <v>0</v>
      </c>
    </row>
    <row r="452" spans="1:25" x14ac:dyDescent="0.3">
      <c r="A452" t="s">
        <v>511</v>
      </c>
      <c r="B452" t="s">
        <v>32</v>
      </c>
      <c r="C452" t="s">
        <v>49</v>
      </c>
      <c r="D452" t="s">
        <v>68</v>
      </c>
      <c r="F452" t="str">
        <f>IF(BBDD_fashion_boutique[[#This Row],[category]]="Accessories","Accesorio",IF(BBDD_fashion_boutique[[#This Row],[size]]="","Desconocido",BBDD_fashion_boutique[[#This Row],[size]]))</f>
        <v>Accesorio</v>
      </c>
      <c r="G452" t="s">
        <v>72</v>
      </c>
      <c r="H452" s="2">
        <v>39.85</v>
      </c>
      <c r="I452">
        <v>0</v>
      </c>
      <c r="J452" s="5">
        <f>BBDD_fashion_boutique[[#This Row],[markdown_percentage]]/100</f>
        <v>0</v>
      </c>
      <c r="K452" s="2">
        <v>39.85</v>
      </c>
      <c r="L452" s="2">
        <f>BBDD_fashion_boutique[[#This Row],[original_price]]-BBDD_fashion_boutique[[#This Row],[current_price]]</f>
        <v>0</v>
      </c>
      <c r="M452" s="1">
        <v>45875</v>
      </c>
      <c r="N452" s="1" t="str">
        <f>PROPER(TEXT(BBDD_fashion_boutique[[#This Row],[purchase_date]],"dddd"))</f>
        <v>Miércoles</v>
      </c>
      <c r="O452" s="1" t="str">
        <f>PROPER(TEXT(BBDD_fashion_boutique[[#This Row],[purchase_date]],"mmmm"))</f>
        <v>Agosto</v>
      </c>
      <c r="P452" s="4">
        <v>28</v>
      </c>
      <c r="Q452" s="2">
        <v>2.4</v>
      </c>
      <c r="R452" t="str">
        <f>IF(BBDD_fashion_boutique[[#This Row],[stock_quantity]]&gt;9,"Ok",IF(BBDD_fashion_boutique[[#This Row],[stock_quantity]]=0,"Agotado","Pocas Unidades"))</f>
        <v>Ok</v>
      </c>
      <c r="S452" s="3">
        <f>IF(BBDD_fashion_boutique[[#This Row],[customer_rating]]="","No valorado",BBDD_fashion_boutique[[#This Row],[customer_rating]])</f>
        <v>2.4</v>
      </c>
      <c r="T452" t="s">
        <v>24</v>
      </c>
      <c r="V452">
        <f>IF(BBDD_fashion_boutique[[#This Row],[is_returned]]="False",0,1)</f>
        <v>0</v>
      </c>
      <c r="W452">
        <f>IF(BBDD_fashion_boutique[[#This Row],[is_returned]]="True",0,BBDD_fashion_boutique[[#This Row],[current_price]])</f>
        <v>39.85</v>
      </c>
      <c r="X452" t="str">
        <f>IF(BBDD_fashion_boutique[[#This Row],[return_reason]]="","No return",BBDD_fashion_boutique[[#This Row],[return_reason]])</f>
        <v>No return</v>
      </c>
      <c r="Y452">
        <f>IF(IFERROR(VLOOKUP(BBDD_fashion_boutique[[#This Row],[product_id]],A453:A2628,1,FALSE),0),1,0)</f>
        <v>0</v>
      </c>
    </row>
    <row r="453" spans="1:25" x14ac:dyDescent="0.3">
      <c r="A453" t="s">
        <v>512</v>
      </c>
      <c r="B453" t="s">
        <v>26</v>
      </c>
      <c r="C453" t="s">
        <v>20</v>
      </c>
      <c r="D453" t="s">
        <v>28</v>
      </c>
      <c r="E453" t="s">
        <v>22</v>
      </c>
      <c r="F453" t="str">
        <f>IF(BBDD_fashion_boutique[[#This Row],[category]]="Accessories","Accesorio",IF(BBDD_fashion_boutique[[#This Row],[size]]="","Desconocido",BBDD_fashion_boutique[[#This Row],[size]]))</f>
        <v>XL</v>
      </c>
      <c r="G453" t="s">
        <v>33</v>
      </c>
      <c r="H453" s="2">
        <v>85.34</v>
      </c>
      <c r="I453">
        <v>59.4</v>
      </c>
      <c r="J453" s="5">
        <f>BBDD_fashion_boutique[[#This Row],[markdown_percentage]]/100</f>
        <v>0.59399999999999997</v>
      </c>
      <c r="K453" s="2">
        <v>34.65</v>
      </c>
      <c r="L453" s="2">
        <f>BBDD_fashion_boutique[[#This Row],[original_price]]-BBDD_fashion_boutique[[#This Row],[current_price]]</f>
        <v>50.690000000000005</v>
      </c>
      <c r="M453" s="1">
        <v>45875</v>
      </c>
      <c r="N453" s="1" t="str">
        <f>PROPER(TEXT(BBDD_fashion_boutique[[#This Row],[purchase_date]],"dddd"))</f>
        <v>Miércoles</v>
      </c>
      <c r="O453" s="1" t="str">
        <f>PROPER(TEXT(BBDD_fashion_boutique[[#This Row],[purchase_date]],"mmmm"))</f>
        <v>Agosto</v>
      </c>
      <c r="P453" s="4">
        <v>5</v>
      </c>
      <c r="Q453" s="2">
        <v>4.9000000000000004</v>
      </c>
      <c r="R453" t="str">
        <f>IF(BBDD_fashion_boutique[[#This Row],[stock_quantity]]&gt;9,"Ok",IF(BBDD_fashion_boutique[[#This Row],[stock_quantity]]=0,"Agotado","Pocas Unidades"))</f>
        <v>Pocas Unidades</v>
      </c>
      <c r="S453" s="3">
        <f>IF(BBDD_fashion_boutique[[#This Row],[customer_rating]]="","No valorado",BBDD_fashion_boutique[[#This Row],[customer_rating]])</f>
        <v>4.9000000000000004</v>
      </c>
      <c r="T453" t="s">
        <v>24</v>
      </c>
      <c r="V453">
        <f>IF(BBDD_fashion_boutique[[#This Row],[is_returned]]="False",0,1)</f>
        <v>0</v>
      </c>
      <c r="W453">
        <f>IF(BBDD_fashion_boutique[[#This Row],[is_returned]]="True",0,BBDD_fashion_boutique[[#This Row],[current_price]])</f>
        <v>34.65</v>
      </c>
      <c r="X453" t="str">
        <f>IF(BBDD_fashion_boutique[[#This Row],[return_reason]]="","No return",BBDD_fashion_boutique[[#This Row],[return_reason]])</f>
        <v>No return</v>
      </c>
      <c r="Y453">
        <f>IF(IFERROR(VLOOKUP(BBDD_fashion_boutique[[#This Row],[product_id]],A454:A2629,1,FALSE),0),1,0)</f>
        <v>0</v>
      </c>
    </row>
    <row r="454" spans="1:25" x14ac:dyDescent="0.3">
      <c r="A454" t="s">
        <v>513</v>
      </c>
      <c r="B454" t="s">
        <v>44</v>
      </c>
      <c r="C454" t="s">
        <v>81</v>
      </c>
      <c r="D454" t="s">
        <v>39</v>
      </c>
      <c r="E454" t="s">
        <v>55</v>
      </c>
      <c r="F454" t="str">
        <f>IF(BBDD_fashion_boutique[[#This Row],[category]]="Accessories","Accesorio",IF(BBDD_fashion_boutique[[#This Row],[size]]="","Desconocido",BBDD_fashion_boutique[[#This Row],[size]]))</f>
        <v>XXL</v>
      </c>
      <c r="G454" t="s">
        <v>40</v>
      </c>
      <c r="H454" s="2">
        <v>81.17</v>
      </c>
      <c r="I454">
        <v>0</v>
      </c>
      <c r="J454" s="5">
        <f>BBDD_fashion_boutique[[#This Row],[markdown_percentage]]/100</f>
        <v>0</v>
      </c>
      <c r="K454" s="2">
        <v>81.17</v>
      </c>
      <c r="L454" s="2">
        <f>BBDD_fashion_boutique[[#This Row],[original_price]]-BBDD_fashion_boutique[[#This Row],[current_price]]</f>
        <v>0</v>
      </c>
      <c r="M454" s="1">
        <v>45875</v>
      </c>
      <c r="N454" s="1" t="str">
        <f>PROPER(TEXT(BBDD_fashion_boutique[[#This Row],[purchase_date]],"dddd"))</f>
        <v>Miércoles</v>
      </c>
      <c r="O454" s="1" t="str">
        <f>PROPER(TEXT(BBDD_fashion_boutique[[#This Row],[purchase_date]],"mmmm"))</f>
        <v>Agosto</v>
      </c>
      <c r="P454" s="4">
        <v>21</v>
      </c>
      <c r="Q454" s="2">
        <v>1.2</v>
      </c>
      <c r="R454" t="str">
        <f>IF(BBDD_fashion_boutique[[#This Row],[stock_quantity]]&gt;9,"Ok",IF(BBDD_fashion_boutique[[#This Row],[stock_quantity]]=0,"Agotado","Pocas Unidades"))</f>
        <v>Ok</v>
      </c>
      <c r="S454" s="3">
        <f>IF(BBDD_fashion_boutique[[#This Row],[customer_rating]]="","No valorado",BBDD_fashion_boutique[[#This Row],[customer_rating]])</f>
        <v>1.2</v>
      </c>
      <c r="T454" t="s">
        <v>24</v>
      </c>
      <c r="V454">
        <f>IF(BBDD_fashion_boutique[[#This Row],[is_returned]]="False",0,1)</f>
        <v>0</v>
      </c>
      <c r="W454">
        <f>IF(BBDD_fashion_boutique[[#This Row],[is_returned]]="True",0,BBDD_fashion_boutique[[#This Row],[current_price]])</f>
        <v>81.17</v>
      </c>
      <c r="X454" t="str">
        <f>IF(BBDD_fashion_boutique[[#This Row],[return_reason]]="","No return",BBDD_fashion_boutique[[#This Row],[return_reason]])</f>
        <v>No return</v>
      </c>
      <c r="Y454">
        <f>IF(IFERROR(VLOOKUP(BBDD_fashion_boutique[[#This Row],[product_id]],A455:A2630,1,FALSE),0),1,0)</f>
        <v>0</v>
      </c>
    </row>
    <row r="455" spans="1:25" x14ac:dyDescent="0.3">
      <c r="A455" t="s">
        <v>514</v>
      </c>
      <c r="B455" t="s">
        <v>32</v>
      </c>
      <c r="C455" t="s">
        <v>59</v>
      </c>
      <c r="D455" t="s">
        <v>21</v>
      </c>
      <c r="F455" t="str">
        <f>IF(BBDD_fashion_boutique[[#This Row],[category]]="Accessories","Accesorio",IF(BBDD_fashion_boutique[[#This Row],[size]]="","Desconocido",BBDD_fashion_boutique[[#This Row],[size]]))</f>
        <v>Accesorio</v>
      </c>
      <c r="G455" t="s">
        <v>40</v>
      </c>
      <c r="H455" s="2">
        <v>16.809999999999999</v>
      </c>
      <c r="I455">
        <v>0</v>
      </c>
      <c r="J455" s="5">
        <f>BBDD_fashion_boutique[[#This Row],[markdown_percentage]]/100</f>
        <v>0</v>
      </c>
      <c r="K455" s="2">
        <v>16.809999999999999</v>
      </c>
      <c r="L455" s="2">
        <f>BBDD_fashion_boutique[[#This Row],[original_price]]-BBDD_fashion_boutique[[#This Row],[current_price]]</f>
        <v>0</v>
      </c>
      <c r="M455" s="1">
        <v>45869</v>
      </c>
      <c r="N455" s="1" t="str">
        <f>PROPER(TEXT(BBDD_fashion_boutique[[#This Row],[purchase_date]],"dddd"))</f>
        <v>Jueves</v>
      </c>
      <c r="O455" s="1" t="str">
        <f>PROPER(TEXT(BBDD_fashion_boutique[[#This Row],[purchase_date]],"mmmm"))</f>
        <v>Julio</v>
      </c>
      <c r="P455" s="4">
        <v>16</v>
      </c>
      <c r="Q455" s="2">
        <v>2.8</v>
      </c>
      <c r="R455" t="str">
        <f>IF(BBDD_fashion_boutique[[#This Row],[stock_quantity]]&gt;9,"Ok",IF(BBDD_fashion_boutique[[#This Row],[stock_quantity]]=0,"Agotado","Pocas Unidades"))</f>
        <v>Ok</v>
      </c>
      <c r="S455" s="3">
        <f>IF(BBDD_fashion_boutique[[#This Row],[customer_rating]]="","No valorado",BBDD_fashion_boutique[[#This Row],[customer_rating]])</f>
        <v>2.8</v>
      </c>
      <c r="T455" t="s">
        <v>24</v>
      </c>
      <c r="V455">
        <f>IF(BBDD_fashion_boutique[[#This Row],[is_returned]]="False",0,1)</f>
        <v>0</v>
      </c>
      <c r="W455">
        <f>IF(BBDD_fashion_boutique[[#This Row],[is_returned]]="True",0,BBDD_fashion_boutique[[#This Row],[current_price]])</f>
        <v>16.809999999999999</v>
      </c>
      <c r="X455" t="str">
        <f>IF(BBDD_fashion_boutique[[#This Row],[return_reason]]="","No return",BBDD_fashion_boutique[[#This Row],[return_reason]])</f>
        <v>No return</v>
      </c>
      <c r="Y455">
        <f>IF(IFERROR(VLOOKUP(BBDD_fashion_boutique[[#This Row],[product_id]],A456:A2631,1,FALSE),0),1,0)</f>
        <v>0</v>
      </c>
    </row>
    <row r="456" spans="1:25" x14ac:dyDescent="0.3">
      <c r="A456" t="s">
        <v>515</v>
      </c>
      <c r="B456" t="s">
        <v>26</v>
      </c>
      <c r="C456" t="s">
        <v>59</v>
      </c>
      <c r="D456" t="s">
        <v>28</v>
      </c>
      <c r="E456" t="s">
        <v>22</v>
      </c>
      <c r="F456" t="str">
        <f>IF(BBDD_fashion_boutique[[#This Row],[category]]="Accessories","Accesorio",IF(BBDD_fashion_boutique[[#This Row],[size]]="","Desconocido",BBDD_fashion_boutique[[#This Row],[size]]))</f>
        <v>XL</v>
      </c>
      <c r="G456" t="s">
        <v>33</v>
      </c>
      <c r="H456" s="2">
        <v>115.71</v>
      </c>
      <c r="I456">
        <v>55</v>
      </c>
      <c r="J456" s="5">
        <f>BBDD_fashion_boutique[[#This Row],[markdown_percentage]]/100</f>
        <v>0.55000000000000004</v>
      </c>
      <c r="K456" s="2">
        <v>52.07</v>
      </c>
      <c r="L456" s="2">
        <f>BBDD_fashion_boutique[[#This Row],[original_price]]-BBDD_fashion_boutique[[#This Row],[current_price]]</f>
        <v>63.639999999999993</v>
      </c>
      <c r="M456" s="1">
        <v>45875</v>
      </c>
      <c r="N456" s="1" t="str">
        <f>PROPER(TEXT(BBDD_fashion_boutique[[#This Row],[purchase_date]],"dddd"))</f>
        <v>Miércoles</v>
      </c>
      <c r="O456" s="1" t="str">
        <f>PROPER(TEXT(BBDD_fashion_boutique[[#This Row],[purchase_date]],"mmmm"))</f>
        <v>Agosto</v>
      </c>
      <c r="P456" s="4">
        <v>6</v>
      </c>
      <c r="Q456" s="2">
        <v>1.6</v>
      </c>
      <c r="R456" t="str">
        <f>IF(BBDD_fashion_boutique[[#This Row],[stock_quantity]]&gt;9,"Ok",IF(BBDD_fashion_boutique[[#This Row],[stock_quantity]]=0,"Agotado","Pocas Unidades"))</f>
        <v>Pocas Unidades</v>
      </c>
      <c r="S456" s="3">
        <f>IF(BBDD_fashion_boutique[[#This Row],[customer_rating]]="","No valorado",BBDD_fashion_boutique[[#This Row],[customer_rating]])</f>
        <v>1.6</v>
      </c>
      <c r="T456" t="s">
        <v>24</v>
      </c>
      <c r="V456">
        <f>IF(BBDD_fashion_boutique[[#This Row],[is_returned]]="False",0,1)</f>
        <v>0</v>
      </c>
      <c r="W456">
        <f>IF(BBDD_fashion_boutique[[#This Row],[is_returned]]="True",0,BBDD_fashion_boutique[[#This Row],[current_price]])</f>
        <v>52.07</v>
      </c>
      <c r="X456" t="str">
        <f>IF(BBDD_fashion_boutique[[#This Row],[return_reason]]="","No return",BBDD_fashion_boutique[[#This Row],[return_reason]])</f>
        <v>No return</v>
      </c>
      <c r="Y456">
        <f>IF(IFERROR(VLOOKUP(BBDD_fashion_boutique[[#This Row],[product_id]],A457:A2632,1,FALSE),0),1,0)</f>
        <v>0</v>
      </c>
    </row>
    <row r="457" spans="1:25" x14ac:dyDescent="0.3">
      <c r="A457" t="s">
        <v>516</v>
      </c>
      <c r="B457" t="s">
        <v>44</v>
      </c>
      <c r="C457" t="s">
        <v>49</v>
      </c>
      <c r="D457" t="s">
        <v>68</v>
      </c>
      <c r="E457" t="s">
        <v>55</v>
      </c>
      <c r="F457" t="str">
        <f>IF(BBDD_fashion_boutique[[#This Row],[category]]="Accessories","Accesorio",IF(BBDD_fashion_boutique[[#This Row],[size]]="","Desconocido",BBDD_fashion_boutique[[#This Row],[size]]))</f>
        <v>XXL</v>
      </c>
      <c r="G457" t="s">
        <v>30</v>
      </c>
      <c r="H457" s="2">
        <v>49.87</v>
      </c>
      <c r="I457">
        <v>0</v>
      </c>
      <c r="J457" s="5">
        <f>BBDD_fashion_boutique[[#This Row],[markdown_percentage]]/100</f>
        <v>0</v>
      </c>
      <c r="K457" s="2">
        <v>49.87</v>
      </c>
      <c r="L457" s="2">
        <f>BBDD_fashion_boutique[[#This Row],[original_price]]-BBDD_fashion_boutique[[#This Row],[current_price]]</f>
        <v>0</v>
      </c>
      <c r="M457" s="1">
        <v>45875</v>
      </c>
      <c r="N457" s="1" t="str">
        <f>PROPER(TEXT(BBDD_fashion_boutique[[#This Row],[purchase_date]],"dddd"))</f>
        <v>Miércoles</v>
      </c>
      <c r="O457" s="1" t="str">
        <f>PROPER(TEXT(BBDD_fashion_boutique[[#This Row],[purchase_date]],"mmmm"))</f>
        <v>Agosto</v>
      </c>
      <c r="P457" s="4">
        <v>17</v>
      </c>
      <c r="Q457" s="2">
        <v>2.1</v>
      </c>
      <c r="R457" t="str">
        <f>IF(BBDD_fashion_boutique[[#This Row],[stock_quantity]]&gt;9,"Ok",IF(BBDD_fashion_boutique[[#This Row],[stock_quantity]]=0,"Agotado","Pocas Unidades"))</f>
        <v>Ok</v>
      </c>
      <c r="S457" s="3">
        <f>IF(BBDD_fashion_boutique[[#This Row],[customer_rating]]="","No valorado",BBDD_fashion_boutique[[#This Row],[customer_rating]])</f>
        <v>2.1</v>
      </c>
      <c r="T457" t="s">
        <v>24</v>
      </c>
      <c r="V457">
        <f>IF(BBDD_fashion_boutique[[#This Row],[is_returned]]="False",0,1)</f>
        <v>0</v>
      </c>
      <c r="W457">
        <f>IF(BBDD_fashion_boutique[[#This Row],[is_returned]]="True",0,BBDD_fashion_boutique[[#This Row],[current_price]])</f>
        <v>49.87</v>
      </c>
      <c r="X457" t="str">
        <f>IF(BBDD_fashion_boutique[[#This Row],[return_reason]]="","No return",BBDD_fashion_boutique[[#This Row],[return_reason]])</f>
        <v>No return</v>
      </c>
      <c r="Y457">
        <f>IF(IFERROR(VLOOKUP(BBDD_fashion_boutique[[#This Row],[product_id]],A458:A2633,1,FALSE),0),1,0)</f>
        <v>0</v>
      </c>
    </row>
    <row r="458" spans="1:25" x14ac:dyDescent="0.3">
      <c r="A458" t="s">
        <v>517</v>
      </c>
      <c r="B458" t="s">
        <v>35</v>
      </c>
      <c r="C458" t="s">
        <v>49</v>
      </c>
      <c r="D458" t="s">
        <v>39</v>
      </c>
      <c r="E458" t="s">
        <v>61</v>
      </c>
      <c r="F458" t="str">
        <f>IF(BBDD_fashion_boutique[[#This Row],[category]]="Accessories","Accesorio",IF(BBDD_fashion_boutique[[#This Row],[size]]="","Desconocido",BBDD_fashion_boutique[[#This Row],[size]]))</f>
        <v>XS</v>
      </c>
      <c r="G458" t="s">
        <v>62</v>
      </c>
      <c r="H458" s="2">
        <v>107.96</v>
      </c>
      <c r="I458">
        <v>52.9</v>
      </c>
      <c r="J458" s="5">
        <f>BBDD_fashion_boutique[[#This Row],[markdown_percentage]]/100</f>
        <v>0.52900000000000003</v>
      </c>
      <c r="K458" s="2">
        <v>50.85</v>
      </c>
      <c r="L458" s="2">
        <f>BBDD_fashion_boutique[[#This Row],[original_price]]-BBDD_fashion_boutique[[#This Row],[current_price]]</f>
        <v>57.109999999999992</v>
      </c>
      <c r="M458" s="1">
        <v>45875</v>
      </c>
      <c r="N458" s="1" t="str">
        <f>PROPER(TEXT(BBDD_fashion_boutique[[#This Row],[purchase_date]],"dddd"))</f>
        <v>Miércoles</v>
      </c>
      <c r="O458" s="1" t="str">
        <f>PROPER(TEXT(BBDD_fashion_boutique[[#This Row],[purchase_date]],"mmmm"))</f>
        <v>Agosto</v>
      </c>
      <c r="P458" s="4">
        <v>2</v>
      </c>
      <c r="Q458" s="2">
        <v>4.9000000000000004</v>
      </c>
      <c r="R458" t="str">
        <f>IF(BBDD_fashion_boutique[[#This Row],[stock_quantity]]&gt;9,"Ok",IF(BBDD_fashion_boutique[[#This Row],[stock_quantity]]=0,"Agotado","Pocas Unidades"))</f>
        <v>Pocas Unidades</v>
      </c>
      <c r="S458" s="3">
        <f>IF(BBDD_fashion_boutique[[#This Row],[customer_rating]]="","No valorado",BBDD_fashion_boutique[[#This Row],[customer_rating]])</f>
        <v>4.9000000000000004</v>
      </c>
      <c r="T458" t="s">
        <v>24</v>
      </c>
      <c r="V458">
        <f>IF(BBDD_fashion_boutique[[#This Row],[is_returned]]="False",0,1)</f>
        <v>0</v>
      </c>
      <c r="W458">
        <f>IF(BBDD_fashion_boutique[[#This Row],[is_returned]]="True",0,BBDD_fashion_boutique[[#This Row],[current_price]])</f>
        <v>50.85</v>
      </c>
      <c r="X458" t="str">
        <f>IF(BBDD_fashion_boutique[[#This Row],[return_reason]]="","No return",BBDD_fashion_boutique[[#This Row],[return_reason]])</f>
        <v>No return</v>
      </c>
      <c r="Y458">
        <f>IF(IFERROR(VLOOKUP(BBDD_fashion_boutique[[#This Row],[product_id]],A459:A2634,1,FALSE),0),1,0)</f>
        <v>0</v>
      </c>
    </row>
    <row r="459" spans="1:25" x14ac:dyDescent="0.3">
      <c r="A459" t="s">
        <v>518</v>
      </c>
      <c r="B459" t="s">
        <v>35</v>
      </c>
      <c r="C459" t="s">
        <v>49</v>
      </c>
      <c r="D459" t="s">
        <v>68</v>
      </c>
      <c r="E459" t="s">
        <v>64</v>
      </c>
      <c r="F459" t="str">
        <f>IF(BBDD_fashion_boutique[[#This Row],[category]]="Accessories","Accesorio",IF(BBDD_fashion_boutique[[#This Row],[size]]="","Desconocido",BBDD_fashion_boutique[[#This Row],[size]]))</f>
        <v>M</v>
      </c>
      <c r="G459" t="s">
        <v>33</v>
      </c>
      <c r="H459" s="2">
        <v>138.35</v>
      </c>
      <c r="I459">
        <v>31.7</v>
      </c>
      <c r="J459" s="5">
        <f>BBDD_fashion_boutique[[#This Row],[markdown_percentage]]/100</f>
        <v>0.317</v>
      </c>
      <c r="K459" s="2">
        <v>94.49</v>
      </c>
      <c r="L459" s="2">
        <f>BBDD_fashion_boutique[[#This Row],[original_price]]-BBDD_fashion_boutique[[#This Row],[current_price]]</f>
        <v>43.86</v>
      </c>
      <c r="M459" s="1">
        <v>45875</v>
      </c>
      <c r="N459" s="1" t="str">
        <f>PROPER(TEXT(BBDD_fashion_boutique[[#This Row],[purchase_date]],"dddd"))</f>
        <v>Miércoles</v>
      </c>
      <c r="O459" s="1" t="str">
        <f>PROPER(TEXT(BBDD_fashion_boutique[[#This Row],[purchase_date]],"mmmm"))</f>
        <v>Agosto</v>
      </c>
      <c r="P459" s="4">
        <v>3</v>
      </c>
      <c r="Q459" s="2">
        <v>2.5</v>
      </c>
      <c r="R459" t="str">
        <f>IF(BBDD_fashion_boutique[[#This Row],[stock_quantity]]&gt;9,"Ok",IF(BBDD_fashion_boutique[[#This Row],[stock_quantity]]=0,"Agotado","Pocas Unidades"))</f>
        <v>Pocas Unidades</v>
      </c>
      <c r="S459" s="3">
        <f>IF(BBDD_fashion_boutique[[#This Row],[customer_rating]]="","No valorado",BBDD_fashion_boutique[[#This Row],[customer_rating]])</f>
        <v>2.5</v>
      </c>
      <c r="T459" t="s">
        <v>24</v>
      </c>
      <c r="V459">
        <f>IF(BBDD_fashion_boutique[[#This Row],[is_returned]]="False",0,1)</f>
        <v>0</v>
      </c>
      <c r="W459">
        <f>IF(BBDD_fashion_boutique[[#This Row],[is_returned]]="True",0,BBDD_fashion_boutique[[#This Row],[current_price]])</f>
        <v>94.49</v>
      </c>
      <c r="X459" t="str">
        <f>IF(BBDD_fashion_boutique[[#This Row],[return_reason]]="","No return",BBDD_fashion_boutique[[#This Row],[return_reason]])</f>
        <v>No return</v>
      </c>
      <c r="Y459">
        <f>IF(IFERROR(VLOOKUP(BBDD_fashion_boutique[[#This Row],[product_id]],A460:A2635,1,FALSE),0),1,0)</f>
        <v>0</v>
      </c>
    </row>
    <row r="460" spans="1:25" x14ac:dyDescent="0.3">
      <c r="A460" t="s">
        <v>519</v>
      </c>
      <c r="B460" t="s">
        <v>26</v>
      </c>
      <c r="C460" t="s">
        <v>67</v>
      </c>
      <c r="D460" t="s">
        <v>21</v>
      </c>
      <c r="E460" t="s">
        <v>61</v>
      </c>
      <c r="F460" t="str">
        <f>IF(BBDD_fashion_boutique[[#This Row],[category]]="Accessories","Accesorio",IF(BBDD_fashion_boutique[[#This Row],[size]]="","Desconocido",BBDD_fashion_boutique[[#This Row],[size]]))</f>
        <v>XS</v>
      </c>
      <c r="G460" t="s">
        <v>23</v>
      </c>
      <c r="H460" s="2">
        <v>32.01</v>
      </c>
      <c r="I460">
        <v>0</v>
      </c>
      <c r="J460" s="5">
        <f>BBDD_fashion_boutique[[#This Row],[markdown_percentage]]/100</f>
        <v>0</v>
      </c>
      <c r="K460" s="2">
        <v>32.01</v>
      </c>
      <c r="L460" s="2">
        <f>BBDD_fashion_boutique[[#This Row],[original_price]]-BBDD_fashion_boutique[[#This Row],[current_price]]</f>
        <v>0</v>
      </c>
      <c r="M460" s="1">
        <v>45786</v>
      </c>
      <c r="N460" s="1" t="str">
        <f>PROPER(TEXT(BBDD_fashion_boutique[[#This Row],[purchase_date]],"dddd"))</f>
        <v>Viernes</v>
      </c>
      <c r="O460" s="1" t="str">
        <f>PROPER(TEXT(BBDD_fashion_boutique[[#This Row],[purchase_date]],"mmmm"))</f>
        <v>Mayo</v>
      </c>
      <c r="P460" s="4">
        <v>43</v>
      </c>
      <c r="Q460" s="2">
        <v>3.4</v>
      </c>
      <c r="R460" t="str">
        <f>IF(BBDD_fashion_boutique[[#This Row],[stock_quantity]]&gt;9,"Ok",IF(BBDD_fashion_boutique[[#This Row],[stock_quantity]]=0,"Agotado","Pocas Unidades"))</f>
        <v>Ok</v>
      </c>
      <c r="S460" s="3">
        <f>IF(BBDD_fashion_boutique[[#This Row],[customer_rating]]="","No valorado",BBDD_fashion_boutique[[#This Row],[customer_rating]])</f>
        <v>3.4</v>
      </c>
      <c r="T460" t="s">
        <v>41</v>
      </c>
      <c r="U460" t="s">
        <v>131</v>
      </c>
      <c r="V460">
        <f>IF(BBDD_fashion_boutique[[#This Row],[is_returned]]="False",0,1)</f>
        <v>1</v>
      </c>
      <c r="W460">
        <f>IF(BBDD_fashion_boutique[[#This Row],[is_returned]]="True",0,BBDD_fashion_boutique[[#This Row],[current_price]])</f>
        <v>0</v>
      </c>
      <c r="X460" t="str">
        <f>IF(BBDD_fashion_boutique[[#This Row],[return_reason]]="","No return",BBDD_fashion_boutique[[#This Row],[return_reason]])</f>
        <v>Wrong Item</v>
      </c>
      <c r="Y460">
        <f>IF(IFERROR(VLOOKUP(BBDD_fashion_boutique[[#This Row],[product_id]],A461:A2636,1,FALSE),0),1,0)</f>
        <v>0</v>
      </c>
    </row>
    <row r="461" spans="1:25" x14ac:dyDescent="0.3">
      <c r="A461" t="s">
        <v>520</v>
      </c>
      <c r="B461" t="s">
        <v>48</v>
      </c>
      <c r="C461" t="s">
        <v>54</v>
      </c>
      <c r="D461" t="s">
        <v>39</v>
      </c>
      <c r="E461" t="s">
        <v>61</v>
      </c>
      <c r="F461" t="str">
        <f>IF(BBDD_fashion_boutique[[#This Row],[category]]="Accessories","Accesorio",IF(BBDD_fashion_boutique[[#This Row],[size]]="","Desconocido",BBDD_fashion_boutique[[#This Row],[size]]))</f>
        <v>XS</v>
      </c>
      <c r="G461" t="s">
        <v>33</v>
      </c>
      <c r="H461" s="2">
        <v>129.08000000000001</v>
      </c>
      <c r="I461">
        <v>50.6</v>
      </c>
      <c r="J461" s="5">
        <f>BBDD_fashion_boutique[[#This Row],[markdown_percentage]]/100</f>
        <v>0.50600000000000001</v>
      </c>
      <c r="K461" s="2">
        <v>63.77</v>
      </c>
      <c r="L461" s="2">
        <f>BBDD_fashion_boutique[[#This Row],[original_price]]-BBDD_fashion_boutique[[#This Row],[current_price]]</f>
        <v>65.31</v>
      </c>
      <c r="M461" s="1">
        <v>45875</v>
      </c>
      <c r="N461" s="1" t="str">
        <f>PROPER(TEXT(BBDD_fashion_boutique[[#This Row],[purchase_date]],"dddd"))</f>
        <v>Miércoles</v>
      </c>
      <c r="O461" s="1" t="str">
        <f>PROPER(TEXT(BBDD_fashion_boutique[[#This Row],[purchase_date]],"mmmm"))</f>
        <v>Agosto</v>
      </c>
      <c r="P461" s="4">
        <v>10</v>
      </c>
      <c r="Q461" s="2">
        <v>4.4000000000000004</v>
      </c>
      <c r="R461" t="str">
        <f>IF(BBDD_fashion_boutique[[#This Row],[stock_quantity]]&gt;9,"Ok",IF(BBDD_fashion_boutique[[#This Row],[stock_quantity]]=0,"Agotado","Pocas Unidades"))</f>
        <v>Ok</v>
      </c>
      <c r="S461" s="3">
        <f>IF(BBDD_fashion_boutique[[#This Row],[customer_rating]]="","No valorado",BBDD_fashion_boutique[[#This Row],[customer_rating]])</f>
        <v>4.4000000000000004</v>
      </c>
      <c r="T461" t="s">
        <v>24</v>
      </c>
      <c r="V461">
        <f>IF(BBDD_fashion_boutique[[#This Row],[is_returned]]="False",0,1)</f>
        <v>0</v>
      </c>
      <c r="W461">
        <f>IF(BBDD_fashion_boutique[[#This Row],[is_returned]]="True",0,BBDD_fashion_boutique[[#This Row],[current_price]])</f>
        <v>63.77</v>
      </c>
      <c r="X461" t="str">
        <f>IF(BBDD_fashion_boutique[[#This Row],[return_reason]]="","No return",BBDD_fashion_boutique[[#This Row],[return_reason]])</f>
        <v>No return</v>
      </c>
      <c r="Y461">
        <f>IF(IFERROR(VLOOKUP(BBDD_fashion_boutique[[#This Row],[product_id]],A462:A2637,1,FALSE),0),1,0)</f>
        <v>0</v>
      </c>
    </row>
    <row r="462" spans="1:25" x14ac:dyDescent="0.3">
      <c r="A462" t="s">
        <v>521</v>
      </c>
      <c r="B462" t="s">
        <v>48</v>
      </c>
      <c r="C462" t="s">
        <v>37</v>
      </c>
      <c r="D462" t="s">
        <v>28</v>
      </c>
      <c r="E462" t="s">
        <v>64</v>
      </c>
      <c r="F462" t="str">
        <f>IF(BBDD_fashion_boutique[[#This Row],[category]]="Accessories","Accesorio",IF(BBDD_fashion_boutique[[#This Row],[size]]="","Desconocido",BBDD_fashion_boutique[[#This Row],[size]]))</f>
        <v>M</v>
      </c>
      <c r="G462" t="s">
        <v>46</v>
      </c>
      <c r="H462" s="2">
        <v>68.569999999999993</v>
      </c>
      <c r="I462">
        <v>56.4</v>
      </c>
      <c r="J462" s="5">
        <f>BBDD_fashion_boutique[[#This Row],[markdown_percentage]]/100</f>
        <v>0.56399999999999995</v>
      </c>
      <c r="K462" s="2">
        <v>29.9</v>
      </c>
      <c r="L462" s="2">
        <f>BBDD_fashion_boutique[[#This Row],[original_price]]-BBDD_fashion_boutique[[#This Row],[current_price]]</f>
        <v>38.669999999999995</v>
      </c>
      <c r="M462" s="1">
        <v>45875</v>
      </c>
      <c r="N462" s="1" t="str">
        <f>PROPER(TEXT(BBDD_fashion_boutique[[#This Row],[purchase_date]],"dddd"))</f>
        <v>Miércoles</v>
      </c>
      <c r="O462" s="1" t="str">
        <f>PROPER(TEXT(BBDD_fashion_boutique[[#This Row],[purchase_date]],"mmmm"))</f>
        <v>Agosto</v>
      </c>
      <c r="P462" s="4">
        <v>30</v>
      </c>
      <c r="Q462" s="2">
        <v>1.8</v>
      </c>
      <c r="R462" t="str">
        <f>IF(BBDD_fashion_boutique[[#This Row],[stock_quantity]]&gt;9,"Ok",IF(BBDD_fashion_boutique[[#This Row],[stock_quantity]]=0,"Agotado","Pocas Unidades"))</f>
        <v>Ok</v>
      </c>
      <c r="S462" s="3">
        <f>IF(BBDD_fashion_boutique[[#This Row],[customer_rating]]="","No valorado",BBDD_fashion_boutique[[#This Row],[customer_rating]])</f>
        <v>1.8</v>
      </c>
      <c r="T462" t="s">
        <v>24</v>
      </c>
      <c r="V462">
        <f>IF(BBDD_fashion_boutique[[#This Row],[is_returned]]="False",0,1)</f>
        <v>0</v>
      </c>
      <c r="W462">
        <f>IF(BBDD_fashion_boutique[[#This Row],[is_returned]]="True",0,BBDD_fashion_boutique[[#This Row],[current_price]])</f>
        <v>29.9</v>
      </c>
      <c r="X462" t="str">
        <f>IF(BBDD_fashion_boutique[[#This Row],[return_reason]]="","No return",BBDD_fashion_boutique[[#This Row],[return_reason]])</f>
        <v>No return</v>
      </c>
      <c r="Y462">
        <f>IF(IFERROR(VLOOKUP(BBDD_fashion_boutique[[#This Row],[product_id]],A463:A2638,1,FALSE),0),1,0)</f>
        <v>0</v>
      </c>
    </row>
    <row r="463" spans="1:25" x14ac:dyDescent="0.3">
      <c r="A463" t="s">
        <v>522</v>
      </c>
      <c r="B463" t="s">
        <v>32</v>
      </c>
      <c r="C463" t="s">
        <v>54</v>
      </c>
      <c r="D463" t="s">
        <v>28</v>
      </c>
      <c r="F463" t="str">
        <f>IF(BBDD_fashion_boutique[[#This Row],[category]]="Accessories","Accesorio",IF(BBDD_fashion_boutique[[#This Row],[size]]="","Desconocido",BBDD_fashion_boutique[[#This Row],[size]]))</f>
        <v>Accesorio</v>
      </c>
      <c r="G463" t="s">
        <v>46</v>
      </c>
      <c r="H463" s="2">
        <v>46.46</v>
      </c>
      <c r="I463">
        <v>0</v>
      </c>
      <c r="J463" s="5">
        <f>BBDD_fashion_boutique[[#This Row],[markdown_percentage]]/100</f>
        <v>0</v>
      </c>
      <c r="K463" s="2">
        <v>46.46</v>
      </c>
      <c r="L463" s="2">
        <f>BBDD_fashion_boutique[[#This Row],[original_price]]-BBDD_fashion_boutique[[#This Row],[current_price]]</f>
        <v>0</v>
      </c>
      <c r="M463" s="1">
        <v>45875</v>
      </c>
      <c r="N463" s="1" t="str">
        <f>PROPER(TEXT(BBDD_fashion_boutique[[#This Row],[purchase_date]],"dddd"))</f>
        <v>Miércoles</v>
      </c>
      <c r="O463" s="1" t="str">
        <f>PROPER(TEXT(BBDD_fashion_boutique[[#This Row],[purchase_date]],"mmmm"))</f>
        <v>Agosto</v>
      </c>
      <c r="P463" s="4">
        <v>30</v>
      </c>
      <c r="R463" t="str">
        <f>IF(BBDD_fashion_boutique[[#This Row],[stock_quantity]]&gt;9,"Ok",IF(BBDD_fashion_boutique[[#This Row],[stock_quantity]]=0,"Agotado","Pocas Unidades"))</f>
        <v>Ok</v>
      </c>
      <c r="S463" s="3" t="str">
        <f>IF(BBDD_fashion_boutique[[#This Row],[customer_rating]]="","No valorado",BBDD_fashion_boutique[[#This Row],[customer_rating]])</f>
        <v>No valorado</v>
      </c>
      <c r="T463" t="s">
        <v>24</v>
      </c>
      <c r="V463">
        <f>IF(BBDD_fashion_boutique[[#This Row],[is_returned]]="False",0,1)</f>
        <v>0</v>
      </c>
      <c r="W463">
        <f>IF(BBDD_fashion_boutique[[#This Row],[is_returned]]="True",0,BBDD_fashion_boutique[[#This Row],[current_price]])</f>
        <v>46.46</v>
      </c>
      <c r="X463" t="str">
        <f>IF(BBDD_fashion_boutique[[#This Row],[return_reason]]="","No return",BBDD_fashion_boutique[[#This Row],[return_reason]])</f>
        <v>No return</v>
      </c>
      <c r="Y463">
        <f>IF(IFERROR(VLOOKUP(BBDD_fashion_boutique[[#This Row],[product_id]],A464:A2639,1,FALSE),0),1,0)</f>
        <v>0</v>
      </c>
    </row>
    <row r="464" spans="1:25" x14ac:dyDescent="0.3">
      <c r="A464" t="s">
        <v>523</v>
      </c>
      <c r="B464" t="s">
        <v>19</v>
      </c>
      <c r="C464" t="s">
        <v>37</v>
      </c>
      <c r="D464" t="s">
        <v>39</v>
      </c>
      <c r="E464" t="s">
        <v>55</v>
      </c>
      <c r="F464" t="str">
        <f>IF(BBDD_fashion_boutique[[#This Row],[category]]="Accessories","Accesorio",IF(BBDD_fashion_boutique[[#This Row],[size]]="","Desconocido",BBDD_fashion_boutique[[#This Row],[size]]))</f>
        <v>XXL</v>
      </c>
      <c r="G464" t="s">
        <v>40</v>
      </c>
      <c r="H464" s="2">
        <v>124.68</v>
      </c>
      <c r="I464">
        <v>58.2</v>
      </c>
      <c r="J464" s="5">
        <f>BBDD_fashion_boutique[[#This Row],[markdown_percentage]]/100</f>
        <v>0.58200000000000007</v>
      </c>
      <c r="K464" s="2">
        <v>52.12</v>
      </c>
      <c r="L464" s="2">
        <f>BBDD_fashion_boutique[[#This Row],[original_price]]-BBDD_fashion_boutique[[#This Row],[current_price]]</f>
        <v>72.56</v>
      </c>
      <c r="M464" s="1">
        <v>45875</v>
      </c>
      <c r="N464" s="1" t="str">
        <f>PROPER(TEXT(BBDD_fashion_boutique[[#This Row],[purchase_date]],"dddd"))</f>
        <v>Miércoles</v>
      </c>
      <c r="O464" s="1" t="str">
        <f>PROPER(TEXT(BBDD_fashion_boutique[[#This Row],[purchase_date]],"mmmm"))</f>
        <v>Agosto</v>
      </c>
      <c r="P464" s="4">
        <v>44</v>
      </c>
      <c r="Q464" s="2">
        <v>3.2</v>
      </c>
      <c r="R464" t="str">
        <f>IF(BBDD_fashion_boutique[[#This Row],[stock_quantity]]&gt;9,"Ok",IF(BBDD_fashion_boutique[[#This Row],[stock_quantity]]=0,"Agotado","Pocas Unidades"))</f>
        <v>Ok</v>
      </c>
      <c r="S464" s="3">
        <f>IF(BBDD_fashion_boutique[[#This Row],[customer_rating]]="","No valorado",BBDD_fashion_boutique[[#This Row],[customer_rating]])</f>
        <v>3.2</v>
      </c>
      <c r="T464" t="s">
        <v>24</v>
      </c>
      <c r="V464">
        <f>IF(BBDD_fashion_boutique[[#This Row],[is_returned]]="False",0,1)</f>
        <v>0</v>
      </c>
      <c r="W464">
        <f>IF(BBDD_fashion_boutique[[#This Row],[is_returned]]="True",0,BBDD_fashion_boutique[[#This Row],[current_price]])</f>
        <v>52.12</v>
      </c>
      <c r="X464" t="str">
        <f>IF(BBDD_fashion_boutique[[#This Row],[return_reason]]="","No return",BBDD_fashion_boutique[[#This Row],[return_reason]])</f>
        <v>No return</v>
      </c>
      <c r="Y464">
        <f>IF(IFERROR(VLOOKUP(BBDD_fashion_boutique[[#This Row],[product_id]],A465:A2640,1,FALSE),0),1,0)</f>
        <v>0</v>
      </c>
    </row>
    <row r="465" spans="1:25" x14ac:dyDescent="0.3">
      <c r="A465" t="s">
        <v>524</v>
      </c>
      <c r="B465" t="s">
        <v>44</v>
      </c>
      <c r="C465" t="s">
        <v>54</v>
      </c>
      <c r="D465" t="s">
        <v>21</v>
      </c>
      <c r="E465" t="s">
        <v>22</v>
      </c>
      <c r="F465" t="str">
        <f>IF(BBDD_fashion_boutique[[#This Row],[category]]="Accessories","Accesorio",IF(BBDD_fashion_boutique[[#This Row],[size]]="","Desconocido",BBDD_fashion_boutique[[#This Row],[size]]))</f>
        <v>XL</v>
      </c>
      <c r="G465" t="s">
        <v>23</v>
      </c>
      <c r="H465" s="2">
        <v>36.85</v>
      </c>
      <c r="I465">
        <v>0</v>
      </c>
      <c r="J465" s="5">
        <f>BBDD_fashion_boutique[[#This Row],[markdown_percentage]]/100</f>
        <v>0</v>
      </c>
      <c r="K465" s="2">
        <v>36.85</v>
      </c>
      <c r="L465" s="2">
        <f>BBDD_fashion_boutique[[#This Row],[original_price]]-BBDD_fashion_boutique[[#This Row],[current_price]]</f>
        <v>0</v>
      </c>
      <c r="M465" s="1">
        <v>45841</v>
      </c>
      <c r="N465" s="1" t="str">
        <f>PROPER(TEXT(BBDD_fashion_boutique[[#This Row],[purchase_date]],"dddd"))</f>
        <v>Jueves</v>
      </c>
      <c r="O465" s="1" t="str">
        <f>PROPER(TEXT(BBDD_fashion_boutique[[#This Row],[purchase_date]],"mmmm"))</f>
        <v>Julio</v>
      </c>
      <c r="P465" s="4">
        <v>0</v>
      </c>
      <c r="Q465" s="2">
        <v>4.4000000000000004</v>
      </c>
      <c r="R465" t="str">
        <f>IF(BBDD_fashion_boutique[[#This Row],[stock_quantity]]&gt;9,"Ok",IF(BBDD_fashion_boutique[[#This Row],[stock_quantity]]=0,"Agotado","Pocas Unidades"))</f>
        <v>Agotado</v>
      </c>
      <c r="S465" s="3">
        <f>IF(BBDD_fashion_boutique[[#This Row],[customer_rating]]="","No valorado",BBDD_fashion_boutique[[#This Row],[customer_rating]])</f>
        <v>4.4000000000000004</v>
      </c>
      <c r="T465" t="s">
        <v>24</v>
      </c>
      <c r="V465">
        <f>IF(BBDD_fashion_boutique[[#This Row],[is_returned]]="False",0,1)</f>
        <v>0</v>
      </c>
      <c r="W465">
        <f>IF(BBDD_fashion_boutique[[#This Row],[is_returned]]="True",0,BBDD_fashion_boutique[[#This Row],[current_price]])</f>
        <v>36.85</v>
      </c>
      <c r="X465" t="str">
        <f>IF(BBDD_fashion_boutique[[#This Row],[return_reason]]="","No return",BBDD_fashion_boutique[[#This Row],[return_reason]])</f>
        <v>No return</v>
      </c>
      <c r="Y465">
        <f>IF(IFERROR(VLOOKUP(BBDD_fashion_boutique[[#This Row],[product_id]],A466:A2641,1,FALSE),0),1,0)</f>
        <v>0</v>
      </c>
    </row>
    <row r="466" spans="1:25" x14ac:dyDescent="0.3">
      <c r="A466" t="s">
        <v>525</v>
      </c>
      <c r="B466" t="s">
        <v>19</v>
      </c>
      <c r="C466" t="s">
        <v>59</v>
      </c>
      <c r="D466" t="s">
        <v>28</v>
      </c>
      <c r="E466" t="s">
        <v>61</v>
      </c>
      <c r="F466" t="str">
        <f>IF(BBDD_fashion_boutique[[#This Row],[category]]="Accessories","Accesorio",IF(BBDD_fashion_boutique[[#This Row],[size]]="","Desconocido",BBDD_fashion_boutique[[#This Row],[size]]))</f>
        <v>XS</v>
      </c>
      <c r="G466" t="s">
        <v>33</v>
      </c>
      <c r="H466" s="2">
        <v>229.63</v>
      </c>
      <c r="I466">
        <v>0.3</v>
      </c>
      <c r="J466" s="5">
        <f>BBDD_fashion_boutique[[#This Row],[markdown_percentage]]/100</f>
        <v>3.0000000000000001E-3</v>
      </c>
      <c r="K466" s="2">
        <v>228.94</v>
      </c>
      <c r="L466" s="2">
        <f>BBDD_fashion_boutique[[#This Row],[original_price]]-BBDD_fashion_boutique[[#This Row],[current_price]]</f>
        <v>0.68999999999999773</v>
      </c>
      <c r="M466" s="1">
        <v>45875</v>
      </c>
      <c r="N466" s="1" t="str">
        <f>PROPER(TEXT(BBDD_fashion_boutique[[#This Row],[purchase_date]],"dddd"))</f>
        <v>Miércoles</v>
      </c>
      <c r="O466" s="1" t="str">
        <f>PROPER(TEXT(BBDD_fashion_boutique[[#This Row],[purchase_date]],"mmmm"))</f>
        <v>Agosto</v>
      </c>
      <c r="P466" s="4">
        <v>30</v>
      </c>
      <c r="Q466" s="2">
        <v>3.4</v>
      </c>
      <c r="R466" t="str">
        <f>IF(BBDD_fashion_boutique[[#This Row],[stock_quantity]]&gt;9,"Ok",IF(BBDD_fashion_boutique[[#This Row],[stock_quantity]]=0,"Agotado","Pocas Unidades"))</f>
        <v>Ok</v>
      </c>
      <c r="S466" s="3">
        <f>IF(BBDD_fashion_boutique[[#This Row],[customer_rating]]="","No valorado",BBDD_fashion_boutique[[#This Row],[customer_rating]])</f>
        <v>3.4</v>
      </c>
      <c r="T466" t="s">
        <v>24</v>
      </c>
      <c r="V466">
        <f>IF(BBDD_fashion_boutique[[#This Row],[is_returned]]="False",0,1)</f>
        <v>0</v>
      </c>
      <c r="W466">
        <f>IF(BBDD_fashion_boutique[[#This Row],[is_returned]]="True",0,BBDD_fashion_boutique[[#This Row],[current_price]])</f>
        <v>228.94</v>
      </c>
      <c r="X466" t="str">
        <f>IF(BBDD_fashion_boutique[[#This Row],[return_reason]]="","No return",BBDD_fashion_boutique[[#This Row],[return_reason]])</f>
        <v>No return</v>
      </c>
      <c r="Y466">
        <f>IF(IFERROR(VLOOKUP(BBDD_fashion_boutique[[#This Row],[product_id]],A467:A2642,1,FALSE),0),1,0)</f>
        <v>0</v>
      </c>
    </row>
    <row r="467" spans="1:25" x14ac:dyDescent="0.3">
      <c r="A467" t="s">
        <v>526</v>
      </c>
      <c r="B467" t="s">
        <v>26</v>
      </c>
      <c r="C467" t="s">
        <v>59</v>
      </c>
      <c r="D467" t="s">
        <v>21</v>
      </c>
      <c r="E467" t="s">
        <v>45</v>
      </c>
      <c r="F467" t="str">
        <f>IF(BBDD_fashion_boutique[[#This Row],[category]]="Accessories","Accesorio",IF(BBDD_fashion_boutique[[#This Row],[size]]="","Desconocido",BBDD_fashion_boutique[[#This Row],[size]]))</f>
        <v>S</v>
      </c>
      <c r="G467" t="s">
        <v>70</v>
      </c>
      <c r="H467" s="2">
        <v>74.09</v>
      </c>
      <c r="I467">
        <v>0</v>
      </c>
      <c r="J467" s="5">
        <f>BBDD_fashion_boutique[[#This Row],[markdown_percentage]]/100</f>
        <v>0</v>
      </c>
      <c r="K467" s="2">
        <v>74.09</v>
      </c>
      <c r="L467" s="2">
        <f>BBDD_fashion_boutique[[#This Row],[original_price]]-BBDD_fashion_boutique[[#This Row],[current_price]]</f>
        <v>0</v>
      </c>
      <c r="M467" s="1">
        <v>45542</v>
      </c>
      <c r="N467" s="1" t="str">
        <f>PROPER(TEXT(BBDD_fashion_boutique[[#This Row],[purchase_date]],"dddd"))</f>
        <v>Sábado</v>
      </c>
      <c r="O467" s="1" t="str">
        <f>PROPER(TEXT(BBDD_fashion_boutique[[#This Row],[purchase_date]],"mmmm"))</f>
        <v>Septiembre</v>
      </c>
      <c r="P467" s="4">
        <v>35</v>
      </c>
      <c r="Q467" s="2">
        <v>3.4</v>
      </c>
      <c r="R467" t="str">
        <f>IF(BBDD_fashion_boutique[[#This Row],[stock_quantity]]&gt;9,"Ok",IF(BBDD_fashion_boutique[[#This Row],[stock_quantity]]=0,"Agotado","Pocas Unidades"))</f>
        <v>Ok</v>
      </c>
      <c r="S467" s="3">
        <f>IF(BBDD_fashion_boutique[[#This Row],[customer_rating]]="","No valorado",BBDD_fashion_boutique[[#This Row],[customer_rating]])</f>
        <v>3.4</v>
      </c>
      <c r="T467" t="s">
        <v>24</v>
      </c>
      <c r="V467">
        <f>IF(BBDD_fashion_boutique[[#This Row],[is_returned]]="False",0,1)</f>
        <v>0</v>
      </c>
      <c r="W467">
        <f>IF(BBDD_fashion_boutique[[#This Row],[is_returned]]="True",0,BBDD_fashion_boutique[[#This Row],[current_price]])</f>
        <v>74.09</v>
      </c>
      <c r="X467" t="str">
        <f>IF(BBDD_fashion_boutique[[#This Row],[return_reason]]="","No return",BBDD_fashion_boutique[[#This Row],[return_reason]])</f>
        <v>No return</v>
      </c>
      <c r="Y467">
        <f>IF(IFERROR(VLOOKUP(BBDD_fashion_boutique[[#This Row],[product_id]],A468:A2643,1,FALSE),0),1,0)</f>
        <v>0</v>
      </c>
    </row>
    <row r="468" spans="1:25" x14ac:dyDescent="0.3">
      <c r="A468" t="s">
        <v>527</v>
      </c>
      <c r="B468" t="s">
        <v>44</v>
      </c>
      <c r="C468" t="s">
        <v>37</v>
      </c>
      <c r="D468" t="s">
        <v>21</v>
      </c>
      <c r="E468" t="s">
        <v>61</v>
      </c>
      <c r="F468" t="str">
        <f>IF(BBDD_fashion_boutique[[#This Row],[category]]="Accessories","Accesorio",IF(BBDD_fashion_boutique[[#This Row],[size]]="","Desconocido",BBDD_fashion_boutique[[#This Row],[size]]))</f>
        <v>XS</v>
      </c>
      <c r="G468" t="s">
        <v>76</v>
      </c>
      <c r="H468" s="2">
        <v>27.22</v>
      </c>
      <c r="I468">
        <v>0</v>
      </c>
      <c r="J468" s="5">
        <f>BBDD_fashion_boutique[[#This Row],[markdown_percentage]]/100</f>
        <v>0</v>
      </c>
      <c r="K468" s="2">
        <v>27.22</v>
      </c>
      <c r="L468" s="2">
        <f>BBDD_fashion_boutique[[#This Row],[original_price]]-BBDD_fashion_boutique[[#This Row],[current_price]]</f>
        <v>0</v>
      </c>
      <c r="M468" s="1">
        <v>45544</v>
      </c>
      <c r="N468" s="1" t="str">
        <f>PROPER(TEXT(BBDD_fashion_boutique[[#This Row],[purchase_date]],"dddd"))</f>
        <v>Lunes</v>
      </c>
      <c r="O468" s="1" t="str">
        <f>PROPER(TEXT(BBDD_fashion_boutique[[#This Row],[purchase_date]],"mmmm"))</f>
        <v>Septiembre</v>
      </c>
      <c r="P468" s="4">
        <v>14</v>
      </c>
      <c r="Q468" s="2">
        <v>2.4</v>
      </c>
      <c r="R468" t="str">
        <f>IF(BBDD_fashion_boutique[[#This Row],[stock_quantity]]&gt;9,"Ok",IF(BBDD_fashion_boutique[[#This Row],[stock_quantity]]=0,"Agotado","Pocas Unidades"))</f>
        <v>Ok</v>
      </c>
      <c r="S468" s="3">
        <f>IF(BBDD_fashion_boutique[[#This Row],[customer_rating]]="","No valorado",BBDD_fashion_boutique[[#This Row],[customer_rating]])</f>
        <v>2.4</v>
      </c>
      <c r="T468" t="s">
        <v>24</v>
      </c>
      <c r="V468">
        <f>IF(BBDD_fashion_boutique[[#This Row],[is_returned]]="False",0,1)</f>
        <v>0</v>
      </c>
      <c r="W468">
        <f>IF(BBDD_fashion_boutique[[#This Row],[is_returned]]="True",0,BBDD_fashion_boutique[[#This Row],[current_price]])</f>
        <v>27.22</v>
      </c>
      <c r="X468" t="str">
        <f>IF(BBDD_fashion_boutique[[#This Row],[return_reason]]="","No return",BBDD_fashion_boutique[[#This Row],[return_reason]])</f>
        <v>No return</v>
      </c>
      <c r="Y468">
        <f>IF(IFERROR(VLOOKUP(BBDD_fashion_boutique[[#This Row],[product_id]],A469:A2644,1,FALSE),0),1,0)</f>
        <v>0</v>
      </c>
    </row>
    <row r="469" spans="1:25" x14ac:dyDescent="0.3">
      <c r="A469" t="s">
        <v>528</v>
      </c>
      <c r="B469" t="s">
        <v>26</v>
      </c>
      <c r="C469" t="s">
        <v>59</v>
      </c>
      <c r="D469" t="s">
        <v>21</v>
      </c>
      <c r="E469" t="s">
        <v>29</v>
      </c>
      <c r="F469" t="str">
        <f>IF(BBDD_fashion_boutique[[#This Row],[category]]="Accessories","Accesorio",IF(BBDD_fashion_boutique[[#This Row],[size]]="","Desconocido",BBDD_fashion_boutique[[#This Row],[size]]))</f>
        <v>L</v>
      </c>
      <c r="G469" t="s">
        <v>72</v>
      </c>
      <c r="H469" s="2">
        <v>32.64</v>
      </c>
      <c r="I469">
        <v>1.4</v>
      </c>
      <c r="J469" s="5">
        <f>BBDD_fashion_boutique[[#This Row],[markdown_percentage]]/100</f>
        <v>1.3999999999999999E-2</v>
      </c>
      <c r="K469" s="2">
        <v>32.18</v>
      </c>
      <c r="L469" s="2">
        <f>BBDD_fashion_boutique[[#This Row],[original_price]]-BBDD_fashion_boutique[[#This Row],[current_price]]</f>
        <v>0.46000000000000085</v>
      </c>
      <c r="M469" s="1">
        <v>45783</v>
      </c>
      <c r="N469" s="1" t="str">
        <f>PROPER(TEXT(BBDD_fashion_boutique[[#This Row],[purchase_date]],"dddd"))</f>
        <v>Martes</v>
      </c>
      <c r="O469" s="1" t="str">
        <f>PROPER(TEXT(BBDD_fashion_boutique[[#This Row],[purchase_date]],"mmmm"))</f>
        <v>Mayo</v>
      </c>
      <c r="P469" s="4">
        <v>29</v>
      </c>
      <c r="Q469" s="2">
        <v>1.5</v>
      </c>
      <c r="R469" t="str">
        <f>IF(BBDD_fashion_boutique[[#This Row],[stock_quantity]]&gt;9,"Ok",IF(BBDD_fashion_boutique[[#This Row],[stock_quantity]]=0,"Agotado","Pocas Unidades"))</f>
        <v>Ok</v>
      </c>
      <c r="S469" s="3">
        <f>IF(BBDD_fashion_boutique[[#This Row],[customer_rating]]="","No valorado",BBDD_fashion_boutique[[#This Row],[customer_rating]])</f>
        <v>1.5</v>
      </c>
      <c r="T469" t="s">
        <v>41</v>
      </c>
      <c r="U469" t="s">
        <v>121</v>
      </c>
      <c r="V469">
        <f>IF(BBDD_fashion_boutique[[#This Row],[is_returned]]="False",0,1)</f>
        <v>1</v>
      </c>
      <c r="W469">
        <f>IF(BBDD_fashion_boutique[[#This Row],[is_returned]]="True",0,BBDD_fashion_boutique[[#This Row],[current_price]])</f>
        <v>0</v>
      </c>
      <c r="X469" t="str">
        <f>IF(BBDD_fashion_boutique[[#This Row],[return_reason]]="","No return",BBDD_fashion_boutique[[#This Row],[return_reason]])</f>
        <v>Changed Mind</v>
      </c>
      <c r="Y469">
        <f>IF(IFERROR(VLOOKUP(BBDD_fashion_boutique[[#This Row],[product_id]],A470:A2645,1,FALSE),0),1,0)</f>
        <v>0</v>
      </c>
    </row>
    <row r="470" spans="1:25" x14ac:dyDescent="0.3">
      <c r="A470" t="s">
        <v>529</v>
      </c>
      <c r="B470" t="s">
        <v>32</v>
      </c>
      <c r="C470" t="s">
        <v>20</v>
      </c>
      <c r="D470" t="s">
        <v>68</v>
      </c>
      <c r="F470" t="str">
        <f>IF(BBDD_fashion_boutique[[#This Row],[category]]="Accessories","Accesorio",IF(BBDD_fashion_boutique[[#This Row],[size]]="","Desconocido",BBDD_fashion_boutique[[#This Row],[size]]))</f>
        <v>Accesorio</v>
      </c>
      <c r="G470" t="s">
        <v>72</v>
      </c>
      <c r="H470" s="2">
        <v>30.25</v>
      </c>
      <c r="I470">
        <v>11.8</v>
      </c>
      <c r="J470" s="5">
        <f>BBDD_fashion_boutique[[#This Row],[markdown_percentage]]/100</f>
        <v>0.11800000000000001</v>
      </c>
      <c r="K470" s="2">
        <v>26.68</v>
      </c>
      <c r="L470" s="2">
        <f>BBDD_fashion_boutique[[#This Row],[original_price]]-BBDD_fashion_boutique[[#This Row],[current_price]]</f>
        <v>3.5700000000000003</v>
      </c>
      <c r="M470" s="1">
        <v>45875</v>
      </c>
      <c r="N470" s="1" t="str">
        <f>PROPER(TEXT(BBDD_fashion_boutique[[#This Row],[purchase_date]],"dddd"))</f>
        <v>Miércoles</v>
      </c>
      <c r="O470" s="1" t="str">
        <f>PROPER(TEXT(BBDD_fashion_boutique[[#This Row],[purchase_date]],"mmmm"))</f>
        <v>Agosto</v>
      </c>
      <c r="P470" s="4">
        <v>30</v>
      </c>
      <c r="Q470" s="2">
        <v>3.4</v>
      </c>
      <c r="R470" t="str">
        <f>IF(BBDD_fashion_boutique[[#This Row],[stock_quantity]]&gt;9,"Ok",IF(BBDD_fashion_boutique[[#This Row],[stock_quantity]]=0,"Agotado","Pocas Unidades"))</f>
        <v>Ok</v>
      </c>
      <c r="S470" s="3">
        <f>IF(BBDD_fashion_boutique[[#This Row],[customer_rating]]="","No valorado",BBDD_fashion_boutique[[#This Row],[customer_rating]])</f>
        <v>3.4</v>
      </c>
      <c r="T470" t="s">
        <v>24</v>
      </c>
      <c r="V470">
        <f>IF(BBDD_fashion_boutique[[#This Row],[is_returned]]="False",0,1)</f>
        <v>0</v>
      </c>
      <c r="W470">
        <f>IF(BBDD_fashion_boutique[[#This Row],[is_returned]]="True",0,BBDD_fashion_boutique[[#This Row],[current_price]])</f>
        <v>26.68</v>
      </c>
      <c r="X470" t="str">
        <f>IF(BBDD_fashion_boutique[[#This Row],[return_reason]]="","No return",BBDD_fashion_boutique[[#This Row],[return_reason]])</f>
        <v>No return</v>
      </c>
      <c r="Y470">
        <f>IF(IFERROR(VLOOKUP(BBDD_fashion_boutique[[#This Row],[product_id]],A471:A2646,1,FALSE),0),1,0)</f>
        <v>0</v>
      </c>
    </row>
    <row r="471" spans="1:25" x14ac:dyDescent="0.3">
      <c r="A471" t="s">
        <v>530</v>
      </c>
      <c r="B471" t="s">
        <v>19</v>
      </c>
      <c r="C471" t="s">
        <v>27</v>
      </c>
      <c r="D471" t="s">
        <v>68</v>
      </c>
      <c r="E471" t="s">
        <v>45</v>
      </c>
      <c r="F471" t="str">
        <f>IF(BBDD_fashion_boutique[[#This Row],[category]]="Accessories","Accesorio",IF(BBDD_fashion_boutique[[#This Row],[size]]="","Desconocido",BBDD_fashion_boutique[[#This Row],[size]]))</f>
        <v>S</v>
      </c>
      <c r="G471" t="s">
        <v>76</v>
      </c>
      <c r="H471" s="2">
        <v>180.57</v>
      </c>
      <c r="I471">
        <v>0</v>
      </c>
      <c r="J471" s="5">
        <f>BBDD_fashion_boutique[[#This Row],[markdown_percentage]]/100</f>
        <v>0</v>
      </c>
      <c r="K471" s="2">
        <v>180.57</v>
      </c>
      <c r="L471" s="2">
        <f>BBDD_fashion_boutique[[#This Row],[original_price]]-BBDD_fashion_boutique[[#This Row],[current_price]]</f>
        <v>0</v>
      </c>
      <c r="M471" s="1">
        <v>45875</v>
      </c>
      <c r="N471" s="1" t="str">
        <f>PROPER(TEXT(BBDD_fashion_boutique[[#This Row],[purchase_date]],"dddd"))</f>
        <v>Miércoles</v>
      </c>
      <c r="O471" s="1" t="str">
        <f>PROPER(TEXT(BBDD_fashion_boutique[[#This Row],[purchase_date]],"mmmm"))</f>
        <v>Agosto</v>
      </c>
      <c r="P471" s="4">
        <v>28</v>
      </c>
      <c r="R471" t="str">
        <f>IF(BBDD_fashion_boutique[[#This Row],[stock_quantity]]&gt;9,"Ok",IF(BBDD_fashion_boutique[[#This Row],[stock_quantity]]=0,"Agotado","Pocas Unidades"))</f>
        <v>Ok</v>
      </c>
      <c r="S471" s="3" t="str">
        <f>IF(BBDD_fashion_boutique[[#This Row],[customer_rating]]="","No valorado",BBDD_fashion_boutique[[#This Row],[customer_rating]])</f>
        <v>No valorado</v>
      </c>
      <c r="T471" t="s">
        <v>24</v>
      </c>
      <c r="V471">
        <f>IF(BBDD_fashion_boutique[[#This Row],[is_returned]]="False",0,1)</f>
        <v>0</v>
      </c>
      <c r="W471">
        <f>IF(BBDD_fashion_boutique[[#This Row],[is_returned]]="True",0,BBDD_fashion_boutique[[#This Row],[current_price]])</f>
        <v>180.57</v>
      </c>
      <c r="X471" t="str">
        <f>IF(BBDD_fashion_boutique[[#This Row],[return_reason]]="","No return",BBDD_fashion_boutique[[#This Row],[return_reason]])</f>
        <v>No return</v>
      </c>
      <c r="Y471">
        <f>IF(IFERROR(VLOOKUP(BBDD_fashion_boutique[[#This Row],[product_id]],A472:A2647,1,FALSE),0),1,0)</f>
        <v>0</v>
      </c>
    </row>
    <row r="472" spans="1:25" x14ac:dyDescent="0.3">
      <c r="A472" t="s">
        <v>531</v>
      </c>
      <c r="B472" t="s">
        <v>44</v>
      </c>
      <c r="C472" t="s">
        <v>27</v>
      </c>
      <c r="D472" t="s">
        <v>68</v>
      </c>
      <c r="E472" t="s">
        <v>61</v>
      </c>
      <c r="F472" t="str">
        <f>IF(BBDD_fashion_boutique[[#This Row],[category]]="Accessories","Accesorio",IF(BBDD_fashion_boutique[[#This Row],[size]]="","Desconocido",BBDD_fashion_boutique[[#This Row],[size]]))</f>
        <v>XS</v>
      </c>
      <c r="G472" t="s">
        <v>40</v>
      </c>
      <c r="H472" s="2">
        <v>96.55</v>
      </c>
      <c r="I472">
        <v>0</v>
      </c>
      <c r="J472" s="5">
        <f>BBDD_fashion_boutique[[#This Row],[markdown_percentage]]/100</f>
        <v>0</v>
      </c>
      <c r="K472" s="2">
        <v>96.55</v>
      </c>
      <c r="L472" s="2">
        <f>BBDD_fashion_boutique[[#This Row],[original_price]]-BBDD_fashion_boutique[[#This Row],[current_price]]</f>
        <v>0</v>
      </c>
      <c r="M472" s="1">
        <v>45875</v>
      </c>
      <c r="N472" s="1" t="str">
        <f>PROPER(TEXT(BBDD_fashion_boutique[[#This Row],[purchase_date]],"dddd"))</f>
        <v>Miércoles</v>
      </c>
      <c r="O472" s="1" t="str">
        <f>PROPER(TEXT(BBDD_fashion_boutique[[#This Row],[purchase_date]],"mmmm"))</f>
        <v>Agosto</v>
      </c>
      <c r="P472" s="4">
        <v>17</v>
      </c>
      <c r="Q472" s="2">
        <v>4.4000000000000004</v>
      </c>
      <c r="R472" t="str">
        <f>IF(BBDD_fashion_boutique[[#This Row],[stock_quantity]]&gt;9,"Ok",IF(BBDD_fashion_boutique[[#This Row],[stock_quantity]]=0,"Agotado","Pocas Unidades"))</f>
        <v>Ok</v>
      </c>
      <c r="S472" s="3">
        <f>IF(BBDD_fashion_boutique[[#This Row],[customer_rating]]="","No valorado",BBDD_fashion_boutique[[#This Row],[customer_rating]])</f>
        <v>4.4000000000000004</v>
      </c>
      <c r="T472" t="s">
        <v>24</v>
      </c>
      <c r="V472">
        <f>IF(BBDD_fashion_boutique[[#This Row],[is_returned]]="False",0,1)</f>
        <v>0</v>
      </c>
      <c r="W472">
        <f>IF(BBDD_fashion_boutique[[#This Row],[is_returned]]="True",0,BBDD_fashion_boutique[[#This Row],[current_price]])</f>
        <v>96.55</v>
      </c>
      <c r="X472" t="str">
        <f>IF(BBDD_fashion_boutique[[#This Row],[return_reason]]="","No return",BBDD_fashion_boutique[[#This Row],[return_reason]])</f>
        <v>No return</v>
      </c>
      <c r="Y472">
        <f>IF(IFERROR(VLOOKUP(BBDD_fashion_boutique[[#This Row],[product_id]],A473:A2648,1,FALSE),0),1,0)</f>
        <v>0</v>
      </c>
    </row>
    <row r="473" spans="1:25" x14ac:dyDescent="0.3">
      <c r="A473" t="s">
        <v>532</v>
      </c>
      <c r="B473" t="s">
        <v>44</v>
      </c>
      <c r="C473" t="s">
        <v>59</v>
      </c>
      <c r="D473" t="s">
        <v>39</v>
      </c>
      <c r="F473" t="str">
        <f>IF(BBDD_fashion_boutique[[#This Row],[category]]="Accessories","Accesorio",IF(BBDD_fashion_boutique[[#This Row],[size]]="","Desconocido",BBDD_fashion_boutique[[#This Row],[size]]))</f>
        <v>Desconocido</v>
      </c>
      <c r="G473" t="s">
        <v>30</v>
      </c>
      <c r="H473" s="2">
        <v>68.53</v>
      </c>
      <c r="I473">
        <v>54.3</v>
      </c>
      <c r="J473" s="5">
        <f>BBDD_fashion_boutique[[#This Row],[markdown_percentage]]/100</f>
        <v>0.54299999999999993</v>
      </c>
      <c r="K473" s="2">
        <v>31.32</v>
      </c>
      <c r="L473" s="2">
        <f>BBDD_fashion_boutique[[#This Row],[original_price]]-BBDD_fashion_boutique[[#This Row],[current_price]]</f>
        <v>37.21</v>
      </c>
      <c r="M473" s="1">
        <v>45875</v>
      </c>
      <c r="N473" s="1" t="str">
        <f>PROPER(TEXT(BBDD_fashion_boutique[[#This Row],[purchase_date]],"dddd"))</f>
        <v>Miércoles</v>
      </c>
      <c r="O473" s="1" t="str">
        <f>PROPER(TEXT(BBDD_fashion_boutique[[#This Row],[purchase_date]],"mmmm"))</f>
        <v>Agosto</v>
      </c>
      <c r="P473" s="4">
        <v>38</v>
      </c>
      <c r="Q473" s="2">
        <v>2.9</v>
      </c>
      <c r="R473" t="str">
        <f>IF(BBDD_fashion_boutique[[#This Row],[stock_quantity]]&gt;9,"Ok",IF(BBDD_fashion_boutique[[#This Row],[stock_quantity]]=0,"Agotado","Pocas Unidades"))</f>
        <v>Ok</v>
      </c>
      <c r="S473" s="3">
        <f>IF(BBDD_fashion_boutique[[#This Row],[customer_rating]]="","No valorado",BBDD_fashion_boutique[[#This Row],[customer_rating]])</f>
        <v>2.9</v>
      </c>
      <c r="T473" t="s">
        <v>24</v>
      </c>
      <c r="V473">
        <f>IF(BBDD_fashion_boutique[[#This Row],[is_returned]]="False",0,1)</f>
        <v>0</v>
      </c>
      <c r="W473">
        <f>IF(BBDD_fashion_boutique[[#This Row],[is_returned]]="True",0,BBDD_fashion_boutique[[#This Row],[current_price]])</f>
        <v>31.32</v>
      </c>
      <c r="X473" t="str">
        <f>IF(BBDD_fashion_boutique[[#This Row],[return_reason]]="","No return",BBDD_fashion_boutique[[#This Row],[return_reason]])</f>
        <v>No return</v>
      </c>
      <c r="Y473">
        <f>IF(IFERROR(VLOOKUP(BBDD_fashion_boutique[[#This Row],[product_id]],A474:A2649,1,FALSE),0),1,0)</f>
        <v>0</v>
      </c>
    </row>
    <row r="474" spans="1:25" x14ac:dyDescent="0.3">
      <c r="A474" t="s">
        <v>533</v>
      </c>
      <c r="B474" t="s">
        <v>35</v>
      </c>
      <c r="C474" t="s">
        <v>67</v>
      </c>
      <c r="D474" t="s">
        <v>39</v>
      </c>
      <c r="E474" t="s">
        <v>61</v>
      </c>
      <c r="F474" t="str">
        <f>IF(BBDD_fashion_boutique[[#This Row],[category]]="Accessories","Accesorio",IF(BBDD_fashion_boutique[[#This Row],[size]]="","Desconocido",BBDD_fashion_boutique[[#This Row],[size]]))</f>
        <v>XS</v>
      </c>
      <c r="G474" t="s">
        <v>40</v>
      </c>
      <c r="H474" s="2">
        <v>71.94</v>
      </c>
      <c r="I474">
        <v>0</v>
      </c>
      <c r="J474" s="5">
        <f>BBDD_fashion_boutique[[#This Row],[markdown_percentage]]/100</f>
        <v>0</v>
      </c>
      <c r="K474" s="2">
        <v>71.94</v>
      </c>
      <c r="L474" s="2">
        <f>BBDD_fashion_boutique[[#This Row],[original_price]]-BBDD_fashion_boutique[[#This Row],[current_price]]</f>
        <v>0</v>
      </c>
      <c r="M474" s="1">
        <v>45875</v>
      </c>
      <c r="N474" s="1" t="str">
        <f>PROPER(TEXT(BBDD_fashion_boutique[[#This Row],[purchase_date]],"dddd"))</f>
        <v>Miércoles</v>
      </c>
      <c r="O474" s="1" t="str">
        <f>PROPER(TEXT(BBDD_fashion_boutique[[#This Row],[purchase_date]],"mmmm"))</f>
        <v>Agosto</v>
      </c>
      <c r="P474" s="4">
        <v>45</v>
      </c>
      <c r="Q474" s="2">
        <v>3.3</v>
      </c>
      <c r="R474" t="str">
        <f>IF(BBDD_fashion_boutique[[#This Row],[stock_quantity]]&gt;9,"Ok",IF(BBDD_fashion_boutique[[#This Row],[stock_quantity]]=0,"Agotado","Pocas Unidades"))</f>
        <v>Ok</v>
      </c>
      <c r="S474" s="3">
        <f>IF(BBDD_fashion_boutique[[#This Row],[customer_rating]]="","No valorado",BBDD_fashion_boutique[[#This Row],[customer_rating]])</f>
        <v>3.3</v>
      </c>
      <c r="T474" t="s">
        <v>24</v>
      </c>
      <c r="V474">
        <f>IF(BBDD_fashion_boutique[[#This Row],[is_returned]]="False",0,1)</f>
        <v>0</v>
      </c>
      <c r="W474">
        <f>IF(BBDD_fashion_boutique[[#This Row],[is_returned]]="True",0,BBDD_fashion_boutique[[#This Row],[current_price]])</f>
        <v>71.94</v>
      </c>
      <c r="X474" t="str">
        <f>IF(BBDD_fashion_boutique[[#This Row],[return_reason]]="","No return",BBDD_fashion_boutique[[#This Row],[return_reason]])</f>
        <v>No return</v>
      </c>
      <c r="Y474">
        <f>IF(IFERROR(VLOOKUP(BBDD_fashion_boutique[[#This Row],[product_id]],A475:A2650,1,FALSE),0),1,0)</f>
        <v>0</v>
      </c>
    </row>
    <row r="475" spans="1:25" x14ac:dyDescent="0.3">
      <c r="A475" t="s">
        <v>534</v>
      </c>
      <c r="B475" t="s">
        <v>35</v>
      </c>
      <c r="C475" t="s">
        <v>67</v>
      </c>
      <c r="D475" t="s">
        <v>39</v>
      </c>
      <c r="E475" t="s">
        <v>29</v>
      </c>
      <c r="F475" t="str">
        <f>IF(BBDD_fashion_boutique[[#This Row],[category]]="Accessories","Accesorio",IF(BBDD_fashion_boutique[[#This Row],[size]]="","Desconocido",BBDD_fashion_boutique[[#This Row],[size]]))</f>
        <v>L</v>
      </c>
      <c r="G475" t="s">
        <v>50</v>
      </c>
      <c r="H475" s="2">
        <v>80.72</v>
      </c>
      <c r="I475">
        <v>9.9</v>
      </c>
      <c r="J475" s="5">
        <f>BBDD_fashion_boutique[[#This Row],[markdown_percentage]]/100</f>
        <v>9.9000000000000005E-2</v>
      </c>
      <c r="K475" s="2">
        <v>72.73</v>
      </c>
      <c r="L475" s="2">
        <f>BBDD_fashion_boutique[[#This Row],[original_price]]-BBDD_fashion_boutique[[#This Row],[current_price]]</f>
        <v>7.9899999999999949</v>
      </c>
      <c r="M475" s="1">
        <v>45875</v>
      </c>
      <c r="N475" s="1" t="str">
        <f>PROPER(TEXT(BBDD_fashion_boutique[[#This Row],[purchase_date]],"dddd"))</f>
        <v>Miércoles</v>
      </c>
      <c r="O475" s="1" t="str">
        <f>PROPER(TEXT(BBDD_fashion_boutique[[#This Row],[purchase_date]],"mmmm"))</f>
        <v>Agosto</v>
      </c>
      <c r="P475" s="4">
        <v>37</v>
      </c>
      <c r="Q475" s="2">
        <v>2.5</v>
      </c>
      <c r="R475" t="str">
        <f>IF(BBDD_fashion_boutique[[#This Row],[stock_quantity]]&gt;9,"Ok",IF(BBDD_fashion_boutique[[#This Row],[stock_quantity]]=0,"Agotado","Pocas Unidades"))</f>
        <v>Ok</v>
      </c>
      <c r="S475" s="3">
        <f>IF(BBDD_fashion_boutique[[#This Row],[customer_rating]]="","No valorado",BBDD_fashion_boutique[[#This Row],[customer_rating]])</f>
        <v>2.5</v>
      </c>
      <c r="T475" t="s">
        <v>24</v>
      </c>
      <c r="V475">
        <f>IF(BBDD_fashion_boutique[[#This Row],[is_returned]]="False",0,1)</f>
        <v>0</v>
      </c>
      <c r="W475">
        <f>IF(BBDD_fashion_boutique[[#This Row],[is_returned]]="True",0,BBDD_fashion_boutique[[#This Row],[current_price]])</f>
        <v>72.73</v>
      </c>
      <c r="X475" t="str">
        <f>IF(BBDD_fashion_boutique[[#This Row],[return_reason]]="","No return",BBDD_fashion_boutique[[#This Row],[return_reason]])</f>
        <v>No return</v>
      </c>
      <c r="Y475">
        <f>IF(IFERROR(VLOOKUP(BBDD_fashion_boutique[[#This Row],[product_id]],A476:A2651,1,FALSE),0),1,0)</f>
        <v>0</v>
      </c>
    </row>
    <row r="476" spans="1:25" x14ac:dyDescent="0.3">
      <c r="A476" t="s">
        <v>535</v>
      </c>
      <c r="B476" t="s">
        <v>19</v>
      </c>
      <c r="C476" t="s">
        <v>20</v>
      </c>
      <c r="D476" t="s">
        <v>28</v>
      </c>
      <c r="E476" t="s">
        <v>29</v>
      </c>
      <c r="F476" t="str">
        <f>IF(BBDD_fashion_boutique[[#This Row],[category]]="Accessories","Accesorio",IF(BBDD_fashion_boutique[[#This Row],[size]]="","Desconocido",BBDD_fashion_boutique[[#This Row],[size]]))</f>
        <v>L</v>
      </c>
      <c r="G476" t="s">
        <v>52</v>
      </c>
      <c r="H476" s="2">
        <v>208.8</v>
      </c>
      <c r="I476">
        <v>0</v>
      </c>
      <c r="J476" s="5">
        <f>BBDD_fashion_boutique[[#This Row],[markdown_percentage]]/100</f>
        <v>0</v>
      </c>
      <c r="K476" s="2">
        <v>208.8</v>
      </c>
      <c r="L476" s="2">
        <f>BBDD_fashion_boutique[[#This Row],[original_price]]-BBDD_fashion_boutique[[#This Row],[current_price]]</f>
        <v>0</v>
      </c>
      <c r="M476" s="1">
        <v>45875</v>
      </c>
      <c r="N476" s="1" t="str">
        <f>PROPER(TEXT(BBDD_fashion_boutique[[#This Row],[purchase_date]],"dddd"))</f>
        <v>Miércoles</v>
      </c>
      <c r="O476" s="1" t="str">
        <f>PROPER(TEXT(BBDD_fashion_boutique[[#This Row],[purchase_date]],"mmmm"))</f>
        <v>Agosto</v>
      </c>
      <c r="P476" s="4">
        <v>13</v>
      </c>
      <c r="Q476" s="2">
        <v>1.6</v>
      </c>
      <c r="R476" t="str">
        <f>IF(BBDD_fashion_boutique[[#This Row],[stock_quantity]]&gt;9,"Ok",IF(BBDD_fashion_boutique[[#This Row],[stock_quantity]]=0,"Agotado","Pocas Unidades"))</f>
        <v>Ok</v>
      </c>
      <c r="S476" s="3">
        <f>IF(BBDD_fashion_boutique[[#This Row],[customer_rating]]="","No valorado",BBDD_fashion_boutique[[#This Row],[customer_rating]])</f>
        <v>1.6</v>
      </c>
      <c r="T476" t="s">
        <v>24</v>
      </c>
      <c r="V476">
        <f>IF(BBDD_fashion_boutique[[#This Row],[is_returned]]="False",0,1)</f>
        <v>0</v>
      </c>
      <c r="W476">
        <f>IF(BBDD_fashion_boutique[[#This Row],[is_returned]]="True",0,BBDD_fashion_boutique[[#This Row],[current_price]])</f>
        <v>208.8</v>
      </c>
      <c r="X476" t="str">
        <f>IF(BBDD_fashion_boutique[[#This Row],[return_reason]]="","No return",BBDD_fashion_boutique[[#This Row],[return_reason]])</f>
        <v>No return</v>
      </c>
      <c r="Y476">
        <f>IF(IFERROR(VLOOKUP(BBDD_fashion_boutique[[#This Row],[product_id]],A477:A2652,1,FALSE),0),1,0)</f>
        <v>0</v>
      </c>
    </row>
    <row r="477" spans="1:25" x14ac:dyDescent="0.3">
      <c r="A477" t="s">
        <v>536</v>
      </c>
      <c r="B477" t="s">
        <v>35</v>
      </c>
      <c r="C477" t="s">
        <v>49</v>
      </c>
      <c r="D477" t="s">
        <v>68</v>
      </c>
      <c r="E477" t="s">
        <v>64</v>
      </c>
      <c r="F477" t="str">
        <f>IF(BBDD_fashion_boutique[[#This Row],[category]]="Accessories","Accesorio",IF(BBDD_fashion_boutique[[#This Row],[size]]="","Desconocido",BBDD_fashion_boutique[[#This Row],[size]]))</f>
        <v>M</v>
      </c>
      <c r="G477" t="s">
        <v>70</v>
      </c>
      <c r="H477" s="2">
        <v>158.15</v>
      </c>
      <c r="I477">
        <v>54.1</v>
      </c>
      <c r="J477" s="5">
        <f>BBDD_fashion_boutique[[#This Row],[markdown_percentage]]/100</f>
        <v>0.54100000000000004</v>
      </c>
      <c r="K477" s="2">
        <v>72.59</v>
      </c>
      <c r="L477" s="2">
        <f>BBDD_fashion_boutique[[#This Row],[original_price]]-BBDD_fashion_boutique[[#This Row],[current_price]]</f>
        <v>85.56</v>
      </c>
      <c r="M477" s="1">
        <v>45875</v>
      </c>
      <c r="N477" s="1" t="str">
        <f>PROPER(TEXT(BBDD_fashion_boutique[[#This Row],[purchase_date]],"dddd"))</f>
        <v>Miércoles</v>
      </c>
      <c r="O477" s="1" t="str">
        <f>PROPER(TEXT(BBDD_fashion_boutique[[#This Row],[purchase_date]],"mmmm"))</f>
        <v>Agosto</v>
      </c>
      <c r="P477" s="4">
        <v>36</v>
      </c>
      <c r="Q477" s="2">
        <v>4.5</v>
      </c>
      <c r="R477" t="str">
        <f>IF(BBDD_fashion_boutique[[#This Row],[stock_quantity]]&gt;9,"Ok",IF(BBDD_fashion_boutique[[#This Row],[stock_quantity]]=0,"Agotado","Pocas Unidades"))</f>
        <v>Ok</v>
      </c>
      <c r="S477" s="3">
        <f>IF(BBDD_fashion_boutique[[#This Row],[customer_rating]]="","No valorado",BBDD_fashion_boutique[[#This Row],[customer_rating]])</f>
        <v>4.5</v>
      </c>
      <c r="T477" t="s">
        <v>24</v>
      </c>
      <c r="V477">
        <f>IF(BBDD_fashion_boutique[[#This Row],[is_returned]]="False",0,1)</f>
        <v>0</v>
      </c>
      <c r="W477">
        <f>IF(BBDD_fashion_boutique[[#This Row],[is_returned]]="True",0,BBDD_fashion_boutique[[#This Row],[current_price]])</f>
        <v>72.59</v>
      </c>
      <c r="X477" t="str">
        <f>IF(BBDD_fashion_boutique[[#This Row],[return_reason]]="","No return",BBDD_fashion_boutique[[#This Row],[return_reason]])</f>
        <v>No return</v>
      </c>
      <c r="Y477">
        <f>IF(IFERROR(VLOOKUP(BBDD_fashion_boutique[[#This Row],[product_id]],A478:A2653,1,FALSE),0),1,0)</f>
        <v>0</v>
      </c>
    </row>
    <row r="478" spans="1:25" x14ac:dyDescent="0.3">
      <c r="A478" t="s">
        <v>537</v>
      </c>
      <c r="B478" t="s">
        <v>26</v>
      </c>
      <c r="C478" t="s">
        <v>20</v>
      </c>
      <c r="D478" t="s">
        <v>39</v>
      </c>
      <c r="E478" t="s">
        <v>45</v>
      </c>
      <c r="F478" t="str">
        <f>IF(BBDD_fashion_boutique[[#This Row],[category]]="Accessories","Accesorio",IF(BBDD_fashion_boutique[[#This Row],[size]]="","Desconocido",BBDD_fashion_boutique[[#This Row],[size]]))</f>
        <v>S</v>
      </c>
      <c r="G478" t="s">
        <v>40</v>
      </c>
      <c r="H478" s="2">
        <v>85.92</v>
      </c>
      <c r="I478">
        <v>0</v>
      </c>
      <c r="J478" s="5">
        <f>BBDD_fashion_boutique[[#This Row],[markdown_percentage]]/100</f>
        <v>0</v>
      </c>
      <c r="K478" s="2">
        <v>85.92</v>
      </c>
      <c r="L478" s="2">
        <f>BBDD_fashion_boutique[[#This Row],[original_price]]-BBDD_fashion_boutique[[#This Row],[current_price]]</f>
        <v>0</v>
      </c>
      <c r="M478" s="1">
        <v>45875</v>
      </c>
      <c r="N478" s="1" t="str">
        <f>PROPER(TEXT(BBDD_fashion_boutique[[#This Row],[purchase_date]],"dddd"))</f>
        <v>Miércoles</v>
      </c>
      <c r="O478" s="1" t="str">
        <f>PROPER(TEXT(BBDD_fashion_boutique[[#This Row],[purchase_date]],"mmmm"))</f>
        <v>Agosto</v>
      </c>
      <c r="P478" s="4">
        <v>12</v>
      </c>
      <c r="R478" t="str">
        <f>IF(BBDD_fashion_boutique[[#This Row],[stock_quantity]]&gt;9,"Ok",IF(BBDD_fashion_boutique[[#This Row],[stock_quantity]]=0,"Agotado","Pocas Unidades"))</f>
        <v>Ok</v>
      </c>
      <c r="S478" s="3" t="str">
        <f>IF(BBDD_fashion_boutique[[#This Row],[customer_rating]]="","No valorado",BBDD_fashion_boutique[[#This Row],[customer_rating]])</f>
        <v>No valorado</v>
      </c>
      <c r="T478" t="s">
        <v>24</v>
      </c>
      <c r="V478">
        <f>IF(BBDD_fashion_boutique[[#This Row],[is_returned]]="False",0,1)</f>
        <v>0</v>
      </c>
      <c r="W478">
        <f>IF(BBDD_fashion_boutique[[#This Row],[is_returned]]="True",0,BBDD_fashion_boutique[[#This Row],[current_price]])</f>
        <v>85.92</v>
      </c>
      <c r="X478" t="str">
        <f>IF(BBDD_fashion_boutique[[#This Row],[return_reason]]="","No return",BBDD_fashion_boutique[[#This Row],[return_reason]])</f>
        <v>No return</v>
      </c>
      <c r="Y478">
        <f>IF(IFERROR(VLOOKUP(BBDD_fashion_boutique[[#This Row],[product_id]],A479:A2654,1,FALSE),0),1,0)</f>
        <v>0</v>
      </c>
    </row>
    <row r="479" spans="1:25" x14ac:dyDescent="0.3">
      <c r="A479" t="s">
        <v>538</v>
      </c>
      <c r="B479" t="s">
        <v>32</v>
      </c>
      <c r="C479" t="s">
        <v>67</v>
      </c>
      <c r="D479" t="s">
        <v>21</v>
      </c>
      <c r="F479" t="str">
        <f>IF(BBDD_fashion_boutique[[#This Row],[category]]="Accessories","Accesorio",IF(BBDD_fashion_boutique[[#This Row],[size]]="","Desconocido",BBDD_fashion_boutique[[#This Row],[size]]))</f>
        <v>Accesorio</v>
      </c>
      <c r="G479" t="s">
        <v>30</v>
      </c>
      <c r="H479" s="2">
        <v>69.59</v>
      </c>
      <c r="I479">
        <v>0</v>
      </c>
      <c r="J479" s="5">
        <f>BBDD_fashion_boutique[[#This Row],[markdown_percentage]]/100</f>
        <v>0</v>
      </c>
      <c r="K479" s="2">
        <v>69.59</v>
      </c>
      <c r="L479" s="2">
        <f>BBDD_fashion_boutique[[#This Row],[original_price]]-BBDD_fashion_boutique[[#This Row],[current_price]]</f>
        <v>0</v>
      </c>
      <c r="M479" s="1">
        <v>45561</v>
      </c>
      <c r="N479" s="1" t="str">
        <f>PROPER(TEXT(BBDD_fashion_boutique[[#This Row],[purchase_date]],"dddd"))</f>
        <v>Jueves</v>
      </c>
      <c r="O479" s="1" t="str">
        <f>PROPER(TEXT(BBDD_fashion_boutique[[#This Row],[purchase_date]],"mmmm"))</f>
        <v>Septiembre</v>
      </c>
      <c r="P479" s="4">
        <v>38</v>
      </c>
      <c r="Q479" s="2">
        <v>1.5</v>
      </c>
      <c r="R479" t="str">
        <f>IF(BBDD_fashion_boutique[[#This Row],[stock_quantity]]&gt;9,"Ok",IF(BBDD_fashion_boutique[[#This Row],[stock_quantity]]=0,"Agotado","Pocas Unidades"))</f>
        <v>Ok</v>
      </c>
      <c r="S479" s="3">
        <f>IF(BBDD_fashion_boutique[[#This Row],[customer_rating]]="","No valorado",BBDD_fashion_boutique[[#This Row],[customer_rating]])</f>
        <v>1.5</v>
      </c>
      <c r="T479" t="s">
        <v>24</v>
      </c>
      <c r="V479">
        <f>IF(BBDD_fashion_boutique[[#This Row],[is_returned]]="False",0,1)</f>
        <v>0</v>
      </c>
      <c r="W479">
        <f>IF(BBDD_fashion_boutique[[#This Row],[is_returned]]="True",0,BBDD_fashion_boutique[[#This Row],[current_price]])</f>
        <v>69.59</v>
      </c>
      <c r="X479" t="str">
        <f>IF(BBDD_fashion_boutique[[#This Row],[return_reason]]="","No return",BBDD_fashion_boutique[[#This Row],[return_reason]])</f>
        <v>No return</v>
      </c>
      <c r="Y479">
        <f>IF(IFERROR(VLOOKUP(BBDD_fashion_boutique[[#This Row],[product_id]],A480:A2655,1,FALSE),0),1,0)</f>
        <v>0</v>
      </c>
    </row>
    <row r="480" spans="1:25" x14ac:dyDescent="0.3">
      <c r="A480" t="s">
        <v>539</v>
      </c>
      <c r="B480" t="s">
        <v>48</v>
      </c>
      <c r="C480" t="s">
        <v>20</v>
      </c>
      <c r="D480" t="s">
        <v>28</v>
      </c>
      <c r="E480" t="s">
        <v>22</v>
      </c>
      <c r="F480" t="str">
        <f>IF(BBDD_fashion_boutique[[#This Row],[category]]="Accessories","Accesorio",IF(BBDD_fashion_boutique[[#This Row],[size]]="","Desconocido",BBDD_fashion_boutique[[#This Row],[size]]))</f>
        <v>XL</v>
      </c>
      <c r="G480" t="s">
        <v>23</v>
      </c>
      <c r="H480" s="2">
        <v>136.16999999999999</v>
      </c>
      <c r="I480">
        <v>19.100000000000001</v>
      </c>
      <c r="J480" s="5">
        <f>BBDD_fashion_boutique[[#This Row],[markdown_percentage]]/100</f>
        <v>0.191</v>
      </c>
      <c r="K480" s="2">
        <v>110.16</v>
      </c>
      <c r="L480" s="2">
        <f>BBDD_fashion_boutique[[#This Row],[original_price]]-BBDD_fashion_boutique[[#This Row],[current_price]]</f>
        <v>26.009999999999991</v>
      </c>
      <c r="M480" s="1">
        <v>45875</v>
      </c>
      <c r="N480" s="1" t="str">
        <f>PROPER(TEXT(BBDD_fashion_boutique[[#This Row],[purchase_date]],"dddd"))</f>
        <v>Miércoles</v>
      </c>
      <c r="O480" s="1" t="str">
        <f>PROPER(TEXT(BBDD_fashion_boutique[[#This Row],[purchase_date]],"mmmm"))</f>
        <v>Agosto</v>
      </c>
      <c r="P480" s="4">
        <v>14</v>
      </c>
      <c r="R480" t="str">
        <f>IF(BBDD_fashion_boutique[[#This Row],[stock_quantity]]&gt;9,"Ok",IF(BBDD_fashion_boutique[[#This Row],[stock_quantity]]=0,"Agotado","Pocas Unidades"))</f>
        <v>Ok</v>
      </c>
      <c r="S480" s="3" t="str">
        <f>IF(BBDD_fashion_boutique[[#This Row],[customer_rating]]="","No valorado",BBDD_fashion_boutique[[#This Row],[customer_rating]])</f>
        <v>No valorado</v>
      </c>
      <c r="T480" t="s">
        <v>24</v>
      </c>
      <c r="V480">
        <f>IF(BBDD_fashion_boutique[[#This Row],[is_returned]]="False",0,1)</f>
        <v>0</v>
      </c>
      <c r="W480">
        <f>IF(BBDD_fashion_boutique[[#This Row],[is_returned]]="True",0,BBDD_fashion_boutique[[#This Row],[current_price]])</f>
        <v>110.16</v>
      </c>
      <c r="X480" t="str">
        <f>IF(BBDD_fashion_boutique[[#This Row],[return_reason]]="","No return",BBDD_fashion_boutique[[#This Row],[return_reason]])</f>
        <v>No return</v>
      </c>
      <c r="Y480">
        <f>IF(IFERROR(VLOOKUP(BBDD_fashion_boutique[[#This Row],[product_id]],A481:A2656,1,FALSE),0),1,0)</f>
        <v>0</v>
      </c>
    </row>
    <row r="481" spans="1:25" x14ac:dyDescent="0.3">
      <c r="A481" t="s">
        <v>540</v>
      </c>
      <c r="B481" t="s">
        <v>35</v>
      </c>
      <c r="C481" t="s">
        <v>49</v>
      </c>
      <c r="D481" t="s">
        <v>21</v>
      </c>
      <c r="E481" t="s">
        <v>61</v>
      </c>
      <c r="F481" t="str">
        <f>IF(BBDD_fashion_boutique[[#This Row],[category]]="Accessories","Accesorio",IF(BBDD_fashion_boutique[[#This Row],[size]]="","Desconocido",BBDD_fashion_boutique[[#This Row],[size]]))</f>
        <v>XS</v>
      </c>
      <c r="G481" t="s">
        <v>30</v>
      </c>
      <c r="H481" s="2">
        <v>124.26</v>
      </c>
      <c r="I481">
        <v>0</v>
      </c>
      <c r="J481" s="5">
        <f>BBDD_fashion_boutique[[#This Row],[markdown_percentage]]/100</f>
        <v>0</v>
      </c>
      <c r="K481" s="2">
        <v>124.26</v>
      </c>
      <c r="L481" s="2">
        <f>BBDD_fashion_boutique[[#This Row],[original_price]]-BBDD_fashion_boutique[[#This Row],[current_price]]</f>
        <v>0</v>
      </c>
      <c r="M481" s="1">
        <v>45512</v>
      </c>
      <c r="N481" s="1" t="str">
        <f>PROPER(TEXT(BBDD_fashion_boutique[[#This Row],[purchase_date]],"dddd"))</f>
        <v>Jueves</v>
      </c>
      <c r="O481" s="1" t="str">
        <f>PROPER(TEXT(BBDD_fashion_boutique[[#This Row],[purchase_date]],"mmmm"))</f>
        <v>Agosto</v>
      </c>
      <c r="P481" s="4">
        <v>44</v>
      </c>
      <c r="Q481" s="2">
        <v>4</v>
      </c>
      <c r="R481" t="str">
        <f>IF(BBDD_fashion_boutique[[#This Row],[stock_quantity]]&gt;9,"Ok",IF(BBDD_fashion_boutique[[#This Row],[stock_quantity]]=0,"Agotado","Pocas Unidades"))</f>
        <v>Ok</v>
      </c>
      <c r="S481" s="3">
        <f>IF(BBDD_fashion_boutique[[#This Row],[customer_rating]]="","No valorado",BBDD_fashion_boutique[[#This Row],[customer_rating]])</f>
        <v>4</v>
      </c>
      <c r="T481" t="s">
        <v>24</v>
      </c>
      <c r="V481">
        <f>IF(BBDD_fashion_boutique[[#This Row],[is_returned]]="False",0,1)</f>
        <v>0</v>
      </c>
      <c r="W481">
        <f>IF(BBDD_fashion_boutique[[#This Row],[is_returned]]="True",0,BBDD_fashion_boutique[[#This Row],[current_price]])</f>
        <v>124.26</v>
      </c>
      <c r="X481" t="str">
        <f>IF(BBDD_fashion_boutique[[#This Row],[return_reason]]="","No return",BBDD_fashion_boutique[[#This Row],[return_reason]])</f>
        <v>No return</v>
      </c>
      <c r="Y481">
        <f>IF(IFERROR(VLOOKUP(BBDD_fashion_boutique[[#This Row],[product_id]],A482:A2657,1,FALSE),0),1,0)</f>
        <v>0</v>
      </c>
    </row>
    <row r="482" spans="1:25" x14ac:dyDescent="0.3">
      <c r="A482" t="s">
        <v>541</v>
      </c>
      <c r="B482" t="s">
        <v>35</v>
      </c>
      <c r="C482" t="s">
        <v>37</v>
      </c>
      <c r="D482" t="s">
        <v>28</v>
      </c>
      <c r="E482" t="s">
        <v>45</v>
      </c>
      <c r="F482" t="str">
        <f>IF(BBDD_fashion_boutique[[#This Row],[category]]="Accessories","Accesorio",IF(BBDD_fashion_boutique[[#This Row],[size]]="","Desconocido",BBDD_fashion_boutique[[#This Row],[size]]))</f>
        <v>S</v>
      </c>
      <c r="G482" t="s">
        <v>33</v>
      </c>
      <c r="H482" s="2">
        <v>129.33000000000001</v>
      </c>
      <c r="I482">
        <v>0</v>
      </c>
      <c r="J482" s="5">
        <f>BBDD_fashion_boutique[[#This Row],[markdown_percentage]]/100</f>
        <v>0</v>
      </c>
      <c r="K482" s="2">
        <v>129.33000000000001</v>
      </c>
      <c r="L482" s="2">
        <f>BBDD_fashion_boutique[[#This Row],[original_price]]-BBDD_fashion_boutique[[#This Row],[current_price]]</f>
        <v>0</v>
      </c>
      <c r="M482" s="1">
        <v>45875</v>
      </c>
      <c r="N482" s="1" t="str">
        <f>PROPER(TEXT(BBDD_fashion_boutique[[#This Row],[purchase_date]],"dddd"))</f>
        <v>Miércoles</v>
      </c>
      <c r="O482" s="1" t="str">
        <f>PROPER(TEXT(BBDD_fashion_boutique[[#This Row],[purchase_date]],"mmmm"))</f>
        <v>Agosto</v>
      </c>
      <c r="P482" s="4">
        <v>15</v>
      </c>
      <c r="Q482" s="2">
        <v>3.1</v>
      </c>
      <c r="R482" t="str">
        <f>IF(BBDD_fashion_boutique[[#This Row],[stock_quantity]]&gt;9,"Ok",IF(BBDD_fashion_boutique[[#This Row],[stock_quantity]]=0,"Agotado","Pocas Unidades"))</f>
        <v>Ok</v>
      </c>
      <c r="S482" s="3">
        <f>IF(BBDD_fashion_boutique[[#This Row],[customer_rating]]="","No valorado",BBDD_fashion_boutique[[#This Row],[customer_rating]])</f>
        <v>3.1</v>
      </c>
      <c r="T482" t="s">
        <v>24</v>
      </c>
      <c r="V482">
        <f>IF(BBDD_fashion_boutique[[#This Row],[is_returned]]="False",0,1)</f>
        <v>0</v>
      </c>
      <c r="W482">
        <f>IF(BBDD_fashion_boutique[[#This Row],[is_returned]]="True",0,BBDD_fashion_boutique[[#This Row],[current_price]])</f>
        <v>129.33000000000001</v>
      </c>
      <c r="X482" t="str">
        <f>IF(BBDD_fashion_boutique[[#This Row],[return_reason]]="","No return",BBDD_fashion_boutique[[#This Row],[return_reason]])</f>
        <v>No return</v>
      </c>
      <c r="Y482">
        <f>IF(IFERROR(VLOOKUP(BBDD_fashion_boutique[[#This Row],[product_id]],A483:A2658,1,FALSE),0),1,0)</f>
        <v>0</v>
      </c>
    </row>
    <row r="483" spans="1:25" x14ac:dyDescent="0.3">
      <c r="A483" t="s">
        <v>542</v>
      </c>
      <c r="B483" t="s">
        <v>48</v>
      </c>
      <c r="C483" t="s">
        <v>54</v>
      </c>
      <c r="D483" t="s">
        <v>21</v>
      </c>
      <c r="E483" t="s">
        <v>45</v>
      </c>
      <c r="F483" t="str">
        <f>IF(BBDD_fashion_boutique[[#This Row],[category]]="Accessories","Accesorio",IF(BBDD_fashion_boutique[[#This Row],[size]]="","Desconocido",BBDD_fashion_boutique[[#This Row],[size]]))</f>
        <v>S</v>
      </c>
      <c r="G483" t="s">
        <v>70</v>
      </c>
      <c r="H483" s="2">
        <v>123.93</v>
      </c>
      <c r="I483">
        <v>30</v>
      </c>
      <c r="J483" s="5">
        <f>BBDD_fashion_boutique[[#This Row],[markdown_percentage]]/100</f>
        <v>0.3</v>
      </c>
      <c r="K483" s="2">
        <v>86.75</v>
      </c>
      <c r="L483" s="2">
        <f>BBDD_fashion_boutique[[#This Row],[original_price]]-BBDD_fashion_boutique[[#This Row],[current_price]]</f>
        <v>37.180000000000007</v>
      </c>
      <c r="M483" s="1">
        <v>45869</v>
      </c>
      <c r="N483" s="1" t="str">
        <f>PROPER(TEXT(BBDD_fashion_boutique[[#This Row],[purchase_date]],"dddd"))</f>
        <v>Jueves</v>
      </c>
      <c r="O483" s="1" t="str">
        <f>PROPER(TEXT(BBDD_fashion_boutique[[#This Row],[purchase_date]],"mmmm"))</f>
        <v>Julio</v>
      </c>
      <c r="P483" s="4">
        <v>39</v>
      </c>
      <c r="Q483" s="2">
        <v>1.9</v>
      </c>
      <c r="R483" t="str">
        <f>IF(BBDD_fashion_boutique[[#This Row],[stock_quantity]]&gt;9,"Ok",IF(BBDD_fashion_boutique[[#This Row],[stock_quantity]]=0,"Agotado","Pocas Unidades"))</f>
        <v>Ok</v>
      </c>
      <c r="S483" s="3">
        <f>IF(BBDD_fashion_boutique[[#This Row],[customer_rating]]="","No valorado",BBDD_fashion_boutique[[#This Row],[customer_rating]])</f>
        <v>1.9</v>
      </c>
      <c r="T483" t="s">
        <v>24</v>
      </c>
      <c r="V483">
        <f>IF(BBDD_fashion_boutique[[#This Row],[is_returned]]="False",0,1)</f>
        <v>0</v>
      </c>
      <c r="W483">
        <f>IF(BBDD_fashion_boutique[[#This Row],[is_returned]]="True",0,BBDD_fashion_boutique[[#This Row],[current_price]])</f>
        <v>86.75</v>
      </c>
      <c r="X483" t="str">
        <f>IF(BBDD_fashion_boutique[[#This Row],[return_reason]]="","No return",BBDD_fashion_boutique[[#This Row],[return_reason]])</f>
        <v>No return</v>
      </c>
      <c r="Y483">
        <f>IF(IFERROR(VLOOKUP(BBDD_fashion_boutique[[#This Row],[product_id]],A484:A2659,1,FALSE),0),1,0)</f>
        <v>0</v>
      </c>
    </row>
    <row r="484" spans="1:25" x14ac:dyDescent="0.3">
      <c r="A484" t="s">
        <v>543</v>
      </c>
      <c r="B484" t="s">
        <v>35</v>
      </c>
      <c r="C484" t="s">
        <v>20</v>
      </c>
      <c r="D484" t="s">
        <v>68</v>
      </c>
      <c r="E484" t="s">
        <v>61</v>
      </c>
      <c r="F484" t="str">
        <f>IF(BBDD_fashion_boutique[[#This Row],[category]]="Accessories","Accesorio",IF(BBDD_fashion_boutique[[#This Row],[size]]="","Desconocido",BBDD_fashion_boutique[[#This Row],[size]]))</f>
        <v>XS</v>
      </c>
      <c r="G484" t="s">
        <v>62</v>
      </c>
      <c r="H484" s="2">
        <v>62.76</v>
      </c>
      <c r="I484">
        <v>0</v>
      </c>
      <c r="J484" s="5">
        <f>BBDD_fashion_boutique[[#This Row],[markdown_percentage]]/100</f>
        <v>0</v>
      </c>
      <c r="K484" s="2">
        <v>62.76</v>
      </c>
      <c r="L484" s="2">
        <f>BBDD_fashion_boutique[[#This Row],[original_price]]-BBDD_fashion_boutique[[#This Row],[current_price]]</f>
        <v>0</v>
      </c>
      <c r="M484" s="1">
        <v>45875</v>
      </c>
      <c r="N484" s="1" t="str">
        <f>PROPER(TEXT(BBDD_fashion_boutique[[#This Row],[purchase_date]],"dddd"))</f>
        <v>Miércoles</v>
      </c>
      <c r="O484" s="1" t="str">
        <f>PROPER(TEXT(BBDD_fashion_boutique[[#This Row],[purchase_date]],"mmmm"))</f>
        <v>Agosto</v>
      </c>
      <c r="P484" s="4">
        <v>12</v>
      </c>
      <c r="Q484" s="2">
        <v>4.7</v>
      </c>
      <c r="R484" t="str">
        <f>IF(BBDD_fashion_boutique[[#This Row],[stock_quantity]]&gt;9,"Ok",IF(BBDD_fashion_boutique[[#This Row],[stock_quantity]]=0,"Agotado","Pocas Unidades"))</f>
        <v>Ok</v>
      </c>
      <c r="S484" s="3">
        <f>IF(BBDD_fashion_boutique[[#This Row],[customer_rating]]="","No valorado",BBDD_fashion_boutique[[#This Row],[customer_rating]])</f>
        <v>4.7</v>
      </c>
      <c r="T484" t="s">
        <v>24</v>
      </c>
      <c r="V484">
        <f>IF(BBDD_fashion_boutique[[#This Row],[is_returned]]="False",0,1)</f>
        <v>0</v>
      </c>
      <c r="W484">
        <f>IF(BBDD_fashion_boutique[[#This Row],[is_returned]]="True",0,BBDD_fashion_boutique[[#This Row],[current_price]])</f>
        <v>62.76</v>
      </c>
      <c r="X484" t="str">
        <f>IF(BBDD_fashion_boutique[[#This Row],[return_reason]]="","No return",BBDD_fashion_boutique[[#This Row],[return_reason]])</f>
        <v>No return</v>
      </c>
      <c r="Y484">
        <f>IF(IFERROR(VLOOKUP(BBDD_fashion_boutique[[#This Row],[product_id]],A485:A2660,1,FALSE),0),1,0)</f>
        <v>0</v>
      </c>
    </row>
    <row r="485" spans="1:25" x14ac:dyDescent="0.3">
      <c r="A485" t="s">
        <v>544</v>
      </c>
      <c r="B485" t="s">
        <v>35</v>
      </c>
      <c r="C485" t="s">
        <v>27</v>
      </c>
      <c r="D485" t="s">
        <v>21</v>
      </c>
      <c r="E485" t="s">
        <v>61</v>
      </c>
      <c r="F485" t="str">
        <f>IF(BBDD_fashion_boutique[[#This Row],[category]]="Accessories","Accesorio",IF(BBDD_fashion_boutique[[#This Row],[size]]="","Desconocido",BBDD_fashion_boutique[[#This Row],[size]]))</f>
        <v>XS</v>
      </c>
      <c r="G485" t="s">
        <v>50</v>
      </c>
      <c r="H485" s="2">
        <v>74.540000000000006</v>
      </c>
      <c r="I485">
        <v>0</v>
      </c>
      <c r="J485" s="5">
        <f>BBDD_fashion_boutique[[#This Row],[markdown_percentage]]/100</f>
        <v>0</v>
      </c>
      <c r="K485" s="2">
        <v>74.540000000000006</v>
      </c>
      <c r="L485" s="2">
        <f>BBDD_fashion_boutique[[#This Row],[original_price]]-BBDD_fashion_boutique[[#This Row],[current_price]]</f>
        <v>0</v>
      </c>
      <c r="M485" s="1">
        <v>45603</v>
      </c>
      <c r="N485" s="1" t="str">
        <f>PROPER(TEXT(BBDD_fashion_boutique[[#This Row],[purchase_date]],"dddd"))</f>
        <v>Jueves</v>
      </c>
      <c r="O485" s="1" t="str">
        <f>PROPER(TEXT(BBDD_fashion_boutique[[#This Row],[purchase_date]],"mmmm"))</f>
        <v>Noviembre</v>
      </c>
      <c r="P485" s="4">
        <v>4</v>
      </c>
      <c r="Q485" s="2">
        <v>3.5</v>
      </c>
      <c r="R485" t="str">
        <f>IF(BBDD_fashion_boutique[[#This Row],[stock_quantity]]&gt;9,"Ok",IF(BBDD_fashion_boutique[[#This Row],[stock_quantity]]=0,"Agotado","Pocas Unidades"))</f>
        <v>Pocas Unidades</v>
      </c>
      <c r="S485" s="3">
        <f>IF(BBDD_fashion_boutique[[#This Row],[customer_rating]]="","No valorado",BBDD_fashion_boutique[[#This Row],[customer_rating]])</f>
        <v>3.5</v>
      </c>
      <c r="T485" t="s">
        <v>24</v>
      </c>
      <c r="V485">
        <f>IF(BBDD_fashion_boutique[[#This Row],[is_returned]]="False",0,1)</f>
        <v>0</v>
      </c>
      <c r="W485">
        <f>IF(BBDD_fashion_boutique[[#This Row],[is_returned]]="True",0,BBDD_fashion_boutique[[#This Row],[current_price]])</f>
        <v>74.540000000000006</v>
      </c>
      <c r="X485" t="str">
        <f>IF(BBDD_fashion_boutique[[#This Row],[return_reason]]="","No return",BBDD_fashion_boutique[[#This Row],[return_reason]])</f>
        <v>No return</v>
      </c>
      <c r="Y485">
        <f>IF(IFERROR(VLOOKUP(BBDD_fashion_boutique[[#This Row],[product_id]],A486:A2661,1,FALSE),0),1,0)</f>
        <v>0</v>
      </c>
    </row>
    <row r="486" spans="1:25" x14ac:dyDescent="0.3">
      <c r="A486" t="s">
        <v>545</v>
      </c>
      <c r="B486" t="s">
        <v>26</v>
      </c>
      <c r="C486" t="s">
        <v>67</v>
      </c>
      <c r="D486" t="s">
        <v>68</v>
      </c>
      <c r="E486" t="s">
        <v>45</v>
      </c>
      <c r="F486" t="str">
        <f>IF(BBDD_fashion_boutique[[#This Row],[category]]="Accessories","Accesorio",IF(BBDD_fashion_boutique[[#This Row],[size]]="","Desconocido",BBDD_fashion_boutique[[#This Row],[size]]))</f>
        <v>S</v>
      </c>
      <c r="G486" t="s">
        <v>30</v>
      </c>
      <c r="H486" s="2">
        <v>114.03</v>
      </c>
      <c r="I486">
        <v>0</v>
      </c>
      <c r="J486" s="5">
        <f>BBDD_fashion_boutique[[#This Row],[markdown_percentage]]/100</f>
        <v>0</v>
      </c>
      <c r="K486" s="2">
        <v>114.03</v>
      </c>
      <c r="L486" s="2">
        <f>BBDD_fashion_boutique[[#This Row],[original_price]]-BBDD_fashion_boutique[[#This Row],[current_price]]</f>
        <v>0</v>
      </c>
      <c r="M486" s="1">
        <v>45875</v>
      </c>
      <c r="N486" s="1" t="str">
        <f>PROPER(TEXT(BBDD_fashion_boutique[[#This Row],[purchase_date]],"dddd"))</f>
        <v>Miércoles</v>
      </c>
      <c r="O486" s="1" t="str">
        <f>PROPER(TEXT(BBDD_fashion_boutique[[#This Row],[purchase_date]],"mmmm"))</f>
        <v>Agosto</v>
      </c>
      <c r="P486" s="4">
        <v>2</v>
      </c>
      <c r="R486" t="str">
        <f>IF(BBDD_fashion_boutique[[#This Row],[stock_quantity]]&gt;9,"Ok",IF(BBDD_fashion_boutique[[#This Row],[stock_quantity]]=0,"Agotado","Pocas Unidades"))</f>
        <v>Pocas Unidades</v>
      </c>
      <c r="S486" s="3" t="str">
        <f>IF(BBDD_fashion_boutique[[#This Row],[customer_rating]]="","No valorado",BBDD_fashion_boutique[[#This Row],[customer_rating]])</f>
        <v>No valorado</v>
      </c>
      <c r="T486" t="s">
        <v>24</v>
      </c>
      <c r="V486">
        <f>IF(BBDD_fashion_boutique[[#This Row],[is_returned]]="False",0,1)</f>
        <v>0</v>
      </c>
      <c r="W486">
        <f>IF(BBDD_fashion_boutique[[#This Row],[is_returned]]="True",0,BBDD_fashion_boutique[[#This Row],[current_price]])</f>
        <v>114.03</v>
      </c>
      <c r="X486" t="str">
        <f>IF(BBDD_fashion_boutique[[#This Row],[return_reason]]="","No return",BBDD_fashion_boutique[[#This Row],[return_reason]])</f>
        <v>No return</v>
      </c>
      <c r="Y486">
        <f>IF(IFERROR(VLOOKUP(BBDD_fashion_boutique[[#This Row],[product_id]],A487:A2662,1,FALSE),0),1,0)</f>
        <v>0</v>
      </c>
    </row>
    <row r="487" spans="1:25" x14ac:dyDescent="0.3">
      <c r="A487" t="s">
        <v>546</v>
      </c>
      <c r="B487" t="s">
        <v>32</v>
      </c>
      <c r="C487" t="s">
        <v>67</v>
      </c>
      <c r="D487" t="s">
        <v>39</v>
      </c>
      <c r="F487" t="str">
        <f>IF(BBDD_fashion_boutique[[#This Row],[category]]="Accessories","Accesorio",IF(BBDD_fashion_boutique[[#This Row],[size]]="","Desconocido",BBDD_fashion_boutique[[#This Row],[size]]))</f>
        <v>Accesorio</v>
      </c>
      <c r="G487" t="s">
        <v>40</v>
      </c>
      <c r="H487" s="2">
        <v>20.59</v>
      </c>
      <c r="I487">
        <v>27.6</v>
      </c>
      <c r="J487" s="5">
        <f>BBDD_fashion_boutique[[#This Row],[markdown_percentage]]/100</f>
        <v>0.27600000000000002</v>
      </c>
      <c r="K487" s="2">
        <v>14.91</v>
      </c>
      <c r="L487" s="2">
        <f>BBDD_fashion_boutique[[#This Row],[original_price]]-BBDD_fashion_boutique[[#This Row],[current_price]]</f>
        <v>5.68</v>
      </c>
      <c r="M487" s="1">
        <v>45875</v>
      </c>
      <c r="N487" s="1" t="str">
        <f>PROPER(TEXT(BBDD_fashion_boutique[[#This Row],[purchase_date]],"dddd"))</f>
        <v>Miércoles</v>
      </c>
      <c r="O487" s="1" t="str">
        <f>PROPER(TEXT(BBDD_fashion_boutique[[#This Row],[purchase_date]],"mmmm"))</f>
        <v>Agosto</v>
      </c>
      <c r="P487" s="4">
        <v>36</v>
      </c>
      <c r="R487" t="str">
        <f>IF(BBDD_fashion_boutique[[#This Row],[stock_quantity]]&gt;9,"Ok",IF(BBDD_fashion_boutique[[#This Row],[stock_quantity]]=0,"Agotado","Pocas Unidades"))</f>
        <v>Ok</v>
      </c>
      <c r="S487" s="3" t="str">
        <f>IF(BBDD_fashion_boutique[[#This Row],[customer_rating]]="","No valorado",BBDD_fashion_boutique[[#This Row],[customer_rating]])</f>
        <v>No valorado</v>
      </c>
      <c r="T487" t="s">
        <v>24</v>
      </c>
      <c r="V487">
        <f>IF(BBDD_fashion_boutique[[#This Row],[is_returned]]="False",0,1)</f>
        <v>0</v>
      </c>
      <c r="W487">
        <f>IF(BBDD_fashion_boutique[[#This Row],[is_returned]]="True",0,BBDD_fashion_boutique[[#This Row],[current_price]])</f>
        <v>14.91</v>
      </c>
      <c r="X487" t="str">
        <f>IF(BBDD_fashion_boutique[[#This Row],[return_reason]]="","No return",BBDD_fashion_boutique[[#This Row],[return_reason]])</f>
        <v>No return</v>
      </c>
      <c r="Y487">
        <f>IF(IFERROR(VLOOKUP(BBDD_fashion_boutique[[#This Row],[product_id]],A488:A2663,1,FALSE),0),1,0)</f>
        <v>0</v>
      </c>
    </row>
    <row r="488" spans="1:25" x14ac:dyDescent="0.3">
      <c r="A488" t="s">
        <v>547</v>
      </c>
      <c r="B488" t="s">
        <v>35</v>
      </c>
      <c r="C488" t="s">
        <v>37</v>
      </c>
      <c r="D488" t="s">
        <v>68</v>
      </c>
      <c r="E488" t="s">
        <v>22</v>
      </c>
      <c r="F488" t="str">
        <f>IF(BBDD_fashion_boutique[[#This Row],[category]]="Accessories","Accesorio",IF(BBDD_fashion_boutique[[#This Row],[size]]="","Desconocido",BBDD_fashion_boutique[[#This Row],[size]]))</f>
        <v>XL</v>
      </c>
      <c r="G488" t="s">
        <v>50</v>
      </c>
      <c r="H488" s="2">
        <v>167.86</v>
      </c>
      <c r="I488">
        <v>0</v>
      </c>
      <c r="J488" s="5">
        <f>BBDD_fashion_boutique[[#This Row],[markdown_percentage]]/100</f>
        <v>0</v>
      </c>
      <c r="K488" s="2">
        <v>167.86</v>
      </c>
      <c r="L488" s="2">
        <f>BBDD_fashion_boutique[[#This Row],[original_price]]-BBDD_fashion_boutique[[#This Row],[current_price]]</f>
        <v>0</v>
      </c>
      <c r="M488" s="1">
        <v>45875</v>
      </c>
      <c r="N488" s="1" t="str">
        <f>PROPER(TEXT(BBDD_fashion_boutique[[#This Row],[purchase_date]],"dddd"))</f>
        <v>Miércoles</v>
      </c>
      <c r="O488" s="1" t="str">
        <f>PROPER(TEXT(BBDD_fashion_boutique[[#This Row],[purchase_date]],"mmmm"))</f>
        <v>Agosto</v>
      </c>
      <c r="P488" s="4">
        <v>17</v>
      </c>
      <c r="Q488" s="2">
        <v>3.2</v>
      </c>
      <c r="R488" t="str">
        <f>IF(BBDD_fashion_boutique[[#This Row],[stock_quantity]]&gt;9,"Ok",IF(BBDD_fashion_boutique[[#This Row],[stock_quantity]]=0,"Agotado","Pocas Unidades"))</f>
        <v>Ok</v>
      </c>
      <c r="S488" s="3">
        <f>IF(BBDD_fashion_boutique[[#This Row],[customer_rating]]="","No valorado",BBDD_fashion_boutique[[#This Row],[customer_rating]])</f>
        <v>3.2</v>
      </c>
      <c r="T488" t="s">
        <v>24</v>
      </c>
      <c r="V488">
        <f>IF(BBDD_fashion_boutique[[#This Row],[is_returned]]="False",0,1)</f>
        <v>0</v>
      </c>
      <c r="W488">
        <f>IF(BBDD_fashion_boutique[[#This Row],[is_returned]]="True",0,BBDD_fashion_boutique[[#This Row],[current_price]])</f>
        <v>167.86</v>
      </c>
      <c r="X488" t="str">
        <f>IF(BBDD_fashion_boutique[[#This Row],[return_reason]]="","No return",BBDD_fashion_boutique[[#This Row],[return_reason]])</f>
        <v>No return</v>
      </c>
      <c r="Y488">
        <f>IF(IFERROR(VLOOKUP(BBDD_fashion_boutique[[#This Row],[product_id]],A489:A2664,1,FALSE),0),1,0)</f>
        <v>0</v>
      </c>
    </row>
    <row r="489" spans="1:25" x14ac:dyDescent="0.3">
      <c r="A489" t="s">
        <v>548</v>
      </c>
      <c r="B489" t="s">
        <v>32</v>
      </c>
      <c r="C489" t="s">
        <v>27</v>
      </c>
      <c r="D489" t="s">
        <v>39</v>
      </c>
      <c r="F489" t="str">
        <f>IF(BBDD_fashion_boutique[[#This Row],[category]]="Accessories","Accesorio",IF(BBDD_fashion_boutique[[#This Row],[size]]="","Desconocido",BBDD_fashion_boutique[[#This Row],[size]]))</f>
        <v>Accesorio</v>
      </c>
      <c r="G489" t="s">
        <v>46</v>
      </c>
      <c r="H489" s="2">
        <v>62.2</v>
      </c>
      <c r="I489">
        <v>37.700000000000003</v>
      </c>
      <c r="J489" s="5">
        <f>BBDD_fashion_boutique[[#This Row],[markdown_percentage]]/100</f>
        <v>0.377</v>
      </c>
      <c r="K489" s="2">
        <v>38.75</v>
      </c>
      <c r="L489" s="2">
        <f>BBDD_fashion_boutique[[#This Row],[original_price]]-BBDD_fashion_boutique[[#This Row],[current_price]]</f>
        <v>23.450000000000003</v>
      </c>
      <c r="M489" s="1">
        <v>45875</v>
      </c>
      <c r="N489" s="1" t="str">
        <f>PROPER(TEXT(BBDD_fashion_boutique[[#This Row],[purchase_date]],"dddd"))</f>
        <v>Miércoles</v>
      </c>
      <c r="O489" s="1" t="str">
        <f>PROPER(TEXT(BBDD_fashion_boutique[[#This Row],[purchase_date]],"mmmm"))</f>
        <v>Agosto</v>
      </c>
      <c r="P489" s="4">
        <v>16</v>
      </c>
      <c r="Q489" s="2">
        <v>3.1</v>
      </c>
      <c r="R489" t="str">
        <f>IF(BBDD_fashion_boutique[[#This Row],[stock_quantity]]&gt;9,"Ok",IF(BBDD_fashion_boutique[[#This Row],[stock_quantity]]=0,"Agotado","Pocas Unidades"))</f>
        <v>Ok</v>
      </c>
      <c r="S489" s="3">
        <f>IF(BBDD_fashion_boutique[[#This Row],[customer_rating]]="","No valorado",BBDD_fashion_boutique[[#This Row],[customer_rating]])</f>
        <v>3.1</v>
      </c>
      <c r="T489" t="s">
        <v>24</v>
      </c>
      <c r="V489">
        <f>IF(BBDD_fashion_boutique[[#This Row],[is_returned]]="False",0,1)</f>
        <v>0</v>
      </c>
      <c r="W489">
        <f>IF(BBDD_fashion_boutique[[#This Row],[is_returned]]="True",0,BBDD_fashion_boutique[[#This Row],[current_price]])</f>
        <v>38.75</v>
      </c>
      <c r="X489" t="str">
        <f>IF(BBDD_fashion_boutique[[#This Row],[return_reason]]="","No return",BBDD_fashion_boutique[[#This Row],[return_reason]])</f>
        <v>No return</v>
      </c>
      <c r="Y489">
        <f>IF(IFERROR(VLOOKUP(BBDD_fashion_boutique[[#This Row],[product_id]],A490:A2665,1,FALSE),0),1,0)</f>
        <v>0</v>
      </c>
    </row>
    <row r="490" spans="1:25" x14ac:dyDescent="0.3">
      <c r="A490" t="s">
        <v>549</v>
      </c>
      <c r="B490" t="s">
        <v>19</v>
      </c>
      <c r="C490" t="s">
        <v>37</v>
      </c>
      <c r="D490" t="s">
        <v>39</v>
      </c>
      <c r="F490" t="str">
        <f>IF(BBDD_fashion_boutique[[#This Row],[category]]="Accessories","Accesorio",IF(BBDD_fashion_boutique[[#This Row],[size]]="","Desconocido",BBDD_fashion_boutique[[#This Row],[size]]))</f>
        <v>Desconocido</v>
      </c>
      <c r="G490" t="s">
        <v>30</v>
      </c>
      <c r="H490" s="2">
        <v>223.69</v>
      </c>
      <c r="I490">
        <v>6.3</v>
      </c>
      <c r="J490" s="5">
        <f>BBDD_fashion_boutique[[#This Row],[markdown_percentage]]/100</f>
        <v>6.3E-2</v>
      </c>
      <c r="K490" s="2">
        <v>209.6</v>
      </c>
      <c r="L490" s="2">
        <f>BBDD_fashion_boutique[[#This Row],[original_price]]-BBDD_fashion_boutique[[#This Row],[current_price]]</f>
        <v>14.090000000000003</v>
      </c>
      <c r="M490" s="1">
        <v>45875</v>
      </c>
      <c r="N490" s="1" t="str">
        <f>PROPER(TEXT(BBDD_fashion_boutique[[#This Row],[purchase_date]],"dddd"))</f>
        <v>Miércoles</v>
      </c>
      <c r="O490" s="1" t="str">
        <f>PROPER(TEXT(BBDD_fashion_boutique[[#This Row],[purchase_date]],"mmmm"))</f>
        <v>Agosto</v>
      </c>
      <c r="P490" s="4">
        <v>18</v>
      </c>
      <c r="Q490" s="2">
        <v>1.9</v>
      </c>
      <c r="R490" t="str">
        <f>IF(BBDD_fashion_boutique[[#This Row],[stock_quantity]]&gt;9,"Ok",IF(BBDD_fashion_boutique[[#This Row],[stock_quantity]]=0,"Agotado","Pocas Unidades"))</f>
        <v>Ok</v>
      </c>
      <c r="S490" s="3">
        <f>IF(BBDD_fashion_boutique[[#This Row],[customer_rating]]="","No valorado",BBDD_fashion_boutique[[#This Row],[customer_rating]])</f>
        <v>1.9</v>
      </c>
      <c r="T490" t="s">
        <v>24</v>
      </c>
      <c r="V490">
        <f>IF(BBDD_fashion_boutique[[#This Row],[is_returned]]="False",0,1)</f>
        <v>0</v>
      </c>
      <c r="W490">
        <f>IF(BBDD_fashion_boutique[[#This Row],[is_returned]]="True",0,BBDD_fashion_boutique[[#This Row],[current_price]])</f>
        <v>209.6</v>
      </c>
      <c r="X490" t="str">
        <f>IF(BBDD_fashion_boutique[[#This Row],[return_reason]]="","No return",BBDD_fashion_boutique[[#This Row],[return_reason]])</f>
        <v>No return</v>
      </c>
      <c r="Y490">
        <f>IF(IFERROR(VLOOKUP(BBDD_fashion_boutique[[#This Row],[product_id]],A491:A2666,1,FALSE),0),1,0)</f>
        <v>0</v>
      </c>
    </row>
    <row r="491" spans="1:25" x14ac:dyDescent="0.3">
      <c r="A491" t="s">
        <v>550</v>
      </c>
      <c r="B491" t="s">
        <v>32</v>
      </c>
      <c r="C491" t="s">
        <v>49</v>
      </c>
      <c r="D491" t="s">
        <v>68</v>
      </c>
      <c r="F491" t="str">
        <f>IF(BBDD_fashion_boutique[[#This Row],[category]]="Accessories","Accesorio",IF(BBDD_fashion_boutique[[#This Row],[size]]="","Desconocido",BBDD_fashion_boutique[[#This Row],[size]]))</f>
        <v>Accesorio</v>
      </c>
      <c r="G491" t="s">
        <v>50</v>
      </c>
      <c r="H491" s="2">
        <v>67.13</v>
      </c>
      <c r="I491">
        <v>0</v>
      </c>
      <c r="J491" s="5">
        <f>BBDD_fashion_boutique[[#This Row],[markdown_percentage]]/100</f>
        <v>0</v>
      </c>
      <c r="K491" s="2">
        <v>67.13</v>
      </c>
      <c r="L491" s="2">
        <f>BBDD_fashion_boutique[[#This Row],[original_price]]-BBDD_fashion_boutique[[#This Row],[current_price]]</f>
        <v>0</v>
      </c>
      <c r="M491" s="1">
        <v>45875</v>
      </c>
      <c r="N491" s="1" t="str">
        <f>PROPER(TEXT(BBDD_fashion_boutique[[#This Row],[purchase_date]],"dddd"))</f>
        <v>Miércoles</v>
      </c>
      <c r="O491" s="1" t="str">
        <f>PROPER(TEXT(BBDD_fashion_boutique[[#This Row],[purchase_date]],"mmmm"))</f>
        <v>Agosto</v>
      </c>
      <c r="P491" s="4">
        <v>3</v>
      </c>
      <c r="Q491" s="2">
        <v>1.4</v>
      </c>
      <c r="R491" t="str">
        <f>IF(BBDD_fashion_boutique[[#This Row],[stock_quantity]]&gt;9,"Ok",IF(BBDD_fashion_boutique[[#This Row],[stock_quantity]]=0,"Agotado","Pocas Unidades"))</f>
        <v>Pocas Unidades</v>
      </c>
      <c r="S491" s="3">
        <f>IF(BBDD_fashion_boutique[[#This Row],[customer_rating]]="","No valorado",BBDD_fashion_boutique[[#This Row],[customer_rating]])</f>
        <v>1.4</v>
      </c>
      <c r="T491" t="s">
        <v>24</v>
      </c>
      <c r="V491">
        <f>IF(BBDD_fashion_boutique[[#This Row],[is_returned]]="False",0,1)</f>
        <v>0</v>
      </c>
      <c r="W491">
        <f>IF(BBDD_fashion_boutique[[#This Row],[is_returned]]="True",0,BBDD_fashion_boutique[[#This Row],[current_price]])</f>
        <v>67.13</v>
      </c>
      <c r="X491" t="str">
        <f>IF(BBDD_fashion_boutique[[#This Row],[return_reason]]="","No return",BBDD_fashion_boutique[[#This Row],[return_reason]])</f>
        <v>No return</v>
      </c>
      <c r="Y491">
        <f>IF(IFERROR(VLOOKUP(BBDD_fashion_boutique[[#This Row],[product_id]],A492:A2667,1,FALSE),0),1,0)</f>
        <v>0</v>
      </c>
    </row>
    <row r="492" spans="1:25" x14ac:dyDescent="0.3">
      <c r="A492" t="s">
        <v>551</v>
      </c>
      <c r="B492" t="s">
        <v>48</v>
      </c>
      <c r="C492" t="s">
        <v>20</v>
      </c>
      <c r="D492" t="s">
        <v>68</v>
      </c>
      <c r="E492" t="s">
        <v>64</v>
      </c>
      <c r="F492" t="str">
        <f>IF(BBDD_fashion_boutique[[#This Row],[category]]="Accessories","Accesorio",IF(BBDD_fashion_boutique[[#This Row],[size]]="","Desconocido",BBDD_fashion_boutique[[#This Row],[size]]))</f>
        <v>M</v>
      </c>
      <c r="G492" t="s">
        <v>23</v>
      </c>
      <c r="H492" s="2">
        <v>144.81</v>
      </c>
      <c r="I492">
        <v>33.299999999999997</v>
      </c>
      <c r="J492" s="5">
        <f>BBDD_fashion_boutique[[#This Row],[markdown_percentage]]/100</f>
        <v>0.33299999999999996</v>
      </c>
      <c r="K492" s="2">
        <v>96.59</v>
      </c>
      <c r="L492" s="2">
        <f>BBDD_fashion_boutique[[#This Row],[original_price]]-BBDD_fashion_boutique[[#This Row],[current_price]]</f>
        <v>48.22</v>
      </c>
      <c r="M492" s="1">
        <v>45875</v>
      </c>
      <c r="N492" s="1" t="str">
        <f>PROPER(TEXT(BBDD_fashion_boutique[[#This Row],[purchase_date]],"dddd"))</f>
        <v>Miércoles</v>
      </c>
      <c r="O492" s="1" t="str">
        <f>PROPER(TEXT(BBDD_fashion_boutique[[#This Row],[purchase_date]],"mmmm"))</f>
        <v>Agosto</v>
      </c>
      <c r="P492" s="4">
        <v>33</v>
      </c>
      <c r="Q492" s="2">
        <v>2.8</v>
      </c>
      <c r="R492" t="str">
        <f>IF(BBDD_fashion_boutique[[#This Row],[stock_quantity]]&gt;9,"Ok",IF(BBDD_fashion_boutique[[#This Row],[stock_quantity]]=0,"Agotado","Pocas Unidades"))</f>
        <v>Ok</v>
      </c>
      <c r="S492" s="3">
        <f>IF(BBDD_fashion_boutique[[#This Row],[customer_rating]]="","No valorado",BBDD_fashion_boutique[[#This Row],[customer_rating]])</f>
        <v>2.8</v>
      </c>
      <c r="T492" t="s">
        <v>24</v>
      </c>
      <c r="V492">
        <f>IF(BBDD_fashion_boutique[[#This Row],[is_returned]]="False",0,1)</f>
        <v>0</v>
      </c>
      <c r="W492">
        <f>IF(BBDD_fashion_boutique[[#This Row],[is_returned]]="True",0,BBDD_fashion_boutique[[#This Row],[current_price]])</f>
        <v>96.59</v>
      </c>
      <c r="X492" t="str">
        <f>IF(BBDD_fashion_boutique[[#This Row],[return_reason]]="","No return",BBDD_fashion_boutique[[#This Row],[return_reason]])</f>
        <v>No return</v>
      </c>
      <c r="Y492">
        <f>IF(IFERROR(VLOOKUP(BBDD_fashion_boutique[[#This Row],[product_id]],A493:A2668,1,FALSE),0),1,0)</f>
        <v>0</v>
      </c>
    </row>
    <row r="493" spans="1:25" x14ac:dyDescent="0.3">
      <c r="A493" t="s">
        <v>552</v>
      </c>
      <c r="B493" t="s">
        <v>19</v>
      </c>
      <c r="C493" t="s">
        <v>67</v>
      </c>
      <c r="D493" t="s">
        <v>28</v>
      </c>
      <c r="E493" t="s">
        <v>61</v>
      </c>
      <c r="F493" t="str">
        <f>IF(BBDD_fashion_boutique[[#This Row],[category]]="Accessories","Accesorio",IF(BBDD_fashion_boutique[[#This Row],[size]]="","Desconocido",BBDD_fashion_boutique[[#This Row],[size]]))</f>
        <v>XS</v>
      </c>
      <c r="G493" t="s">
        <v>72</v>
      </c>
      <c r="H493" s="2">
        <v>152.93</v>
      </c>
      <c r="I493">
        <v>53</v>
      </c>
      <c r="J493" s="5">
        <f>BBDD_fashion_boutique[[#This Row],[markdown_percentage]]/100</f>
        <v>0.53</v>
      </c>
      <c r="K493" s="2">
        <v>71.88</v>
      </c>
      <c r="L493" s="2">
        <f>BBDD_fashion_boutique[[#This Row],[original_price]]-BBDD_fashion_boutique[[#This Row],[current_price]]</f>
        <v>81.050000000000011</v>
      </c>
      <c r="M493" s="1">
        <v>45875</v>
      </c>
      <c r="N493" s="1" t="str">
        <f>PROPER(TEXT(BBDD_fashion_boutique[[#This Row],[purchase_date]],"dddd"))</f>
        <v>Miércoles</v>
      </c>
      <c r="O493" s="1" t="str">
        <f>PROPER(TEXT(BBDD_fashion_boutique[[#This Row],[purchase_date]],"mmmm"))</f>
        <v>Agosto</v>
      </c>
      <c r="P493" s="4">
        <v>2</v>
      </c>
      <c r="Q493" s="2">
        <v>4.5999999999999996</v>
      </c>
      <c r="R493" t="str">
        <f>IF(BBDD_fashion_boutique[[#This Row],[stock_quantity]]&gt;9,"Ok",IF(BBDD_fashion_boutique[[#This Row],[stock_quantity]]=0,"Agotado","Pocas Unidades"))</f>
        <v>Pocas Unidades</v>
      </c>
      <c r="S493" s="3">
        <f>IF(BBDD_fashion_boutique[[#This Row],[customer_rating]]="","No valorado",BBDD_fashion_boutique[[#This Row],[customer_rating]])</f>
        <v>4.5999999999999996</v>
      </c>
      <c r="T493" t="s">
        <v>41</v>
      </c>
      <c r="U493" t="s">
        <v>121</v>
      </c>
      <c r="V493">
        <f>IF(BBDD_fashion_boutique[[#This Row],[is_returned]]="False",0,1)</f>
        <v>1</v>
      </c>
      <c r="W493">
        <f>IF(BBDD_fashion_boutique[[#This Row],[is_returned]]="True",0,BBDD_fashion_boutique[[#This Row],[current_price]])</f>
        <v>0</v>
      </c>
      <c r="X493" t="str">
        <f>IF(BBDD_fashion_boutique[[#This Row],[return_reason]]="","No return",BBDD_fashion_boutique[[#This Row],[return_reason]])</f>
        <v>Changed Mind</v>
      </c>
      <c r="Y493">
        <f>IF(IFERROR(VLOOKUP(BBDD_fashion_boutique[[#This Row],[product_id]],A494:A2669,1,FALSE),0),1,0)</f>
        <v>0</v>
      </c>
    </row>
    <row r="494" spans="1:25" x14ac:dyDescent="0.3">
      <c r="A494" t="s">
        <v>553</v>
      </c>
      <c r="B494" t="s">
        <v>48</v>
      </c>
      <c r="C494" t="s">
        <v>81</v>
      </c>
      <c r="D494" t="s">
        <v>68</v>
      </c>
      <c r="E494" t="s">
        <v>55</v>
      </c>
      <c r="F494" t="str">
        <f>IF(BBDD_fashion_boutique[[#This Row],[category]]="Accessories","Accesorio",IF(BBDD_fashion_boutique[[#This Row],[size]]="","Desconocido",BBDD_fashion_boutique[[#This Row],[size]]))</f>
        <v>XXL</v>
      </c>
      <c r="G494" t="s">
        <v>40</v>
      </c>
      <c r="H494" s="2">
        <v>111.29</v>
      </c>
      <c r="I494">
        <v>0</v>
      </c>
      <c r="J494" s="5">
        <f>BBDD_fashion_boutique[[#This Row],[markdown_percentage]]/100</f>
        <v>0</v>
      </c>
      <c r="K494" s="2">
        <v>111.29</v>
      </c>
      <c r="L494" s="2">
        <f>BBDD_fashion_boutique[[#This Row],[original_price]]-BBDD_fashion_boutique[[#This Row],[current_price]]</f>
        <v>0</v>
      </c>
      <c r="M494" s="1">
        <v>45875</v>
      </c>
      <c r="N494" s="1" t="str">
        <f>PROPER(TEXT(BBDD_fashion_boutique[[#This Row],[purchase_date]],"dddd"))</f>
        <v>Miércoles</v>
      </c>
      <c r="O494" s="1" t="str">
        <f>PROPER(TEXT(BBDD_fashion_boutique[[#This Row],[purchase_date]],"mmmm"))</f>
        <v>Agosto</v>
      </c>
      <c r="P494" s="4">
        <v>48</v>
      </c>
      <c r="Q494" s="2">
        <v>4.9000000000000004</v>
      </c>
      <c r="R494" t="str">
        <f>IF(BBDD_fashion_boutique[[#This Row],[stock_quantity]]&gt;9,"Ok",IF(BBDD_fashion_boutique[[#This Row],[stock_quantity]]=0,"Agotado","Pocas Unidades"))</f>
        <v>Ok</v>
      </c>
      <c r="S494" s="3">
        <f>IF(BBDD_fashion_boutique[[#This Row],[customer_rating]]="","No valorado",BBDD_fashion_boutique[[#This Row],[customer_rating]])</f>
        <v>4.9000000000000004</v>
      </c>
      <c r="T494" t="s">
        <v>24</v>
      </c>
      <c r="V494">
        <f>IF(BBDD_fashion_boutique[[#This Row],[is_returned]]="False",0,1)</f>
        <v>0</v>
      </c>
      <c r="W494">
        <f>IF(BBDD_fashion_boutique[[#This Row],[is_returned]]="True",0,BBDD_fashion_boutique[[#This Row],[current_price]])</f>
        <v>111.29</v>
      </c>
      <c r="X494" t="str">
        <f>IF(BBDD_fashion_boutique[[#This Row],[return_reason]]="","No return",BBDD_fashion_boutique[[#This Row],[return_reason]])</f>
        <v>No return</v>
      </c>
      <c r="Y494">
        <f>IF(IFERROR(VLOOKUP(BBDD_fashion_boutique[[#This Row],[product_id]],A495:A2670,1,FALSE),0),1,0)</f>
        <v>0</v>
      </c>
    </row>
    <row r="495" spans="1:25" x14ac:dyDescent="0.3">
      <c r="A495" t="s">
        <v>554</v>
      </c>
      <c r="B495" t="s">
        <v>19</v>
      </c>
      <c r="C495" t="s">
        <v>37</v>
      </c>
      <c r="D495" t="s">
        <v>28</v>
      </c>
      <c r="E495" t="s">
        <v>61</v>
      </c>
      <c r="F495" t="str">
        <f>IF(BBDD_fashion_boutique[[#This Row],[category]]="Accessories","Accesorio",IF(BBDD_fashion_boutique[[#This Row],[size]]="","Desconocido",BBDD_fashion_boutique[[#This Row],[size]]))</f>
        <v>XS</v>
      </c>
      <c r="G495" t="s">
        <v>30</v>
      </c>
      <c r="H495" s="2">
        <v>159.18</v>
      </c>
      <c r="I495">
        <v>0</v>
      </c>
      <c r="J495" s="5">
        <f>BBDD_fashion_boutique[[#This Row],[markdown_percentage]]/100</f>
        <v>0</v>
      </c>
      <c r="K495" s="2">
        <v>159.18</v>
      </c>
      <c r="L495" s="2">
        <f>BBDD_fashion_boutique[[#This Row],[original_price]]-BBDD_fashion_boutique[[#This Row],[current_price]]</f>
        <v>0</v>
      </c>
      <c r="M495" s="1">
        <v>45875</v>
      </c>
      <c r="N495" s="1" t="str">
        <f>PROPER(TEXT(BBDD_fashion_boutique[[#This Row],[purchase_date]],"dddd"))</f>
        <v>Miércoles</v>
      </c>
      <c r="O495" s="1" t="str">
        <f>PROPER(TEXT(BBDD_fashion_boutique[[#This Row],[purchase_date]],"mmmm"))</f>
        <v>Agosto</v>
      </c>
      <c r="P495" s="4">
        <v>38</v>
      </c>
      <c r="Q495" s="2">
        <v>2.4</v>
      </c>
      <c r="R495" t="str">
        <f>IF(BBDD_fashion_boutique[[#This Row],[stock_quantity]]&gt;9,"Ok",IF(BBDD_fashion_boutique[[#This Row],[stock_quantity]]=0,"Agotado","Pocas Unidades"))</f>
        <v>Ok</v>
      </c>
      <c r="S495" s="3">
        <f>IF(BBDD_fashion_boutique[[#This Row],[customer_rating]]="","No valorado",BBDD_fashion_boutique[[#This Row],[customer_rating]])</f>
        <v>2.4</v>
      </c>
      <c r="T495" t="s">
        <v>41</v>
      </c>
      <c r="U495" t="s">
        <v>89</v>
      </c>
      <c r="V495">
        <f>IF(BBDD_fashion_boutique[[#This Row],[is_returned]]="False",0,1)</f>
        <v>1</v>
      </c>
      <c r="W495">
        <f>IF(BBDD_fashion_boutique[[#This Row],[is_returned]]="True",0,BBDD_fashion_boutique[[#This Row],[current_price]])</f>
        <v>0</v>
      </c>
      <c r="X495" t="str">
        <f>IF(BBDD_fashion_boutique[[#This Row],[return_reason]]="","No return",BBDD_fashion_boutique[[#This Row],[return_reason]])</f>
        <v>Quality Issue</v>
      </c>
      <c r="Y495">
        <f>IF(IFERROR(VLOOKUP(BBDD_fashion_boutique[[#This Row],[product_id]],A496:A2671,1,FALSE),0),1,0)</f>
        <v>0</v>
      </c>
    </row>
    <row r="496" spans="1:25" x14ac:dyDescent="0.3">
      <c r="A496" t="s">
        <v>555</v>
      </c>
      <c r="B496" t="s">
        <v>19</v>
      </c>
      <c r="C496" t="s">
        <v>20</v>
      </c>
      <c r="D496" t="s">
        <v>28</v>
      </c>
      <c r="E496" t="s">
        <v>55</v>
      </c>
      <c r="F496" t="str">
        <f>IF(BBDD_fashion_boutique[[#This Row],[category]]="Accessories","Accesorio",IF(BBDD_fashion_boutique[[#This Row],[size]]="","Desconocido",BBDD_fashion_boutique[[#This Row],[size]]))</f>
        <v>XXL</v>
      </c>
      <c r="G496" t="s">
        <v>40</v>
      </c>
      <c r="H496" s="2">
        <v>215.93</v>
      </c>
      <c r="I496">
        <v>0</v>
      </c>
      <c r="J496" s="5">
        <f>BBDD_fashion_boutique[[#This Row],[markdown_percentage]]/100</f>
        <v>0</v>
      </c>
      <c r="K496" s="2">
        <v>215.93</v>
      </c>
      <c r="L496" s="2">
        <f>BBDD_fashion_boutique[[#This Row],[original_price]]-BBDD_fashion_boutique[[#This Row],[current_price]]</f>
        <v>0</v>
      </c>
      <c r="M496" s="1">
        <v>45875</v>
      </c>
      <c r="N496" s="1" t="str">
        <f>PROPER(TEXT(BBDD_fashion_boutique[[#This Row],[purchase_date]],"dddd"))</f>
        <v>Miércoles</v>
      </c>
      <c r="O496" s="1" t="str">
        <f>PROPER(TEXT(BBDD_fashion_boutique[[#This Row],[purchase_date]],"mmmm"))</f>
        <v>Agosto</v>
      </c>
      <c r="P496" s="4">
        <v>43</v>
      </c>
      <c r="Q496" s="2">
        <v>3.5</v>
      </c>
      <c r="R496" t="str">
        <f>IF(BBDD_fashion_boutique[[#This Row],[stock_quantity]]&gt;9,"Ok",IF(BBDD_fashion_boutique[[#This Row],[stock_quantity]]=0,"Agotado","Pocas Unidades"))</f>
        <v>Ok</v>
      </c>
      <c r="S496" s="3">
        <f>IF(BBDD_fashion_boutique[[#This Row],[customer_rating]]="","No valorado",BBDD_fashion_boutique[[#This Row],[customer_rating]])</f>
        <v>3.5</v>
      </c>
      <c r="T496" t="s">
        <v>24</v>
      </c>
      <c r="V496">
        <f>IF(BBDD_fashion_boutique[[#This Row],[is_returned]]="False",0,1)</f>
        <v>0</v>
      </c>
      <c r="W496">
        <f>IF(BBDD_fashion_boutique[[#This Row],[is_returned]]="True",0,BBDD_fashion_boutique[[#This Row],[current_price]])</f>
        <v>215.93</v>
      </c>
      <c r="X496" t="str">
        <f>IF(BBDD_fashion_boutique[[#This Row],[return_reason]]="","No return",BBDD_fashion_boutique[[#This Row],[return_reason]])</f>
        <v>No return</v>
      </c>
      <c r="Y496">
        <f>IF(IFERROR(VLOOKUP(BBDD_fashion_boutique[[#This Row],[product_id]],A497:A2672,1,FALSE),0),1,0)</f>
        <v>0</v>
      </c>
    </row>
    <row r="497" spans="1:25" x14ac:dyDescent="0.3">
      <c r="A497" t="s">
        <v>556</v>
      </c>
      <c r="B497" t="s">
        <v>26</v>
      </c>
      <c r="C497" t="s">
        <v>59</v>
      </c>
      <c r="D497" t="s">
        <v>21</v>
      </c>
      <c r="F497" t="str">
        <f>IF(BBDD_fashion_boutique[[#This Row],[category]]="Accessories","Accesorio",IF(BBDD_fashion_boutique[[#This Row],[size]]="","Desconocido",BBDD_fashion_boutique[[#This Row],[size]]))</f>
        <v>Desconocido</v>
      </c>
      <c r="G497" t="s">
        <v>62</v>
      </c>
      <c r="H497" s="2">
        <v>51.69</v>
      </c>
      <c r="I497">
        <v>33.4</v>
      </c>
      <c r="J497" s="5">
        <f>BBDD_fashion_boutique[[#This Row],[markdown_percentage]]/100</f>
        <v>0.33399999999999996</v>
      </c>
      <c r="K497" s="2">
        <v>34.43</v>
      </c>
      <c r="L497" s="2">
        <f>BBDD_fashion_boutique[[#This Row],[original_price]]-BBDD_fashion_boutique[[#This Row],[current_price]]</f>
        <v>17.259999999999998</v>
      </c>
      <c r="M497" s="1">
        <v>45511</v>
      </c>
      <c r="N497" s="1" t="str">
        <f>PROPER(TEXT(BBDD_fashion_boutique[[#This Row],[purchase_date]],"dddd"))</f>
        <v>Miércoles</v>
      </c>
      <c r="O497" s="1" t="str">
        <f>PROPER(TEXT(BBDD_fashion_boutique[[#This Row],[purchase_date]],"mmmm"))</f>
        <v>Agosto</v>
      </c>
      <c r="P497" s="4">
        <v>36</v>
      </c>
      <c r="Q497" s="2">
        <v>3.4</v>
      </c>
      <c r="R497" t="str">
        <f>IF(BBDD_fashion_boutique[[#This Row],[stock_quantity]]&gt;9,"Ok",IF(BBDD_fashion_boutique[[#This Row],[stock_quantity]]=0,"Agotado","Pocas Unidades"))</f>
        <v>Ok</v>
      </c>
      <c r="S497" s="3">
        <f>IF(BBDD_fashion_boutique[[#This Row],[customer_rating]]="","No valorado",BBDD_fashion_boutique[[#This Row],[customer_rating]])</f>
        <v>3.4</v>
      </c>
      <c r="T497" t="s">
        <v>24</v>
      </c>
      <c r="V497">
        <f>IF(BBDD_fashion_boutique[[#This Row],[is_returned]]="False",0,1)</f>
        <v>0</v>
      </c>
      <c r="W497">
        <f>IF(BBDD_fashion_boutique[[#This Row],[is_returned]]="True",0,BBDD_fashion_boutique[[#This Row],[current_price]])</f>
        <v>34.43</v>
      </c>
      <c r="X497" t="str">
        <f>IF(BBDD_fashion_boutique[[#This Row],[return_reason]]="","No return",BBDD_fashion_boutique[[#This Row],[return_reason]])</f>
        <v>No return</v>
      </c>
      <c r="Y497">
        <f>IF(IFERROR(VLOOKUP(BBDD_fashion_boutique[[#This Row],[product_id]],A498:A2673,1,FALSE),0),1,0)</f>
        <v>0</v>
      </c>
    </row>
    <row r="498" spans="1:25" x14ac:dyDescent="0.3">
      <c r="A498" t="s">
        <v>557</v>
      </c>
      <c r="B498" t="s">
        <v>19</v>
      </c>
      <c r="C498" t="s">
        <v>59</v>
      </c>
      <c r="D498" t="s">
        <v>68</v>
      </c>
      <c r="E498" t="s">
        <v>29</v>
      </c>
      <c r="F498" t="str">
        <f>IF(BBDD_fashion_boutique[[#This Row],[category]]="Accessories","Accesorio",IF(BBDD_fashion_boutique[[#This Row],[size]]="","Desconocido",BBDD_fashion_boutique[[#This Row],[size]]))</f>
        <v>L</v>
      </c>
      <c r="G498" t="s">
        <v>30</v>
      </c>
      <c r="H498" s="2">
        <v>137.38</v>
      </c>
      <c r="I498">
        <v>0</v>
      </c>
      <c r="J498" s="5">
        <f>BBDD_fashion_boutique[[#This Row],[markdown_percentage]]/100</f>
        <v>0</v>
      </c>
      <c r="K498" s="2">
        <v>137.38</v>
      </c>
      <c r="L498" s="2">
        <f>BBDD_fashion_boutique[[#This Row],[original_price]]-BBDD_fashion_boutique[[#This Row],[current_price]]</f>
        <v>0</v>
      </c>
      <c r="M498" s="1">
        <v>45875</v>
      </c>
      <c r="N498" s="1" t="str">
        <f>PROPER(TEXT(BBDD_fashion_boutique[[#This Row],[purchase_date]],"dddd"))</f>
        <v>Miércoles</v>
      </c>
      <c r="O498" s="1" t="str">
        <f>PROPER(TEXT(BBDD_fashion_boutique[[#This Row],[purchase_date]],"mmmm"))</f>
        <v>Agosto</v>
      </c>
      <c r="P498" s="4">
        <v>43</v>
      </c>
      <c r="Q498" s="2">
        <v>3.5</v>
      </c>
      <c r="R498" t="str">
        <f>IF(BBDD_fashion_boutique[[#This Row],[stock_quantity]]&gt;9,"Ok",IF(BBDD_fashion_boutique[[#This Row],[stock_quantity]]=0,"Agotado","Pocas Unidades"))</f>
        <v>Ok</v>
      </c>
      <c r="S498" s="3">
        <f>IF(BBDD_fashion_boutique[[#This Row],[customer_rating]]="","No valorado",BBDD_fashion_boutique[[#This Row],[customer_rating]])</f>
        <v>3.5</v>
      </c>
      <c r="T498" t="s">
        <v>24</v>
      </c>
      <c r="V498">
        <f>IF(BBDD_fashion_boutique[[#This Row],[is_returned]]="False",0,1)</f>
        <v>0</v>
      </c>
      <c r="W498">
        <f>IF(BBDD_fashion_boutique[[#This Row],[is_returned]]="True",0,BBDD_fashion_boutique[[#This Row],[current_price]])</f>
        <v>137.38</v>
      </c>
      <c r="X498" t="str">
        <f>IF(BBDD_fashion_boutique[[#This Row],[return_reason]]="","No return",BBDD_fashion_boutique[[#This Row],[return_reason]])</f>
        <v>No return</v>
      </c>
      <c r="Y498">
        <f>IF(IFERROR(VLOOKUP(BBDD_fashion_boutique[[#This Row],[product_id]],A499:A2674,1,FALSE),0),1,0)</f>
        <v>0</v>
      </c>
    </row>
    <row r="499" spans="1:25" x14ac:dyDescent="0.3">
      <c r="A499" t="s">
        <v>558</v>
      </c>
      <c r="B499" t="s">
        <v>44</v>
      </c>
      <c r="C499" t="s">
        <v>81</v>
      </c>
      <c r="D499" t="s">
        <v>39</v>
      </c>
      <c r="E499" t="s">
        <v>55</v>
      </c>
      <c r="F499" t="str">
        <f>IF(BBDD_fashion_boutique[[#This Row],[category]]="Accessories","Accesorio",IF(BBDD_fashion_boutique[[#This Row],[size]]="","Desconocido",BBDD_fashion_boutique[[#This Row],[size]]))</f>
        <v>XXL</v>
      </c>
      <c r="G499" t="s">
        <v>52</v>
      </c>
      <c r="H499" s="2">
        <v>96.7</v>
      </c>
      <c r="I499">
        <v>38.799999999999997</v>
      </c>
      <c r="J499" s="5">
        <f>BBDD_fashion_boutique[[#This Row],[markdown_percentage]]/100</f>
        <v>0.38799999999999996</v>
      </c>
      <c r="K499" s="2">
        <v>59.18</v>
      </c>
      <c r="L499" s="2">
        <f>BBDD_fashion_boutique[[#This Row],[original_price]]-BBDD_fashion_boutique[[#This Row],[current_price]]</f>
        <v>37.520000000000003</v>
      </c>
      <c r="M499" s="1">
        <v>45875</v>
      </c>
      <c r="N499" s="1" t="str">
        <f>PROPER(TEXT(BBDD_fashion_boutique[[#This Row],[purchase_date]],"dddd"))</f>
        <v>Miércoles</v>
      </c>
      <c r="O499" s="1" t="str">
        <f>PROPER(TEXT(BBDD_fashion_boutique[[#This Row],[purchase_date]],"mmmm"))</f>
        <v>Agosto</v>
      </c>
      <c r="P499" s="4">
        <v>46</v>
      </c>
      <c r="Q499" s="2">
        <v>1.7</v>
      </c>
      <c r="R499" t="str">
        <f>IF(BBDD_fashion_boutique[[#This Row],[stock_quantity]]&gt;9,"Ok",IF(BBDD_fashion_boutique[[#This Row],[stock_quantity]]=0,"Agotado","Pocas Unidades"))</f>
        <v>Ok</v>
      </c>
      <c r="S499" s="3">
        <f>IF(BBDD_fashion_boutique[[#This Row],[customer_rating]]="","No valorado",BBDD_fashion_boutique[[#This Row],[customer_rating]])</f>
        <v>1.7</v>
      </c>
      <c r="T499" t="s">
        <v>24</v>
      </c>
      <c r="V499">
        <f>IF(BBDD_fashion_boutique[[#This Row],[is_returned]]="False",0,1)</f>
        <v>0</v>
      </c>
      <c r="W499">
        <f>IF(BBDD_fashion_boutique[[#This Row],[is_returned]]="True",0,BBDD_fashion_boutique[[#This Row],[current_price]])</f>
        <v>59.18</v>
      </c>
      <c r="X499" t="str">
        <f>IF(BBDD_fashion_boutique[[#This Row],[return_reason]]="","No return",BBDD_fashion_boutique[[#This Row],[return_reason]])</f>
        <v>No return</v>
      </c>
      <c r="Y499">
        <f>IF(IFERROR(VLOOKUP(BBDD_fashion_boutique[[#This Row],[product_id]],A500:A2675,1,FALSE),0),1,0)</f>
        <v>0</v>
      </c>
    </row>
    <row r="500" spans="1:25" x14ac:dyDescent="0.3">
      <c r="A500" t="s">
        <v>559</v>
      </c>
      <c r="B500" t="s">
        <v>44</v>
      </c>
      <c r="C500" t="s">
        <v>54</v>
      </c>
      <c r="D500" t="s">
        <v>21</v>
      </c>
      <c r="E500" t="s">
        <v>64</v>
      </c>
      <c r="F500" t="str">
        <f>IF(BBDD_fashion_boutique[[#This Row],[category]]="Accessories","Accesorio",IF(BBDD_fashion_boutique[[#This Row],[size]]="","Desconocido",BBDD_fashion_boutique[[#This Row],[size]]))</f>
        <v>M</v>
      </c>
      <c r="G500" t="s">
        <v>72</v>
      </c>
      <c r="H500" s="2">
        <v>58.73</v>
      </c>
      <c r="I500">
        <v>38.1</v>
      </c>
      <c r="J500" s="5">
        <f>BBDD_fashion_boutique[[#This Row],[markdown_percentage]]/100</f>
        <v>0.38100000000000001</v>
      </c>
      <c r="K500" s="2">
        <v>36.35</v>
      </c>
      <c r="L500" s="2">
        <f>BBDD_fashion_boutique[[#This Row],[original_price]]-BBDD_fashion_boutique[[#This Row],[current_price]]</f>
        <v>22.379999999999995</v>
      </c>
      <c r="M500" s="1">
        <v>45653</v>
      </c>
      <c r="N500" s="1" t="str">
        <f>PROPER(TEXT(BBDD_fashion_boutique[[#This Row],[purchase_date]],"dddd"))</f>
        <v>Viernes</v>
      </c>
      <c r="O500" s="1" t="str">
        <f>PROPER(TEXT(BBDD_fashion_boutique[[#This Row],[purchase_date]],"mmmm"))</f>
        <v>Diciembre</v>
      </c>
      <c r="P500" s="4">
        <v>50</v>
      </c>
      <c r="Q500" s="2">
        <v>1.2</v>
      </c>
      <c r="R500" t="str">
        <f>IF(BBDD_fashion_boutique[[#This Row],[stock_quantity]]&gt;9,"Ok",IF(BBDD_fashion_boutique[[#This Row],[stock_quantity]]=0,"Agotado","Pocas Unidades"))</f>
        <v>Ok</v>
      </c>
      <c r="S500" s="3">
        <f>IF(BBDD_fashion_boutique[[#This Row],[customer_rating]]="","No valorado",BBDD_fashion_boutique[[#This Row],[customer_rating]])</f>
        <v>1.2</v>
      </c>
      <c r="T500" t="s">
        <v>24</v>
      </c>
      <c r="V500">
        <f>IF(BBDD_fashion_boutique[[#This Row],[is_returned]]="False",0,1)</f>
        <v>0</v>
      </c>
      <c r="W500">
        <f>IF(BBDD_fashion_boutique[[#This Row],[is_returned]]="True",0,BBDD_fashion_boutique[[#This Row],[current_price]])</f>
        <v>36.35</v>
      </c>
      <c r="X500" t="str">
        <f>IF(BBDD_fashion_boutique[[#This Row],[return_reason]]="","No return",BBDD_fashion_boutique[[#This Row],[return_reason]])</f>
        <v>No return</v>
      </c>
      <c r="Y500">
        <f>IF(IFERROR(VLOOKUP(BBDD_fashion_boutique[[#This Row],[product_id]],A501:A2676,1,FALSE),0),1,0)</f>
        <v>0</v>
      </c>
    </row>
    <row r="501" spans="1:25" x14ac:dyDescent="0.3">
      <c r="A501" t="s">
        <v>560</v>
      </c>
      <c r="B501" t="s">
        <v>19</v>
      </c>
      <c r="C501" t="s">
        <v>67</v>
      </c>
      <c r="D501" t="s">
        <v>28</v>
      </c>
      <c r="E501" t="s">
        <v>45</v>
      </c>
      <c r="F501" t="str">
        <f>IF(BBDD_fashion_boutique[[#This Row],[category]]="Accessories","Accesorio",IF(BBDD_fashion_boutique[[#This Row],[size]]="","Desconocido",BBDD_fashion_boutique[[#This Row],[size]]))</f>
        <v>S</v>
      </c>
      <c r="G501" t="s">
        <v>52</v>
      </c>
      <c r="H501" s="2">
        <v>204.68</v>
      </c>
      <c r="I501">
        <v>0</v>
      </c>
      <c r="J501" s="5">
        <f>BBDD_fashion_boutique[[#This Row],[markdown_percentage]]/100</f>
        <v>0</v>
      </c>
      <c r="K501" s="2">
        <v>204.68</v>
      </c>
      <c r="L501" s="2">
        <f>BBDD_fashion_boutique[[#This Row],[original_price]]-BBDD_fashion_boutique[[#This Row],[current_price]]</f>
        <v>0</v>
      </c>
      <c r="M501" s="1">
        <v>45875</v>
      </c>
      <c r="N501" s="1" t="str">
        <f>PROPER(TEXT(BBDD_fashion_boutique[[#This Row],[purchase_date]],"dddd"))</f>
        <v>Miércoles</v>
      </c>
      <c r="O501" s="1" t="str">
        <f>PROPER(TEXT(BBDD_fashion_boutique[[#This Row],[purchase_date]],"mmmm"))</f>
        <v>Agosto</v>
      </c>
      <c r="P501" s="4">
        <v>33</v>
      </c>
      <c r="Q501" s="2">
        <v>3.1</v>
      </c>
      <c r="R501" t="str">
        <f>IF(BBDD_fashion_boutique[[#This Row],[stock_quantity]]&gt;9,"Ok",IF(BBDD_fashion_boutique[[#This Row],[stock_quantity]]=0,"Agotado","Pocas Unidades"))</f>
        <v>Ok</v>
      </c>
      <c r="S501" s="3">
        <f>IF(BBDD_fashion_boutique[[#This Row],[customer_rating]]="","No valorado",BBDD_fashion_boutique[[#This Row],[customer_rating]])</f>
        <v>3.1</v>
      </c>
      <c r="T501" t="s">
        <v>24</v>
      </c>
      <c r="V501">
        <f>IF(BBDD_fashion_boutique[[#This Row],[is_returned]]="False",0,1)</f>
        <v>0</v>
      </c>
      <c r="W501">
        <f>IF(BBDD_fashion_boutique[[#This Row],[is_returned]]="True",0,BBDD_fashion_boutique[[#This Row],[current_price]])</f>
        <v>204.68</v>
      </c>
      <c r="X501" t="str">
        <f>IF(BBDD_fashion_boutique[[#This Row],[return_reason]]="","No return",BBDD_fashion_boutique[[#This Row],[return_reason]])</f>
        <v>No return</v>
      </c>
      <c r="Y501">
        <f>IF(IFERROR(VLOOKUP(BBDD_fashion_boutique[[#This Row],[product_id]],A502:A2677,1,FALSE),0),1,0)</f>
        <v>0</v>
      </c>
    </row>
    <row r="502" spans="1:25" x14ac:dyDescent="0.3">
      <c r="A502" t="s">
        <v>561</v>
      </c>
      <c r="B502" t="s">
        <v>44</v>
      </c>
      <c r="C502" t="s">
        <v>81</v>
      </c>
      <c r="D502" t="s">
        <v>21</v>
      </c>
      <c r="E502" t="s">
        <v>29</v>
      </c>
      <c r="F502" t="str">
        <f>IF(BBDD_fashion_boutique[[#This Row],[category]]="Accessories","Accesorio",IF(BBDD_fashion_boutique[[#This Row],[size]]="","Desconocido",BBDD_fashion_boutique[[#This Row],[size]]))</f>
        <v>L</v>
      </c>
      <c r="G502" t="s">
        <v>40</v>
      </c>
      <c r="H502" s="2">
        <v>117.26</v>
      </c>
      <c r="I502">
        <v>0</v>
      </c>
      <c r="J502" s="5">
        <f>BBDD_fashion_boutique[[#This Row],[markdown_percentage]]/100</f>
        <v>0</v>
      </c>
      <c r="K502" s="2">
        <v>117.26</v>
      </c>
      <c r="L502" s="2">
        <f>BBDD_fashion_boutique[[#This Row],[original_price]]-BBDD_fashion_boutique[[#This Row],[current_price]]</f>
        <v>0</v>
      </c>
      <c r="M502" s="1">
        <v>45560</v>
      </c>
      <c r="N502" s="1" t="str">
        <f>PROPER(TEXT(BBDD_fashion_boutique[[#This Row],[purchase_date]],"dddd"))</f>
        <v>Miércoles</v>
      </c>
      <c r="O502" s="1" t="str">
        <f>PROPER(TEXT(BBDD_fashion_boutique[[#This Row],[purchase_date]],"mmmm"))</f>
        <v>Septiembre</v>
      </c>
      <c r="P502" s="4">
        <v>29</v>
      </c>
      <c r="R502" t="str">
        <f>IF(BBDD_fashion_boutique[[#This Row],[stock_quantity]]&gt;9,"Ok",IF(BBDD_fashion_boutique[[#This Row],[stock_quantity]]=0,"Agotado","Pocas Unidades"))</f>
        <v>Ok</v>
      </c>
      <c r="S502" s="3" t="str">
        <f>IF(BBDD_fashion_boutique[[#This Row],[customer_rating]]="","No valorado",BBDD_fashion_boutique[[#This Row],[customer_rating]])</f>
        <v>No valorado</v>
      </c>
      <c r="T502" t="s">
        <v>24</v>
      </c>
      <c r="V502">
        <f>IF(BBDD_fashion_boutique[[#This Row],[is_returned]]="False",0,1)</f>
        <v>0</v>
      </c>
      <c r="W502">
        <f>IF(BBDD_fashion_boutique[[#This Row],[is_returned]]="True",0,BBDD_fashion_boutique[[#This Row],[current_price]])</f>
        <v>117.26</v>
      </c>
      <c r="X502" t="str">
        <f>IF(BBDD_fashion_boutique[[#This Row],[return_reason]]="","No return",BBDD_fashion_boutique[[#This Row],[return_reason]])</f>
        <v>No return</v>
      </c>
      <c r="Y502">
        <f>IF(IFERROR(VLOOKUP(BBDD_fashion_boutique[[#This Row],[product_id]],A503:A2678,1,FALSE),0),1,0)</f>
        <v>0</v>
      </c>
    </row>
    <row r="503" spans="1:25" x14ac:dyDescent="0.3">
      <c r="A503" t="s">
        <v>562</v>
      </c>
      <c r="B503" t="s">
        <v>19</v>
      </c>
      <c r="C503" t="s">
        <v>67</v>
      </c>
      <c r="D503" t="s">
        <v>68</v>
      </c>
      <c r="E503" t="s">
        <v>55</v>
      </c>
      <c r="F503" t="str">
        <f>IF(BBDD_fashion_boutique[[#This Row],[category]]="Accessories","Accesorio",IF(BBDD_fashion_boutique[[#This Row],[size]]="","Desconocido",BBDD_fashion_boutique[[#This Row],[size]]))</f>
        <v>XXL</v>
      </c>
      <c r="G503" t="s">
        <v>40</v>
      </c>
      <c r="H503" s="2">
        <v>91.95</v>
      </c>
      <c r="I503">
        <v>0</v>
      </c>
      <c r="J503" s="5">
        <f>BBDD_fashion_boutique[[#This Row],[markdown_percentage]]/100</f>
        <v>0</v>
      </c>
      <c r="K503" s="2">
        <v>91.95</v>
      </c>
      <c r="L503" s="2">
        <f>BBDD_fashion_boutique[[#This Row],[original_price]]-BBDD_fashion_boutique[[#This Row],[current_price]]</f>
        <v>0</v>
      </c>
      <c r="M503" s="1">
        <v>45875</v>
      </c>
      <c r="N503" s="1" t="str">
        <f>PROPER(TEXT(BBDD_fashion_boutique[[#This Row],[purchase_date]],"dddd"))</f>
        <v>Miércoles</v>
      </c>
      <c r="O503" s="1" t="str">
        <f>PROPER(TEXT(BBDD_fashion_boutique[[#This Row],[purchase_date]],"mmmm"))</f>
        <v>Agosto</v>
      </c>
      <c r="P503" s="4">
        <v>1</v>
      </c>
      <c r="Q503" s="2">
        <v>2.5</v>
      </c>
      <c r="R503" t="str">
        <f>IF(BBDD_fashion_boutique[[#This Row],[stock_quantity]]&gt;9,"Ok",IF(BBDD_fashion_boutique[[#This Row],[stock_quantity]]=0,"Agotado","Pocas Unidades"))</f>
        <v>Pocas Unidades</v>
      </c>
      <c r="S503" s="3">
        <f>IF(BBDD_fashion_boutique[[#This Row],[customer_rating]]="","No valorado",BBDD_fashion_boutique[[#This Row],[customer_rating]])</f>
        <v>2.5</v>
      </c>
      <c r="T503" t="s">
        <v>24</v>
      </c>
      <c r="V503">
        <f>IF(BBDD_fashion_boutique[[#This Row],[is_returned]]="False",0,1)</f>
        <v>0</v>
      </c>
      <c r="W503">
        <f>IF(BBDD_fashion_boutique[[#This Row],[is_returned]]="True",0,BBDD_fashion_boutique[[#This Row],[current_price]])</f>
        <v>91.95</v>
      </c>
      <c r="X503" t="str">
        <f>IF(BBDD_fashion_boutique[[#This Row],[return_reason]]="","No return",BBDD_fashion_boutique[[#This Row],[return_reason]])</f>
        <v>No return</v>
      </c>
      <c r="Y503">
        <f>IF(IFERROR(VLOOKUP(BBDD_fashion_boutique[[#This Row],[product_id]],A504:A2679,1,FALSE),0),1,0)</f>
        <v>0</v>
      </c>
    </row>
    <row r="504" spans="1:25" x14ac:dyDescent="0.3">
      <c r="A504" t="s">
        <v>563</v>
      </c>
      <c r="B504" t="s">
        <v>44</v>
      </c>
      <c r="C504" t="s">
        <v>67</v>
      </c>
      <c r="D504" t="s">
        <v>39</v>
      </c>
      <c r="E504" t="s">
        <v>22</v>
      </c>
      <c r="F504" t="str">
        <f>IF(BBDD_fashion_boutique[[#This Row],[category]]="Accessories","Accesorio",IF(BBDD_fashion_boutique[[#This Row],[size]]="","Desconocido",BBDD_fashion_boutique[[#This Row],[size]]))</f>
        <v>XL</v>
      </c>
      <c r="G504" t="s">
        <v>70</v>
      </c>
      <c r="H504" s="2">
        <v>94.53</v>
      </c>
      <c r="I504">
        <v>0</v>
      </c>
      <c r="J504" s="5">
        <f>BBDD_fashion_boutique[[#This Row],[markdown_percentage]]/100</f>
        <v>0</v>
      </c>
      <c r="K504" s="2">
        <v>94.53</v>
      </c>
      <c r="L504" s="2">
        <f>BBDD_fashion_boutique[[#This Row],[original_price]]-BBDD_fashion_boutique[[#This Row],[current_price]]</f>
        <v>0</v>
      </c>
      <c r="M504" s="1">
        <v>45875</v>
      </c>
      <c r="N504" s="1" t="str">
        <f>PROPER(TEXT(BBDD_fashion_boutique[[#This Row],[purchase_date]],"dddd"))</f>
        <v>Miércoles</v>
      </c>
      <c r="O504" s="1" t="str">
        <f>PROPER(TEXT(BBDD_fashion_boutique[[#This Row],[purchase_date]],"mmmm"))</f>
        <v>Agosto</v>
      </c>
      <c r="P504" s="4">
        <v>13</v>
      </c>
      <c r="Q504" s="2">
        <v>2.4</v>
      </c>
      <c r="R504" t="str">
        <f>IF(BBDD_fashion_boutique[[#This Row],[stock_quantity]]&gt;9,"Ok",IF(BBDD_fashion_boutique[[#This Row],[stock_quantity]]=0,"Agotado","Pocas Unidades"))</f>
        <v>Ok</v>
      </c>
      <c r="S504" s="3">
        <f>IF(BBDD_fashion_boutique[[#This Row],[customer_rating]]="","No valorado",BBDD_fashion_boutique[[#This Row],[customer_rating]])</f>
        <v>2.4</v>
      </c>
      <c r="T504" t="s">
        <v>24</v>
      </c>
      <c r="V504">
        <f>IF(BBDD_fashion_boutique[[#This Row],[is_returned]]="False",0,1)</f>
        <v>0</v>
      </c>
      <c r="W504">
        <f>IF(BBDD_fashion_boutique[[#This Row],[is_returned]]="True",0,BBDD_fashion_boutique[[#This Row],[current_price]])</f>
        <v>94.53</v>
      </c>
      <c r="X504" t="str">
        <f>IF(BBDD_fashion_boutique[[#This Row],[return_reason]]="","No return",BBDD_fashion_boutique[[#This Row],[return_reason]])</f>
        <v>No return</v>
      </c>
      <c r="Y504">
        <f>IF(IFERROR(VLOOKUP(BBDD_fashion_boutique[[#This Row],[product_id]],A505:A2680,1,FALSE),0),1,0)</f>
        <v>0</v>
      </c>
    </row>
    <row r="505" spans="1:25" x14ac:dyDescent="0.3">
      <c r="A505" t="s">
        <v>564</v>
      </c>
      <c r="B505" t="s">
        <v>48</v>
      </c>
      <c r="C505" t="s">
        <v>49</v>
      </c>
      <c r="D505" t="s">
        <v>39</v>
      </c>
      <c r="E505" t="s">
        <v>55</v>
      </c>
      <c r="F505" t="str">
        <f>IF(BBDD_fashion_boutique[[#This Row],[category]]="Accessories","Accesorio",IF(BBDD_fashion_boutique[[#This Row],[size]]="","Desconocido",BBDD_fashion_boutique[[#This Row],[size]]))</f>
        <v>XXL</v>
      </c>
      <c r="G505" t="s">
        <v>40</v>
      </c>
      <c r="H505" s="2">
        <v>71.94</v>
      </c>
      <c r="I505">
        <v>3</v>
      </c>
      <c r="J505" s="5">
        <f>BBDD_fashion_boutique[[#This Row],[markdown_percentage]]/100</f>
        <v>0.03</v>
      </c>
      <c r="K505" s="2">
        <v>69.78</v>
      </c>
      <c r="L505" s="2">
        <f>BBDD_fashion_boutique[[#This Row],[original_price]]-BBDD_fashion_boutique[[#This Row],[current_price]]</f>
        <v>2.1599999999999966</v>
      </c>
      <c r="M505" s="1">
        <v>45875</v>
      </c>
      <c r="N505" s="1" t="str">
        <f>PROPER(TEXT(BBDD_fashion_boutique[[#This Row],[purchase_date]],"dddd"))</f>
        <v>Miércoles</v>
      </c>
      <c r="O505" s="1" t="str">
        <f>PROPER(TEXT(BBDD_fashion_boutique[[#This Row],[purchase_date]],"mmmm"))</f>
        <v>Agosto</v>
      </c>
      <c r="P505" s="4">
        <v>45</v>
      </c>
      <c r="Q505" s="2">
        <v>1.4</v>
      </c>
      <c r="R505" t="str">
        <f>IF(BBDD_fashion_boutique[[#This Row],[stock_quantity]]&gt;9,"Ok",IF(BBDD_fashion_boutique[[#This Row],[stock_quantity]]=0,"Agotado","Pocas Unidades"))</f>
        <v>Ok</v>
      </c>
      <c r="S505" s="3">
        <f>IF(BBDD_fashion_boutique[[#This Row],[customer_rating]]="","No valorado",BBDD_fashion_boutique[[#This Row],[customer_rating]])</f>
        <v>1.4</v>
      </c>
      <c r="T505" t="s">
        <v>24</v>
      </c>
      <c r="V505">
        <f>IF(BBDD_fashion_boutique[[#This Row],[is_returned]]="False",0,1)</f>
        <v>0</v>
      </c>
      <c r="W505">
        <f>IF(BBDD_fashion_boutique[[#This Row],[is_returned]]="True",0,BBDD_fashion_boutique[[#This Row],[current_price]])</f>
        <v>69.78</v>
      </c>
      <c r="X505" t="str">
        <f>IF(BBDD_fashion_boutique[[#This Row],[return_reason]]="","No return",BBDD_fashion_boutique[[#This Row],[return_reason]])</f>
        <v>No return</v>
      </c>
      <c r="Y505">
        <f>IF(IFERROR(VLOOKUP(BBDD_fashion_boutique[[#This Row],[product_id]],A506:A2681,1,FALSE),0),1,0)</f>
        <v>0</v>
      </c>
    </row>
    <row r="506" spans="1:25" x14ac:dyDescent="0.3">
      <c r="A506" t="s">
        <v>565</v>
      </c>
      <c r="B506" t="s">
        <v>48</v>
      </c>
      <c r="C506" t="s">
        <v>59</v>
      </c>
      <c r="D506" t="s">
        <v>28</v>
      </c>
      <c r="E506" t="s">
        <v>22</v>
      </c>
      <c r="F506" t="str">
        <f>IF(BBDD_fashion_boutique[[#This Row],[category]]="Accessories","Accesorio",IF(BBDD_fashion_boutique[[#This Row],[size]]="","Desconocido",BBDD_fashion_boutique[[#This Row],[size]]))</f>
        <v>XL</v>
      </c>
      <c r="G506" t="s">
        <v>52</v>
      </c>
      <c r="H506" s="2">
        <v>177.72</v>
      </c>
      <c r="I506">
        <v>5.9</v>
      </c>
      <c r="J506" s="5">
        <f>BBDD_fashion_boutique[[#This Row],[markdown_percentage]]/100</f>
        <v>5.9000000000000004E-2</v>
      </c>
      <c r="K506" s="2">
        <v>167.23</v>
      </c>
      <c r="L506" s="2">
        <f>BBDD_fashion_boutique[[#This Row],[original_price]]-BBDD_fashion_boutique[[#This Row],[current_price]]</f>
        <v>10.490000000000009</v>
      </c>
      <c r="M506" s="1">
        <v>45875</v>
      </c>
      <c r="N506" s="1" t="str">
        <f>PROPER(TEXT(BBDD_fashion_boutique[[#This Row],[purchase_date]],"dddd"))</f>
        <v>Miércoles</v>
      </c>
      <c r="O506" s="1" t="str">
        <f>PROPER(TEXT(BBDD_fashion_boutique[[#This Row],[purchase_date]],"mmmm"))</f>
        <v>Agosto</v>
      </c>
      <c r="P506" s="4">
        <v>47</v>
      </c>
      <c r="R506" t="str">
        <f>IF(BBDD_fashion_boutique[[#This Row],[stock_quantity]]&gt;9,"Ok",IF(BBDD_fashion_boutique[[#This Row],[stock_quantity]]=0,"Agotado","Pocas Unidades"))</f>
        <v>Ok</v>
      </c>
      <c r="S506" s="3" t="str">
        <f>IF(BBDD_fashion_boutique[[#This Row],[customer_rating]]="","No valorado",BBDD_fashion_boutique[[#This Row],[customer_rating]])</f>
        <v>No valorado</v>
      </c>
      <c r="T506" t="s">
        <v>24</v>
      </c>
      <c r="V506">
        <f>IF(BBDD_fashion_boutique[[#This Row],[is_returned]]="False",0,1)</f>
        <v>0</v>
      </c>
      <c r="W506">
        <f>IF(BBDD_fashion_boutique[[#This Row],[is_returned]]="True",0,BBDD_fashion_boutique[[#This Row],[current_price]])</f>
        <v>167.23</v>
      </c>
      <c r="X506" t="str">
        <f>IF(BBDD_fashion_boutique[[#This Row],[return_reason]]="","No return",BBDD_fashion_boutique[[#This Row],[return_reason]])</f>
        <v>No return</v>
      </c>
      <c r="Y506">
        <f>IF(IFERROR(VLOOKUP(BBDD_fashion_boutique[[#This Row],[product_id]],A507:A2682,1,FALSE),0),1,0)</f>
        <v>0</v>
      </c>
    </row>
    <row r="507" spans="1:25" x14ac:dyDescent="0.3">
      <c r="A507" t="s">
        <v>566</v>
      </c>
      <c r="B507" t="s">
        <v>32</v>
      </c>
      <c r="C507" t="s">
        <v>20</v>
      </c>
      <c r="D507" t="s">
        <v>68</v>
      </c>
      <c r="F507" t="str">
        <f>IF(BBDD_fashion_boutique[[#This Row],[category]]="Accessories","Accesorio",IF(BBDD_fashion_boutique[[#This Row],[size]]="","Desconocido",BBDD_fashion_boutique[[#This Row],[size]]))</f>
        <v>Accesorio</v>
      </c>
      <c r="G507" t="s">
        <v>40</v>
      </c>
      <c r="H507" s="2">
        <v>34.4</v>
      </c>
      <c r="I507">
        <v>0</v>
      </c>
      <c r="J507" s="5">
        <f>BBDD_fashion_boutique[[#This Row],[markdown_percentage]]/100</f>
        <v>0</v>
      </c>
      <c r="K507" s="2">
        <v>34.4</v>
      </c>
      <c r="L507" s="2">
        <f>BBDD_fashion_boutique[[#This Row],[original_price]]-BBDD_fashion_boutique[[#This Row],[current_price]]</f>
        <v>0</v>
      </c>
      <c r="M507" s="1">
        <v>45875</v>
      </c>
      <c r="N507" s="1" t="str">
        <f>PROPER(TEXT(BBDD_fashion_boutique[[#This Row],[purchase_date]],"dddd"))</f>
        <v>Miércoles</v>
      </c>
      <c r="O507" s="1" t="str">
        <f>PROPER(TEXT(BBDD_fashion_boutique[[#This Row],[purchase_date]],"mmmm"))</f>
        <v>Agosto</v>
      </c>
      <c r="P507" s="4">
        <v>43</v>
      </c>
      <c r="Q507" s="2">
        <v>3</v>
      </c>
      <c r="R507" t="str">
        <f>IF(BBDD_fashion_boutique[[#This Row],[stock_quantity]]&gt;9,"Ok",IF(BBDD_fashion_boutique[[#This Row],[stock_quantity]]=0,"Agotado","Pocas Unidades"))</f>
        <v>Ok</v>
      </c>
      <c r="S507" s="3">
        <f>IF(BBDD_fashion_boutique[[#This Row],[customer_rating]]="","No valorado",BBDD_fashion_boutique[[#This Row],[customer_rating]])</f>
        <v>3</v>
      </c>
      <c r="T507" t="s">
        <v>41</v>
      </c>
      <c r="U507" t="s">
        <v>131</v>
      </c>
      <c r="V507">
        <f>IF(BBDD_fashion_boutique[[#This Row],[is_returned]]="False",0,1)</f>
        <v>1</v>
      </c>
      <c r="W507">
        <f>IF(BBDD_fashion_boutique[[#This Row],[is_returned]]="True",0,BBDD_fashion_boutique[[#This Row],[current_price]])</f>
        <v>0</v>
      </c>
      <c r="X507" t="str">
        <f>IF(BBDD_fashion_boutique[[#This Row],[return_reason]]="","No return",BBDD_fashion_boutique[[#This Row],[return_reason]])</f>
        <v>Wrong Item</v>
      </c>
      <c r="Y507">
        <f>IF(IFERROR(VLOOKUP(BBDD_fashion_boutique[[#This Row],[product_id]],A508:A2683,1,FALSE),0),1,0)</f>
        <v>0</v>
      </c>
    </row>
    <row r="508" spans="1:25" x14ac:dyDescent="0.3">
      <c r="A508" t="s">
        <v>567</v>
      </c>
      <c r="B508" t="s">
        <v>44</v>
      </c>
      <c r="C508" t="s">
        <v>37</v>
      </c>
      <c r="D508" t="s">
        <v>21</v>
      </c>
      <c r="E508" t="s">
        <v>64</v>
      </c>
      <c r="F508" t="str">
        <f>IF(BBDD_fashion_boutique[[#This Row],[category]]="Accessories","Accesorio",IF(BBDD_fashion_boutique[[#This Row],[size]]="","Desconocido",BBDD_fashion_boutique[[#This Row],[size]]))</f>
        <v>M</v>
      </c>
      <c r="G508" t="s">
        <v>46</v>
      </c>
      <c r="H508" s="2">
        <v>119.72</v>
      </c>
      <c r="I508">
        <v>0</v>
      </c>
      <c r="J508" s="5">
        <f>BBDD_fashion_boutique[[#This Row],[markdown_percentage]]/100</f>
        <v>0</v>
      </c>
      <c r="K508" s="2">
        <v>119.72</v>
      </c>
      <c r="L508" s="2">
        <f>BBDD_fashion_boutique[[#This Row],[original_price]]-BBDD_fashion_boutique[[#This Row],[current_price]]</f>
        <v>0</v>
      </c>
      <c r="M508" s="1">
        <v>45675</v>
      </c>
      <c r="N508" s="1" t="str">
        <f>PROPER(TEXT(BBDD_fashion_boutique[[#This Row],[purchase_date]],"dddd"))</f>
        <v>Sábado</v>
      </c>
      <c r="O508" s="1" t="str">
        <f>PROPER(TEXT(BBDD_fashion_boutique[[#This Row],[purchase_date]],"mmmm"))</f>
        <v>Enero</v>
      </c>
      <c r="P508" s="4">
        <v>18</v>
      </c>
      <c r="Q508" s="2">
        <v>3.7</v>
      </c>
      <c r="R508" t="str">
        <f>IF(BBDD_fashion_boutique[[#This Row],[stock_quantity]]&gt;9,"Ok",IF(BBDD_fashion_boutique[[#This Row],[stock_quantity]]=0,"Agotado","Pocas Unidades"))</f>
        <v>Ok</v>
      </c>
      <c r="S508" s="3">
        <f>IF(BBDD_fashion_boutique[[#This Row],[customer_rating]]="","No valorado",BBDD_fashion_boutique[[#This Row],[customer_rating]])</f>
        <v>3.7</v>
      </c>
      <c r="T508" t="s">
        <v>24</v>
      </c>
      <c r="V508">
        <f>IF(BBDD_fashion_boutique[[#This Row],[is_returned]]="False",0,1)</f>
        <v>0</v>
      </c>
      <c r="W508">
        <f>IF(BBDD_fashion_boutique[[#This Row],[is_returned]]="True",0,BBDD_fashion_boutique[[#This Row],[current_price]])</f>
        <v>119.72</v>
      </c>
      <c r="X508" t="str">
        <f>IF(BBDD_fashion_boutique[[#This Row],[return_reason]]="","No return",BBDD_fashion_boutique[[#This Row],[return_reason]])</f>
        <v>No return</v>
      </c>
      <c r="Y508">
        <f>IF(IFERROR(VLOOKUP(BBDD_fashion_boutique[[#This Row],[product_id]],A509:A2684,1,FALSE),0),1,0)</f>
        <v>0</v>
      </c>
    </row>
    <row r="509" spans="1:25" x14ac:dyDescent="0.3">
      <c r="A509" t="s">
        <v>568</v>
      </c>
      <c r="B509" t="s">
        <v>32</v>
      </c>
      <c r="C509" t="s">
        <v>54</v>
      </c>
      <c r="D509" t="s">
        <v>68</v>
      </c>
      <c r="F509" t="str">
        <f>IF(BBDD_fashion_boutique[[#This Row],[category]]="Accessories","Accesorio",IF(BBDD_fashion_boutique[[#This Row],[size]]="","Desconocido",BBDD_fashion_boutique[[#This Row],[size]]))</f>
        <v>Accesorio</v>
      </c>
      <c r="G509" t="s">
        <v>76</v>
      </c>
      <c r="H509" s="2">
        <v>44.09</v>
      </c>
      <c r="I509">
        <v>0</v>
      </c>
      <c r="J509" s="5">
        <f>BBDD_fashion_boutique[[#This Row],[markdown_percentage]]/100</f>
        <v>0</v>
      </c>
      <c r="K509" s="2">
        <v>44.09</v>
      </c>
      <c r="L509" s="2">
        <f>BBDD_fashion_boutique[[#This Row],[original_price]]-BBDD_fashion_boutique[[#This Row],[current_price]]</f>
        <v>0</v>
      </c>
      <c r="M509" s="1">
        <v>45875</v>
      </c>
      <c r="N509" s="1" t="str">
        <f>PROPER(TEXT(BBDD_fashion_boutique[[#This Row],[purchase_date]],"dddd"))</f>
        <v>Miércoles</v>
      </c>
      <c r="O509" s="1" t="str">
        <f>PROPER(TEXT(BBDD_fashion_boutique[[#This Row],[purchase_date]],"mmmm"))</f>
        <v>Agosto</v>
      </c>
      <c r="P509" s="4">
        <v>2</v>
      </c>
      <c r="Q509" s="2">
        <v>2</v>
      </c>
      <c r="R509" t="str">
        <f>IF(BBDD_fashion_boutique[[#This Row],[stock_quantity]]&gt;9,"Ok",IF(BBDD_fashion_boutique[[#This Row],[stock_quantity]]=0,"Agotado","Pocas Unidades"))</f>
        <v>Pocas Unidades</v>
      </c>
      <c r="S509" s="3">
        <f>IF(BBDD_fashion_boutique[[#This Row],[customer_rating]]="","No valorado",BBDD_fashion_boutique[[#This Row],[customer_rating]])</f>
        <v>2</v>
      </c>
      <c r="T509" t="s">
        <v>24</v>
      </c>
      <c r="V509">
        <f>IF(BBDD_fashion_boutique[[#This Row],[is_returned]]="False",0,1)</f>
        <v>0</v>
      </c>
      <c r="W509">
        <f>IF(BBDD_fashion_boutique[[#This Row],[is_returned]]="True",0,BBDD_fashion_boutique[[#This Row],[current_price]])</f>
        <v>44.09</v>
      </c>
      <c r="X509" t="str">
        <f>IF(BBDD_fashion_boutique[[#This Row],[return_reason]]="","No return",BBDD_fashion_boutique[[#This Row],[return_reason]])</f>
        <v>No return</v>
      </c>
      <c r="Y509">
        <f>IF(IFERROR(VLOOKUP(BBDD_fashion_boutique[[#This Row],[product_id]],A510:A2685,1,FALSE),0),1,0)</f>
        <v>0</v>
      </c>
    </row>
    <row r="510" spans="1:25" x14ac:dyDescent="0.3">
      <c r="A510" t="s">
        <v>569</v>
      </c>
      <c r="B510" t="s">
        <v>44</v>
      </c>
      <c r="C510" t="s">
        <v>49</v>
      </c>
      <c r="D510" t="s">
        <v>21</v>
      </c>
      <c r="E510" t="s">
        <v>22</v>
      </c>
      <c r="F510" t="str">
        <f>IF(BBDD_fashion_boutique[[#This Row],[category]]="Accessories","Accesorio",IF(BBDD_fashion_boutique[[#This Row],[size]]="","Desconocido",BBDD_fashion_boutique[[#This Row],[size]]))</f>
        <v>XL</v>
      </c>
      <c r="G510" t="s">
        <v>72</v>
      </c>
      <c r="H510" s="2">
        <v>42.47</v>
      </c>
      <c r="I510">
        <v>0</v>
      </c>
      <c r="J510" s="5">
        <f>BBDD_fashion_boutique[[#This Row],[markdown_percentage]]/100</f>
        <v>0</v>
      </c>
      <c r="K510" s="2">
        <v>42.47</v>
      </c>
      <c r="L510" s="2">
        <f>BBDD_fashion_boutique[[#This Row],[original_price]]-BBDD_fashion_boutique[[#This Row],[current_price]]</f>
        <v>0</v>
      </c>
      <c r="M510" s="1">
        <v>45610</v>
      </c>
      <c r="N510" s="1" t="str">
        <f>PROPER(TEXT(BBDD_fashion_boutique[[#This Row],[purchase_date]],"dddd"))</f>
        <v>Jueves</v>
      </c>
      <c r="O510" s="1" t="str">
        <f>PROPER(TEXT(BBDD_fashion_boutique[[#This Row],[purchase_date]],"mmmm"))</f>
        <v>Noviembre</v>
      </c>
      <c r="P510" s="4">
        <v>33</v>
      </c>
      <c r="Q510" s="2">
        <v>4.5</v>
      </c>
      <c r="R510" t="str">
        <f>IF(BBDD_fashion_boutique[[#This Row],[stock_quantity]]&gt;9,"Ok",IF(BBDD_fashion_boutique[[#This Row],[stock_quantity]]=0,"Agotado","Pocas Unidades"))</f>
        <v>Ok</v>
      </c>
      <c r="S510" s="3">
        <f>IF(BBDD_fashion_boutique[[#This Row],[customer_rating]]="","No valorado",BBDD_fashion_boutique[[#This Row],[customer_rating]])</f>
        <v>4.5</v>
      </c>
      <c r="T510" t="s">
        <v>41</v>
      </c>
      <c r="U510" t="s">
        <v>121</v>
      </c>
      <c r="V510">
        <f>IF(BBDD_fashion_boutique[[#This Row],[is_returned]]="False",0,1)</f>
        <v>1</v>
      </c>
      <c r="W510">
        <f>IF(BBDD_fashion_boutique[[#This Row],[is_returned]]="True",0,BBDD_fashion_boutique[[#This Row],[current_price]])</f>
        <v>0</v>
      </c>
      <c r="X510" t="str">
        <f>IF(BBDD_fashion_boutique[[#This Row],[return_reason]]="","No return",BBDD_fashion_boutique[[#This Row],[return_reason]])</f>
        <v>Changed Mind</v>
      </c>
      <c r="Y510">
        <f>IF(IFERROR(VLOOKUP(BBDD_fashion_boutique[[#This Row],[product_id]],A511:A2686,1,FALSE),0),1,0)</f>
        <v>0</v>
      </c>
    </row>
    <row r="511" spans="1:25" x14ac:dyDescent="0.3">
      <c r="A511" t="s">
        <v>570</v>
      </c>
      <c r="B511" t="s">
        <v>48</v>
      </c>
      <c r="C511" t="s">
        <v>37</v>
      </c>
      <c r="D511" t="s">
        <v>68</v>
      </c>
      <c r="E511" t="s">
        <v>22</v>
      </c>
      <c r="F511" t="str">
        <f>IF(BBDD_fashion_boutique[[#This Row],[category]]="Accessories","Accesorio",IF(BBDD_fashion_boutique[[#This Row],[size]]="","Desconocido",BBDD_fashion_boutique[[#This Row],[size]]))</f>
        <v>XL</v>
      </c>
      <c r="G511" t="s">
        <v>72</v>
      </c>
      <c r="H511" s="2">
        <v>68.430000000000007</v>
      </c>
      <c r="I511">
        <v>0</v>
      </c>
      <c r="J511" s="5">
        <f>BBDD_fashion_boutique[[#This Row],[markdown_percentage]]/100</f>
        <v>0</v>
      </c>
      <c r="K511" s="2">
        <v>68.430000000000007</v>
      </c>
      <c r="L511" s="2">
        <f>BBDD_fashion_boutique[[#This Row],[original_price]]-BBDD_fashion_boutique[[#This Row],[current_price]]</f>
        <v>0</v>
      </c>
      <c r="M511" s="1">
        <v>45875</v>
      </c>
      <c r="N511" s="1" t="str">
        <f>PROPER(TEXT(BBDD_fashion_boutique[[#This Row],[purchase_date]],"dddd"))</f>
        <v>Miércoles</v>
      </c>
      <c r="O511" s="1" t="str">
        <f>PROPER(TEXT(BBDD_fashion_boutique[[#This Row],[purchase_date]],"mmmm"))</f>
        <v>Agosto</v>
      </c>
      <c r="P511" s="4">
        <v>16</v>
      </c>
      <c r="R511" t="str">
        <f>IF(BBDD_fashion_boutique[[#This Row],[stock_quantity]]&gt;9,"Ok",IF(BBDD_fashion_boutique[[#This Row],[stock_quantity]]=0,"Agotado","Pocas Unidades"))</f>
        <v>Ok</v>
      </c>
      <c r="S511" s="3" t="str">
        <f>IF(BBDD_fashion_boutique[[#This Row],[customer_rating]]="","No valorado",BBDD_fashion_boutique[[#This Row],[customer_rating]])</f>
        <v>No valorado</v>
      </c>
      <c r="T511" t="s">
        <v>24</v>
      </c>
      <c r="V511">
        <f>IF(BBDD_fashion_boutique[[#This Row],[is_returned]]="False",0,1)</f>
        <v>0</v>
      </c>
      <c r="W511">
        <f>IF(BBDD_fashion_boutique[[#This Row],[is_returned]]="True",0,BBDD_fashion_boutique[[#This Row],[current_price]])</f>
        <v>68.430000000000007</v>
      </c>
      <c r="X511" t="str">
        <f>IF(BBDD_fashion_boutique[[#This Row],[return_reason]]="","No return",BBDD_fashion_boutique[[#This Row],[return_reason]])</f>
        <v>No return</v>
      </c>
      <c r="Y511">
        <f>IF(IFERROR(VLOOKUP(BBDD_fashion_boutique[[#This Row],[product_id]],A512:A2687,1,FALSE),0),1,0)</f>
        <v>0</v>
      </c>
    </row>
    <row r="512" spans="1:25" x14ac:dyDescent="0.3">
      <c r="A512" t="s">
        <v>571</v>
      </c>
      <c r="B512" t="s">
        <v>35</v>
      </c>
      <c r="C512" t="s">
        <v>20</v>
      </c>
      <c r="D512" t="s">
        <v>39</v>
      </c>
      <c r="E512" t="s">
        <v>61</v>
      </c>
      <c r="F512" t="str">
        <f>IF(BBDD_fashion_boutique[[#This Row],[category]]="Accessories","Accesorio",IF(BBDD_fashion_boutique[[#This Row],[size]]="","Desconocido",BBDD_fashion_boutique[[#This Row],[size]]))</f>
        <v>XS</v>
      </c>
      <c r="G512" t="s">
        <v>52</v>
      </c>
      <c r="H512" s="2">
        <v>165.39</v>
      </c>
      <c r="I512">
        <v>31.8</v>
      </c>
      <c r="J512" s="5">
        <f>BBDD_fashion_boutique[[#This Row],[markdown_percentage]]/100</f>
        <v>0.318</v>
      </c>
      <c r="K512" s="2">
        <v>112.8</v>
      </c>
      <c r="L512" s="2">
        <f>BBDD_fashion_boutique[[#This Row],[original_price]]-BBDD_fashion_boutique[[#This Row],[current_price]]</f>
        <v>52.589999999999989</v>
      </c>
      <c r="M512" s="1">
        <v>45875</v>
      </c>
      <c r="N512" s="1" t="str">
        <f>PROPER(TEXT(BBDD_fashion_boutique[[#This Row],[purchase_date]],"dddd"))</f>
        <v>Miércoles</v>
      </c>
      <c r="O512" s="1" t="str">
        <f>PROPER(TEXT(BBDD_fashion_boutique[[#This Row],[purchase_date]],"mmmm"))</f>
        <v>Agosto</v>
      </c>
      <c r="P512" s="4">
        <v>9</v>
      </c>
      <c r="Q512" s="2">
        <v>4.5999999999999996</v>
      </c>
      <c r="R512" t="str">
        <f>IF(BBDD_fashion_boutique[[#This Row],[stock_quantity]]&gt;9,"Ok",IF(BBDD_fashion_boutique[[#This Row],[stock_quantity]]=0,"Agotado","Pocas Unidades"))</f>
        <v>Pocas Unidades</v>
      </c>
      <c r="S512" s="3">
        <f>IF(BBDD_fashion_boutique[[#This Row],[customer_rating]]="","No valorado",BBDD_fashion_boutique[[#This Row],[customer_rating]])</f>
        <v>4.5999999999999996</v>
      </c>
      <c r="T512" t="s">
        <v>24</v>
      </c>
      <c r="V512">
        <f>IF(BBDD_fashion_boutique[[#This Row],[is_returned]]="False",0,1)</f>
        <v>0</v>
      </c>
      <c r="W512">
        <f>IF(BBDD_fashion_boutique[[#This Row],[is_returned]]="True",0,BBDD_fashion_boutique[[#This Row],[current_price]])</f>
        <v>112.8</v>
      </c>
      <c r="X512" t="str">
        <f>IF(BBDD_fashion_boutique[[#This Row],[return_reason]]="","No return",BBDD_fashion_boutique[[#This Row],[return_reason]])</f>
        <v>No return</v>
      </c>
      <c r="Y512">
        <f>IF(IFERROR(VLOOKUP(BBDD_fashion_boutique[[#This Row],[product_id]],A513:A2688,1,FALSE),0),1,0)</f>
        <v>0</v>
      </c>
    </row>
    <row r="513" spans="1:25" x14ac:dyDescent="0.3">
      <c r="A513" t="s">
        <v>572</v>
      </c>
      <c r="B513" t="s">
        <v>32</v>
      </c>
      <c r="C513" t="s">
        <v>59</v>
      </c>
      <c r="D513" t="s">
        <v>28</v>
      </c>
      <c r="F513" t="str">
        <f>IF(BBDD_fashion_boutique[[#This Row],[category]]="Accessories","Accesorio",IF(BBDD_fashion_boutique[[#This Row],[size]]="","Desconocido",BBDD_fashion_boutique[[#This Row],[size]]))</f>
        <v>Accesorio</v>
      </c>
      <c r="G513" t="s">
        <v>52</v>
      </c>
      <c r="H513" s="2">
        <v>35.36</v>
      </c>
      <c r="I513">
        <v>0</v>
      </c>
      <c r="J513" s="5">
        <f>BBDD_fashion_boutique[[#This Row],[markdown_percentage]]/100</f>
        <v>0</v>
      </c>
      <c r="K513" s="2">
        <v>35.36</v>
      </c>
      <c r="L513" s="2">
        <f>BBDD_fashion_boutique[[#This Row],[original_price]]-BBDD_fashion_boutique[[#This Row],[current_price]]</f>
        <v>0</v>
      </c>
      <c r="M513" s="1">
        <v>45875</v>
      </c>
      <c r="N513" s="1" t="str">
        <f>PROPER(TEXT(BBDD_fashion_boutique[[#This Row],[purchase_date]],"dddd"))</f>
        <v>Miércoles</v>
      </c>
      <c r="O513" s="1" t="str">
        <f>PROPER(TEXT(BBDD_fashion_boutique[[#This Row],[purchase_date]],"mmmm"))</f>
        <v>Agosto</v>
      </c>
      <c r="P513" s="4">
        <v>42</v>
      </c>
      <c r="Q513" s="2">
        <v>4.5</v>
      </c>
      <c r="R513" t="str">
        <f>IF(BBDD_fashion_boutique[[#This Row],[stock_quantity]]&gt;9,"Ok",IF(BBDD_fashion_boutique[[#This Row],[stock_quantity]]=0,"Agotado","Pocas Unidades"))</f>
        <v>Ok</v>
      </c>
      <c r="S513" s="3">
        <f>IF(BBDD_fashion_boutique[[#This Row],[customer_rating]]="","No valorado",BBDD_fashion_boutique[[#This Row],[customer_rating]])</f>
        <v>4.5</v>
      </c>
      <c r="T513" t="s">
        <v>24</v>
      </c>
      <c r="V513">
        <f>IF(BBDD_fashion_boutique[[#This Row],[is_returned]]="False",0,1)</f>
        <v>0</v>
      </c>
      <c r="W513">
        <f>IF(BBDD_fashion_boutique[[#This Row],[is_returned]]="True",0,BBDD_fashion_boutique[[#This Row],[current_price]])</f>
        <v>35.36</v>
      </c>
      <c r="X513" t="str">
        <f>IF(BBDD_fashion_boutique[[#This Row],[return_reason]]="","No return",BBDD_fashion_boutique[[#This Row],[return_reason]])</f>
        <v>No return</v>
      </c>
      <c r="Y513">
        <f>IF(IFERROR(VLOOKUP(BBDD_fashion_boutique[[#This Row],[product_id]],A514:A2689,1,FALSE),0),1,0)</f>
        <v>0</v>
      </c>
    </row>
    <row r="514" spans="1:25" x14ac:dyDescent="0.3">
      <c r="A514" t="s">
        <v>573</v>
      </c>
      <c r="B514" t="s">
        <v>48</v>
      </c>
      <c r="C514" t="s">
        <v>54</v>
      </c>
      <c r="D514" t="s">
        <v>68</v>
      </c>
      <c r="E514" t="s">
        <v>64</v>
      </c>
      <c r="F514" t="str">
        <f>IF(BBDD_fashion_boutique[[#This Row],[category]]="Accessories","Accesorio",IF(BBDD_fashion_boutique[[#This Row],[size]]="","Desconocido",BBDD_fashion_boutique[[#This Row],[size]]))</f>
        <v>M</v>
      </c>
      <c r="G514" t="s">
        <v>70</v>
      </c>
      <c r="H514" s="2">
        <v>95.73</v>
      </c>
      <c r="I514">
        <v>0</v>
      </c>
      <c r="J514" s="5">
        <f>BBDD_fashion_boutique[[#This Row],[markdown_percentage]]/100</f>
        <v>0</v>
      </c>
      <c r="K514" s="2">
        <v>95.73</v>
      </c>
      <c r="L514" s="2">
        <f>BBDD_fashion_boutique[[#This Row],[original_price]]-BBDD_fashion_boutique[[#This Row],[current_price]]</f>
        <v>0</v>
      </c>
      <c r="M514" s="1">
        <v>45875</v>
      </c>
      <c r="N514" s="1" t="str">
        <f>PROPER(TEXT(BBDD_fashion_boutique[[#This Row],[purchase_date]],"dddd"))</f>
        <v>Miércoles</v>
      </c>
      <c r="O514" s="1" t="str">
        <f>PROPER(TEXT(BBDD_fashion_boutique[[#This Row],[purchase_date]],"mmmm"))</f>
        <v>Agosto</v>
      </c>
      <c r="P514" s="4">
        <v>6</v>
      </c>
      <c r="Q514" s="2">
        <v>4.5999999999999996</v>
      </c>
      <c r="R514" t="str">
        <f>IF(BBDD_fashion_boutique[[#This Row],[stock_quantity]]&gt;9,"Ok",IF(BBDD_fashion_boutique[[#This Row],[stock_quantity]]=0,"Agotado","Pocas Unidades"))</f>
        <v>Pocas Unidades</v>
      </c>
      <c r="S514" s="3">
        <f>IF(BBDD_fashion_boutique[[#This Row],[customer_rating]]="","No valorado",BBDD_fashion_boutique[[#This Row],[customer_rating]])</f>
        <v>4.5999999999999996</v>
      </c>
      <c r="T514" t="s">
        <v>24</v>
      </c>
      <c r="V514">
        <f>IF(BBDD_fashion_boutique[[#This Row],[is_returned]]="False",0,1)</f>
        <v>0</v>
      </c>
      <c r="W514">
        <f>IF(BBDD_fashion_boutique[[#This Row],[is_returned]]="True",0,BBDD_fashion_boutique[[#This Row],[current_price]])</f>
        <v>95.73</v>
      </c>
      <c r="X514" t="str">
        <f>IF(BBDD_fashion_boutique[[#This Row],[return_reason]]="","No return",BBDD_fashion_boutique[[#This Row],[return_reason]])</f>
        <v>No return</v>
      </c>
      <c r="Y514">
        <f>IF(IFERROR(VLOOKUP(BBDD_fashion_boutique[[#This Row],[product_id]],A515:A2690,1,FALSE),0),1,0)</f>
        <v>0</v>
      </c>
    </row>
    <row r="515" spans="1:25" x14ac:dyDescent="0.3">
      <c r="A515" t="s">
        <v>574</v>
      </c>
      <c r="B515" t="s">
        <v>32</v>
      </c>
      <c r="C515" t="s">
        <v>37</v>
      </c>
      <c r="D515" t="s">
        <v>21</v>
      </c>
      <c r="F515" t="str">
        <f>IF(BBDD_fashion_boutique[[#This Row],[category]]="Accessories","Accesorio",IF(BBDD_fashion_boutique[[#This Row],[size]]="","Desconocido",BBDD_fashion_boutique[[#This Row],[size]]))</f>
        <v>Accesorio</v>
      </c>
      <c r="G515" t="s">
        <v>76</v>
      </c>
      <c r="H515" s="2">
        <v>72.28</v>
      </c>
      <c r="I515">
        <v>51.3</v>
      </c>
      <c r="J515" s="5">
        <f>BBDD_fashion_boutique[[#This Row],[markdown_percentage]]/100</f>
        <v>0.51300000000000001</v>
      </c>
      <c r="K515" s="2">
        <v>35.200000000000003</v>
      </c>
      <c r="L515" s="2">
        <f>BBDD_fashion_boutique[[#This Row],[original_price]]-BBDD_fashion_boutique[[#This Row],[current_price]]</f>
        <v>37.08</v>
      </c>
      <c r="M515" s="1">
        <v>45703</v>
      </c>
      <c r="N515" s="1" t="str">
        <f>PROPER(TEXT(BBDD_fashion_boutique[[#This Row],[purchase_date]],"dddd"))</f>
        <v>Sábado</v>
      </c>
      <c r="O515" s="1" t="str">
        <f>PROPER(TEXT(BBDD_fashion_boutique[[#This Row],[purchase_date]],"mmmm"))</f>
        <v>Febrero</v>
      </c>
      <c r="P515" s="4">
        <v>31</v>
      </c>
      <c r="Q515" s="2">
        <v>1.9</v>
      </c>
      <c r="R515" t="str">
        <f>IF(BBDD_fashion_boutique[[#This Row],[stock_quantity]]&gt;9,"Ok",IF(BBDD_fashion_boutique[[#This Row],[stock_quantity]]=0,"Agotado","Pocas Unidades"))</f>
        <v>Ok</v>
      </c>
      <c r="S515" s="3">
        <f>IF(BBDD_fashion_boutique[[#This Row],[customer_rating]]="","No valorado",BBDD_fashion_boutique[[#This Row],[customer_rating]])</f>
        <v>1.9</v>
      </c>
      <c r="T515" t="s">
        <v>24</v>
      </c>
      <c r="V515">
        <f>IF(BBDD_fashion_boutique[[#This Row],[is_returned]]="False",0,1)</f>
        <v>0</v>
      </c>
      <c r="W515">
        <f>IF(BBDD_fashion_boutique[[#This Row],[is_returned]]="True",0,BBDD_fashion_boutique[[#This Row],[current_price]])</f>
        <v>35.200000000000003</v>
      </c>
      <c r="X515" t="str">
        <f>IF(BBDD_fashion_boutique[[#This Row],[return_reason]]="","No return",BBDD_fashion_boutique[[#This Row],[return_reason]])</f>
        <v>No return</v>
      </c>
      <c r="Y515">
        <f>IF(IFERROR(VLOOKUP(BBDD_fashion_boutique[[#This Row],[product_id]],A516:A2691,1,FALSE),0),1,0)</f>
        <v>0</v>
      </c>
    </row>
    <row r="516" spans="1:25" x14ac:dyDescent="0.3">
      <c r="A516" t="s">
        <v>575</v>
      </c>
      <c r="B516" t="s">
        <v>19</v>
      </c>
      <c r="C516" t="s">
        <v>59</v>
      </c>
      <c r="D516" t="s">
        <v>68</v>
      </c>
      <c r="F516" t="str">
        <f>IF(BBDD_fashion_boutique[[#This Row],[category]]="Accessories","Accesorio",IF(BBDD_fashion_boutique[[#This Row],[size]]="","Desconocido",BBDD_fashion_boutique[[#This Row],[size]]))</f>
        <v>Desconocido</v>
      </c>
      <c r="G516" t="s">
        <v>40</v>
      </c>
      <c r="H516" s="2">
        <v>80.349999999999994</v>
      </c>
      <c r="I516">
        <v>0</v>
      </c>
      <c r="J516" s="5">
        <f>BBDD_fashion_boutique[[#This Row],[markdown_percentage]]/100</f>
        <v>0</v>
      </c>
      <c r="K516" s="2">
        <v>80.349999999999994</v>
      </c>
      <c r="L516" s="2">
        <f>BBDD_fashion_boutique[[#This Row],[original_price]]-BBDD_fashion_boutique[[#This Row],[current_price]]</f>
        <v>0</v>
      </c>
      <c r="M516" s="1">
        <v>45875</v>
      </c>
      <c r="N516" s="1" t="str">
        <f>PROPER(TEXT(BBDD_fashion_boutique[[#This Row],[purchase_date]],"dddd"))</f>
        <v>Miércoles</v>
      </c>
      <c r="O516" s="1" t="str">
        <f>PROPER(TEXT(BBDD_fashion_boutique[[#This Row],[purchase_date]],"mmmm"))</f>
        <v>Agosto</v>
      </c>
      <c r="P516" s="4">
        <v>28</v>
      </c>
      <c r="Q516" s="2">
        <v>2.9</v>
      </c>
      <c r="R516" t="str">
        <f>IF(BBDD_fashion_boutique[[#This Row],[stock_quantity]]&gt;9,"Ok",IF(BBDD_fashion_boutique[[#This Row],[stock_quantity]]=0,"Agotado","Pocas Unidades"))</f>
        <v>Ok</v>
      </c>
      <c r="S516" s="3">
        <f>IF(BBDD_fashion_boutique[[#This Row],[customer_rating]]="","No valorado",BBDD_fashion_boutique[[#This Row],[customer_rating]])</f>
        <v>2.9</v>
      </c>
      <c r="T516" t="s">
        <v>24</v>
      </c>
      <c r="V516">
        <f>IF(BBDD_fashion_boutique[[#This Row],[is_returned]]="False",0,1)</f>
        <v>0</v>
      </c>
      <c r="W516">
        <f>IF(BBDD_fashion_boutique[[#This Row],[is_returned]]="True",0,BBDD_fashion_boutique[[#This Row],[current_price]])</f>
        <v>80.349999999999994</v>
      </c>
      <c r="X516" t="str">
        <f>IF(BBDD_fashion_boutique[[#This Row],[return_reason]]="","No return",BBDD_fashion_boutique[[#This Row],[return_reason]])</f>
        <v>No return</v>
      </c>
      <c r="Y516">
        <f>IF(IFERROR(VLOOKUP(BBDD_fashion_boutique[[#This Row],[product_id]],A517:A2692,1,FALSE),0),1,0)</f>
        <v>0</v>
      </c>
    </row>
    <row r="517" spans="1:25" x14ac:dyDescent="0.3">
      <c r="A517" t="s">
        <v>576</v>
      </c>
      <c r="B517" t="s">
        <v>44</v>
      </c>
      <c r="C517" t="s">
        <v>37</v>
      </c>
      <c r="D517" t="s">
        <v>28</v>
      </c>
      <c r="E517" t="s">
        <v>22</v>
      </c>
      <c r="F517" t="str">
        <f>IF(BBDD_fashion_boutique[[#This Row],[category]]="Accessories","Accesorio",IF(BBDD_fashion_boutique[[#This Row],[size]]="","Desconocido",BBDD_fashion_boutique[[#This Row],[size]]))</f>
        <v>XL</v>
      </c>
      <c r="G517" t="s">
        <v>46</v>
      </c>
      <c r="H517" s="2">
        <v>119.04</v>
      </c>
      <c r="I517">
        <v>0</v>
      </c>
      <c r="J517" s="5">
        <f>BBDD_fashion_boutique[[#This Row],[markdown_percentage]]/100</f>
        <v>0</v>
      </c>
      <c r="K517" s="2">
        <v>119.04</v>
      </c>
      <c r="L517" s="2">
        <f>BBDD_fashion_boutique[[#This Row],[original_price]]-BBDD_fashion_boutique[[#This Row],[current_price]]</f>
        <v>0</v>
      </c>
      <c r="M517" s="1">
        <v>45875</v>
      </c>
      <c r="N517" s="1" t="str">
        <f>PROPER(TEXT(BBDD_fashion_boutique[[#This Row],[purchase_date]],"dddd"))</f>
        <v>Miércoles</v>
      </c>
      <c r="O517" s="1" t="str">
        <f>PROPER(TEXT(BBDD_fashion_boutique[[#This Row],[purchase_date]],"mmmm"))</f>
        <v>Agosto</v>
      </c>
      <c r="P517" s="4">
        <v>35</v>
      </c>
      <c r="Q517" s="2">
        <v>1.4</v>
      </c>
      <c r="R517" t="str">
        <f>IF(BBDD_fashion_boutique[[#This Row],[stock_quantity]]&gt;9,"Ok",IF(BBDD_fashion_boutique[[#This Row],[stock_quantity]]=0,"Agotado","Pocas Unidades"))</f>
        <v>Ok</v>
      </c>
      <c r="S517" s="3">
        <f>IF(BBDD_fashion_boutique[[#This Row],[customer_rating]]="","No valorado",BBDD_fashion_boutique[[#This Row],[customer_rating]])</f>
        <v>1.4</v>
      </c>
      <c r="T517" t="s">
        <v>24</v>
      </c>
      <c r="V517">
        <f>IF(BBDD_fashion_boutique[[#This Row],[is_returned]]="False",0,1)</f>
        <v>0</v>
      </c>
      <c r="W517">
        <f>IF(BBDD_fashion_boutique[[#This Row],[is_returned]]="True",0,BBDD_fashion_boutique[[#This Row],[current_price]])</f>
        <v>119.04</v>
      </c>
      <c r="X517" t="str">
        <f>IF(BBDD_fashion_boutique[[#This Row],[return_reason]]="","No return",BBDD_fashion_boutique[[#This Row],[return_reason]])</f>
        <v>No return</v>
      </c>
      <c r="Y517">
        <f>IF(IFERROR(VLOOKUP(BBDD_fashion_boutique[[#This Row],[product_id]],A518:A2693,1,FALSE),0),1,0)</f>
        <v>0</v>
      </c>
    </row>
    <row r="518" spans="1:25" x14ac:dyDescent="0.3">
      <c r="A518" t="s">
        <v>577</v>
      </c>
      <c r="B518" t="s">
        <v>26</v>
      </c>
      <c r="C518" t="s">
        <v>67</v>
      </c>
      <c r="D518" t="s">
        <v>28</v>
      </c>
      <c r="E518" t="s">
        <v>61</v>
      </c>
      <c r="F518" t="str">
        <f>IF(BBDD_fashion_boutique[[#This Row],[category]]="Accessories","Accesorio",IF(BBDD_fashion_boutique[[#This Row],[size]]="","Desconocido",BBDD_fashion_boutique[[#This Row],[size]]))</f>
        <v>XS</v>
      </c>
      <c r="G518" t="s">
        <v>76</v>
      </c>
      <c r="H518" s="2">
        <v>60.53</v>
      </c>
      <c r="I518">
        <v>42.5</v>
      </c>
      <c r="J518" s="5">
        <f>BBDD_fashion_boutique[[#This Row],[markdown_percentage]]/100</f>
        <v>0.42499999999999999</v>
      </c>
      <c r="K518" s="2">
        <v>34.799999999999997</v>
      </c>
      <c r="L518" s="2">
        <f>BBDD_fashion_boutique[[#This Row],[original_price]]-BBDD_fashion_boutique[[#This Row],[current_price]]</f>
        <v>25.730000000000004</v>
      </c>
      <c r="M518" s="1">
        <v>45875</v>
      </c>
      <c r="N518" s="1" t="str">
        <f>PROPER(TEXT(BBDD_fashion_boutique[[#This Row],[purchase_date]],"dddd"))</f>
        <v>Miércoles</v>
      </c>
      <c r="O518" s="1" t="str">
        <f>PROPER(TEXT(BBDD_fashion_boutique[[#This Row],[purchase_date]],"mmmm"))</f>
        <v>Agosto</v>
      </c>
      <c r="P518" s="4">
        <v>8</v>
      </c>
      <c r="R518" t="str">
        <f>IF(BBDD_fashion_boutique[[#This Row],[stock_quantity]]&gt;9,"Ok",IF(BBDD_fashion_boutique[[#This Row],[stock_quantity]]=0,"Agotado","Pocas Unidades"))</f>
        <v>Pocas Unidades</v>
      </c>
      <c r="S518" s="3" t="str">
        <f>IF(BBDD_fashion_boutique[[#This Row],[customer_rating]]="","No valorado",BBDD_fashion_boutique[[#This Row],[customer_rating]])</f>
        <v>No valorado</v>
      </c>
      <c r="T518" t="s">
        <v>41</v>
      </c>
      <c r="U518" t="s">
        <v>42</v>
      </c>
      <c r="V518">
        <f>IF(BBDD_fashion_boutique[[#This Row],[is_returned]]="False",0,1)</f>
        <v>1</v>
      </c>
      <c r="W518">
        <f>IF(BBDD_fashion_boutique[[#This Row],[is_returned]]="True",0,BBDD_fashion_boutique[[#This Row],[current_price]])</f>
        <v>0</v>
      </c>
      <c r="X518" t="str">
        <f>IF(BBDD_fashion_boutique[[#This Row],[return_reason]]="","No return",BBDD_fashion_boutique[[#This Row],[return_reason]])</f>
        <v>Color Mismatch</v>
      </c>
      <c r="Y518">
        <f>IF(IFERROR(VLOOKUP(BBDD_fashion_boutique[[#This Row],[product_id]],A519:A2694,1,FALSE),0),1,0)</f>
        <v>0</v>
      </c>
    </row>
    <row r="519" spans="1:25" x14ac:dyDescent="0.3">
      <c r="A519" t="s">
        <v>578</v>
      </c>
      <c r="B519" t="s">
        <v>19</v>
      </c>
      <c r="C519" t="s">
        <v>54</v>
      </c>
      <c r="D519" t="s">
        <v>39</v>
      </c>
      <c r="E519" t="s">
        <v>64</v>
      </c>
      <c r="F519" t="str">
        <f>IF(BBDD_fashion_boutique[[#This Row],[category]]="Accessories","Accesorio",IF(BBDD_fashion_boutique[[#This Row],[size]]="","Desconocido",BBDD_fashion_boutique[[#This Row],[size]]))</f>
        <v>M</v>
      </c>
      <c r="G519" t="s">
        <v>70</v>
      </c>
      <c r="H519" s="2">
        <v>92.54</v>
      </c>
      <c r="I519">
        <v>43.8</v>
      </c>
      <c r="J519" s="5">
        <f>BBDD_fashion_boutique[[#This Row],[markdown_percentage]]/100</f>
        <v>0.43799999999999994</v>
      </c>
      <c r="K519" s="2">
        <v>52.01</v>
      </c>
      <c r="L519" s="2">
        <f>BBDD_fashion_boutique[[#This Row],[original_price]]-BBDD_fashion_boutique[[#This Row],[current_price]]</f>
        <v>40.530000000000008</v>
      </c>
      <c r="M519" s="1">
        <v>45875</v>
      </c>
      <c r="N519" s="1" t="str">
        <f>PROPER(TEXT(BBDD_fashion_boutique[[#This Row],[purchase_date]],"dddd"))</f>
        <v>Miércoles</v>
      </c>
      <c r="O519" s="1" t="str">
        <f>PROPER(TEXT(BBDD_fashion_boutique[[#This Row],[purchase_date]],"mmmm"))</f>
        <v>Agosto</v>
      </c>
      <c r="P519" s="4">
        <v>33</v>
      </c>
      <c r="Q519" s="2">
        <v>1.5</v>
      </c>
      <c r="R519" t="str">
        <f>IF(BBDD_fashion_boutique[[#This Row],[stock_quantity]]&gt;9,"Ok",IF(BBDD_fashion_boutique[[#This Row],[stock_quantity]]=0,"Agotado","Pocas Unidades"))</f>
        <v>Ok</v>
      </c>
      <c r="S519" s="3">
        <f>IF(BBDD_fashion_boutique[[#This Row],[customer_rating]]="","No valorado",BBDD_fashion_boutique[[#This Row],[customer_rating]])</f>
        <v>1.5</v>
      </c>
      <c r="T519" t="s">
        <v>41</v>
      </c>
      <c r="U519" t="s">
        <v>84</v>
      </c>
      <c r="V519">
        <f>IF(BBDD_fashion_boutique[[#This Row],[is_returned]]="False",0,1)</f>
        <v>1</v>
      </c>
      <c r="W519">
        <f>IF(BBDD_fashion_boutique[[#This Row],[is_returned]]="True",0,BBDD_fashion_boutique[[#This Row],[current_price]])</f>
        <v>0</v>
      </c>
      <c r="X519" t="str">
        <f>IF(BBDD_fashion_boutique[[#This Row],[return_reason]]="","No return",BBDD_fashion_boutique[[#This Row],[return_reason]])</f>
        <v>Damaged</v>
      </c>
      <c r="Y519">
        <f>IF(IFERROR(VLOOKUP(BBDD_fashion_boutique[[#This Row],[product_id]],A520:A2695,1,FALSE),0),1,0)</f>
        <v>0</v>
      </c>
    </row>
    <row r="520" spans="1:25" x14ac:dyDescent="0.3">
      <c r="A520" t="s">
        <v>579</v>
      </c>
      <c r="B520" t="s">
        <v>32</v>
      </c>
      <c r="C520" t="s">
        <v>27</v>
      </c>
      <c r="D520" t="s">
        <v>39</v>
      </c>
      <c r="F520" t="str">
        <f>IF(BBDD_fashion_boutique[[#This Row],[category]]="Accessories","Accesorio",IF(BBDD_fashion_boutique[[#This Row],[size]]="","Desconocido",BBDD_fashion_boutique[[#This Row],[size]]))</f>
        <v>Accesorio</v>
      </c>
      <c r="G520" t="s">
        <v>30</v>
      </c>
      <c r="H520" s="2">
        <v>28.4</v>
      </c>
      <c r="I520">
        <v>0</v>
      </c>
      <c r="J520" s="5">
        <f>BBDD_fashion_boutique[[#This Row],[markdown_percentage]]/100</f>
        <v>0</v>
      </c>
      <c r="K520" s="2">
        <v>28.4</v>
      </c>
      <c r="L520" s="2">
        <f>BBDD_fashion_boutique[[#This Row],[original_price]]-BBDD_fashion_boutique[[#This Row],[current_price]]</f>
        <v>0</v>
      </c>
      <c r="M520" s="1">
        <v>45875</v>
      </c>
      <c r="N520" s="1" t="str">
        <f>PROPER(TEXT(BBDD_fashion_boutique[[#This Row],[purchase_date]],"dddd"))</f>
        <v>Miércoles</v>
      </c>
      <c r="O520" s="1" t="str">
        <f>PROPER(TEXT(BBDD_fashion_boutique[[#This Row],[purchase_date]],"mmmm"))</f>
        <v>Agosto</v>
      </c>
      <c r="P520" s="4">
        <v>4</v>
      </c>
      <c r="Q520" s="2">
        <v>3.1</v>
      </c>
      <c r="R520" t="str">
        <f>IF(BBDD_fashion_boutique[[#This Row],[stock_quantity]]&gt;9,"Ok",IF(BBDD_fashion_boutique[[#This Row],[stock_quantity]]=0,"Agotado","Pocas Unidades"))</f>
        <v>Pocas Unidades</v>
      </c>
      <c r="S520" s="3">
        <f>IF(BBDD_fashion_boutique[[#This Row],[customer_rating]]="","No valorado",BBDD_fashion_boutique[[#This Row],[customer_rating]])</f>
        <v>3.1</v>
      </c>
      <c r="T520" t="s">
        <v>24</v>
      </c>
      <c r="V520">
        <f>IF(BBDD_fashion_boutique[[#This Row],[is_returned]]="False",0,1)</f>
        <v>0</v>
      </c>
      <c r="W520">
        <f>IF(BBDD_fashion_boutique[[#This Row],[is_returned]]="True",0,BBDD_fashion_boutique[[#This Row],[current_price]])</f>
        <v>28.4</v>
      </c>
      <c r="X520" t="str">
        <f>IF(BBDD_fashion_boutique[[#This Row],[return_reason]]="","No return",BBDD_fashion_boutique[[#This Row],[return_reason]])</f>
        <v>No return</v>
      </c>
      <c r="Y520">
        <f>IF(IFERROR(VLOOKUP(BBDD_fashion_boutique[[#This Row],[product_id]],A521:A2696,1,FALSE),0),1,0)</f>
        <v>0</v>
      </c>
    </row>
    <row r="521" spans="1:25" x14ac:dyDescent="0.3">
      <c r="A521" t="s">
        <v>580</v>
      </c>
      <c r="B521" t="s">
        <v>44</v>
      </c>
      <c r="C521" t="s">
        <v>20</v>
      </c>
      <c r="D521" t="s">
        <v>68</v>
      </c>
      <c r="E521" t="s">
        <v>64</v>
      </c>
      <c r="F521" t="str">
        <f>IF(BBDD_fashion_boutique[[#This Row],[category]]="Accessories","Accesorio",IF(BBDD_fashion_boutique[[#This Row],[size]]="","Desconocido",BBDD_fashion_boutique[[#This Row],[size]]))</f>
        <v>M</v>
      </c>
      <c r="G521" t="s">
        <v>46</v>
      </c>
      <c r="H521" s="2">
        <v>91.65</v>
      </c>
      <c r="I521">
        <v>0</v>
      </c>
      <c r="J521" s="5">
        <f>BBDD_fashion_boutique[[#This Row],[markdown_percentage]]/100</f>
        <v>0</v>
      </c>
      <c r="K521" s="2">
        <v>91.65</v>
      </c>
      <c r="L521" s="2">
        <f>BBDD_fashion_boutique[[#This Row],[original_price]]-BBDD_fashion_boutique[[#This Row],[current_price]]</f>
        <v>0</v>
      </c>
      <c r="M521" s="1">
        <v>45875</v>
      </c>
      <c r="N521" s="1" t="str">
        <f>PROPER(TEXT(BBDD_fashion_boutique[[#This Row],[purchase_date]],"dddd"))</f>
        <v>Miércoles</v>
      </c>
      <c r="O521" s="1" t="str">
        <f>PROPER(TEXT(BBDD_fashion_boutique[[#This Row],[purchase_date]],"mmmm"))</f>
        <v>Agosto</v>
      </c>
      <c r="P521" s="4">
        <v>40</v>
      </c>
      <c r="Q521" s="2">
        <v>3.8</v>
      </c>
      <c r="R521" t="str">
        <f>IF(BBDD_fashion_boutique[[#This Row],[stock_quantity]]&gt;9,"Ok",IF(BBDD_fashion_boutique[[#This Row],[stock_quantity]]=0,"Agotado","Pocas Unidades"))</f>
        <v>Ok</v>
      </c>
      <c r="S521" s="3">
        <f>IF(BBDD_fashion_boutique[[#This Row],[customer_rating]]="","No valorado",BBDD_fashion_boutique[[#This Row],[customer_rating]])</f>
        <v>3.8</v>
      </c>
      <c r="T521" t="s">
        <v>24</v>
      </c>
      <c r="V521">
        <f>IF(BBDD_fashion_boutique[[#This Row],[is_returned]]="False",0,1)</f>
        <v>0</v>
      </c>
      <c r="W521">
        <f>IF(BBDD_fashion_boutique[[#This Row],[is_returned]]="True",0,BBDD_fashion_boutique[[#This Row],[current_price]])</f>
        <v>91.65</v>
      </c>
      <c r="X521" t="str">
        <f>IF(BBDD_fashion_boutique[[#This Row],[return_reason]]="","No return",BBDD_fashion_boutique[[#This Row],[return_reason]])</f>
        <v>No return</v>
      </c>
      <c r="Y521">
        <f>IF(IFERROR(VLOOKUP(BBDD_fashion_boutique[[#This Row],[product_id]],A522:A2697,1,FALSE),0),1,0)</f>
        <v>0</v>
      </c>
    </row>
    <row r="522" spans="1:25" x14ac:dyDescent="0.3">
      <c r="A522" t="s">
        <v>581</v>
      </c>
      <c r="B522" t="s">
        <v>32</v>
      </c>
      <c r="C522" t="s">
        <v>49</v>
      </c>
      <c r="D522" t="s">
        <v>39</v>
      </c>
      <c r="F522" t="str">
        <f>IF(BBDD_fashion_boutique[[#This Row],[category]]="Accessories","Accesorio",IF(BBDD_fashion_boutique[[#This Row],[size]]="","Desconocido",BBDD_fashion_boutique[[#This Row],[size]]))</f>
        <v>Accesorio</v>
      </c>
      <c r="G522" t="s">
        <v>70</v>
      </c>
      <c r="H522" s="2">
        <v>72.569999999999993</v>
      </c>
      <c r="I522">
        <v>0</v>
      </c>
      <c r="J522" s="5">
        <f>BBDD_fashion_boutique[[#This Row],[markdown_percentage]]/100</f>
        <v>0</v>
      </c>
      <c r="K522" s="2">
        <v>72.569999999999993</v>
      </c>
      <c r="L522" s="2">
        <f>BBDD_fashion_boutique[[#This Row],[original_price]]-BBDD_fashion_boutique[[#This Row],[current_price]]</f>
        <v>0</v>
      </c>
      <c r="M522" s="1">
        <v>45875</v>
      </c>
      <c r="N522" s="1" t="str">
        <f>PROPER(TEXT(BBDD_fashion_boutique[[#This Row],[purchase_date]],"dddd"))</f>
        <v>Miércoles</v>
      </c>
      <c r="O522" s="1" t="str">
        <f>PROPER(TEXT(BBDD_fashion_boutique[[#This Row],[purchase_date]],"mmmm"))</f>
        <v>Agosto</v>
      </c>
      <c r="P522" s="4">
        <v>27</v>
      </c>
      <c r="Q522" s="2">
        <v>2.5</v>
      </c>
      <c r="R522" t="str">
        <f>IF(BBDD_fashion_boutique[[#This Row],[stock_quantity]]&gt;9,"Ok",IF(BBDD_fashion_boutique[[#This Row],[stock_quantity]]=0,"Agotado","Pocas Unidades"))</f>
        <v>Ok</v>
      </c>
      <c r="S522" s="3">
        <f>IF(BBDD_fashion_boutique[[#This Row],[customer_rating]]="","No valorado",BBDD_fashion_boutique[[#This Row],[customer_rating]])</f>
        <v>2.5</v>
      </c>
      <c r="T522" t="s">
        <v>24</v>
      </c>
      <c r="V522">
        <f>IF(BBDD_fashion_boutique[[#This Row],[is_returned]]="False",0,1)</f>
        <v>0</v>
      </c>
      <c r="W522">
        <f>IF(BBDD_fashion_boutique[[#This Row],[is_returned]]="True",0,BBDD_fashion_boutique[[#This Row],[current_price]])</f>
        <v>72.569999999999993</v>
      </c>
      <c r="X522" t="str">
        <f>IF(BBDD_fashion_boutique[[#This Row],[return_reason]]="","No return",BBDD_fashion_boutique[[#This Row],[return_reason]])</f>
        <v>No return</v>
      </c>
      <c r="Y522">
        <f>IF(IFERROR(VLOOKUP(BBDD_fashion_boutique[[#This Row],[product_id]],A523:A2698,1,FALSE),0),1,0)</f>
        <v>0</v>
      </c>
    </row>
    <row r="523" spans="1:25" x14ac:dyDescent="0.3">
      <c r="A523" t="s">
        <v>582</v>
      </c>
      <c r="B523" t="s">
        <v>44</v>
      </c>
      <c r="C523" t="s">
        <v>54</v>
      </c>
      <c r="D523" t="s">
        <v>39</v>
      </c>
      <c r="E523" t="s">
        <v>29</v>
      </c>
      <c r="F523" t="str">
        <f>IF(BBDD_fashion_boutique[[#This Row],[category]]="Accessories","Accesorio",IF(BBDD_fashion_boutique[[#This Row],[size]]="","Desconocido",BBDD_fashion_boutique[[#This Row],[size]]))</f>
        <v>L</v>
      </c>
      <c r="G523" t="s">
        <v>50</v>
      </c>
      <c r="H523" s="2">
        <v>39.049999999999997</v>
      </c>
      <c r="I523">
        <v>0</v>
      </c>
      <c r="J523" s="5">
        <f>BBDD_fashion_boutique[[#This Row],[markdown_percentage]]/100</f>
        <v>0</v>
      </c>
      <c r="K523" s="2">
        <v>39.049999999999997</v>
      </c>
      <c r="L523" s="2">
        <f>BBDD_fashion_boutique[[#This Row],[original_price]]-BBDD_fashion_boutique[[#This Row],[current_price]]</f>
        <v>0</v>
      </c>
      <c r="M523" s="1">
        <v>45875</v>
      </c>
      <c r="N523" s="1" t="str">
        <f>PROPER(TEXT(BBDD_fashion_boutique[[#This Row],[purchase_date]],"dddd"))</f>
        <v>Miércoles</v>
      </c>
      <c r="O523" s="1" t="str">
        <f>PROPER(TEXT(BBDD_fashion_boutique[[#This Row],[purchase_date]],"mmmm"))</f>
        <v>Agosto</v>
      </c>
      <c r="P523" s="4">
        <v>10</v>
      </c>
      <c r="Q523" s="2">
        <v>3.5</v>
      </c>
      <c r="R523" t="str">
        <f>IF(BBDD_fashion_boutique[[#This Row],[stock_quantity]]&gt;9,"Ok",IF(BBDD_fashion_boutique[[#This Row],[stock_quantity]]=0,"Agotado","Pocas Unidades"))</f>
        <v>Ok</v>
      </c>
      <c r="S523" s="3">
        <f>IF(BBDD_fashion_boutique[[#This Row],[customer_rating]]="","No valorado",BBDD_fashion_boutique[[#This Row],[customer_rating]])</f>
        <v>3.5</v>
      </c>
      <c r="T523" t="s">
        <v>24</v>
      </c>
      <c r="V523">
        <f>IF(BBDD_fashion_boutique[[#This Row],[is_returned]]="False",0,1)</f>
        <v>0</v>
      </c>
      <c r="W523">
        <f>IF(BBDD_fashion_boutique[[#This Row],[is_returned]]="True",0,BBDD_fashion_boutique[[#This Row],[current_price]])</f>
        <v>39.049999999999997</v>
      </c>
      <c r="X523" t="str">
        <f>IF(BBDD_fashion_boutique[[#This Row],[return_reason]]="","No return",BBDD_fashion_boutique[[#This Row],[return_reason]])</f>
        <v>No return</v>
      </c>
      <c r="Y523">
        <f>IF(IFERROR(VLOOKUP(BBDD_fashion_boutique[[#This Row],[product_id]],A524:A2699,1,FALSE),0),1,0)</f>
        <v>0</v>
      </c>
    </row>
    <row r="524" spans="1:25" x14ac:dyDescent="0.3">
      <c r="A524" t="s">
        <v>583</v>
      </c>
      <c r="B524" t="s">
        <v>48</v>
      </c>
      <c r="C524" t="s">
        <v>20</v>
      </c>
      <c r="D524" t="s">
        <v>28</v>
      </c>
      <c r="E524" t="s">
        <v>45</v>
      </c>
      <c r="F524" t="str">
        <f>IF(BBDD_fashion_boutique[[#This Row],[category]]="Accessories","Accesorio",IF(BBDD_fashion_boutique[[#This Row],[size]]="","Desconocido",BBDD_fashion_boutique[[#This Row],[size]]))</f>
        <v>S</v>
      </c>
      <c r="G524" t="s">
        <v>46</v>
      </c>
      <c r="H524" s="2">
        <v>113.21</v>
      </c>
      <c r="I524">
        <v>0</v>
      </c>
      <c r="J524" s="5">
        <f>BBDD_fashion_boutique[[#This Row],[markdown_percentage]]/100</f>
        <v>0</v>
      </c>
      <c r="K524" s="2">
        <v>113.21</v>
      </c>
      <c r="L524" s="2">
        <f>BBDD_fashion_boutique[[#This Row],[original_price]]-BBDD_fashion_boutique[[#This Row],[current_price]]</f>
        <v>0</v>
      </c>
      <c r="M524" s="1">
        <v>45875</v>
      </c>
      <c r="N524" s="1" t="str">
        <f>PROPER(TEXT(BBDD_fashion_boutique[[#This Row],[purchase_date]],"dddd"))</f>
        <v>Miércoles</v>
      </c>
      <c r="O524" s="1" t="str">
        <f>PROPER(TEXT(BBDD_fashion_boutique[[#This Row],[purchase_date]],"mmmm"))</f>
        <v>Agosto</v>
      </c>
      <c r="P524" s="4">
        <v>12</v>
      </c>
      <c r="Q524" s="2">
        <v>4.4000000000000004</v>
      </c>
      <c r="R524" t="str">
        <f>IF(BBDD_fashion_boutique[[#This Row],[stock_quantity]]&gt;9,"Ok",IF(BBDD_fashion_boutique[[#This Row],[stock_quantity]]=0,"Agotado","Pocas Unidades"))</f>
        <v>Ok</v>
      </c>
      <c r="S524" s="3">
        <f>IF(BBDD_fashion_boutique[[#This Row],[customer_rating]]="","No valorado",BBDD_fashion_boutique[[#This Row],[customer_rating]])</f>
        <v>4.4000000000000004</v>
      </c>
      <c r="T524" t="s">
        <v>24</v>
      </c>
      <c r="V524">
        <f>IF(BBDD_fashion_boutique[[#This Row],[is_returned]]="False",0,1)</f>
        <v>0</v>
      </c>
      <c r="W524">
        <f>IF(BBDD_fashion_boutique[[#This Row],[is_returned]]="True",0,BBDD_fashion_boutique[[#This Row],[current_price]])</f>
        <v>113.21</v>
      </c>
      <c r="X524" t="str">
        <f>IF(BBDD_fashion_boutique[[#This Row],[return_reason]]="","No return",BBDD_fashion_boutique[[#This Row],[return_reason]])</f>
        <v>No return</v>
      </c>
      <c r="Y524">
        <f>IF(IFERROR(VLOOKUP(BBDD_fashion_boutique[[#This Row],[product_id]],A525:A2700,1,FALSE),0),1,0)</f>
        <v>0</v>
      </c>
    </row>
    <row r="525" spans="1:25" x14ac:dyDescent="0.3">
      <c r="A525" t="s">
        <v>584</v>
      </c>
      <c r="B525" t="s">
        <v>32</v>
      </c>
      <c r="C525" t="s">
        <v>81</v>
      </c>
      <c r="D525" t="s">
        <v>21</v>
      </c>
      <c r="F525" t="str">
        <f>IF(BBDD_fashion_boutique[[#This Row],[category]]="Accessories","Accesorio",IF(BBDD_fashion_boutique[[#This Row],[size]]="","Desconocido",BBDD_fashion_boutique[[#This Row],[size]]))</f>
        <v>Accesorio</v>
      </c>
      <c r="G525" t="s">
        <v>70</v>
      </c>
      <c r="H525" s="2">
        <v>25.34</v>
      </c>
      <c r="I525">
        <v>0</v>
      </c>
      <c r="J525" s="5">
        <f>BBDD_fashion_boutique[[#This Row],[markdown_percentage]]/100</f>
        <v>0</v>
      </c>
      <c r="K525" s="2">
        <v>25.34</v>
      </c>
      <c r="L525" s="2">
        <f>BBDD_fashion_boutique[[#This Row],[original_price]]-BBDD_fashion_boutique[[#This Row],[current_price]]</f>
        <v>0</v>
      </c>
      <c r="M525" s="1">
        <v>45869</v>
      </c>
      <c r="N525" s="1" t="str">
        <f>PROPER(TEXT(BBDD_fashion_boutique[[#This Row],[purchase_date]],"dddd"))</f>
        <v>Jueves</v>
      </c>
      <c r="O525" s="1" t="str">
        <f>PROPER(TEXT(BBDD_fashion_boutique[[#This Row],[purchase_date]],"mmmm"))</f>
        <v>Julio</v>
      </c>
      <c r="P525" s="4">
        <v>17</v>
      </c>
      <c r="Q525" s="2">
        <v>3.3</v>
      </c>
      <c r="R525" t="str">
        <f>IF(BBDD_fashion_boutique[[#This Row],[stock_quantity]]&gt;9,"Ok",IF(BBDD_fashion_boutique[[#This Row],[stock_quantity]]=0,"Agotado","Pocas Unidades"))</f>
        <v>Ok</v>
      </c>
      <c r="S525" s="3">
        <f>IF(BBDD_fashion_boutique[[#This Row],[customer_rating]]="","No valorado",BBDD_fashion_boutique[[#This Row],[customer_rating]])</f>
        <v>3.3</v>
      </c>
      <c r="T525" t="s">
        <v>24</v>
      </c>
      <c r="V525">
        <f>IF(BBDD_fashion_boutique[[#This Row],[is_returned]]="False",0,1)</f>
        <v>0</v>
      </c>
      <c r="W525">
        <f>IF(BBDD_fashion_boutique[[#This Row],[is_returned]]="True",0,BBDD_fashion_boutique[[#This Row],[current_price]])</f>
        <v>25.34</v>
      </c>
      <c r="X525" t="str">
        <f>IF(BBDD_fashion_boutique[[#This Row],[return_reason]]="","No return",BBDD_fashion_boutique[[#This Row],[return_reason]])</f>
        <v>No return</v>
      </c>
      <c r="Y525">
        <f>IF(IFERROR(VLOOKUP(BBDD_fashion_boutique[[#This Row],[product_id]],A526:A2701,1,FALSE),0),1,0)</f>
        <v>0</v>
      </c>
    </row>
    <row r="526" spans="1:25" x14ac:dyDescent="0.3">
      <c r="A526" t="s">
        <v>585</v>
      </c>
      <c r="B526" t="s">
        <v>26</v>
      </c>
      <c r="C526" t="s">
        <v>49</v>
      </c>
      <c r="D526" t="s">
        <v>21</v>
      </c>
      <c r="E526" t="s">
        <v>29</v>
      </c>
      <c r="F526" t="str">
        <f>IF(BBDD_fashion_boutique[[#This Row],[category]]="Accessories","Accesorio",IF(BBDD_fashion_boutique[[#This Row],[size]]="","Desconocido",BBDD_fashion_boutique[[#This Row],[size]]))</f>
        <v>L</v>
      </c>
      <c r="G526" t="s">
        <v>33</v>
      </c>
      <c r="H526" s="2">
        <v>98.16</v>
      </c>
      <c r="I526">
        <v>56.7</v>
      </c>
      <c r="J526" s="5">
        <f>BBDD_fashion_boutique[[#This Row],[markdown_percentage]]/100</f>
        <v>0.56700000000000006</v>
      </c>
      <c r="K526" s="2">
        <v>42.5</v>
      </c>
      <c r="L526" s="2">
        <f>BBDD_fashion_boutique[[#This Row],[original_price]]-BBDD_fashion_boutique[[#This Row],[current_price]]</f>
        <v>55.66</v>
      </c>
      <c r="M526" s="1">
        <v>45693</v>
      </c>
      <c r="N526" s="1" t="str">
        <f>PROPER(TEXT(BBDD_fashion_boutique[[#This Row],[purchase_date]],"dddd"))</f>
        <v>Miércoles</v>
      </c>
      <c r="O526" s="1" t="str">
        <f>PROPER(TEXT(BBDD_fashion_boutique[[#This Row],[purchase_date]],"mmmm"))</f>
        <v>Febrero</v>
      </c>
      <c r="P526" s="4">
        <v>44</v>
      </c>
      <c r="Q526" s="2">
        <v>2.6</v>
      </c>
      <c r="R526" t="str">
        <f>IF(BBDD_fashion_boutique[[#This Row],[stock_quantity]]&gt;9,"Ok",IF(BBDD_fashion_boutique[[#This Row],[stock_quantity]]=0,"Agotado","Pocas Unidades"))</f>
        <v>Ok</v>
      </c>
      <c r="S526" s="3">
        <f>IF(BBDD_fashion_boutique[[#This Row],[customer_rating]]="","No valorado",BBDD_fashion_boutique[[#This Row],[customer_rating]])</f>
        <v>2.6</v>
      </c>
      <c r="T526" t="s">
        <v>24</v>
      </c>
      <c r="V526">
        <f>IF(BBDD_fashion_boutique[[#This Row],[is_returned]]="False",0,1)</f>
        <v>0</v>
      </c>
      <c r="W526">
        <f>IF(BBDD_fashion_boutique[[#This Row],[is_returned]]="True",0,BBDD_fashion_boutique[[#This Row],[current_price]])</f>
        <v>42.5</v>
      </c>
      <c r="X526" t="str">
        <f>IF(BBDD_fashion_boutique[[#This Row],[return_reason]]="","No return",BBDD_fashion_boutique[[#This Row],[return_reason]])</f>
        <v>No return</v>
      </c>
      <c r="Y526">
        <f>IF(IFERROR(VLOOKUP(BBDD_fashion_boutique[[#This Row],[product_id]],A527:A2702,1,FALSE),0),1,0)</f>
        <v>0</v>
      </c>
    </row>
    <row r="527" spans="1:25" x14ac:dyDescent="0.3">
      <c r="A527" t="s">
        <v>586</v>
      </c>
      <c r="B527" t="s">
        <v>26</v>
      </c>
      <c r="C527" t="s">
        <v>37</v>
      </c>
      <c r="D527" t="s">
        <v>21</v>
      </c>
      <c r="E527" t="s">
        <v>61</v>
      </c>
      <c r="F527" t="str">
        <f>IF(BBDD_fashion_boutique[[#This Row],[category]]="Accessories","Accesorio",IF(BBDD_fashion_boutique[[#This Row],[size]]="","Desconocido",BBDD_fashion_boutique[[#This Row],[size]]))</f>
        <v>XS</v>
      </c>
      <c r="G527" t="s">
        <v>72</v>
      </c>
      <c r="H527" s="2">
        <v>60.54</v>
      </c>
      <c r="I527">
        <v>0</v>
      </c>
      <c r="J527" s="5">
        <f>BBDD_fashion_boutique[[#This Row],[markdown_percentage]]/100</f>
        <v>0</v>
      </c>
      <c r="K527" s="2">
        <v>60.54</v>
      </c>
      <c r="L527" s="2">
        <f>BBDD_fashion_boutique[[#This Row],[original_price]]-BBDD_fashion_boutique[[#This Row],[current_price]]</f>
        <v>0</v>
      </c>
      <c r="M527" s="1">
        <v>45757</v>
      </c>
      <c r="N527" s="1" t="str">
        <f>PROPER(TEXT(BBDD_fashion_boutique[[#This Row],[purchase_date]],"dddd"))</f>
        <v>Jueves</v>
      </c>
      <c r="O527" s="1" t="str">
        <f>PROPER(TEXT(BBDD_fashion_boutique[[#This Row],[purchase_date]],"mmmm"))</f>
        <v>Abril</v>
      </c>
      <c r="P527" s="4">
        <v>35</v>
      </c>
      <c r="Q527" s="2">
        <v>1.7</v>
      </c>
      <c r="R527" t="str">
        <f>IF(BBDD_fashion_boutique[[#This Row],[stock_quantity]]&gt;9,"Ok",IF(BBDD_fashion_boutique[[#This Row],[stock_quantity]]=0,"Agotado","Pocas Unidades"))</f>
        <v>Ok</v>
      </c>
      <c r="S527" s="3">
        <f>IF(BBDD_fashion_boutique[[#This Row],[customer_rating]]="","No valorado",BBDD_fashion_boutique[[#This Row],[customer_rating]])</f>
        <v>1.7</v>
      </c>
      <c r="T527" t="s">
        <v>24</v>
      </c>
      <c r="V527">
        <f>IF(BBDD_fashion_boutique[[#This Row],[is_returned]]="False",0,1)</f>
        <v>0</v>
      </c>
      <c r="W527">
        <f>IF(BBDD_fashion_boutique[[#This Row],[is_returned]]="True",0,BBDD_fashion_boutique[[#This Row],[current_price]])</f>
        <v>60.54</v>
      </c>
      <c r="X527" t="str">
        <f>IF(BBDD_fashion_boutique[[#This Row],[return_reason]]="","No return",BBDD_fashion_boutique[[#This Row],[return_reason]])</f>
        <v>No return</v>
      </c>
      <c r="Y527">
        <f>IF(IFERROR(VLOOKUP(BBDD_fashion_boutique[[#This Row],[product_id]],A528:A2703,1,FALSE),0),1,0)</f>
        <v>0</v>
      </c>
    </row>
    <row r="528" spans="1:25" x14ac:dyDescent="0.3">
      <c r="A528" t="s">
        <v>587</v>
      </c>
      <c r="B528" t="s">
        <v>48</v>
      </c>
      <c r="C528" t="s">
        <v>20</v>
      </c>
      <c r="D528" t="s">
        <v>28</v>
      </c>
      <c r="E528" t="s">
        <v>45</v>
      </c>
      <c r="F528" t="str">
        <f>IF(BBDD_fashion_boutique[[#This Row],[category]]="Accessories","Accesorio",IF(BBDD_fashion_boutique[[#This Row],[size]]="","Desconocido",BBDD_fashion_boutique[[#This Row],[size]]))</f>
        <v>S</v>
      </c>
      <c r="G528" t="s">
        <v>30</v>
      </c>
      <c r="H528" s="2">
        <v>132.61000000000001</v>
      </c>
      <c r="I528">
        <v>7.4</v>
      </c>
      <c r="J528" s="5">
        <f>BBDD_fashion_boutique[[#This Row],[markdown_percentage]]/100</f>
        <v>7.400000000000001E-2</v>
      </c>
      <c r="K528" s="2">
        <v>122.8</v>
      </c>
      <c r="L528" s="2">
        <f>BBDD_fashion_boutique[[#This Row],[original_price]]-BBDD_fashion_boutique[[#This Row],[current_price]]</f>
        <v>9.8100000000000165</v>
      </c>
      <c r="M528" s="1">
        <v>45875</v>
      </c>
      <c r="N528" s="1" t="str">
        <f>PROPER(TEXT(BBDD_fashion_boutique[[#This Row],[purchase_date]],"dddd"))</f>
        <v>Miércoles</v>
      </c>
      <c r="O528" s="1" t="str">
        <f>PROPER(TEXT(BBDD_fashion_boutique[[#This Row],[purchase_date]],"mmmm"))</f>
        <v>Agosto</v>
      </c>
      <c r="P528" s="4">
        <v>0</v>
      </c>
      <c r="Q528" s="2">
        <v>4.2</v>
      </c>
      <c r="R528" t="str">
        <f>IF(BBDD_fashion_boutique[[#This Row],[stock_quantity]]&gt;9,"Ok",IF(BBDD_fashion_boutique[[#This Row],[stock_quantity]]=0,"Agotado","Pocas Unidades"))</f>
        <v>Agotado</v>
      </c>
      <c r="S528" s="3">
        <f>IF(BBDD_fashion_boutique[[#This Row],[customer_rating]]="","No valorado",BBDD_fashion_boutique[[#This Row],[customer_rating]])</f>
        <v>4.2</v>
      </c>
      <c r="T528" t="s">
        <v>24</v>
      </c>
      <c r="V528">
        <f>IF(BBDD_fashion_boutique[[#This Row],[is_returned]]="False",0,1)</f>
        <v>0</v>
      </c>
      <c r="W528">
        <f>IF(BBDD_fashion_boutique[[#This Row],[is_returned]]="True",0,BBDD_fashion_boutique[[#This Row],[current_price]])</f>
        <v>122.8</v>
      </c>
      <c r="X528" t="str">
        <f>IF(BBDD_fashion_boutique[[#This Row],[return_reason]]="","No return",BBDD_fashion_boutique[[#This Row],[return_reason]])</f>
        <v>No return</v>
      </c>
      <c r="Y528">
        <f>IF(IFERROR(VLOOKUP(BBDD_fashion_boutique[[#This Row],[product_id]],A529:A2704,1,FALSE),0),1,0)</f>
        <v>0</v>
      </c>
    </row>
    <row r="529" spans="1:25" x14ac:dyDescent="0.3">
      <c r="A529" t="s">
        <v>588</v>
      </c>
      <c r="B529" t="s">
        <v>19</v>
      </c>
      <c r="C529" t="s">
        <v>59</v>
      </c>
      <c r="D529" t="s">
        <v>39</v>
      </c>
      <c r="E529" t="s">
        <v>22</v>
      </c>
      <c r="F529" t="str">
        <f>IF(BBDD_fashion_boutique[[#This Row],[category]]="Accessories","Accesorio",IF(BBDD_fashion_boutique[[#This Row],[size]]="","Desconocido",BBDD_fashion_boutique[[#This Row],[size]]))</f>
        <v>XL</v>
      </c>
      <c r="G529" t="s">
        <v>30</v>
      </c>
      <c r="H529" s="2">
        <v>234.14</v>
      </c>
      <c r="I529">
        <v>0</v>
      </c>
      <c r="J529" s="5">
        <f>BBDD_fashion_boutique[[#This Row],[markdown_percentage]]/100</f>
        <v>0</v>
      </c>
      <c r="K529" s="2">
        <v>234.14</v>
      </c>
      <c r="L529" s="2">
        <f>BBDD_fashion_boutique[[#This Row],[original_price]]-BBDD_fashion_boutique[[#This Row],[current_price]]</f>
        <v>0</v>
      </c>
      <c r="M529" s="1">
        <v>45875</v>
      </c>
      <c r="N529" s="1" t="str">
        <f>PROPER(TEXT(BBDD_fashion_boutique[[#This Row],[purchase_date]],"dddd"))</f>
        <v>Miércoles</v>
      </c>
      <c r="O529" s="1" t="str">
        <f>PROPER(TEXT(BBDD_fashion_boutique[[#This Row],[purchase_date]],"mmmm"))</f>
        <v>Agosto</v>
      </c>
      <c r="P529" s="4">
        <v>40</v>
      </c>
      <c r="Q529" s="2">
        <v>1.7</v>
      </c>
      <c r="R529" t="str">
        <f>IF(BBDD_fashion_boutique[[#This Row],[stock_quantity]]&gt;9,"Ok",IF(BBDD_fashion_boutique[[#This Row],[stock_quantity]]=0,"Agotado","Pocas Unidades"))</f>
        <v>Ok</v>
      </c>
      <c r="S529" s="3">
        <f>IF(BBDD_fashion_boutique[[#This Row],[customer_rating]]="","No valorado",BBDD_fashion_boutique[[#This Row],[customer_rating]])</f>
        <v>1.7</v>
      </c>
      <c r="T529" t="s">
        <v>24</v>
      </c>
      <c r="V529">
        <f>IF(BBDD_fashion_boutique[[#This Row],[is_returned]]="False",0,1)</f>
        <v>0</v>
      </c>
      <c r="W529">
        <f>IF(BBDD_fashion_boutique[[#This Row],[is_returned]]="True",0,BBDD_fashion_boutique[[#This Row],[current_price]])</f>
        <v>234.14</v>
      </c>
      <c r="X529" t="str">
        <f>IF(BBDD_fashion_boutique[[#This Row],[return_reason]]="","No return",BBDD_fashion_boutique[[#This Row],[return_reason]])</f>
        <v>No return</v>
      </c>
      <c r="Y529">
        <f>IF(IFERROR(VLOOKUP(BBDD_fashion_boutique[[#This Row],[product_id]],A530:A2705,1,FALSE),0),1,0)</f>
        <v>0</v>
      </c>
    </row>
    <row r="530" spans="1:25" x14ac:dyDescent="0.3">
      <c r="A530" t="s">
        <v>589</v>
      </c>
      <c r="B530" t="s">
        <v>32</v>
      </c>
      <c r="C530" t="s">
        <v>54</v>
      </c>
      <c r="D530" t="s">
        <v>39</v>
      </c>
      <c r="F530" t="str">
        <f>IF(BBDD_fashion_boutique[[#This Row],[category]]="Accessories","Accesorio",IF(BBDD_fashion_boutique[[#This Row],[size]]="","Desconocido",BBDD_fashion_boutique[[#This Row],[size]]))</f>
        <v>Accesorio</v>
      </c>
      <c r="G530" t="s">
        <v>33</v>
      </c>
      <c r="H530" s="2">
        <v>31.86</v>
      </c>
      <c r="I530">
        <v>48.2</v>
      </c>
      <c r="J530" s="5">
        <f>BBDD_fashion_boutique[[#This Row],[markdown_percentage]]/100</f>
        <v>0.48200000000000004</v>
      </c>
      <c r="K530" s="2">
        <v>16.5</v>
      </c>
      <c r="L530" s="2">
        <f>BBDD_fashion_boutique[[#This Row],[original_price]]-BBDD_fashion_boutique[[#This Row],[current_price]]</f>
        <v>15.36</v>
      </c>
      <c r="M530" s="1">
        <v>45875</v>
      </c>
      <c r="N530" s="1" t="str">
        <f>PROPER(TEXT(BBDD_fashion_boutique[[#This Row],[purchase_date]],"dddd"))</f>
        <v>Miércoles</v>
      </c>
      <c r="O530" s="1" t="str">
        <f>PROPER(TEXT(BBDD_fashion_boutique[[#This Row],[purchase_date]],"mmmm"))</f>
        <v>Agosto</v>
      </c>
      <c r="P530" s="4">
        <v>32</v>
      </c>
      <c r="Q530" s="2">
        <v>4.5</v>
      </c>
      <c r="R530" t="str">
        <f>IF(BBDD_fashion_boutique[[#This Row],[stock_quantity]]&gt;9,"Ok",IF(BBDD_fashion_boutique[[#This Row],[stock_quantity]]=0,"Agotado","Pocas Unidades"))</f>
        <v>Ok</v>
      </c>
      <c r="S530" s="3">
        <f>IF(BBDD_fashion_boutique[[#This Row],[customer_rating]]="","No valorado",BBDD_fashion_boutique[[#This Row],[customer_rating]])</f>
        <v>4.5</v>
      </c>
      <c r="T530" t="s">
        <v>24</v>
      </c>
      <c r="V530">
        <f>IF(BBDD_fashion_boutique[[#This Row],[is_returned]]="False",0,1)</f>
        <v>0</v>
      </c>
      <c r="W530">
        <f>IF(BBDD_fashion_boutique[[#This Row],[is_returned]]="True",0,BBDD_fashion_boutique[[#This Row],[current_price]])</f>
        <v>16.5</v>
      </c>
      <c r="X530" t="str">
        <f>IF(BBDD_fashion_boutique[[#This Row],[return_reason]]="","No return",BBDD_fashion_boutique[[#This Row],[return_reason]])</f>
        <v>No return</v>
      </c>
      <c r="Y530">
        <f>IF(IFERROR(VLOOKUP(BBDD_fashion_boutique[[#This Row],[product_id]],A531:A2706,1,FALSE),0),1,0)</f>
        <v>0</v>
      </c>
    </row>
    <row r="531" spans="1:25" x14ac:dyDescent="0.3">
      <c r="A531" t="s">
        <v>590</v>
      </c>
      <c r="B531" t="s">
        <v>32</v>
      </c>
      <c r="C531" t="s">
        <v>27</v>
      </c>
      <c r="D531" t="s">
        <v>21</v>
      </c>
      <c r="F531" t="str">
        <f>IF(BBDD_fashion_boutique[[#This Row],[category]]="Accessories","Accesorio",IF(BBDD_fashion_boutique[[#This Row],[size]]="","Desconocido",BBDD_fashion_boutique[[#This Row],[size]]))</f>
        <v>Accesorio</v>
      </c>
      <c r="G531" t="s">
        <v>46</v>
      </c>
      <c r="H531" s="2">
        <v>15.14</v>
      </c>
      <c r="I531">
        <v>36.700000000000003</v>
      </c>
      <c r="J531" s="5">
        <f>BBDD_fashion_boutique[[#This Row],[markdown_percentage]]/100</f>
        <v>0.36700000000000005</v>
      </c>
      <c r="K531" s="2">
        <v>9.58</v>
      </c>
      <c r="L531" s="2">
        <f>BBDD_fashion_boutique[[#This Row],[original_price]]-BBDD_fashion_boutique[[#This Row],[current_price]]</f>
        <v>5.5600000000000005</v>
      </c>
      <c r="M531" s="1">
        <v>45861</v>
      </c>
      <c r="N531" s="1" t="str">
        <f>PROPER(TEXT(BBDD_fashion_boutique[[#This Row],[purchase_date]],"dddd"))</f>
        <v>Miércoles</v>
      </c>
      <c r="O531" s="1" t="str">
        <f>PROPER(TEXT(BBDD_fashion_boutique[[#This Row],[purchase_date]],"mmmm"))</f>
        <v>Julio</v>
      </c>
      <c r="P531" s="4">
        <v>41</v>
      </c>
      <c r="Q531" s="2">
        <v>3.8</v>
      </c>
      <c r="R531" t="str">
        <f>IF(BBDD_fashion_boutique[[#This Row],[stock_quantity]]&gt;9,"Ok",IF(BBDD_fashion_boutique[[#This Row],[stock_quantity]]=0,"Agotado","Pocas Unidades"))</f>
        <v>Ok</v>
      </c>
      <c r="S531" s="3">
        <f>IF(BBDD_fashion_boutique[[#This Row],[customer_rating]]="","No valorado",BBDD_fashion_boutique[[#This Row],[customer_rating]])</f>
        <v>3.8</v>
      </c>
      <c r="T531" t="s">
        <v>24</v>
      </c>
      <c r="V531">
        <f>IF(BBDD_fashion_boutique[[#This Row],[is_returned]]="False",0,1)</f>
        <v>0</v>
      </c>
      <c r="W531">
        <f>IF(BBDD_fashion_boutique[[#This Row],[is_returned]]="True",0,BBDD_fashion_boutique[[#This Row],[current_price]])</f>
        <v>9.58</v>
      </c>
      <c r="X531" t="str">
        <f>IF(BBDD_fashion_boutique[[#This Row],[return_reason]]="","No return",BBDD_fashion_boutique[[#This Row],[return_reason]])</f>
        <v>No return</v>
      </c>
      <c r="Y531">
        <f>IF(IFERROR(VLOOKUP(BBDD_fashion_boutique[[#This Row],[product_id]],A532:A2707,1,FALSE),0),1,0)</f>
        <v>0</v>
      </c>
    </row>
    <row r="532" spans="1:25" x14ac:dyDescent="0.3">
      <c r="A532" t="s">
        <v>591</v>
      </c>
      <c r="B532" t="s">
        <v>35</v>
      </c>
      <c r="C532" t="s">
        <v>54</v>
      </c>
      <c r="D532" t="s">
        <v>28</v>
      </c>
      <c r="E532" t="s">
        <v>61</v>
      </c>
      <c r="F532" t="str">
        <f>IF(BBDD_fashion_boutique[[#This Row],[category]]="Accessories","Accesorio",IF(BBDD_fashion_boutique[[#This Row],[size]]="","Desconocido",BBDD_fashion_boutique[[#This Row],[size]]))</f>
        <v>XS</v>
      </c>
      <c r="G532" t="s">
        <v>72</v>
      </c>
      <c r="H532" s="2">
        <v>77.72</v>
      </c>
      <c r="I532">
        <v>0</v>
      </c>
      <c r="J532" s="5">
        <f>BBDD_fashion_boutique[[#This Row],[markdown_percentage]]/100</f>
        <v>0</v>
      </c>
      <c r="K532" s="2">
        <v>77.72</v>
      </c>
      <c r="L532" s="2">
        <f>BBDD_fashion_boutique[[#This Row],[original_price]]-BBDD_fashion_boutique[[#This Row],[current_price]]</f>
        <v>0</v>
      </c>
      <c r="M532" s="1">
        <v>45875</v>
      </c>
      <c r="N532" s="1" t="str">
        <f>PROPER(TEXT(BBDD_fashion_boutique[[#This Row],[purchase_date]],"dddd"))</f>
        <v>Miércoles</v>
      </c>
      <c r="O532" s="1" t="str">
        <f>PROPER(TEXT(BBDD_fashion_boutique[[#This Row],[purchase_date]],"mmmm"))</f>
        <v>Agosto</v>
      </c>
      <c r="P532" s="4">
        <v>48</v>
      </c>
      <c r="Q532" s="2">
        <v>1.1000000000000001</v>
      </c>
      <c r="R532" t="str">
        <f>IF(BBDD_fashion_boutique[[#This Row],[stock_quantity]]&gt;9,"Ok",IF(BBDD_fashion_boutique[[#This Row],[stock_quantity]]=0,"Agotado","Pocas Unidades"))</f>
        <v>Ok</v>
      </c>
      <c r="S532" s="3">
        <f>IF(BBDD_fashion_boutique[[#This Row],[customer_rating]]="","No valorado",BBDD_fashion_boutique[[#This Row],[customer_rating]])</f>
        <v>1.1000000000000001</v>
      </c>
      <c r="T532" t="s">
        <v>24</v>
      </c>
      <c r="V532">
        <f>IF(BBDD_fashion_boutique[[#This Row],[is_returned]]="False",0,1)</f>
        <v>0</v>
      </c>
      <c r="W532">
        <f>IF(BBDD_fashion_boutique[[#This Row],[is_returned]]="True",0,BBDD_fashion_boutique[[#This Row],[current_price]])</f>
        <v>77.72</v>
      </c>
      <c r="X532" t="str">
        <f>IF(BBDD_fashion_boutique[[#This Row],[return_reason]]="","No return",BBDD_fashion_boutique[[#This Row],[return_reason]])</f>
        <v>No return</v>
      </c>
      <c r="Y532">
        <f>IF(IFERROR(VLOOKUP(BBDD_fashion_boutique[[#This Row],[product_id]],A533:A2708,1,FALSE),0),1,0)</f>
        <v>0</v>
      </c>
    </row>
    <row r="533" spans="1:25" x14ac:dyDescent="0.3">
      <c r="A533" t="s">
        <v>592</v>
      </c>
      <c r="B533" t="s">
        <v>32</v>
      </c>
      <c r="C533" t="s">
        <v>20</v>
      </c>
      <c r="D533" t="s">
        <v>21</v>
      </c>
      <c r="F533" t="str">
        <f>IF(BBDD_fashion_boutique[[#This Row],[category]]="Accessories","Accesorio",IF(BBDD_fashion_boutique[[#This Row],[size]]="","Desconocido",BBDD_fashion_boutique[[#This Row],[size]]))</f>
        <v>Accesorio</v>
      </c>
      <c r="G533" t="s">
        <v>46</v>
      </c>
      <c r="H533" s="2">
        <v>78.040000000000006</v>
      </c>
      <c r="I533">
        <v>0</v>
      </c>
      <c r="J533" s="5">
        <f>BBDD_fashion_boutique[[#This Row],[markdown_percentage]]/100</f>
        <v>0</v>
      </c>
      <c r="K533" s="2">
        <v>78.040000000000006</v>
      </c>
      <c r="L533" s="2">
        <f>BBDD_fashion_boutique[[#This Row],[original_price]]-BBDD_fashion_boutique[[#This Row],[current_price]]</f>
        <v>0</v>
      </c>
      <c r="M533" s="1">
        <v>45756</v>
      </c>
      <c r="N533" s="1" t="str">
        <f>PROPER(TEXT(BBDD_fashion_boutique[[#This Row],[purchase_date]],"dddd"))</f>
        <v>Miércoles</v>
      </c>
      <c r="O533" s="1" t="str">
        <f>PROPER(TEXT(BBDD_fashion_boutique[[#This Row],[purchase_date]],"mmmm"))</f>
        <v>Abril</v>
      </c>
      <c r="P533" s="4">
        <v>38</v>
      </c>
      <c r="Q533" s="2">
        <v>4.9000000000000004</v>
      </c>
      <c r="R533" t="str">
        <f>IF(BBDD_fashion_boutique[[#This Row],[stock_quantity]]&gt;9,"Ok",IF(BBDD_fashion_boutique[[#This Row],[stock_quantity]]=0,"Agotado","Pocas Unidades"))</f>
        <v>Ok</v>
      </c>
      <c r="S533" s="3">
        <f>IF(BBDD_fashion_boutique[[#This Row],[customer_rating]]="","No valorado",BBDD_fashion_boutique[[#This Row],[customer_rating]])</f>
        <v>4.9000000000000004</v>
      </c>
      <c r="T533" t="s">
        <v>24</v>
      </c>
      <c r="V533">
        <f>IF(BBDD_fashion_boutique[[#This Row],[is_returned]]="False",0,1)</f>
        <v>0</v>
      </c>
      <c r="W533">
        <f>IF(BBDD_fashion_boutique[[#This Row],[is_returned]]="True",0,BBDD_fashion_boutique[[#This Row],[current_price]])</f>
        <v>78.040000000000006</v>
      </c>
      <c r="X533" t="str">
        <f>IF(BBDD_fashion_boutique[[#This Row],[return_reason]]="","No return",BBDD_fashion_boutique[[#This Row],[return_reason]])</f>
        <v>No return</v>
      </c>
      <c r="Y533">
        <f>IF(IFERROR(VLOOKUP(BBDD_fashion_boutique[[#This Row],[product_id]],A534:A2709,1,FALSE),0),1,0)</f>
        <v>0</v>
      </c>
    </row>
    <row r="534" spans="1:25" x14ac:dyDescent="0.3">
      <c r="A534" t="s">
        <v>593</v>
      </c>
      <c r="B534" t="s">
        <v>19</v>
      </c>
      <c r="C534" t="s">
        <v>67</v>
      </c>
      <c r="D534" t="s">
        <v>39</v>
      </c>
      <c r="E534" t="s">
        <v>64</v>
      </c>
      <c r="F534" t="str">
        <f>IF(BBDD_fashion_boutique[[#This Row],[category]]="Accessories","Accesorio",IF(BBDD_fashion_boutique[[#This Row],[size]]="","Desconocido",BBDD_fashion_boutique[[#This Row],[size]]))</f>
        <v>M</v>
      </c>
      <c r="G534" t="s">
        <v>76</v>
      </c>
      <c r="H534" s="2">
        <v>169.82</v>
      </c>
      <c r="I534">
        <v>0</v>
      </c>
      <c r="J534" s="5">
        <f>BBDD_fashion_boutique[[#This Row],[markdown_percentage]]/100</f>
        <v>0</v>
      </c>
      <c r="K534" s="2">
        <v>169.82</v>
      </c>
      <c r="L534" s="2">
        <f>BBDD_fashion_boutique[[#This Row],[original_price]]-BBDD_fashion_boutique[[#This Row],[current_price]]</f>
        <v>0</v>
      </c>
      <c r="M534" s="1">
        <v>45875</v>
      </c>
      <c r="N534" s="1" t="str">
        <f>PROPER(TEXT(BBDD_fashion_boutique[[#This Row],[purchase_date]],"dddd"))</f>
        <v>Miércoles</v>
      </c>
      <c r="O534" s="1" t="str">
        <f>PROPER(TEXT(BBDD_fashion_boutique[[#This Row],[purchase_date]],"mmmm"))</f>
        <v>Agosto</v>
      </c>
      <c r="P534" s="4">
        <v>28</v>
      </c>
      <c r="Q534" s="2">
        <v>4</v>
      </c>
      <c r="R534" t="str">
        <f>IF(BBDD_fashion_boutique[[#This Row],[stock_quantity]]&gt;9,"Ok",IF(BBDD_fashion_boutique[[#This Row],[stock_quantity]]=0,"Agotado","Pocas Unidades"))</f>
        <v>Ok</v>
      </c>
      <c r="S534" s="3">
        <f>IF(BBDD_fashion_boutique[[#This Row],[customer_rating]]="","No valorado",BBDD_fashion_boutique[[#This Row],[customer_rating]])</f>
        <v>4</v>
      </c>
      <c r="T534" t="s">
        <v>24</v>
      </c>
      <c r="V534">
        <f>IF(BBDD_fashion_boutique[[#This Row],[is_returned]]="False",0,1)</f>
        <v>0</v>
      </c>
      <c r="W534">
        <f>IF(BBDD_fashion_boutique[[#This Row],[is_returned]]="True",0,BBDD_fashion_boutique[[#This Row],[current_price]])</f>
        <v>169.82</v>
      </c>
      <c r="X534" t="str">
        <f>IF(BBDD_fashion_boutique[[#This Row],[return_reason]]="","No return",BBDD_fashion_boutique[[#This Row],[return_reason]])</f>
        <v>No return</v>
      </c>
      <c r="Y534">
        <f>IF(IFERROR(VLOOKUP(BBDD_fashion_boutique[[#This Row],[product_id]],A535:A2710,1,FALSE),0),1,0)</f>
        <v>0</v>
      </c>
    </row>
    <row r="535" spans="1:25" x14ac:dyDescent="0.3">
      <c r="A535" t="s">
        <v>594</v>
      </c>
      <c r="B535" t="s">
        <v>44</v>
      </c>
      <c r="C535" t="s">
        <v>54</v>
      </c>
      <c r="D535" t="s">
        <v>21</v>
      </c>
      <c r="E535" t="s">
        <v>29</v>
      </c>
      <c r="F535" t="str">
        <f>IF(BBDD_fashion_boutique[[#This Row],[category]]="Accessories","Accesorio",IF(BBDD_fashion_boutique[[#This Row],[size]]="","Desconocido",BBDD_fashion_boutique[[#This Row],[size]]))</f>
        <v>L</v>
      </c>
      <c r="G535" t="s">
        <v>40</v>
      </c>
      <c r="H535" s="2">
        <v>94.71</v>
      </c>
      <c r="I535">
        <v>38.9</v>
      </c>
      <c r="J535" s="5">
        <f>BBDD_fashion_boutique[[#This Row],[markdown_percentage]]/100</f>
        <v>0.38900000000000001</v>
      </c>
      <c r="K535" s="2">
        <v>57.87</v>
      </c>
      <c r="L535" s="2">
        <f>BBDD_fashion_boutique[[#This Row],[original_price]]-BBDD_fashion_boutique[[#This Row],[current_price]]</f>
        <v>36.839999999999996</v>
      </c>
      <c r="M535" s="1">
        <v>45520</v>
      </c>
      <c r="N535" s="1" t="str">
        <f>PROPER(TEXT(BBDD_fashion_boutique[[#This Row],[purchase_date]],"dddd"))</f>
        <v>Viernes</v>
      </c>
      <c r="O535" s="1" t="str">
        <f>PROPER(TEXT(BBDD_fashion_boutique[[#This Row],[purchase_date]],"mmmm"))</f>
        <v>Agosto</v>
      </c>
      <c r="P535" s="4">
        <v>39</v>
      </c>
      <c r="Q535" s="2">
        <v>4.7</v>
      </c>
      <c r="R535" t="str">
        <f>IF(BBDD_fashion_boutique[[#This Row],[stock_quantity]]&gt;9,"Ok",IF(BBDD_fashion_boutique[[#This Row],[stock_quantity]]=0,"Agotado","Pocas Unidades"))</f>
        <v>Ok</v>
      </c>
      <c r="S535" s="3">
        <f>IF(BBDD_fashion_boutique[[#This Row],[customer_rating]]="","No valorado",BBDD_fashion_boutique[[#This Row],[customer_rating]])</f>
        <v>4.7</v>
      </c>
      <c r="T535" t="s">
        <v>24</v>
      </c>
      <c r="V535">
        <f>IF(BBDD_fashion_boutique[[#This Row],[is_returned]]="False",0,1)</f>
        <v>0</v>
      </c>
      <c r="W535">
        <f>IF(BBDD_fashion_boutique[[#This Row],[is_returned]]="True",0,BBDD_fashion_boutique[[#This Row],[current_price]])</f>
        <v>57.87</v>
      </c>
      <c r="X535" t="str">
        <f>IF(BBDD_fashion_boutique[[#This Row],[return_reason]]="","No return",BBDD_fashion_boutique[[#This Row],[return_reason]])</f>
        <v>No return</v>
      </c>
      <c r="Y535">
        <f>IF(IFERROR(VLOOKUP(BBDD_fashion_boutique[[#This Row],[product_id]],A536:A2711,1,FALSE),0),1,0)</f>
        <v>0</v>
      </c>
    </row>
    <row r="536" spans="1:25" x14ac:dyDescent="0.3">
      <c r="A536" t="s">
        <v>595</v>
      </c>
      <c r="B536" t="s">
        <v>35</v>
      </c>
      <c r="C536" t="s">
        <v>59</v>
      </c>
      <c r="D536" t="s">
        <v>21</v>
      </c>
      <c r="E536" t="s">
        <v>22</v>
      </c>
      <c r="F536" t="str">
        <f>IF(BBDD_fashion_boutique[[#This Row],[category]]="Accessories","Accesorio",IF(BBDD_fashion_boutique[[#This Row],[size]]="","Desconocido",BBDD_fashion_boutique[[#This Row],[size]]))</f>
        <v>XL</v>
      </c>
      <c r="G536" t="s">
        <v>23</v>
      </c>
      <c r="H536" s="2">
        <v>112.6</v>
      </c>
      <c r="I536">
        <v>22</v>
      </c>
      <c r="J536" s="5">
        <f>BBDD_fashion_boutique[[#This Row],[markdown_percentage]]/100</f>
        <v>0.22</v>
      </c>
      <c r="K536" s="2">
        <v>87.83</v>
      </c>
      <c r="L536" s="2">
        <f>BBDD_fashion_boutique[[#This Row],[original_price]]-BBDD_fashion_boutique[[#This Row],[current_price]]</f>
        <v>24.769999999999996</v>
      </c>
      <c r="M536" s="1">
        <v>45860</v>
      </c>
      <c r="N536" s="1" t="str">
        <f>PROPER(TEXT(BBDD_fashion_boutique[[#This Row],[purchase_date]],"dddd"))</f>
        <v>Martes</v>
      </c>
      <c r="O536" s="1" t="str">
        <f>PROPER(TEXT(BBDD_fashion_boutique[[#This Row],[purchase_date]],"mmmm"))</f>
        <v>Julio</v>
      </c>
      <c r="P536" s="4">
        <v>29</v>
      </c>
      <c r="Q536" s="2">
        <v>2.1</v>
      </c>
      <c r="R536" t="str">
        <f>IF(BBDD_fashion_boutique[[#This Row],[stock_quantity]]&gt;9,"Ok",IF(BBDD_fashion_boutique[[#This Row],[stock_quantity]]=0,"Agotado","Pocas Unidades"))</f>
        <v>Ok</v>
      </c>
      <c r="S536" s="3">
        <f>IF(BBDD_fashion_boutique[[#This Row],[customer_rating]]="","No valorado",BBDD_fashion_boutique[[#This Row],[customer_rating]])</f>
        <v>2.1</v>
      </c>
      <c r="T536" t="s">
        <v>41</v>
      </c>
      <c r="U536" t="s">
        <v>42</v>
      </c>
      <c r="V536">
        <f>IF(BBDD_fashion_boutique[[#This Row],[is_returned]]="False",0,1)</f>
        <v>1</v>
      </c>
      <c r="W536">
        <f>IF(BBDD_fashion_boutique[[#This Row],[is_returned]]="True",0,BBDD_fashion_boutique[[#This Row],[current_price]])</f>
        <v>0</v>
      </c>
      <c r="X536" t="str">
        <f>IF(BBDD_fashion_boutique[[#This Row],[return_reason]]="","No return",BBDD_fashion_boutique[[#This Row],[return_reason]])</f>
        <v>Color Mismatch</v>
      </c>
      <c r="Y536">
        <f>IF(IFERROR(VLOOKUP(BBDD_fashion_boutique[[#This Row],[product_id]],A537:A2712,1,FALSE),0),1,0)</f>
        <v>0</v>
      </c>
    </row>
    <row r="537" spans="1:25" x14ac:dyDescent="0.3">
      <c r="A537" t="s">
        <v>596</v>
      </c>
      <c r="B537" t="s">
        <v>44</v>
      </c>
      <c r="C537" t="s">
        <v>20</v>
      </c>
      <c r="D537" t="s">
        <v>68</v>
      </c>
      <c r="E537" t="s">
        <v>29</v>
      </c>
      <c r="F537" t="str">
        <f>IF(BBDD_fashion_boutique[[#This Row],[category]]="Accessories","Accesorio",IF(BBDD_fashion_boutique[[#This Row],[size]]="","Desconocido",BBDD_fashion_boutique[[#This Row],[size]]))</f>
        <v>L</v>
      </c>
      <c r="G537" t="s">
        <v>72</v>
      </c>
      <c r="H537" s="2">
        <v>104.16</v>
      </c>
      <c r="I537">
        <v>0</v>
      </c>
      <c r="J537" s="5">
        <f>BBDD_fashion_boutique[[#This Row],[markdown_percentage]]/100</f>
        <v>0</v>
      </c>
      <c r="K537" s="2">
        <v>104.16</v>
      </c>
      <c r="L537" s="2">
        <f>BBDD_fashion_boutique[[#This Row],[original_price]]-BBDD_fashion_boutique[[#This Row],[current_price]]</f>
        <v>0</v>
      </c>
      <c r="M537" s="1">
        <v>45875</v>
      </c>
      <c r="N537" s="1" t="str">
        <f>PROPER(TEXT(BBDD_fashion_boutique[[#This Row],[purchase_date]],"dddd"))</f>
        <v>Miércoles</v>
      </c>
      <c r="O537" s="1" t="str">
        <f>PROPER(TEXT(BBDD_fashion_boutique[[#This Row],[purchase_date]],"mmmm"))</f>
        <v>Agosto</v>
      </c>
      <c r="P537" s="4">
        <v>21</v>
      </c>
      <c r="Q537" s="2">
        <v>1.6</v>
      </c>
      <c r="R537" t="str">
        <f>IF(BBDD_fashion_boutique[[#This Row],[stock_quantity]]&gt;9,"Ok",IF(BBDD_fashion_boutique[[#This Row],[stock_quantity]]=0,"Agotado","Pocas Unidades"))</f>
        <v>Ok</v>
      </c>
      <c r="S537" s="3">
        <f>IF(BBDD_fashion_boutique[[#This Row],[customer_rating]]="","No valorado",BBDD_fashion_boutique[[#This Row],[customer_rating]])</f>
        <v>1.6</v>
      </c>
      <c r="T537" t="s">
        <v>24</v>
      </c>
      <c r="V537">
        <f>IF(BBDD_fashion_boutique[[#This Row],[is_returned]]="False",0,1)</f>
        <v>0</v>
      </c>
      <c r="W537">
        <f>IF(BBDD_fashion_boutique[[#This Row],[is_returned]]="True",0,BBDD_fashion_boutique[[#This Row],[current_price]])</f>
        <v>104.16</v>
      </c>
      <c r="X537" t="str">
        <f>IF(BBDD_fashion_boutique[[#This Row],[return_reason]]="","No return",BBDD_fashion_boutique[[#This Row],[return_reason]])</f>
        <v>No return</v>
      </c>
      <c r="Y537">
        <f>IF(IFERROR(VLOOKUP(BBDD_fashion_boutique[[#This Row],[product_id]],A538:A2713,1,FALSE),0),1,0)</f>
        <v>0</v>
      </c>
    </row>
    <row r="538" spans="1:25" x14ac:dyDescent="0.3">
      <c r="A538" t="s">
        <v>597</v>
      </c>
      <c r="B538" t="s">
        <v>19</v>
      </c>
      <c r="C538" t="s">
        <v>67</v>
      </c>
      <c r="D538" t="s">
        <v>28</v>
      </c>
      <c r="E538" t="s">
        <v>55</v>
      </c>
      <c r="F538" t="str">
        <f>IF(BBDD_fashion_boutique[[#This Row],[category]]="Accessories","Accesorio",IF(BBDD_fashion_boutique[[#This Row],[size]]="","Desconocido",BBDD_fashion_boutique[[#This Row],[size]]))</f>
        <v>XXL</v>
      </c>
      <c r="G538" t="s">
        <v>46</v>
      </c>
      <c r="H538" s="2">
        <v>174.86</v>
      </c>
      <c r="I538">
        <v>0</v>
      </c>
      <c r="J538" s="5">
        <f>BBDD_fashion_boutique[[#This Row],[markdown_percentage]]/100</f>
        <v>0</v>
      </c>
      <c r="K538" s="2">
        <v>174.86</v>
      </c>
      <c r="L538" s="2">
        <f>BBDD_fashion_boutique[[#This Row],[original_price]]-BBDD_fashion_boutique[[#This Row],[current_price]]</f>
        <v>0</v>
      </c>
      <c r="M538" s="1">
        <v>45875</v>
      </c>
      <c r="N538" s="1" t="str">
        <f>PROPER(TEXT(BBDD_fashion_boutique[[#This Row],[purchase_date]],"dddd"))</f>
        <v>Miércoles</v>
      </c>
      <c r="O538" s="1" t="str">
        <f>PROPER(TEXT(BBDD_fashion_boutique[[#This Row],[purchase_date]],"mmmm"))</f>
        <v>Agosto</v>
      </c>
      <c r="P538" s="4">
        <v>15</v>
      </c>
      <c r="Q538" s="2">
        <v>1.7</v>
      </c>
      <c r="R538" t="str">
        <f>IF(BBDD_fashion_boutique[[#This Row],[stock_quantity]]&gt;9,"Ok",IF(BBDD_fashion_boutique[[#This Row],[stock_quantity]]=0,"Agotado","Pocas Unidades"))</f>
        <v>Ok</v>
      </c>
      <c r="S538" s="3">
        <f>IF(BBDD_fashion_boutique[[#This Row],[customer_rating]]="","No valorado",BBDD_fashion_boutique[[#This Row],[customer_rating]])</f>
        <v>1.7</v>
      </c>
      <c r="T538" t="s">
        <v>24</v>
      </c>
      <c r="V538">
        <f>IF(BBDD_fashion_boutique[[#This Row],[is_returned]]="False",0,1)</f>
        <v>0</v>
      </c>
      <c r="W538">
        <f>IF(BBDD_fashion_boutique[[#This Row],[is_returned]]="True",0,BBDD_fashion_boutique[[#This Row],[current_price]])</f>
        <v>174.86</v>
      </c>
      <c r="X538" t="str">
        <f>IF(BBDD_fashion_boutique[[#This Row],[return_reason]]="","No return",BBDD_fashion_boutique[[#This Row],[return_reason]])</f>
        <v>No return</v>
      </c>
      <c r="Y538">
        <f>IF(IFERROR(VLOOKUP(BBDD_fashion_boutique[[#This Row],[product_id]],A539:A2714,1,FALSE),0),1,0)</f>
        <v>0</v>
      </c>
    </row>
    <row r="539" spans="1:25" x14ac:dyDescent="0.3">
      <c r="A539" t="s">
        <v>598</v>
      </c>
      <c r="B539" t="s">
        <v>19</v>
      </c>
      <c r="C539" t="s">
        <v>27</v>
      </c>
      <c r="D539" t="s">
        <v>21</v>
      </c>
      <c r="E539" t="s">
        <v>29</v>
      </c>
      <c r="F539" t="str">
        <f>IF(BBDD_fashion_boutique[[#This Row],[category]]="Accessories","Accesorio",IF(BBDD_fashion_boutique[[#This Row],[size]]="","Desconocido",BBDD_fashion_boutique[[#This Row],[size]]))</f>
        <v>L</v>
      </c>
      <c r="G539" t="s">
        <v>72</v>
      </c>
      <c r="H539" s="2">
        <v>217.89</v>
      </c>
      <c r="I539">
        <v>49.4</v>
      </c>
      <c r="J539" s="5">
        <f>BBDD_fashion_boutique[[#This Row],[markdown_percentage]]/100</f>
        <v>0.49399999999999999</v>
      </c>
      <c r="K539" s="2">
        <v>110.25</v>
      </c>
      <c r="L539" s="2">
        <f>BBDD_fashion_boutique[[#This Row],[original_price]]-BBDD_fashion_boutique[[#This Row],[current_price]]</f>
        <v>107.63999999999999</v>
      </c>
      <c r="M539" s="1">
        <v>45623</v>
      </c>
      <c r="N539" s="1" t="str">
        <f>PROPER(TEXT(BBDD_fashion_boutique[[#This Row],[purchase_date]],"dddd"))</f>
        <v>Miércoles</v>
      </c>
      <c r="O539" s="1" t="str">
        <f>PROPER(TEXT(BBDD_fashion_boutique[[#This Row],[purchase_date]],"mmmm"))</f>
        <v>Noviembre</v>
      </c>
      <c r="P539" s="4">
        <v>42</v>
      </c>
      <c r="Q539" s="2">
        <v>2.9</v>
      </c>
      <c r="R539" t="str">
        <f>IF(BBDD_fashion_boutique[[#This Row],[stock_quantity]]&gt;9,"Ok",IF(BBDD_fashion_boutique[[#This Row],[stock_quantity]]=0,"Agotado","Pocas Unidades"))</f>
        <v>Ok</v>
      </c>
      <c r="S539" s="3">
        <f>IF(BBDD_fashion_boutique[[#This Row],[customer_rating]]="","No valorado",BBDD_fashion_boutique[[#This Row],[customer_rating]])</f>
        <v>2.9</v>
      </c>
      <c r="T539" t="s">
        <v>24</v>
      </c>
      <c r="V539">
        <f>IF(BBDD_fashion_boutique[[#This Row],[is_returned]]="False",0,1)</f>
        <v>0</v>
      </c>
      <c r="W539">
        <f>IF(BBDD_fashion_boutique[[#This Row],[is_returned]]="True",0,BBDD_fashion_boutique[[#This Row],[current_price]])</f>
        <v>110.25</v>
      </c>
      <c r="X539" t="str">
        <f>IF(BBDD_fashion_boutique[[#This Row],[return_reason]]="","No return",BBDD_fashion_boutique[[#This Row],[return_reason]])</f>
        <v>No return</v>
      </c>
      <c r="Y539">
        <f>IF(IFERROR(VLOOKUP(BBDD_fashion_boutique[[#This Row],[product_id]],A540:A2715,1,FALSE),0),1,0)</f>
        <v>0</v>
      </c>
    </row>
    <row r="540" spans="1:25" x14ac:dyDescent="0.3">
      <c r="A540" t="s">
        <v>599</v>
      </c>
      <c r="B540" t="s">
        <v>35</v>
      </c>
      <c r="C540" t="s">
        <v>49</v>
      </c>
      <c r="D540" t="s">
        <v>28</v>
      </c>
      <c r="E540" t="s">
        <v>29</v>
      </c>
      <c r="F540" t="str">
        <f>IF(BBDD_fashion_boutique[[#This Row],[category]]="Accessories","Accesorio",IF(BBDD_fashion_boutique[[#This Row],[size]]="","Desconocido",BBDD_fashion_boutique[[#This Row],[size]]))</f>
        <v>L</v>
      </c>
      <c r="G540" t="s">
        <v>33</v>
      </c>
      <c r="H540" s="2">
        <v>123.14</v>
      </c>
      <c r="I540">
        <v>0</v>
      </c>
      <c r="J540" s="5">
        <f>BBDD_fashion_boutique[[#This Row],[markdown_percentage]]/100</f>
        <v>0</v>
      </c>
      <c r="K540" s="2">
        <v>123.14</v>
      </c>
      <c r="L540" s="2">
        <f>BBDD_fashion_boutique[[#This Row],[original_price]]-BBDD_fashion_boutique[[#This Row],[current_price]]</f>
        <v>0</v>
      </c>
      <c r="M540" s="1">
        <v>45875</v>
      </c>
      <c r="N540" s="1" t="str">
        <f>PROPER(TEXT(BBDD_fashion_boutique[[#This Row],[purchase_date]],"dddd"))</f>
        <v>Miércoles</v>
      </c>
      <c r="O540" s="1" t="str">
        <f>PROPER(TEXT(BBDD_fashion_boutique[[#This Row],[purchase_date]],"mmmm"))</f>
        <v>Agosto</v>
      </c>
      <c r="P540" s="4">
        <v>15</v>
      </c>
      <c r="Q540" s="2">
        <v>1.8</v>
      </c>
      <c r="R540" t="str">
        <f>IF(BBDD_fashion_boutique[[#This Row],[stock_quantity]]&gt;9,"Ok",IF(BBDD_fashion_boutique[[#This Row],[stock_quantity]]=0,"Agotado","Pocas Unidades"))</f>
        <v>Ok</v>
      </c>
      <c r="S540" s="3">
        <f>IF(BBDD_fashion_boutique[[#This Row],[customer_rating]]="","No valorado",BBDD_fashion_boutique[[#This Row],[customer_rating]])</f>
        <v>1.8</v>
      </c>
      <c r="T540" t="s">
        <v>41</v>
      </c>
      <c r="U540" t="s">
        <v>131</v>
      </c>
      <c r="V540">
        <f>IF(BBDD_fashion_boutique[[#This Row],[is_returned]]="False",0,1)</f>
        <v>1</v>
      </c>
      <c r="W540">
        <f>IF(BBDD_fashion_boutique[[#This Row],[is_returned]]="True",0,BBDD_fashion_boutique[[#This Row],[current_price]])</f>
        <v>0</v>
      </c>
      <c r="X540" t="str">
        <f>IF(BBDD_fashion_boutique[[#This Row],[return_reason]]="","No return",BBDD_fashion_boutique[[#This Row],[return_reason]])</f>
        <v>Wrong Item</v>
      </c>
      <c r="Y540">
        <f>IF(IFERROR(VLOOKUP(BBDD_fashion_boutique[[#This Row],[product_id]],A541:A2716,1,FALSE),0),1,0)</f>
        <v>0</v>
      </c>
    </row>
    <row r="541" spans="1:25" x14ac:dyDescent="0.3">
      <c r="A541" t="s">
        <v>600</v>
      </c>
      <c r="B541" t="s">
        <v>26</v>
      </c>
      <c r="C541" t="s">
        <v>59</v>
      </c>
      <c r="D541" t="s">
        <v>28</v>
      </c>
      <c r="E541" t="s">
        <v>22</v>
      </c>
      <c r="F541" t="str">
        <f>IF(BBDD_fashion_boutique[[#This Row],[category]]="Accessories","Accesorio",IF(BBDD_fashion_boutique[[#This Row],[size]]="","Desconocido",BBDD_fashion_boutique[[#This Row],[size]]))</f>
        <v>XL</v>
      </c>
      <c r="G541" t="s">
        <v>70</v>
      </c>
      <c r="H541" s="2">
        <v>103.96</v>
      </c>
      <c r="I541">
        <v>0</v>
      </c>
      <c r="J541" s="5">
        <f>BBDD_fashion_boutique[[#This Row],[markdown_percentage]]/100</f>
        <v>0</v>
      </c>
      <c r="K541" s="2">
        <v>103.96</v>
      </c>
      <c r="L541" s="2">
        <f>BBDD_fashion_boutique[[#This Row],[original_price]]-BBDD_fashion_boutique[[#This Row],[current_price]]</f>
        <v>0</v>
      </c>
      <c r="M541" s="1">
        <v>45875</v>
      </c>
      <c r="N541" s="1" t="str">
        <f>PROPER(TEXT(BBDD_fashion_boutique[[#This Row],[purchase_date]],"dddd"))</f>
        <v>Miércoles</v>
      </c>
      <c r="O541" s="1" t="str">
        <f>PROPER(TEXT(BBDD_fashion_boutique[[#This Row],[purchase_date]],"mmmm"))</f>
        <v>Agosto</v>
      </c>
      <c r="P541" s="4">
        <v>23</v>
      </c>
      <c r="Q541" s="2">
        <v>3.3</v>
      </c>
      <c r="R541" t="str">
        <f>IF(BBDD_fashion_boutique[[#This Row],[stock_quantity]]&gt;9,"Ok",IF(BBDD_fashion_boutique[[#This Row],[stock_quantity]]=0,"Agotado","Pocas Unidades"))</f>
        <v>Ok</v>
      </c>
      <c r="S541" s="3">
        <f>IF(BBDD_fashion_boutique[[#This Row],[customer_rating]]="","No valorado",BBDD_fashion_boutique[[#This Row],[customer_rating]])</f>
        <v>3.3</v>
      </c>
      <c r="T541" t="s">
        <v>24</v>
      </c>
      <c r="V541">
        <f>IF(BBDD_fashion_boutique[[#This Row],[is_returned]]="False",0,1)</f>
        <v>0</v>
      </c>
      <c r="W541">
        <f>IF(BBDD_fashion_boutique[[#This Row],[is_returned]]="True",0,BBDD_fashion_boutique[[#This Row],[current_price]])</f>
        <v>103.96</v>
      </c>
      <c r="X541" t="str">
        <f>IF(BBDD_fashion_boutique[[#This Row],[return_reason]]="","No return",BBDD_fashion_boutique[[#This Row],[return_reason]])</f>
        <v>No return</v>
      </c>
      <c r="Y541">
        <f>IF(IFERROR(VLOOKUP(BBDD_fashion_boutique[[#This Row],[product_id]],A542:A2717,1,FALSE),0),1,0)</f>
        <v>0</v>
      </c>
    </row>
    <row r="542" spans="1:25" x14ac:dyDescent="0.3">
      <c r="A542" t="s">
        <v>601</v>
      </c>
      <c r="B542" t="s">
        <v>48</v>
      </c>
      <c r="C542" t="s">
        <v>54</v>
      </c>
      <c r="D542" t="s">
        <v>21</v>
      </c>
      <c r="E542" t="s">
        <v>22</v>
      </c>
      <c r="F542" t="str">
        <f>IF(BBDD_fashion_boutique[[#This Row],[category]]="Accessories","Accesorio",IF(BBDD_fashion_boutique[[#This Row],[size]]="","Desconocido",BBDD_fashion_boutique[[#This Row],[size]]))</f>
        <v>XL</v>
      </c>
      <c r="G542" t="s">
        <v>50</v>
      </c>
      <c r="H542" s="2">
        <v>138.44999999999999</v>
      </c>
      <c r="I542">
        <v>0</v>
      </c>
      <c r="J542" s="5">
        <f>BBDD_fashion_boutique[[#This Row],[markdown_percentage]]/100</f>
        <v>0</v>
      </c>
      <c r="K542" s="2">
        <v>138.44999999999999</v>
      </c>
      <c r="L542" s="2">
        <f>BBDD_fashion_boutique[[#This Row],[original_price]]-BBDD_fashion_boutique[[#This Row],[current_price]]</f>
        <v>0</v>
      </c>
      <c r="M542" s="1">
        <v>45744</v>
      </c>
      <c r="N542" s="1" t="str">
        <f>PROPER(TEXT(BBDD_fashion_boutique[[#This Row],[purchase_date]],"dddd"))</f>
        <v>Viernes</v>
      </c>
      <c r="O542" s="1" t="str">
        <f>PROPER(TEXT(BBDD_fashion_boutique[[#This Row],[purchase_date]],"mmmm"))</f>
        <v>Marzo</v>
      </c>
      <c r="P542" s="4">
        <v>18</v>
      </c>
      <c r="Q542" s="2">
        <v>3.3</v>
      </c>
      <c r="R542" t="str">
        <f>IF(BBDD_fashion_boutique[[#This Row],[stock_quantity]]&gt;9,"Ok",IF(BBDD_fashion_boutique[[#This Row],[stock_quantity]]=0,"Agotado","Pocas Unidades"))</f>
        <v>Ok</v>
      </c>
      <c r="S542" s="3">
        <f>IF(BBDD_fashion_boutique[[#This Row],[customer_rating]]="","No valorado",BBDD_fashion_boutique[[#This Row],[customer_rating]])</f>
        <v>3.3</v>
      </c>
      <c r="T542" t="s">
        <v>24</v>
      </c>
      <c r="V542">
        <f>IF(BBDD_fashion_boutique[[#This Row],[is_returned]]="False",0,1)</f>
        <v>0</v>
      </c>
      <c r="W542">
        <f>IF(BBDD_fashion_boutique[[#This Row],[is_returned]]="True",0,BBDD_fashion_boutique[[#This Row],[current_price]])</f>
        <v>138.44999999999999</v>
      </c>
      <c r="X542" t="str">
        <f>IF(BBDD_fashion_boutique[[#This Row],[return_reason]]="","No return",BBDD_fashion_boutique[[#This Row],[return_reason]])</f>
        <v>No return</v>
      </c>
      <c r="Y542">
        <f>IF(IFERROR(VLOOKUP(BBDD_fashion_boutique[[#This Row],[product_id]],A543:A2718,1,FALSE),0),1,0)</f>
        <v>0</v>
      </c>
    </row>
    <row r="543" spans="1:25" x14ac:dyDescent="0.3">
      <c r="A543" t="s">
        <v>602</v>
      </c>
      <c r="B543" t="s">
        <v>35</v>
      </c>
      <c r="C543" t="s">
        <v>67</v>
      </c>
      <c r="D543" t="s">
        <v>68</v>
      </c>
      <c r="E543" t="s">
        <v>45</v>
      </c>
      <c r="F543" t="str">
        <f>IF(BBDD_fashion_boutique[[#This Row],[category]]="Accessories","Accesorio",IF(BBDD_fashion_boutique[[#This Row],[size]]="","Desconocido",BBDD_fashion_boutique[[#This Row],[size]]))</f>
        <v>S</v>
      </c>
      <c r="G543" t="s">
        <v>33</v>
      </c>
      <c r="H543" s="2">
        <v>165.1</v>
      </c>
      <c r="I543">
        <v>0</v>
      </c>
      <c r="J543" s="5">
        <f>BBDD_fashion_boutique[[#This Row],[markdown_percentage]]/100</f>
        <v>0</v>
      </c>
      <c r="K543" s="2">
        <v>165.1</v>
      </c>
      <c r="L543" s="2">
        <f>BBDD_fashion_boutique[[#This Row],[original_price]]-BBDD_fashion_boutique[[#This Row],[current_price]]</f>
        <v>0</v>
      </c>
      <c r="M543" s="1">
        <v>45875</v>
      </c>
      <c r="N543" s="1" t="str">
        <f>PROPER(TEXT(BBDD_fashion_boutique[[#This Row],[purchase_date]],"dddd"))</f>
        <v>Miércoles</v>
      </c>
      <c r="O543" s="1" t="str">
        <f>PROPER(TEXT(BBDD_fashion_boutique[[#This Row],[purchase_date]],"mmmm"))</f>
        <v>Agosto</v>
      </c>
      <c r="P543" s="4">
        <v>7</v>
      </c>
      <c r="R543" t="str">
        <f>IF(BBDD_fashion_boutique[[#This Row],[stock_quantity]]&gt;9,"Ok",IF(BBDD_fashion_boutique[[#This Row],[stock_quantity]]=0,"Agotado","Pocas Unidades"))</f>
        <v>Pocas Unidades</v>
      </c>
      <c r="S543" s="3" t="str">
        <f>IF(BBDD_fashion_boutique[[#This Row],[customer_rating]]="","No valorado",BBDD_fashion_boutique[[#This Row],[customer_rating]])</f>
        <v>No valorado</v>
      </c>
      <c r="T543" t="s">
        <v>24</v>
      </c>
      <c r="V543">
        <f>IF(BBDD_fashion_boutique[[#This Row],[is_returned]]="False",0,1)</f>
        <v>0</v>
      </c>
      <c r="W543">
        <f>IF(BBDD_fashion_boutique[[#This Row],[is_returned]]="True",0,BBDD_fashion_boutique[[#This Row],[current_price]])</f>
        <v>165.1</v>
      </c>
      <c r="X543" t="str">
        <f>IF(BBDD_fashion_boutique[[#This Row],[return_reason]]="","No return",BBDD_fashion_boutique[[#This Row],[return_reason]])</f>
        <v>No return</v>
      </c>
      <c r="Y543">
        <f>IF(IFERROR(VLOOKUP(BBDD_fashion_boutique[[#This Row],[product_id]],A544:A2719,1,FALSE),0),1,0)</f>
        <v>0</v>
      </c>
    </row>
    <row r="544" spans="1:25" x14ac:dyDescent="0.3">
      <c r="A544" t="s">
        <v>603</v>
      </c>
      <c r="B544" t="s">
        <v>35</v>
      </c>
      <c r="C544" t="s">
        <v>67</v>
      </c>
      <c r="D544" t="s">
        <v>28</v>
      </c>
      <c r="E544" t="s">
        <v>55</v>
      </c>
      <c r="F544" t="str">
        <f>IF(BBDD_fashion_boutique[[#This Row],[category]]="Accessories","Accesorio",IF(BBDD_fashion_boutique[[#This Row],[size]]="","Desconocido",BBDD_fashion_boutique[[#This Row],[size]]))</f>
        <v>XXL</v>
      </c>
      <c r="G544" t="s">
        <v>46</v>
      </c>
      <c r="H544" s="2">
        <v>147.25</v>
      </c>
      <c r="I544">
        <v>0</v>
      </c>
      <c r="J544" s="5">
        <f>BBDD_fashion_boutique[[#This Row],[markdown_percentage]]/100</f>
        <v>0</v>
      </c>
      <c r="K544" s="2">
        <v>147.25</v>
      </c>
      <c r="L544" s="2">
        <f>BBDD_fashion_boutique[[#This Row],[original_price]]-BBDD_fashion_boutique[[#This Row],[current_price]]</f>
        <v>0</v>
      </c>
      <c r="M544" s="1">
        <v>45875</v>
      </c>
      <c r="N544" s="1" t="str">
        <f>PROPER(TEXT(BBDD_fashion_boutique[[#This Row],[purchase_date]],"dddd"))</f>
        <v>Miércoles</v>
      </c>
      <c r="O544" s="1" t="str">
        <f>PROPER(TEXT(BBDD_fashion_boutique[[#This Row],[purchase_date]],"mmmm"))</f>
        <v>Agosto</v>
      </c>
      <c r="P544" s="4">
        <v>15</v>
      </c>
      <c r="Q544" s="2">
        <v>2.7</v>
      </c>
      <c r="R544" t="str">
        <f>IF(BBDD_fashion_boutique[[#This Row],[stock_quantity]]&gt;9,"Ok",IF(BBDD_fashion_boutique[[#This Row],[stock_quantity]]=0,"Agotado","Pocas Unidades"))</f>
        <v>Ok</v>
      </c>
      <c r="S544" s="3">
        <f>IF(BBDD_fashion_boutique[[#This Row],[customer_rating]]="","No valorado",BBDD_fashion_boutique[[#This Row],[customer_rating]])</f>
        <v>2.7</v>
      </c>
      <c r="T544" t="s">
        <v>24</v>
      </c>
      <c r="V544">
        <f>IF(BBDD_fashion_boutique[[#This Row],[is_returned]]="False",0,1)</f>
        <v>0</v>
      </c>
      <c r="W544">
        <f>IF(BBDD_fashion_boutique[[#This Row],[is_returned]]="True",0,BBDD_fashion_boutique[[#This Row],[current_price]])</f>
        <v>147.25</v>
      </c>
      <c r="X544" t="str">
        <f>IF(BBDD_fashion_boutique[[#This Row],[return_reason]]="","No return",BBDD_fashion_boutique[[#This Row],[return_reason]])</f>
        <v>No return</v>
      </c>
      <c r="Y544">
        <f>IF(IFERROR(VLOOKUP(BBDD_fashion_boutique[[#This Row],[product_id]],A545:A2720,1,FALSE),0),1,0)</f>
        <v>0</v>
      </c>
    </row>
    <row r="545" spans="1:25" x14ac:dyDescent="0.3">
      <c r="A545" t="s">
        <v>604</v>
      </c>
      <c r="B545" t="s">
        <v>35</v>
      </c>
      <c r="C545" t="s">
        <v>27</v>
      </c>
      <c r="D545" t="s">
        <v>39</v>
      </c>
      <c r="E545" t="s">
        <v>29</v>
      </c>
      <c r="F545" t="str">
        <f>IF(BBDD_fashion_boutique[[#This Row],[category]]="Accessories","Accesorio",IF(BBDD_fashion_boutique[[#This Row],[size]]="","Desconocido",BBDD_fashion_boutique[[#This Row],[size]]))</f>
        <v>L</v>
      </c>
      <c r="G545" t="s">
        <v>30</v>
      </c>
      <c r="H545" s="2">
        <v>126.23</v>
      </c>
      <c r="I545">
        <v>0</v>
      </c>
      <c r="J545" s="5">
        <f>BBDD_fashion_boutique[[#This Row],[markdown_percentage]]/100</f>
        <v>0</v>
      </c>
      <c r="K545" s="2">
        <v>126.23</v>
      </c>
      <c r="L545" s="2">
        <f>BBDD_fashion_boutique[[#This Row],[original_price]]-BBDD_fashion_boutique[[#This Row],[current_price]]</f>
        <v>0</v>
      </c>
      <c r="M545" s="1">
        <v>45875</v>
      </c>
      <c r="N545" s="1" t="str">
        <f>PROPER(TEXT(BBDD_fashion_boutique[[#This Row],[purchase_date]],"dddd"))</f>
        <v>Miércoles</v>
      </c>
      <c r="O545" s="1" t="str">
        <f>PROPER(TEXT(BBDD_fashion_boutique[[#This Row],[purchase_date]],"mmmm"))</f>
        <v>Agosto</v>
      </c>
      <c r="P545" s="4">
        <v>48</v>
      </c>
      <c r="Q545" s="2">
        <v>2.1</v>
      </c>
      <c r="R545" t="str">
        <f>IF(BBDD_fashion_boutique[[#This Row],[stock_quantity]]&gt;9,"Ok",IF(BBDD_fashion_boutique[[#This Row],[stock_quantity]]=0,"Agotado","Pocas Unidades"))</f>
        <v>Ok</v>
      </c>
      <c r="S545" s="3">
        <f>IF(BBDD_fashion_boutique[[#This Row],[customer_rating]]="","No valorado",BBDD_fashion_boutique[[#This Row],[customer_rating]])</f>
        <v>2.1</v>
      </c>
      <c r="T545" t="s">
        <v>24</v>
      </c>
      <c r="V545">
        <f>IF(BBDD_fashion_boutique[[#This Row],[is_returned]]="False",0,1)</f>
        <v>0</v>
      </c>
      <c r="W545">
        <f>IF(BBDD_fashion_boutique[[#This Row],[is_returned]]="True",0,BBDD_fashion_boutique[[#This Row],[current_price]])</f>
        <v>126.23</v>
      </c>
      <c r="X545" t="str">
        <f>IF(BBDD_fashion_boutique[[#This Row],[return_reason]]="","No return",BBDD_fashion_boutique[[#This Row],[return_reason]])</f>
        <v>No return</v>
      </c>
      <c r="Y545">
        <f>IF(IFERROR(VLOOKUP(BBDD_fashion_boutique[[#This Row],[product_id]],A546:A2721,1,FALSE),0),1,0)</f>
        <v>0</v>
      </c>
    </row>
    <row r="546" spans="1:25" x14ac:dyDescent="0.3">
      <c r="A546" t="s">
        <v>605</v>
      </c>
      <c r="B546" t="s">
        <v>19</v>
      </c>
      <c r="C546" t="s">
        <v>59</v>
      </c>
      <c r="D546" t="s">
        <v>39</v>
      </c>
      <c r="E546" t="s">
        <v>64</v>
      </c>
      <c r="F546" t="str">
        <f>IF(BBDD_fashion_boutique[[#This Row],[category]]="Accessories","Accesorio",IF(BBDD_fashion_boutique[[#This Row],[size]]="","Desconocido",BBDD_fashion_boutique[[#This Row],[size]]))</f>
        <v>M</v>
      </c>
      <c r="G546" t="s">
        <v>70</v>
      </c>
      <c r="H546" s="2">
        <v>229.04</v>
      </c>
      <c r="I546">
        <v>0</v>
      </c>
      <c r="J546" s="5">
        <f>BBDD_fashion_boutique[[#This Row],[markdown_percentage]]/100</f>
        <v>0</v>
      </c>
      <c r="K546" s="2">
        <v>229.04</v>
      </c>
      <c r="L546" s="2">
        <f>BBDD_fashion_boutique[[#This Row],[original_price]]-BBDD_fashion_boutique[[#This Row],[current_price]]</f>
        <v>0</v>
      </c>
      <c r="M546" s="1">
        <v>45875</v>
      </c>
      <c r="N546" s="1" t="str">
        <f>PROPER(TEXT(BBDD_fashion_boutique[[#This Row],[purchase_date]],"dddd"))</f>
        <v>Miércoles</v>
      </c>
      <c r="O546" s="1" t="str">
        <f>PROPER(TEXT(BBDD_fashion_boutique[[#This Row],[purchase_date]],"mmmm"))</f>
        <v>Agosto</v>
      </c>
      <c r="P546" s="4">
        <v>5</v>
      </c>
      <c r="Q546" s="2">
        <v>4.5</v>
      </c>
      <c r="R546" t="str">
        <f>IF(BBDD_fashion_boutique[[#This Row],[stock_quantity]]&gt;9,"Ok",IF(BBDD_fashion_boutique[[#This Row],[stock_quantity]]=0,"Agotado","Pocas Unidades"))</f>
        <v>Pocas Unidades</v>
      </c>
      <c r="S546" s="3">
        <f>IF(BBDD_fashion_boutique[[#This Row],[customer_rating]]="","No valorado",BBDD_fashion_boutique[[#This Row],[customer_rating]])</f>
        <v>4.5</v>
      </c>
      <c r="T546" t="s">
        <v>24</v>
      </c>
      <c r="V546">
        <f>IF(BBDD_fashion_boutique[[#This Row],[is_returned]]="False",0,1)</f>
        <v>0</v>
      </c>
      <c r="W546">
        <f>IF(BBDD_fashion_boutique[[#This Row],[is_returned]]="True",0,BBDD_fashion_boutique[[#This Row],[current_price]])</f>
        <v>229.04</v>
      </c>
      <c r="X546" t="str">
        <f>IF(BBDD_fashion_boutique[[#This Row],[return_reason]]="","No return",BBDD_fashion_boutique[[#This Row],[return_reason]])</f>
        <v>No return</v>
      </c>
      <c r="Y546">
        <f>IF(IFERROR(VLOOKUP(BBDD_fashion_boutique[[#This Row],[product_id]],A547:A2722,1,FALSE),0),1,0)</f>
        <v>0</v>
      </c>
    </row>
    <row r="547" spans="1:25" x14ac:dyDescent="0.3">
      <c r="A547" t="s">
        <v>606</v>
      </c>
      <c r="B547" t="s">
        <v>32</v>
      </c>
      <c r="C547" t="s">
        <v>59</v>
      </c>
      <c r="D547" t="s">
        <v>28</v>
      </c>
      <c r="F547" t="str">
        <f>IF(BBDD_fashion_boutique[[#This Row],[category]]="Accessories","Accesorio",IF(BBDD_fashion_boutique[[#This Row],[size]]="","Desconocido",BBDD_fashion_boutique[[#This Row],[size]]))</f>
        <v>Accesorio</v>
      </c>
      <c r="G547" t="s">
        <v>46</v>
      </c>
      <c r="H547" s="2">
        <v>38.65</v>
      </c>
      <c r="I547">
        <v>32.6</v>
      </c>
      <c r="J547" s="5">
        <f>BBDD_fashion_boutique[[#This Row],[markdown_percentage]]/100</f>
        <v>0.32600000000000001</v>
      </c>
      <c r="K547" s="2">
        <v>26.05</v>
      </c>
      <c r="L547" s="2">
        <f>BBDD_fashion_boutique[[#This Row],[original_price]]-BBDD_fashion_boutique[[#This Row],[current_price]]</f>
        <v>12.599999999999998</v>
      </c>
      <c r="M547" s="1">
        <v>45875</v>
      </c>
      <c r="N547" s="1" t="str">
        <f>PROPER(TEXT(BBDD_fashion_boutique[[#This Row],[purchase_date]],"dddd"))</f>
        <v>Miércoles</v>
      </c>
      <c r="O547" s="1" t="str">
        <f>PROPER(TEXT(BBDD_fashion_boutique[[#This Row],[purchase_date]],"mmmm"))</f>
        <v>Agosto</v>
      </c>
      <c r="P547" s="4">
        <v>46</v>
      </c>
      <c r="Q547" s="2">
        <v>1.1000000000000001</v>
      </c>
      <c r="R547" t="str">
        <f>IF(BBDD_fashion_boutique[[#This Row],[stock_quantity]]&gt;9,"Ok",IF(BBDD_fashion_boutique[[#This Row],[stock_quantity]]=0,"Agotado","Pocas Unidades"))</f>
        <v>Ok</v>
      </c>
      <c r="S547" s="3">
        <f>IF(BBDD_fashion_boutique[[#This Row],[customer_rating]]="","No valorado",BBDD_fashion_boutique[[#This Row],[customer_rating]])</f>
        <v>1.1000000000000001</v>
      </c>
      <c r="T547" t="s">
        <v>24</v>
      </c>
      <c r="V547">
        <f>IF(BBDD_fashion_boutique[[#This Row],[is_returned]]="False",0,1)</f>
        <v>0</v>
      </c>
      <c r="W547">
        <f>IF(BBDD_fashion_boutique[[#This Row],[is_returned]]="True",0,BBDD_fashion_boutique[[#This Row],[current_price]])</f>
        <v>26.05</v>
      </c>
      <c r="X547" t="str">
        <f>IF(BBDD_fashion_boutique[[#This Row],[return_reason]]="","No return",BBDD_fashion_boutique[[#This Row],[return_reason]])</f>
        <v>No return</v>
      </c>
      <c r="Y547">
        <f>IF(IFERROR(VLOOKUP(BBDD_fashion_boutique[[#This Row],[product_id]],A548:A2723,1,FALSE),0),1,0)</f>
        <v>0</v>
      </c>
    </row>
    <row r="548" spans="1:25" x14ac:dyDescent="0.3">
      <c r="A548" t="s">
        <v>607</v>
      </c>
      <c r="B548" t="s">
        <v>44</v>
      </c>
      <c r="C548" t="s">
        <v>37</v>
      </c>
      <c r="D548" t="s">
        <v>21</v>
      </c>
      <c r="E548" t="s">
        <v>61</v>
      </c>
      <c r="F548" t="str">
        <f>IF(BBDD_fashion_boutique[[#This Row],[category]]="Accessories","Accesorio",IF(BBDD_fashion_boutique[[#This Row],[size]]="","Desconocido",BBDD_fashion_boutique[[#This Row],[size]]))</f>
        <v>XS</v>
      </c>
      <c r="G548" t="s">
        <v>30</v>
      </c>
      <c r="H548" s="2">
        <v>80.819999999999993</v>
      </c>
      <c r="I548">
        <v>0</v>
      </c>
      <c r="J548" s="5">
        <f>BBDD_fashion_boutique[[#This Row],[markdown_percentage]]/100</f>
        <v>0</v>
      </c>
      <c r="K548" s="2">
        <v>80.819999999999993</v>
      </c>
      <c r="L548" s="2">
        <f>BBDD_fashion_boutique[[#This Row],[original_price]]-BBDD_fashion_boutique[[#This Row],[current_price]]</f>
        <v>0</v>
      </c>
      <c r="M548" s="1">
        <v>45699</v>
      </c>
      <c r="N548" s="1" t="str">
        <f>PROPER(TEXT(BBDD_fashion_boutique[[#This Row],[purchase_date]],"dddd"))</f>
        <v>Martes</v>
      </c>
      <c r="O548" s="1" t="str">
        <f>PROPER(TEXT(BBDD_fashion_boutique[[#This Row],[purchase_date]],"mmmm"))</f>
        <v>Febrero</v>
      </c>
      <c r="P548" s="4">
        <v>42</v>
      </c>
      <c r="R548" t="str">
        <f>IF(BBDD_fashion_boutique[[#This Row],[stock_quantity]]&gt;9,"Ok",IF(BBDD_fashion_boutique[[#This Row],[stock_quantity]]=0,"Agotado","Pocas Unidades"))</f>
        <v>Ok</v>
      </c>
      <c r="S548" s="3" t="str">
        <f>IF(BBDD_fashion_boutique[[#This Row],[customer_rating]]="","No valorado",BBDD_fashion_boutique[[#This Row],[customer_rating]])</f>
        <v>No valorado</v>
      </c>
      <c r="T548" t="s">
        <v>24</v>
      </c>
      <c r="V548">
        <f>IF(BBDD_fashion_boutique[[#This Row],[is_returned]]="False",0,1)</f>
        <v>0</v>
      </c>
      <c r="W548">
        <f>IF(BBDD_fashion_boutique[[#This Row],[is_returned]]="True",0,BBDD_fashion_boutique[[#This Row],[current_price]])</f>
        <v>80.819999999999993</v>
      </c>
      <c r="X548" t="str">
        <f>IF(BBDD_fashion_boutique[[#This Row],[return_reason]]="","No return",BBDD_fashion_boutique[[#This Row],[return_reason]])</f>
        <v>No return</v>
      </c>
      <c r="Y548">
        <f>IF(IFERROR(VLOOKUP(BBDD_fashion_boutique[[#This Row],[product_id]],A549:A2724,1,FALSE),0),1,0)</f>
        <v>0</v>
      </c>
    </row>
    <row r="549" spans="1:25" x14ac:dyDescent="0.3">
      <c r="A549" t="s">
        <v>608</v>
      </c>
      <c r="B549" t="s">
        <v>32</v>
      </c>
      <c r="C549" t="s">
        <v>27</v>
      </c>
      <c r="D549" t="s">
        <v>21</v>
      </c>
      <c r="F549" t="str">
        <f>IF(BBDD_fashion_boutique[[#This Row],[category]]="Accessories","Accesorio",IF(BBDD_fashion_boutique[[#This Row],[size]]="","Desconocido",BBDD_fashion_boutique[[#This Row],[size]]))</f>
        <v>Accesorio</v>
      </c>
      <c r="G549" t="s">
        <v>62</v>
      </c>
      <c r="H549" s="2">
        <v>56.44</v>
      </c>
      <c r="I549">
        <v>0</v>
      </c>
      <c r="J549" s="5">
        <f>BBDD_fashion_boutique[[#This Row],[markdown_percentage]]/100</f>
        <v>0</v>
      </c>
      <c r="K549" s="2">
        <v>56.44</v>
      </c>
      <c r="L549" s="2">
        <f>BBDD_fashion_boutique[[#This Row],[original_price]]-BBDD_fashion_boutique[[#This Row],[current_price]]</f>
        <v>0</v>
      </c>
      <c r="M549" s="1">
        <v>45734</v>
      </c>
      <c r="N549" s="1" t="str">
        <f>PROPER(TEXT(BBDD_fashion_boutique[[#This Row],[purchase_date]],"dddd"))</f>
        <v>Martes</v>
      </c>
      <c r="O549" s="1" t="str">
        <f>PROPER(TEXT(BBDD_fashion_boutique[[#This Row],[purchase_date]],"mmmm"))</f>
        <v>Marzo</v>
      </c>
      <c r="P549" s="4">
        <v>35</v>
      </c>
      <c r="Q549" s="2">
        <v>4</v>
      </c>
      <c r="R549" t="str">
        <f>IF(BBDD_fashion_boutique[[#This Row],[stock_quantity]]&gt;9,"Ok",IF(BBDD_fashion_boutique[[#This Row],[stock_quantity]]=0,"Agotado","Pocas Unidades"))</f>
        <v>Ok</v>
      </c>
      <c r="S549" s="3">
        <f>IF(BBDD_fashion_boutique[[#This Row],[customer_rating]]="","No valorado",BBDD_fashion_boutique[[#This Row],[customer_rating]])</f>
        <v>4</v>
      </c>
      <c r="T549" t="s">
        <v>24</v>
      </c>
      <c r="V549">
        <f>IF(BBDD_fashion_boutique[[#This Row],[is_returned]]="False",0,1)</f>
        <v>0</v>
      </c>
      <c r="W549">
        <f>IF(BBDD_fashion_boutique[[#This Row],[is_returned]]="True",0,BBDD_fashion_boutique[[#This Row],[current_price]])</f>
        <v>56.44</v>
      </c>
      <c r="X549" t="str">
        <f>IF(BBDD_fashion_boutique[[#This Row],[return_reason]]="","No return",BBDD_fashion_boutique[[#This Row],[return_reason]])</f>
        <v>No return</v>
      </c>
      <c r="Y549">
        <f>IF(IFERROR(VLOOKUP(BBDD_fashion_boutique[[#This Row],[product_id]],A550:A2725,1,FALSE),0),1,0)</f>
        <v>0</v>
      </c>
    </row>
    <row r="550" spans="1:25" x14ac:dyDescent="0.3">
      <c r="A550" t="s">
        <v>609</v>
      </c>
      <c r="B550" t="s">
        <v>48</v>
      </c>
      <c r="C550" t="s">
        <v>20</v>
      </c>
      <c r="D550" t="s">
        <v>39</v>
      </c>
      <c r="E550" t="s">
        <v>64</v>
      </c>
      <c r="F550" t="str">
        <f>IF(BBDD_fashion_boutique[[#This Row],[category]]="Accessories","Accesorio",IF(BBDD_fashion_boutique[[#This Row],[size]]="","Desconocido",BBDD_fashion_boutique[[#This Row],[size]]))</f>
        <v>M</v>
      </c>
      <c r="G550" t="s">
        <v>62</v>
      </c>
      <c r="H550" s="2">
        <v>121.3</v>
      </c>
      <c r="I550">
        <v>0</v>
      </c>
      <c r="J550" s="5">
        <f>BBDD_fashion_boutique[[#This Row],[markdown_percentage]]/100</f>
        <v>0</v>
      </c>
      <c r="K550" s="2">
        <v>121.3</v>
      </c>
      <c r="L550" s="2">
        <f>BBDD_fashion_boutique[[#This Row],[original_price]]-BBDD_fashion_boutique[[#This Row],[current_price]]</f>
        <v>0</v>
      </c>
      <c r="M550" s="1">
        <v>45875</v>
      </c>
      <c r="N550" s="1" t="str">
        <f>PROPER(TEXT(BBDD_fashion_boutique[[#This Row],[purchase_date]],"dddd"))</f>
        <v>Miércoles</v>
      </c>
      <c r="O550" s="1" t="str">
        <f>PROPER(TEXT(BBDD_fashion_boutique[[#This Row],[purchase_date]],"mmmm"))</f>
        <v>Agosto</v>
      </c>
      <c r="P550" s="4">
        <v>33</v>
      </c>
      <c r="Q550" s="2">
        <v>2.2999999999999998</v>
      </c>
      <c r="R550" t="str">
        <f>IF(BBDD_fashion_boutique[[#This Row],[stock_quantity]]&gt;9,"Ok",IF(BBDD_fashion_boutique[[#This Row],[stock_quantity]]=0,"Agotado","Pocas Unidades"))</f>
        <v>Ok</v>
      </c>
      <c r="S550" s="3">
        <f>IF(BBDD_fashion_boutique[[#This Row],[customer_rating]]="","No valorado",BBDD_fashion_boutique[[#This Row],[customer_rating]])</f>
        <v>2.2999999999999998</v>
      </c>
      <c r="T550" t="s">
        <v>24</v>
      </c>
      <c r="V550">
        <f>IF(BBDD_fashion_boutique[[#This Row],[is_returned]]="False",0,1)</f>
        <v>0</v>
      </c>
      <c r="W550">
        <f>IF(BBDD_fashion_boutique[[#This Row],[is_returned]]="True",0,BBDD_fashion_boutique[[#This Row],[current_price]])</f>
        <v>121.3</v>
      </c>
      <c r="X550" t="str">
        <f>IF(BBDD_fashion_boutique[[#This Row],[return_reason]]="","No return",BBDD_fashion_boutique[[#This Row],[return_reason]])</f>
        <v>No return</v>
      </c>
      <c r="Y550">
        <f>IF(IFERROR(VLOOKUP(BBDD_fashion_boutique[[#This Row],[product_id]],A551:A2726,1,FALSE),0),1,0)</f>
        <v>0</v>
      </c>
    </row>
    <row r="551" spans="1:25" x14ac:dyDescent="0.3">
      <c r="A551" t="s">
        <v>610</v>
      </c>
      <c r="B551" t="s">
        <v>44</v>
      </c>
      <c r="C551" t="s">
        <v>67</v>
      </c>
      <c r="D551" t="s">
        <v>39</v>
      </c>
      <c r="F551" t="str">
        <f>IF(BBDD_fashion_boutique[[#This Row],[category]]="Accessories","Accesorio",IF(BBDD_fashion_boutique[[#This Row],[size]]="","Desconocido",BBDD_fashion_boutique[[#This Row],[size]]))</f>
        <v>Desconocido</v>
      </c>
      <c r="G551" t="s">
        <v>33</v>
      </c>
      <c r="H551" s="2">
        <v>101.98</v>
      </c>
      <c r="I551">
        <v>28.4</v>
      </c>
      <c r="J551" s="5">
        <f>BBDD_fashion_boutique[[#This Row],[markdown_percentage]]/100</f>
        <v>0.28399999999999997</v>
      </c>
      <c r="K551" s="2">
        <v>73.02</v>
      </c>
      <c r="L551" s="2">
        <f>BBDD_fashion_boutique[[#This Row],[original_price]]-BBDD_fashion_boutique[[#This Row],[current_price]]</f>
        <v>28.960000000000008</v>
      </c>
      <c r="M551" s="1">
        <v>45875</v>
      </c>
      <c r="N551" s="1" t="str">
        <f>PROPER(TEXT(BBDD_fashion_boutique[[#This Row],[purchase_date]],"dddd"))</f>
        <v>Miércoles</v>
      </c>
      <c r="O551" s="1" t="str">
        <f>PROPER(TEXT(BBDD_fashion_boutique[[#This Row],[purchase_date]],"mmmm"))</f>
        <v>Agosto</v>
      </c>
      <c r="P551" s="4">
        <v>40</v>
      </c>
      <c r="Q551" s="2">
        <v>4.5</v>
      </c>
      <c r="R551" t="str">
        <f>IF(BBDD_fashion_boutique[[#This Row],[stock_quantity]]&gt;9,"Ok",IF(BBDD_fashion_boutique[[#This Row],[stock_quantity]]=0,"Agotado","Pocas Unidades"))</f>
        <v>Ok</v>
      </c>
      <c r="S551" s="3">
        <f>IF(BBDD_fashion_boutique[[#This Row],[customer_rating]]="","No valorado",BBDD_fashion_boutique[[#This Row],[customer_rating]])</f>
        <v>4.5</v>
      </c>
      <c r="T551" t="s">
        <v>24</v>
      </c>
      <c r="V551">
        <f>IF(BBDD_fashion_boutique[[#This Row],[is_returned]]="False",0,1)</f>
        <v>0</v>
      </c>
      <c r="W551">
        <f>IF(BBDD_fashion_boutique[[#This Row],[is_returned]]="True",0,BBDD_fashion_boutique[[#This Row],[current_price]])</f>
        <v>73.02</v>
      </c>
      <c r="X551" t="str">
        <f>IF(BBDD_fashion_boutique[[#This Row],[return_reason]]="","No return",BBDD_fashion_boutique[[#This Row],[return_reason]])</f>
        <v>No return</v>
      </c>
      <c r="Y551">
        <f>IF(IFERROR(VLOOKUP(BBDD_fashion_boutique[[#This Row],[product_id]],A552:A2727,1,FALSE),0),1,0)</f>
        <v>0</v>
      </c>
    </row>
    <row r="552" spans="1:25" x14ac:dyDescent="0.3">
      <c r="A552" t="s">
        <v>611</v>
      </c>
      <c r="B552" t="s">
        <v>44</v>
      </c>
      <c r="C552" t="s">
        <v>37</v>
      </c>
      <c r="D552" t="s">
        <v>21</v>
      </c>
      <c r="E552" t="s">
        <v>29</v>
      </c>
      <c r="F552" t="str">
        <f>IF(BBDD_fashion_boutique[[#This Row],[category]]="Accessories","Accesorio",IF(BBDD_fashion_boutique[[#This Row],[size]]="","Desconocido",BBDD_fashion_boutique[[#This Row],[size]]))</f>
        <v>L</v>
      </c>
      <c r="G552" t="s">
        <v>23</v>
      </c>
      <c r="H552" s="2">
        <v>89.99</v>
      </c>
      <c r="I552">
        <v>0</v>
      </c>
      <c r="J552" s="5">
        <f>BBDD_fashion_boutique[[#This Row],[markdown_percentage]]/100</f>
        <v>0</v>
      </c>
      <c r="K552" s="2">
        <v>89.99</v>
      </c>
      <c r="L552" s="2">
        <f>BBDD_fashion_boutique[[#This Row],[original_price]]-BBDD_fashion_boutique[[#This Row],[current_price]]</f>
        <v>0</v>
      </c>
      <c r="M552" s="1">
        <v>45716</v>
      </c>
      <c r="N552" s="1" t="str">
        <f>PROPER(TEXT(BBDD_fashion_boutique[[#This Row],[purchase_date]],"dddd"))</f>
        <v>Viernes</v>
      </c>
      <c r="O552" s="1" t="str">
        <f>PROPER(TEXT(BBDD_fashion_boutique[[#This Row],[purchase_date]],"mmmm"))</f>
        <v>Febrero</v>
      </c>
      <c r="P552" s="4">
        <v>26</v>
      </c>
      <c r="Q552" s="2">
        <v>4.0999999999999996</v>
      </c>
      <c r="R552" t="str">
        <f>IF(BBDD_fashion_boutique[[#This Row],[stock_quantity]]&gt;9,"Ok",IF(BBDD_fashion_boutique[[#This Row],[stock_quantity]]=0,"Agotado","Pocas Unidades"))</f>
        <v>Ok</v>
      </c>
      <c r="S552" s="3">
        <f>IF(BBDD_fashion_boutique[[#This Row],[customer_rating]]="","No valorado",BBDD_fashion_boutique[[#This Row],[customer_rating]])</f>
        <v>4.0999999999999996</v>
      </c>
      <c r="T552" t="s">
        <v>24</v>
      </c>
      <c r="V552">
        <f>IF(BBDD_fashion_boutique[[#This Row],[is_returned]]="False",0,1)</f>
        <v>0</v>
      </c>
      <c r="W552">
        <f>IF(BBDD_fashion_boutique[[#This Row],[is_returned]]="True",0,BBDD_fashion_boutique[[#This Row],[current_price]])</f>
        <v>89.99</v>
      </c>
      <c r="X552" t="str">
        <f>IF(BBDD_fashion_boutique[[#This Row],[return_reason]]="","No return",BBDD_fashion_boutique[[#This Row],[return_reason]])</f>
        <v>No return</v>
      </c>
      <c r="Y552">
        <f>IF(IFERROR(VLOOKUP(BBDD_fashion_boutique[[#This Row],[product_id]],A553:A2728,1,FALSE),0),1,0)</f>
        <v>0</v>
      </c>
    </row>
    <row r="553" spans="1:25" x14ac:dyDescent="0.3">
      <c r="A553" t="s">
        <v>612</v>
      </c>
      <c r="B553" t="s">
        <v>35</v>
      </c>
      <c r="C553" t="s">
        <v>81</v>
      </c>
      <c r="D553" t="s">
        <v>68</v>
      </c>
      <c r="E553" t="s">
        <v>55</v>
      </c>
      <c r="F553" t="str">
        <f>IF(BBDD_fashion_boutique[[#This Row],[category]]="Accessories","Accesorio",IF(BBDD_fashion_boutique[[#This Row],[size]]="","Desconocido",BBDD_fashion_boutique[[#This Row],[size]]))</f>
        <v>XXL</v>
      </c>
      <c r="G553" t="s">
        <v>52</v>
      </c>
      <c r="H553" s="2">
        <v>64.31</v>
      </c>
      <c r="I553">
        <v>34.5</v>
      </c>
      <c r="J553" s="5">
        <f>BBDD_fashion_boutique[[#This Row],[markdown_percentage]]/100</f>
        <v>0.34499999999999997</v>
      </c>
      <c r="K553" s="2">
        <v>42.12</v>
      </c>
      <c r="L553" s="2">
        <f>BBDD_fashion_boutique[[#This Row],[original_price]]-BBDD_fashion_boutique[[#This Row],[current_price]]</f>
        <v>22.190000000000005</v>
      </c>
      <c r="M553" s="1">
        <v>45875</v>
      </c>
      <c r="N553" s="1" t="str">
        <f>PROPER(TEXT(BBDD_fashion_boutique[[#This Row],[purchase_date]],"dddd"))</f>
        <v>Miércoles</v>
      </c>
      <c r="O553" s="1" t="str">
        <f>PROPER(TEXT(BBDD_fashion_boutique[[#This Row],[purchase_date]],"mmmm"))</f>
        <v>Agosto</v>
      </c>
      <c r="P553" s="4">
        <v>48</v>
      </c>
      <c r="Q553" s="2">
        <v>4.5</v>
      </c>
      <c r="R553" t="str">
        <f>IF(BBDD_fashion_boutique[[#This Row],[stock_quantity]]&gt;9,"Ok",IF(BBDD_fashion_boutique[[#This Row],[stock_quantity]]=0,"Agotado","Pocas Unidades"))</f>
        <v>Ok</v>
      </c>
      <c r="S553" s="3">
        <f>IF(BBDD_fashion_boutique[[#This Row],[customer_rating]]="","No valorado",BBDD_fashion_boutique[[#This Row],[customer_rating]])</f>
        <v>4.5</v>
      </c>
      <c r="T553" t="s">
        <v>24</v>
      </c>
      <c r="V553">
        <f>IF(BBDD_fashion_boutique[[#This Row],[is_returned]]="False",0,1)</f>
        <v>0</v>
      </c>
      <c r="W553">
        <f>IF(BBDD_fashion_boutique[[#This Row],[is_returned]]="True",0,BBDD_fashion_boutique[[#This Row],[current_price]])</f>
        <v>42.12</v>
      </c>
      <c r="X553" t="str">
        <f>IF(BBDD_fashion_boutique[[#This Row],[return_reason]]="","No return",BBDD_fashion_boutique[[#This Row],[return_reason]])</f>
        <v>No return</v>
      </c>
      <c r="Y553">
        <f>IF(IFERROR(VLOOKUP(BBDD_fashion_boutique[[#This Row],[product_id]],A554:A2729,1,FALSE),0),1,0)</f>
        <v>0</v>
      </c>
    </row>
    <row r="554" spans="1:25" x14ac:dyDescent="0.3">
      <c r="A554" t="s">
        <v>613</v>
      </c>
      <c r="B554" t="s">
        <v>48</v>
      </c>
      <c r="C554" t="s">
        <v>20</v>
      </c>
      <c r="D554" t="s">
        <v>21</v>
      </c>
      <c r="E554" t="s">
        <v>29</v>
      </c>
      <c r="F554" t="str">
        <f>IF(BBDD_fashion_boutique[[#This Row],[category]]="Accessories","Accesorio",IF(BBDD_fashion_boutique[[#This Row],[size]]="","Desconocido",BBDD_fashion_boutique[[#This Row],[size]]))</f>
        <v>L</v>
      </c>
      <c r="G554" t="s">
        <v>62</v>
      </c>
      <c r="H554" s="2">
        <v>168.92</v>
      </c>
      <c r="I554">
        <v>0</v>
      </c>
      <c r="J554" s="5">
        <f>BBDD_fashion_boutique[[#This Row],[markdown_percentage]]/100</f>
        <v>0</v>
      </c>
      <c r="K554" s="2">
        <v>168.92</v>
      </c>
      <c r="L554" s="2">
        <f>BBDD_fashion_boutique[[#This Row],[original_price]]-BBDD_fashion_boutique[[#This Row],[current_price]]</f>
        <v>0</v>
      </c>
      <c r="M554" s="1">
        <v>45852</v>
      </c>
      <c r="N554" s="1" t="str">
        <f>PROPER(TEXT(BBDD_fashion_boutique[[#This Row],[purchase_date]],"dddd"))</f>
        <v>Lunes</v>
      </c>
      <c r="O554" s="1" t="str">
        <f>PROPER(TEXT(BBDD_fashion_boutique[[#This Row],[purchase_date]],"mmmm"))</f>
        <v>Julio</v>
      </c>
      <c r="P554" s="4">
        <v>11</v>
      </c>
      <c r="Q554" s="2">
        <v>4.4000000000000004</v>
      </c>
      <c r="R554" t="str">
        <f>IF(BBDD_fashion_boutique[[#This Row],[stock_quantity]]&gt;9,"Ok",IF(BBDD_fashion_boutique[[#This Row],[stock_quantity]]=0,"Agotado","Pocas Unidades"))</f>
        <v>Ok</v>
      </c>
      <c r="S554" s="3">
        <f>IF(BBDD_fashion_boutique[[#This Row],[customer_rating]]="","No valorado",BBDD_fashion_boutique[[#This Row],[customer_rating]])</f>
        <v>4.4000000000000004</v>
      </c>
      <c r="T554" t="s">
        <v>24</v>
      </c>
      <c r="V554">
        <f>IF(BBDD_fashion_boutique[[#This Row],[is_returned]]="False",0,1)</f>
        <v>0</v>
      </c>
      <c r="W554">
        <f>IF(BBDD_fashion_boutique[[#This Row],[is_returned]]="True",0,BBDD_fashion_boutique[[#This Row],[current_price]])</f>
        <v>168.92</v>
      </c>
      <c r="X554" t="str">
        <f>IF(BBDD_fashion_boutique[[#This Row],[return_reason]]="","No return",BBDD_fashion_boutique[[#This Row],[return_reason]])</f>
        <v>No return</v>
      </c>
      <c r="Y554">
        <f>IF(IFERROR(VLOOKUP(BBDD_fashion_boutique[[#This Row],[product_id]],A555:A2730,1,FALSE),0),1,0)</f>
        <v>0</v>
      </c>
    </row>
    <row r="555" spans="1:25" x14ac:dyDescent="0.3">
      <c r="A555" t="s">
        <v>614</v>
      </c>
      <c r="B555" t="s">
        <v>44</v>
      </c>
      <c r="C555" t="s">
        <v>67</v>
      </c>
      <c r="D555" t="s">
        <v>68</v>
      </c>
      <c r="E555" t="s">
        <v>22</v>
      </c>
      <c r="F555" t="str">
        <f>IF(BBDD_fashion_boutique[[#This Row],[category]]="Accessories","Accesorio",IF(BBDD_fashion_boutique[[#This Row],[size]]="","Desconocido",BBDD_fashion_boutique[[#This Row],[size]]))</f>
        <v>XL</v>
      </c>
      <c r="G555" t="s">
        <v>70</v>
      </c>
      <c r="H555" s="2">
        <v>86.46</v>
      </c>
      <c r="I555">
        <v>49.5</v>
      </c>
      <c r="J555" s="5">
        <f>BBDD_fashion_boutique[[#This Row],[markdown_percentage]]/100</f>
        <v>0.495</v>
      </c>
      <c r="K555" s="2">
        <v>43.66</v>
      </c>
      <c r="L555" s="2">
        <f>BBDD_fashion_boutique[[#This Row],[original_price]]-BBDD_fashion_boutique[[#This Row],[current_price]]</f>
        <v>42.8</v>
      </c>
      <c r="M555" s="1">
        <v>45875</v>
      </c>
      <c r="N555" s="1" t="str">
        <f>PROPER(TEXT(BBDD_fashion_boutique[[#This Row],[purchase_date]],"dddd"))</f>
        <v>Miércoles</v>
      </c>
      <c r="O555" s="1" t="str">
        <f>PROPER(TEXT(BBDD_fashion_boutique[[#This Row],[purchase_date]],"mmmm"))</f>
        <v>Agosto</v>
      </c>
      <c r="P555" s="4">
        <v>19</v>
      </c>
      <c r="Q555" s="2">
        <v>4.3</v>
      </c>
      <c r="R555" t="str">
        <f>IF(BBDD_fashion_boutique[[#This Row],[stock_quantity]]&gt;9,"Ok",IF(BBDD_fashion_boutique[[#This Row],[stock_quantity]]=0,"Agotado","Pocas Unidades"))</f>
        <v>Ok</v>
      </c>
      <c r="S555" s="3">
        <f>IF(BBDD_fashion_boutique[[#This Row],[customer_rating]]="","No valorado",BBDD_fashion_boutique[[#This Row],[customer_rating]])</f>
        <v>4.3</v>
      </c>
      <c r="T555" t="s">
        <v>24</v>
      </c>
      <c r="V555">
        <f>IF(BBDD_fashion_boutique[[#This Row],[is_returned]]="False",0,1)</f>
        <v>0</v>
      </c>
      <c r="W555">
        <f>IF(BBDD_fashion_boutique[[#This Row],[is_returned]]="True",0,BBDD_fashion_boutique[[#This Row],[current_price]])</f>
        <v>43.66</v>
      </c>
      <c r="X555" t="str">
        <f>IF(BBDD_fashion_boutique[[#This Row],[return_reason]]="","No return",BBDD_fashion_boutique[[#This Row],[return_reason]])</f>
        <v>No return</v>
      </c>
      <c r="Y555">
        <f>IF(IFERROR(VLOOKUP(BBDD_fashion_boutique[[#This Row],[product_id]],A556:A2731,1,FALSE),0),1,0)</f>
        <v>0</v>
      </c>
    </row>
    <row r="556" spans="1:25" x14ac:dyDescent="0.3">
      <c r="A556" t="s">
        <v>615</v>
      </c>
      <c r="B556" t="s">
        <v>26</v>
      </c>
      <c r="C556" t="s">
        <v>81</v>
      </c>
      <c r="D556" t="s">
        <v>28</v>
      </c>
      <c r="E556" t="s">
        <v>61</v>
      </c>
      <c r="F556" t="str">
        <f>IF(BBDD_fashion_boutique[[#This Row],[category]]="Accessories","Accesorio",IF(BBDD_fashion_boutique[[#This Row],[size]]="","Desconocido",BBDD_fashion_boutique[[#This Row],[size]]))</f>
        <v>XS</v>
      </c>
      <c r="G556" t="s">
        <v>23</v>
      </c>
      <c r="H556" s="2">
        <v>36.840000000000003</v>
      </c>
      <c r="I556">
        <v>18.899999999999999</v>
      </c>
      <c r="J556" s="5">
        <f>BBDD_fashion_boutique[[#This Row],[markdown_percentage]]/100</f>
        <v>0.18899999999999997</v>
      </c>
      <c r="K556" s="2">
        <v>29.88</v>
      </c>
      <c r="L556" s="2">
        <f>BBDD_fashion_boutique[[#This Row],[original_price]]-BBDD_fashion_boutique[[#This Row],[current_price]]</f>
        <v>6.9600000000000044</v>
      </c>
      <c r="M556" s="1">
        <v>45875</v>
      </c>
      <c r="N556" s="1" t="str">
        <f>PROPER(TEXT(BBDD_fashion_boutique[[#This Row],[purchase_date]],"dddd"))</f>
        <v>Miércoles</v>
      </c>
      <c r="O556" s="1" t="str">
        <f>PROPER(TEXT(BBDD_fashion_boutique[[#This Row],[purchase_date]],"mmmm"))</f>
        <v>Agosto</v>
      </c>
      <c r="P556" s="4">
        <v>39</v>
      </c>
      <c r="Q556" s="2">
        <v>1.2</v>
      </c>
      <c r="R556" t="str">
        <f>IF(BBDD_fashion_boutique[[#This Row],[stock_quantity]]&gt;9,"Ok",IF(BBDD_fashion_boutique[[#This Row],[stock_quantity]]=0,"Agotado","Pocas Unidades"))</f>
        <v>Ok</v>
      </c>
      <c r="S556" s="3">
        <f>IF(BBDD_fashion_boutique[[#This Row],[customer_rating]]="","No valorado",BBDD_fashion_boutique[[#This Row],[customer_rating]])</f>
        <v>1.2</v>
      </c>
      <c r="T556" t="s">
        <v>24</v>
      </c>
      <c r="V556">
        <f>IF(BBDD_fashion_boutique[[#This Row],[is_returned]]="False",0,1)</f>
        <v>0</v>
      </c>
      <c r="W556">
        <f>IF(BBDD_fashion_boutique[[#This Row],[is_returned]]="True",0,BBDD_fashion_boutique[[#This Row],[current_price]])</f>
        <v>29.88</v>
      </c>
      <c r="X556" t="str">
        <f>IF(BBDD_fashion_boutique[[#This Row],[return_reason]]="","No return",BBDD_fashion_boutique[[#This Row],[return_reason]])</f>
        <v>No return</v>
      </c>
      <c r="Y556">
        <f>IF(IFERROR(VLOOKUP(BBDD_fashion_boutique[[#This Row],[product_id]],A557:A2732,1,FALSE),0),1,0)</f>
        <v>0</v>
      </c>
    </row>
    <row r="557" spans="1:25" x14ac:dyDescent="0.3">
      <c r="A557" t="s">
        <v>616</v>
      </c>
      <c r="B557" t="s">
        <v>26</v>
      </c>
      <c r="C557" t="s">
        <v>59</v>
      </c>
      <c r="D557" t="s">
        <v>21</v>
      </c>
      <c r="E557" t="s">
        <v>61</v>
      </c>
      <c r="F557" t="str">
        <f>IF(BBDD_fashion_boutique[[#This Row],[category]]="Accessories","Accesorio",IF(BBDD_fashion_boutique[[#This Row],[size]]="","Desconocido",BBDD_fashion_boutique[[#This Row],[size]]))</f>
        <v>XS</v>
      </c>
      <c r="G557" t="s">
        <v>30</v>
      </c>
      <c r="H557" s="2">
        <v>38.5</v>
      </c>
      <c r="I557">
        <v>0</v>
      </c>
      <c r="J557" s="5">
        <f>BBDD_fashion_boutique[[#This Row],[markdown_percentage]]/100</f>
        <v>0</v>
      </c>
      <c r="K557" s="2">
        <v>38.5</v>
      </c>
      <c r="L557" s="2">
        <f>BBDD_fashion_boutique[[#This Row],[original_price]]-BBDD_fashion_boutique[[#This Row],[current_price]]</f>
        <v>0</v>
      </c>
      <c r="M557" s="1">
        <v>45722</v>
      </c>
      <c r="N557" s="1" t="str">
        <f>PROPER(TEXT(BBDD_fashion_boutique[[#This Row],[purchase_date]],"dddd"))</f>
        <v>Jueves</v>
      </c>
      <c r="O557" s="1" t="str">
        <f>PROPER(TEXT(BBDD_fashion_boutique[[#This Row],[purchase_date]],"mmmm"))</f>
        <v>Marzo</v>
      </c>
      <c r="P557" s="4">
        <v>2</v>
      </c>
      <c r="Q557" s="2">
        <v>3.2</v>
      </c>
      <c r="R557" t="str">
        <f>IF(BBDD_fashion_boutique[[#This Row],[stock_quantity]]&gt;9,"Ok",IF(BBDD_fashion_boutique[[#This Row],[stock_quantity]]=0,"Agotado","Pocas Unidades"))</f>
        <v>Pocas Unidades</v>
      </c>
      <c r="S557" s="3">
        <f>IF(BBDD_fashion_boutique[[#This Row],[customer_rating]]="","No valorado",BBDD_fashion_boutique[[#This Row],[customer_rating]])</f>
        <v>3.2</v>
      </c>
      <c r="T557" t="s">
        <v>24</v>
      </c>
      <c r="V557">
        <f>IF(BBDD_fashion_boutique[[#This Row],[is_returned]]="False",0,1)</f>
        <v>0</v>
      </c>
      <c r="W557">
        <f>IF(BBDD_fashion_boutique[[#This Row],[is_returned]]="True",0,BBDD_fashion_boutique[[#This Row],[current_price]])</f>
        <v>38.5</v>
      </c>
      <c r="X557" t="str">
        <f>IF(BBDD_fashion_boutique[[#This Row],[return_reason]]="","No return",BBDD_fashion_boutique[[#This Row],[return_reason]])</f>
        <v>No return</v>
      </c>
      <c r="Y557">
        <f>IF(IFERROR(VLOOKUP(BBDD_fashion_boutique[[#This Row],[product_id]],A558:A2733,1,FALSE),0),1,0)</f>
        <v>0</v>
      </c>
    </row>
    <row r="558" spans="1:25" x14ac:dyDescent="0.3">
      <c r="A558" t="s">
        <v>617</v>
      </c>
      <c r="B558" t="s">
        <v>44</v>
      </c>
      <c r="C558" t="s">
        <v>49</v>
      </c>
      <c r="D558" t="s">
        <v>28</v>
      </c>
      <c r="F558" t="str">
        <f>IF(BBDD_fashion_boutique[[#This Row],[category]]="Accessories","Accesorio",IF(BBDD_fashion_boutique[[#This Row],[size]]="","Desconocido",BBDD_fashion_boutique[[#This Row],[size]]))</f>
        <v>Desconocido</v>
      </c>
      <c r="G558" t="s">
        <v>62</v>
      </c>
      <c r="H558" s="2">
        <v>68.02</v>
      </c>
      <c r="I558">
        <v>37.700000000000003</v>
      </c>
      <c r="J558" s="5">
        <f>BBDD_fashion_boutique[[#This Row],[markdown_percentage]]/100</f>
        <v>0.377</v>
      </c>
      <c r="K558" s="2">
        <v>42.38</v>
      </c>
      <c r="L558" s="2">
        <f>BBDD_fashion_boutique[[#This Row],[original_price]]-BBDD_fashion_boutique[[#This Row],[current_price]]</f>
        <v>25.639999999999993</v>
      </c>
      <c r="M558" s="1">
        <v>45875</v>
      </c>
      <c r="N558" s="1" t="str">
        <f>PROPER(TEXT(BBDD_fashion_boutique[[#This Row],[purchase_date]],"dddd"))</f>
        <v>Miércoles</v>
      </c>
      <c r="O558" s="1" t="str">
        <f>PROPER(TEXT(BBDD_fashion_boutique[[#This Row],[purchase_date]],"mmmm"))</f>
        <v>Agosto</v>
      </c>
      <c r="P558" s="4">
        <v>40</v>
      </c>
      <c r="Q558" s="2">
        <v>2.1</v>
      </c>
      <c r="R558" t="str">
        <f>IF(BBDD_fashion_boutique[[#This Row],[stock_quantity]]&gt;9,"Ok",IF(BBDD_fashion_boutique[[#This Row],[stock_quantity]]=0,"Agotado","Pocas Unidades"))</f>
        <v>Ok</v>
      </c>
      <c r="S558" s="3">
        <f>IF(BBDD_fashion_boutique[[#This Row],[customer_rating]]="","No valorado",BBDD_fashion_boutique[[#This Row],[customer_rating]])</f>
        <v>2.1</v>
      </c>
      <c r="T558" t="s">
        <v>24</v>
      </c>
      <c r="V558">
        <f>IF(BBDD_fashion_boutique[[#This Row],[is_returned]]="False",0,1)</f>
        <v>0</v>
      </c>
      <c r="W558">
        <f>IF(BBDD_fashion_boutique[[#This Row],[is_returned]]="True",0,BBDD_fashion_boutique[[#This Row],[current_price]])</f>
        <v>42.38</v>
      </c>
      <c r="X558" t="str">
        <f>IF(BBDD_fashion_boutique[[#This Row],[return_reason]]="","No return",BBDD_fashion_boutique[[#This Row],[return_reason]])</f>
        <v>No return</v>
      </c>
      <c r="Y558">
        <f>IF(IFERROR(VLOOKUP(BBDD_fashion_boutique[[#This Row],[product_id]],A559:A2734,1,FALSE),0),1,0)</f>
        <v>0</v>
      </c>
    </row>
    <row r="559" spans="1:25" x14ac:dyDescent="0.3">
      <c r="A559" t="s">
        <v>618</v>
      </c>
      <c r="B559" t="s">
        <v>48</v>
      </c>
      <c r="C559" t="s">
        <v>27</v>
      </c>
      <c r="D559" t="s">
        <v>39</v>
      </c>
      <c r="E559" t="s">
        <v>64</v>
      </c>
      <c r="F559" t="str">
        <f>IF(BBDD_fashion_boutique[[#This Row],[category]]="Accessories","Accesorio",IF(BBDD_fashion_boutique[[#This Row],[size]]="","Desconocido",BBDD_fashion_boutique[[#This Row],[size]]))</f>
        <v>M</v>
      </c>
      <c r="G559" t="s">
        <v>76</v>
      </c>
      <c r="H559" s="2">
        <v>117.23</v>
      </c>
      <c r="I559">
        <v>0</v>
      </c>
      <c r="J559" s="5">
        <f>BBDD_fashion_boutique[[#This Row],[markdown_percentage]]/100</f>
        <v>0</v>
      </c>
      <c r="K559" s="2">
        <v>117.23</v>
      </c>
      <c r="L559" s="2">
        <f>BBDD_fashion_boutique[[#This Row],[original_price]]-BBDD_fashion_boutique[[#This Row],[current_price]]</f>
        <v>0</v>
      </c>
      <c r="M559" s="1">
        <v>45875</v>
      </c>
      <c r="N559" s="1" t="str">
        <f>PROPER(TEXT(BBDD_fashion_boutique[[#This Row],[purchase_date]],"dddd"))</f>
        <v>Miércoles</v>
      </c>
      <c r="O559" s="1" t="str">
        <f>PROPER(TEXT(BBDD_fashion_boutique[[#This Row],[purchase_date]],"mmmm"))</f>
        <v>Agosto</v>
      </c>
      <c r="P559" s="4">
        <v>30</v>
      </c>
      <c r="R559" t="str">
        <f>IF(BBDD_fashion_boutique[[#This Row],[stock_quantity]]&gt;9,"Ok",IF(BBDD_fashion_boutique[[#This Row],[stock_quantity]]=0,"Agotado","Pocas Unidades"))</f>
        <v>Ok</v>
      </c>
      <c r="S559" s="3" t="str">
        <f>IF(BBDD_fashion_boutique[[#This Row],[customer_rating]]="","No valorado",BBDD_fashion_boutique[[#This Row],[customer_rating]])</f>
        <v>No valorado</v>
      </c>
      <c r="T559" t="s">
        <v>41</v>
      </c>
      <c r="U559" t="s">
        <v>121</v>
      </c>
      <c r="V559">
        <f>IF(BBDD_fashion_boutique[[#This Row],[is_returned]]="False",0,1)</f>
        <v>1</v>
      </c>
      <c r="W559">
        <f>IF(BBDD_fashion_boutique[[#This Row],[is_returned]]="True",0,BBDD_fashion_boutique[[#This Row],[current_price]])</f>
        <v>0</v>
      </c>
      <c r="X559" t="str">
        <f>IF(BBDD_fashion_boutique[[#This Row],[return_reason]]="","No return",BBDD_fashion_boutique[[#This Row],[return_reason]])</f>
        <v>Changed Mind</v>
      </c>
      <c r="Y559">
        <f>IF(IFERROR(VLOOKUP(BBDD_fashion_boutique[[#This Row],[product_id]],A560:A2735,1,FALSE),0),1,0)</f>
        <v>0</v>
      </c>
    </row>
    <row r="560" spans="1:25" x14ac:dyDescent="0.3">
      <c r="A560" t="s">
        <v>619</v>
      </c>
      <c r="B560" t="s">
        <v>26</v>
      </c>
      <c r="C560" t="s">
        <v>59</v>
      </c>
      <c r="D560" t="s">
        <v>21</v>
      </c>
      <c r="E560" t="s">
        <v>45</v>
      </c>
      <c r="F560" t="str">
        <f>IF(BBDD_fashion_boutique[[#This Row],[category]]="Accessories","Accesorio",IF(BBDD_fashion_boutique[[#This Row],[size]]="","Desconocido",BBDD_fashion_boutique[[#This Row],[size]]))</f>
        <v>S</v>
      </c>
      <c r="G560" t="s">
        <v>70</v>
      </c>
      <c r="H560" s="2">
        <v>79.33</v>
      </c>
      <c r="I560">
        <v>0</v>
      </c>
      <c r="J560" s="5">
        <f>BBDD_fashion_boutique[[#This Row],[markdown_percentage]]/100</f>
        <v>0</v>
      </c>
      <c r="K560" s="2">
        <v>79.33</v>
      </c>
      <c r="L560" s="2">
        <f>BBDD_fashion_boutique[[#This Row],[original_price]]-BBDD_fashion_boutique[[#This Row],[current_price]]</f>
        <v>0</v>
      </c>
      <c r="M560" s="1">
        <v>45687</v>
      </c>
      <c r="N560" s="1" t="str">
        <f>PROPER(TEXT(BBDD_fashion_boutique[[#This Row],[purchase_date]],"dddd"))</f>
        <v>Jueves</v>
      </c>
      <c r="O560" s="1" t="str">
        <f>PROPER(TEXT(BBDD_fashion_boutique[[#This Row],[purchase_date]],"mmmm"))</f>
        <v>Enero</v>
      </c>
      <c r="P560" s="4">
        <v>10</v>
      </c>
      <c r="Q560" s="2">
        <v>3.4</v>
      </c>
      <c r="R560" t="str">
        <f>IF(BBDD_fashion_boutique[[#This Row],[stock_quantity]]&gt;9,"Ok",IF(BBDD_fashion_boutique[[#This Row],[stock_quantity]]=0,"Agotado","Pocas Unidades"))</f>
        <v>Ok</v>
      </c>
      <c r="S560" s="3">
        <f>IF(BBDD_fashion_boutique[[#This Row],[customer_rating]]="","No valorado",BBDD_fashion_boutique[[#This Row],[customer_rating]])</f>
        <v>3.4</v>
      </c>
      <c r="T560" t="s">
        <v>41</v>
      </c>
      <c r="U560" t="s">
        <v>121</v>
      </c>
      <c r="V560">
        <f>IF(BBDD_fashion_boutique[[#This Row],[is_returned]]="False",0,1)</f>
        <v>1</v>
      </c>
      <c r="W560">
        <f>IF(BBDD_fashion_boutique[[#This Row],[is_returned]]="True",0,BBDD_fashion_boutique[[#This Row],[current_price]])</f>
        <v>0</v>
      </c>
      <c r="X560" t="str">
        <f>IF(BBDD_fashion_boutique[[#This Row],[return_reason]]="","No return",BBDD_fashion_boutique[[#This Row],[return_reason]])</f>
        <v>Changed Mind</v>
      </c>
      <c r="Y560">
        <f>IF(IFERROR(VLOOKUP(BBDD_fashion_boutique[[#This Row],[product_id]],A561:A2736,1,FALSE),0),1,0)</f>
        <v>0</v>
      </c>
    </row>
    <row r="561" spans="1:25" x14ac:dyDescent="0.3">
      <c r="A561" t="s">
        <v>620</v>
      </c>
      <c r="B561" t="s">
        <v>44</v>
      </c>
      <c r="C561" t="s">
        <v>49</v>
      </c>
      <c r="D561" t="s">
        <v>68</v>
      </c>
      <c r="E561" t="s">
        <v>29</v>
      </c>
      <c r="F561" t="str">
        <f>IF(BBDD_fashion_boutique[[#This Row],[category]]="Accessories","Accesorio",IF(BBDD_fashion_boutique[[#This Row],[size]]="","Desconocido",BBDD_fashion_boutique[[#This Row],[size]]))</f>
        <v>L</v>
      </c>
      <c r="G561" t="s">
        <v>52</v>
      </c>
      <c r="H561" s="2">
        <v>75.819999999999993</v>
      </c>
      <c r="I561">
        <v>42.7</v>
      </c>
      <c r="J561" s="5">
        <f>BBDD_fashion_boutique[[#This Row],[markdown_percentage]]/100</f>
        <v>0.42700000000000005</v>
      </c>
      <c r="K561" s="2">
        <v>43.44</v>
      </c>
      <c r="L561" s="2">
        <f>BBDD_fashion_boutique[[#This Row],[original_price]]-BBDD_fashion_boutique[[#This Row],[current_price]]</f>
        <v>32.379999999999995</v>
      </c>
      <c r="M561" s="1">
        <v>45875</v>
      </c>
      <c r="N561" s="1" t="str">
        <f>PROPER(TEXT(BBDD_fashion_boutique[[#This Row],[purchase_date]],"dddd"))</f>
        <v>Miércoles</v>
      </c>
      <c r="O561" s="1" t="str">
        <f>PROPER(TEXT(BBDD_fashion_boutique[[#This Row],[purchase_date]],"mmmm"))</f>
        <v>Agosto</v>
      </c>
      <c r="P561" s="4">
        <v>11</v>
      </c>
      <c r="Q561" s="2">
        <v>2</v>
      </c>
      <c r="R561" t="str">
        <f>IF(BBDD_fashion_boutique[[#This Row],[stock_quantity]]&gt;9,"Ok",IF(BBDD_fashion_boutique[[#This Row],[stock_quantity]]=0,"Agotado","Pocas Unidades"))</f>
        <v>Ok</v>
      </c>
      <c r="S561" s="3">
        <f>IF(BBDD_fashion_boutique[[#This Row],[customer_rating]]="","No valorado",BBDD_fashion_boutique[[#This Row],[customer_rating]])</f>
        <v>2</v>
      </c>
      <c r="T561" t="s">
        <v>24</v>
      </c>
      <c r="V561">
        <f>IF(BBDD_fashion_boutique[[#This Row],[is_returned]]="False",0,1)</f>
        <v>0</v>
      </c>
      <c r="W561">
        <f>IF(BBDD_fashion_boutique[[#This Row],[is_returned]]="True",0,BBDD_fashion_boutique[[#This Row],[current_price]])</f>
        <v>43.44</v>
      </c>
      <c r="X561" t="str">
        <f>IF(BBDD_fashion_boutique[[#This Row],[return_reason]]="","No return",BBDD_fashion_boutique[[#This Row],[return_reason]])</f>
        <v>No return</v>
      </c>
      <c r="Y561">
        <f>IF(IFERROR(VLOOKUP(BBDD_fashion_boutique[[#This Row],[product_id]],A562:A2737,1,FALSE),0),1,0)</f>
        <v>0</v>
      </c>
    </row>
    <row r="562" spans="1:25" x14ac:dyDescent="0.3">
      <c r="A562" t="s">
        <v>621</v>
      </c>
      <c r="B562" t="s">
        <v>48</v>
      </c>
      <c r="C562" t="s">
        <v>59</v>
      </c>
      <c r="D562" t="s">
        <v>21</v>
      </c>
      <c r="E562" t="s">
        <v>64</v>
      </c>
      <c r="F562" t="str">
        <f>IF(BBDD_fashion_boutique[[#This Row],[category]]="Accessories","Accesorio",IF(BBDD_fashion_boutique[[#This Row],[size]]="","Desconocido",BBDD_fashion_boutique[[#This Row],[size]]))</f>
        <v>M</v>
      </c>
      <c r="G562" t="s">
        <v>40</v>
      </c>
      <c r="H562" s="2">
        <v>141.41999999999999</v>
      </c>
      <c r="I562">
        <v>0</v>
      </c>
      <c r="J562" s="5">
        <f>BBDD_fashion_boutique[[#This Row],[markdown_percentage]]/100</f>
        <v>0</v>
      </c>
      <c r="K562" s="2">
        <v>141.41999999999999</v>
      </c>
      <c r="L562" s="2">
        <f>BBDD_fashion_boutique[[#This Row],[original_price]]-BBDD_fashion_boutique[[#This Row],[current_price]]</f>
        <v>0</v>
      </c>
      <c r="M562" s="1">
        <v>45741</v>
      </c>
      <c r="N562" s="1" t="str">
        <f>PROPER(TEXT(BBDD_fashion_boutique[[#This Row],[purchase_date]],"dddd"))</f>
        <v>Martes</v>
      </c>
      <c r="O562" s="1" t="str">
        <f>PROPER(TEXT(BBDD_fashion_boutique[[#This Row],[purchase_date]],"mmmm"))</f>
        <v>Marzo</v>
      </c>
      <c r="P562" s="4">
        <v>10</v>
      </c>
      <c r="Q562" s="2">
        <v>2.5</v>
      </c>
      <c r="R562" t="str">
        <f>IF(BBDD_fashion_boutique[[#This Row],[stock_quantity]]&gt;9,"Ok",IF(BBDD_fashion_boutique[[#This Row],[stock_quantity]]=0,"Agotado","Pocas Unidades"))</f>
        <v>Ok</v>
      </c>
      <c r="S562" s="3">
        <f>IF(BBDD_fashion_boutique[[#This Row],[customer_rating]]="","No valorado",BBDD_fashion_boutique[[#This Row],[customer_rating]])</f>
        <v>2.5</v>
      </c>
      <c r="T562" t="s">
        <v>24</v>
      </c>
      <c r="V562">
        <f>IF(BBDD_fashion_boutique[[#This Row],[is_returned]]="False",0,1)</f>
        <v>0</v>
      </c>
      <c r="W562">
        <f>IF(BBDD_fashion_boutique[[#This Row],[is_returned]]="True",0,BBDD_fashion_boutique[[#This Row],[current_price]])</f>
        <v>141.41999999999999</v>
      </c>
      <c r="X562" t="str">
        <f>IF(BBDD_fashion_boutique[[#This Row],[return_reason]]="","No return",BBDD_fashion_boutique[[#This Row],[return_reason]])</f>
        <v>No return</v>
      </c>
      <c r="Y562">
        <f>IF(IFERROR(VLOOKUP(BBDD_fashion_boutique[[#This Row],[product_id]],A563:A2738,1,FALSE),0),1,0)</f>
        <v>0</v>
      </c>
    </row>
    <row r="563" spans="1:25" x14ac:dyDescent="0.3">
      <c r="A563" t="s">
        <v>622</v>
      </c>
      <c r="B563" t="s">
        <v>35</v>
      </c>
      <c r="C563" t="s">
        <v>27</v>
      </c>
      <c r="D563" t="s">
        <v>21</v>
      </c>
      <c r="E563" t="s">
        <v>29</v>
      </c>
      <c r="F563" t="str">
        <f>IF(BBDD_fashion_boutique[[#This Row],[category]]="Accessories","Accesorio",IF(BBDD_fashion_boutique[[#This Row],[size]]="","Desconocido",BBDD_fashion_boutique[[#This Row],[size]]))</f>
        <v>L</v>
      </c>
      <c r="G563" t="s">
        <v>33</v>
      </c>
      <c r="H563" s="2">
        <v>124.2</v>
      </c>
      <c r="I563">
        <v>0</v>
      </c>
      <c r="J563" s="5">
        <f>BBDD_fashion_boutique[[#This Row],[markdown_percentage]]/100</f>
        <v>0</v>
      </c>
      <c r="K563" s="2">
        <v>124.2</v>
      </c>
      <c r="L563" s="2">
        <f>BBDD_fashion_boutique[[#This Row],[original_price]]-BBDD_fashion_boutique[[#This Row],[current_price]]</f>
        <v>0</v>
      </c>
      <c r="M563" s="1">
        <v>45532</v>
      </c>
      <c r="N563" s="1" t="str">
        <f>PROPER(TEXT(BBDD_fashion_boutique[[#This Row],[purchase_date]],"dddd"))</f>
        <v>Miércoles</v>
      </c>
      <c r="O563" s="1" t="str">
        <f>PROPER(TEXT(BBDD_fashion_boutique[[#This Row],[purchase_date]],"mmmm"))</f>
        <v>Agosto</v>
      </c>
      <c r="P563" s="4">
        <v>24</v>
      </c>
      <c r="Q563" s="2">
        <v>1</v>
      </c>
      <c r="R563" t="str">
        <f>IF(BBDD_fashion_boutique[[#This Row],[stock_quantity]]&gt;9,"Ok",IF(BBDD_fashion_boutique[[#This Row],[stock_quantity]]=0,"Agotado","Pocas Unidades"))</f>
        <v>Ok</v>
      </c>
      <c r="S563" s="3">
        <f>IF(BBDD_fashion_boutique[[#This Row],[customer_rating]]="","No valorado",BBDD_fashion_boutique[[#This Row],[customer_rating]])</f>
        <v>1</v>
      </c>
      <c r="T563" t="s">
        <v>24</v>
      </c>
      <c r="V563">
        <f>IF(BBDD_fashion_boutique[[#This Row],[is_returned]]="False",0,1)</f>
        <v>0</v>
      </c>
      <c r="W563">
        <f>IF(BBDD_fashion_boutique[[#This Row],[is_returned]]="True",0,BBDD_fashion_boutique[[#This Row],[current_price]])</f>
        <v>124.2</v>
      </c>
      <c r="X563" t="str">
        <f>IF(BBDD_fashion_boutique[[#This Row],[return_reason]]="","No return",BBDD_fashion_boutique[[#This Row],[return_reason]])</f>
        <v>No return</v>
      </c>
      <c r="Y563">
        <f>IF(IFERROR(VLOOKUP(BBDD_fashion_boutique[[#This Row],[product_id]],A564:A2739,1,FALSE),0),1,0)</f>
        <v>0</v>
      </c>
    </row>
    <row r="564" spans="1:25" x14ac:dyDescent="0.3">
      <c r="A564" t="s">
        <v>623</v>
      </c>
      <c r="B564" t="s">
        <v>44</v>
      </c>
      <c r="C564" t="s">
        <v>81</v>
      </c>
      <c r="D564" t="s">
        <v>28</v>
      </c>
      <c r="E564" t="s">
        <v>29</v>
      </c>
      <c r="F564" t="str">
        <f>IF(BBDD_fashion_boutique[[#This Row],[category]]="Accessories","Accesorio",IF(BBDD_fashion_boutique[[#This Row],[size]]="","Desconocido",BBDD_fashion_boutique[[#This Row],[size]]))</f>
        <v>L</v>
      </c>
      <c r="G564" t="s">
        <v>70</v>
      </c>
      <c r="H564" s="2">
        <v>48.42</v>
      </c>
      <c r="I564">
        <v>0</v>
      </c>
      <c r="J564" s="5">
        <f>BBDD_fashion_boutique[[#This Row],[markdown_percentage]]/100</f>
        <v>0</v>
      </c>
      <c r="K564" s="2">
        <v>48.42</v>
      </c>
      <c r="L564" s="2">
        <f>BBDD_fashion_boutique[[#This Row],[original_price]]-BBDD_fashion_boutique[[#This Row],[current_price]]</f>
        <v>0</v>
      </c>
      <c r="M564" s="1">
        <v>45875</v>
      </c>
      <c r="N564" s="1" t="str">
        <f>PROPER(TEXT(BBDD_fashion_boutique[[#This Row],[purchase_date]],"dddd"))</f>
        <v>Miércoles</v>
      </c>
      <c r="O564" s="1" t="str">
        <f>PROPER(TEXT(BBDD_fashion_boutique[[#This Row],[purchase_date]],"mmmm"))</f>
        <v>Agosto</v>
      </c>
      <c r="P564" s="4">
        <v>6</v>
      </c>
      <c r="Q564" s="2">
        <v>4.3</v>
      </c>
      <c r="R564" t="str">
        <f>IF(BBDD_fashion_boutique[[#This Row],[stock_quantity]]&gt;9,"Ok",IF(BBDD_fashion_boutique[[#This Row],[stock_quantity]]=0,"Agotado","Pocas Unidades"))</f>
        <v>Pocas Unidades</v>
      </c>
      <c r="S564" s="3">
        <f>IF(BBDD_fashion_boutique[[#This Row],[customer_rating]]="","No valorado",BBDD_fashion_boutique[[#This Row],[customer_rating]])</f>
        <v>4.3</v>
      </c>
      <c r="T564" t="s">
        <v>24</v>
      </c>
      <c r="V564">
        <f>IF(BBDD_fashion_boutique[[#This Row],[is_returned]]="False",0,1)</f>
        <v>0</v>
      </c>
      <c r="W564">
        <f>IF(BBDD_fashion_boutique[[#This Row],[is_returned]]="True",0,BBDD_fashion_boutique[[#This Row],[current_price]])</f>
        <v>48.42</v>
      </c>
      <c r="X564" t="str">
        <f>IF(BBDD_fashion_boutique[[#This Row],[return_reason]]="","No return",BBDD_fashion_boutique[[#This Row],[return_reason]])</f>
        <v>No return</v>
      </c>
      <c r="Y564">
        <f>IF(IFERROR(VLOOKUP(BBDD_fashion_boutique[[#This Row],[product_id]],A565:A2740,1,FALSE),0),1,0)</f>
        <v>0</v>
      </c>
    </row>
    <row r="565" spans="1:25" x14ac:dyDescent="0.3">
      <c r="A565" t="s">
        <v>624</v>
      </c>
      <c r="B565" t="s">
        <v>48</v>
      </c>
      <c r="C565" t="s">
        <v>54</v>
      </c>
      <c r="D565" t="s">
        <v>39</v>
      </c>
      <c r="E565" t="s">
        <v>61</v>
      </c>
      <c r="F565" t="str">
        <f>IF(BBDD_fashion_boutique[[#This Row],[category]]="Accessories","Accesorio",IF(BBDD_fashion_boutique[[#This Row],[size]]="","Desconocido",BBDD_fashion_boutique[[#This Row],[size]]))</f>
        <v>XS</v>
      </c>
      <c r="G565" t="s">
        <v>46</v>
      </c>
      <c r="H565" s="2">
        <v>119.4</v>
      </c>
      <c r="I565">
        <v>0</v>
      </c>
      <c r="J565" s="5">
        <f>BBDD_fashion_boutique[[#This Row],[markdown_percentage]]/100</f>
        <v>0</v>
      </c>
      <c r="K565" s="2">
        <v>119.4</v>
      </c>
      <c r="L565" s="2">
        <f>BBDD_fashion_boutique[[#This Row],[original_price]]-BBDD_fashion_boutique[[#This Row],[current_price]]</f>
        <v>0</v>
      </c>
      <c r="M565" s="1">
        <v>45875</v>
      </c>
      <c r="N565" s="1" t="str">
        <f>PROPER(TEXT(BBDD_fashion_boutique[[#This Row],[purchase_date]],"dddd"))</f>
        <v>Miércoles</v>
      </c>
      <c r="O565" s="1" t="str">
        <f>PROPER(TEXT(BBDD_fashion_boutique[[#This Row],[purchase_date]],"mmmm"))</f>
        <v>Agosto</v>
      </c>
      <c r="P565" s="4">
        <v>45</v>
      </c>
      <c r="Q565" s="2">
        <v>4.2</v>
      </c>
      <c r="R565" t="str">
        <f>IF(BBDD_fashion_boutique[[#This Row],[stock_quantity]]&gt;9,"Ok",IF(BBDD_fashion_boutique[[#This Row],[stock_quantity]]=0,"Agotado","Pocas Unidades"))</f>
        <v>Ok</v>
      </c>
      <c r="S565" s="3">
        <f>IF(BBDD_fashion_boutique[[#This Row],[customer_rating]]="","No valorado",BBDD_fashion_boutique[[#This Row],[customer_rating]])</f>
        <v>4.2</v>
      </c>
      <c r="T565" t="s">
        <v>24</v>
      </c>
      <c r="V565">
        <f>IF(BBDD_fashion_boutique[[#This Row],[is_returned]]="False",0,1)</f>
        <v>0</v>
      </c>
      <c r="W565">
        <f>IF(BBDD_fashion_boutique[[#This Row],[is_returned]]="True",0,BBDD_fashion_boutique[[#This Row],[current_price]])</f>
        <v>119.4</v>
      </c>
      <c r="X565" t="str">
        <f>IF(BBDD_fashion_boutique[[#This Row],[return_reason]]="","No return",BBDD_fashion_boutique[[#This Row],[return_reason]])</f>
        <v>No return</v>
      </c>
      <c r="Y565">
        <f>IF(IFERROR(VLOOKUP(BBDD_fashion_boutique[[#This Row],[product_id]],A566:A2741,1,FALSE),0),1,0)</f>
        <v>0</v>
      </c>
    </row>
    <row r="566" spans="1:25" x14ac:dyDescent="0.3">
      <c r="A566" t="s">
        <v>625</v>
      </c>
      <c r="B566" t="s">
        <v>35</v>
      </c>
      <c r="C566" t="s">
        <v>49</v>
      </c>
      <c r="D566" t="s">
        <v>68</v>
      </c>
      <c r="E566" t="s">
        <v>64</v>
      </c>
      <c r="F566" t="str">
        <f>IF(BBDD_fashion_boutique[[#This Row],[category]]="Accessories","Accesorio",IF(BBDD_fashion_boutique[[#This Row],[size]]="","Desconocido",BBDD_fashion_boutique[[#This Row],[size]]))</f>
        <v>M</v>
      </c>
      <c r="G566" t="s">
        <v>76</v>
      </c>
      <c r="H566" s="2">
        <v>186.07</v>
      </c>
      <c r="I566">
        <v>0</v>
      </c>
      <c r="J566" s="5">
        <f>BBDD_fashion_boutique[[#This Row],[markdown_percentage]]/100</f>
        <v>0</v>
      </c>
      <c r="K566" s="2">
        <v>186.07</v>
      </c>
      <c r="L566" s="2">
        <f>BBDD_fashion_boutique[[#This Row],[original_price]]-BBDD_fashion_boutique[[#This Row],[current_price]]</f>
        <v>0</v>
      </c>
      <c r="M566" s="1">
        <v>45875</v>
      </c>
      <c r="N566" s="1" t="str">
        <f>PROPER(TEXT(BBDD_fashion_boutique[[#This Row],[purchase_date]],"dddd"))</f>
        <v>Miércoles</v>
      </c>
      <c r="O566" s="1" t="str">
        <f>PROPER(TEXT(BBDD_fashion_boutique[[#This Row],[purchase_date]],"mmmm"))</f>
        <v>Agosto</v>
      </c>
      <c r="P566" s="4">
        <v>41</v>
      </c>
      <c r="Q566" s="2">
        <v>2.6</v>
      </c>
      <c r="R566" t="str">
        <f>IF(BBDD_fashion_boutique[[#This Row],[stock_quantity]]&gt;9,"Ok",IF(BBDD_fashion_boutique[[#This Row],[stock_quantity]]=0,"Agotado","Pocas Unidades"))</f>
        <v>Ok</v>
      </c>
      <c r="S566" s="3">
        <f>IF(BBDD_fashion_boutique[[#This Row],[customer_rating]]="","No valorado",BBDD_fashion_boutique[[#This Row],[customer_rating]])</f>
        <v>2.6</v>
      </c>
      <c r="T566" t="s">
        <v>24</v>
      </c>
      <c r="V566">
        <f>IF(BBDD_fashion_boutique[[#This Row],[is_returned]]="False",0,1)</f>
        <v>0</v>
      </c>
      <c r="W566">
        <f>IF(BBDD_fashion_boutique[[#This Row],[is_returned]]="True",0,BBDD_fashion_boutique[[#This Row],[current_price]])</f>
        <v>186.07</v>
      </c>
      <c r="X566" t="str">
        <f>IF(BBDD_fashion_boutique[[#This Row],[return_reason]]="","No return",BBDD_fashion_boutique[[#This Row],[return_reason]])</f>
        <v>No return</v>
      </c>
      <c r="Y566">
        <f>IF(IFERROR(VLOOKUP(BBDD_fashion_boutique[[#This Row],[product_id]],A567:A2742,1,FALSE),0),1,0)</f>
        <v>0</v>
      </c>
    </row>
    <row r="567" spans="1:25" x14ac:dyDescent="0.3">
      <c r="A567" t="s">
        <v>626</v>
      </c>
      <c r="B567" t="s">
        <v>35</v>
      </c>
      <c r="C567" t="s">
        <v>49</v>
      </c>
      <c r="D567" t="s">
        <v>68</v>
      </c>
      <c r="E567" t="s">
        <v>22</v>
      </c>
      <c r="F567" t="str">
        <f>IF(BBDD_fashion_boutique[[#This Row],[category]]="Accessories","Accesorio",IF(BBDD_fashion_boutique[[#This Row],[size]]="","Desconocido",BBDD_fashion_boutique[[#This Row],[size]]))</f>
        <v>XL</v>
      </c>
      <c r="G567" t="s">
        <v>76</v>
      </c>
      <c r="H567" s="2">
        <v>109.46</v>
      </c>
      <c r="I567">
        <v>0</v>
      </c>
      <c r="J567" s="5">
        <f>BBDD_fashion_boutique[[#This Row],[markdown_percentage]]/100</f>
        <v>0</v>
      </c>
      <c r="K567" s="2">
        <v>109.46</v>
      </c>
      <c r="L567" s="2">
        <f>BBDD_fashion_boutique[[#This Row],[original_price]]-BBDD_fashion_boutique[[#This Row],[current_price]]</f>
        <v>0</v>
      </c>
      <c r="M567" s="1">
        <v>45875</v>
      </c>
      <c r="N567" s="1" t="str">
        <f>PROPER(TEXT(BBDD_fashion_boutique[[#This Row],[purchase_date]],"dddd"))</f>
        <v>Miércoles</v>
      </c>
      <c r="O567" s="1" t="str">
        <f>PROPER(TEXT(BBDD_fashion_boutique[[#This Row],[purchase_date]],"mmmm"))</f>
        <v>Agosto</v>
      </c>
      <c r="P567" s="4">
        <v>38</v>
      </c>
      <c r="Q567" s="2">
        <v>4.0999999999999996</v>
      </c>
      <c r="R567" t="str">
        <f>IF(BBDD_fashion_boutique[[#This Row],[stock_quantity]]&gt;9,"Ok",IF(BBDD_fashion_boutique[[#This Row],[stock_quantity]]=0,"Agotado","Pocas Unidades"))</f>
        <v>Ok</v>
      </c>
      <c r="S567" s="3">
        <f>IF(BBDD_fashion_boutique[[#This Row],[customer_rating]]="","No valorado",BBDD_fashion_boutique[[#This Row],[customer_rating]])</f>
        <v>4.0999999999999996</v>
      </c>
      <c r="T567" t="s">
        <v>24</v>
      </c>
      <c r="V567">
        <f>IF(BBDD_fashion_boutique[[#This Row],[is_returned]]="False",0,1)</f>
        <v>0</v>
      </c>
      <c r="W567">
        <f>IF(BBDD_fashion_boutique[[#This Row],[is_returned]]="True",0,BBDD_fashion_boutique[[#This Row],[current_price]])</f>
        <v>109.46</v>
      </c>
      <c r="X567" t="str">
        <f>IF(BBDD_fashion_boutique[[#This Row],[return_reason]]="","No return",BBDD_fashion_boutique[[#This Row],[return_reason]])</f>
        <v>No return</v>
      </c>
      <c r="Y567">
        <f>IF(IFERROR(VLOOKUP(BBDD_fashion_boutique[[#This Row],[product_id]],A568:A2743,1,FALSE),0),1,0)</f>
        <v>0</v>
      </c>
    </row>
    <row r="568" spans="1:25" x14ac:dyDescent="0.3">
      <c r="A568" t="s">
        <v>627</v>
      </c>
      <c r="B568" t="s">
        <v>48</v>
      </c>
      <c r="C568" t="s">
        <v>67</v>
      </c>
      <c r="D568" t="s">
        <v>28</v>
      </c>
      <c r="E568" t="s">
        <v>45</v>
      </c>
      <c r="F568" t="str">
        <f>IF(BBDD_fashion_boutique[[#This Row],[category]]="Accessories","Accesorio",IF(BBDD_fashion_boutique[[#This Row],[size]]="","Desconocido",BBDD_fashion_boutique[[#This Row],[size]]))</f>
        <v>S</v>
      </c>
      <c r="G568" t="s">
        <v>46</v>
      </c>
      <c r="H568" s="2">
        <v>116.18</v>
      </c>
      <c r="I568">
        <v>42.7</v>
      </c>
      <c r="J568" s="5">
        <f>BBDD_fashion_boutique[[#This Row],[markdown_percentage]]/100</f>
        <v>0.42700000000000005</v>
      </c>
      <c r="K568" s="2">
        <v>66.569999999999993</v>
      </c>
      <c r="L568" s="2">
        <f>BBDD_fashion_boutique[[#This Row],[original_price]]-BBDD_fashion_boutique[[#This Row],[current_price]]</f>
        <v>49.610000000000014</v>
      </c>
      <c r="M568" s="1">
        <v>45875</v>
      </c>
      <c r="N568" s="1" t="str">
        <f>PROPER(TEXT(BBDD_fashion_boutique[[#This Row],[purchase_date]],"dddd"))</f>
        <v>Miércoles</v>
      </c>
      <c r="O568" s="1" t="str">
        <f>PROPER(TEXT(BBDD_fashion_boutique[[#This Row],[purchase_date]],"mmmm"))</f>
        <v>Agosto</v>
      </c>
      <c r="P568" s="4">
        <v>3</v>
      </c>
      <c r="Q568" s="2">
        <v>3.5</v>
      </c>
      <c r="R568" t="str">
        <f>IF(BBDD_fashion_boutique[[#This Row],[stock_quantity]]&gt;9,"Ok",IF(BBDD_fashion_boutique[[#This Row],[stock_quantity]]=0,"Agotado","Pocas Unidades"))</f>
        <v>Pocas Unidades</v>
      </c>
      <c r="S568" s="3">
        <f>IF(BBDD_fashion_boutique[[#This Row],[customer_rating]]="","No valorado",BBDD_fashion_boutique[[#This Row],[customer_rating]])</f>
        <v>3.5</v>
      </c>
      <c r="T568" t="s">
        <v>24</v>
      </c>
      <c r="V568">
        <f>IF(BBDD_fashion_boutique[[#This Row],[is_returned]]="False",0,1)</f>
        <v>0</v>
      </c>
      <c r="W568">
        <f>IF(BBDD_fashion_boutique[[#This Row],[is_returned]]="True",0,BBDD_fashion_boutique[[#This Row],[current_price]])</f>
        <v>66.569999999999993</v>
      </c>
      <c r="X568" t="str">
        <f>IF(BBDD_fashion_boutique[[#This Row],[return_reason]]="","No return",BBDD_fashion_boutique[[#This Row],[return_reason]])</f>
        <v>No return</v>
      </c>
      <c r="Y568">
        <f>IF(IFERROR(VLOOKUP(BBDD_fashion_boutique[[#This Row],[product_id]],A569:A2744,1,FALSE),0),1,0)</f>
        <v>0</v>
      </c>
    </row>
    <row r="569" spans="1:25" x14ac:dyDescent="0.3">
      <c r="A569" t="s">
        <v>628</v>
      </c>
      <c r="B569" t="s">
        <v>32</v>
      </c>
      <c r="C569" t="s">
        <v>20</v>
      </c>
      <c r="D569" t="s">
        <v>28</v>
      </c>
      <c r="F569" t="str">
        <f>IF(BBDD_fashion_boutique[[#This Row],[category]]="Accessories","Accesorio",IF(BBDD_fashion_boutique[[#This Row],[size]]="","Desconocido",BBDD_fashion_boutique[[#This Row],[size]]))</f>
        <v>Accesorio</v>
      </c>
      <c r="G569" t="s">
        <v>52</v>
      </c>
      <c r="H569" s="2">
        <v>41.29</v>
      </c>
      <c r="I569">
        <v>26.3</v>
      </c>
      <c r="J569" s="5">
        <f>BBDD_fashion_boutique[[#This Row],[markdown_percentage]]/100</f>
        <v>0.26300000000000001</v>
      </c>
      <c r="K569" s="2">
        <v>30.43</v>
      </c>
      <c r="L569" s="2">
        <f>BBDD_fashion_boutique[[#This Row],[original_price]]-BBDD_fashion_boutique[[#This Row],[current_price]]</f>
        <v>10.86</v>
      </c>
      <c r="M569" s="1">
        <v>45875</v>
      </c>
      <c r="N569" s="1" t="str">
        <f>PROPER(TEXT(BBDD_fashion_boutique[[#This Row],[purchase_date]],"dddd"))</f>
        <v>Miércoles</v>
      </c>
      <c r="O569" s="1" t="str">
        <f>PROPER(TEXT(BBDD_fashion_boutique[[#This Row],[purchase_date]],"mmmm"))</f>
        <v>Agosto</v>
      </c>
      <c r="P569" s="4">
        <v>5</v>
      </c>
      <c r="Q569" s="2">
        <v>4.7</v>
      </c>
      <c r="R569" t="str">
        <f>IF(BBDD_fashion_boutique[[#This Row],[stock_quantity]]&gt;9,"Ok",IF(BBDD_fashion_boutique[[#This Row],[stock_quantity]]=0,"Agotado","Pocas Unidades"))</f>
        <v>Pocas Unidades</v>
      </c>
      <c r="S569" s="3">
        <f>IF(BBDD_fashion_boutique[[#This Row],[customer_rating]]="","No valorado",BBDD_fashion_boutique[[#This Row],[customer_rating]])</f>
        <v>4.7</v>
      </c>
      <c r="T569" t="s">
        <v>24</v>
      </c>
      <c r="V569">
        <f>IF(BBDD_fashion_boutique[[#This Row],[is_returned]]="False",0,1)</f>
        <v>0</v>
      </c>
      <c r="W569">
        <f>IF(BBDD_fashion_boutique[[#This Row],[is_returned]]="True",0,BBDD_fashion_boutique[[#This Row],[current_price]])</f>
        <v>30.43</v>
      </c>
      <c r="X569" t="str">
        <f>IF(BBDD_fashion_boutique[[#This Row],[return_reason]]="","No return",BBDD_fashion_boutique[[#This Row],[return_reason]])</f>
        <v>No return</v>
      </c>
      <c r="Y569">
        <f>IF(IFERROR(VLOOKUP(BBDD_fashion_boutique[[#This Row],[product_id]],A570:A2745,1,FALSE),0),1,0)</f>
        <v>0</v>
      </c>
    </row>
    <row r="570" spans="1:25" x14ac:dyDescent="0.3">
      <c r="A570" t="s">
        <v>629</v>
      </c>
      <c r="B570" t="s">
        <v>26</v>
      </c>
      <c r="C570" t="s">
        <v>27</v>
      </c>
      <c r="D570" t="s">
        <v>28</v>
      </c>
      <c r="E570" t="s">
        <v>45</v>
      </c>
      <c r="F570" t="str">
        <f>IF(BBDD_fashion_boutique[[#This Row],[category]]="Accessories","Accesorio",IF(BBDD_fashion_boutique[[#This Row],[size]]="","Desconocido",BBDD_fashion_boutique[[#This Row],[size]]))</f>
        <v>S</v>
      </c>
      <c r="G570" t="s">
        <v>52</v>
      </c>
      <c r="H570" s="2">
        <v>94.68</v>
      </c>
      <c r="I570">
        <v>45</v>
      </c>
      <c r="J570" s="5">
        <f>BBDD_fashion_boutique[[#This Row],[markdown_percentage]]/100</f>
        <v>0.45</v>
      </c>
      <c r="K570" s="2">
        <v>52.07</v>
      </c>
      <c r="L570" s="2">
        <f>BBDD_fashion_boutique[[#This Row],[original_price]]-BBDD_fashion_boutique[[#This Row],[current_price]]</f>
        <v>42.610000000000007</v>
      </c>
      <c r="M570" s="1">
        <v>45875</v>
      </c>
      <c r="N570" s="1" t="str">
        <f>PROPER(TEXT(BBDD_fashion_boutique[[#This Row],[purchase_date]],"dddd"))</f>
        <v>Miércoles</v>
      </c>
      <c r="O570" s="1" t="str">
        <f>PROPER(TEXT(BBDD_fashion_boutique[[#This Row],[purchase_date]],"mmmm"))</f>
        <v>Agosto</v>
      </c>
      <c r="P570" s="4">
        <v>47</v>
      </c>
      <c r="Q570" s="2">
        <v>2.6</v>
      </c>
      <c r="R570" t="str">
        <f>IF(BBDD_fashion_boutique[[#This Row],[stock_quantity]]&gt;9,"Ok",IF(BBDD_fashion_boutique[[#This Row],[stock_quantity]]=0,"Agotado","Pocas Unidades"))</f>
        <v>Ok</v>
      </c>
      <c r="S570" s="3">
        <f>IF(BBDD_fashion_boutique[[#This Row],[customer_rating]]="","No valorado",BBDD_fashion_boutique[[#This Row],[customer_rating]])</f>
        <v>2.6</v>
      </c>
      <c r="T570" t="s">
        <v>24</v>
      </c>
      <c r="V570">
        <f>IF(BBDD_fashion_boutique[[#This Row],[is_returned]]="False",0,1)</f>
        <v>0</v>
      </c>
      <c r="W570">
        <f>IF(BBDD_fashion_boutique[[#This Row],[is_returned]]="True",0,BBDD_fashion_boutique[[#This Row],[current_price]])</f>
        <v>52.07</v>
      </c>
      <c r="X570" t="str">
        <f>IF(BBDD_fashion_boutique[[#This Row],[return_reason]]="","No return",BBDD_fashion_boutique[[#This Row],[return_reason]])</f>
        <v>No return</v>
      </c>
      <c r="Y570">
        <f>IF(IFERROR(VLOOKUP(BBDD_fashion_boutique[[#This Row],[product_id]],A571:A2746,1,FALSE),0),1,0)</f>
        <v>0</v>
      </c>
    </row>
    <row r="571" spans="1:25" x14ac:dyDescent="0.3">
      <c r="A571" t="s">
        <v>630</v>
      </c>
      <c r="B571" t="s">
        <v>32</v>
      </c>
      <c r="C571" t="s">
        <v>20</v>
      </c>
      <c r="D571" t="s">
        <v>21</v>
      </c>
      <c r="F571" t="str">
        <f>IF(BBDD_fashion_boutique[[#This Row],[category]]="Accessories","Accesorio",IF(BBDD_fashion_boutique[[#This Row],[size]]="","Desconocido",BBDD_fashion_boutique[[#This Row],[size]]))</f>
        <v>Accesorio</v>
      </c>
      <c r="G571" t="s">
        <v>40</v>
      </c>
      <c r="H571" s="2">
        <v>48.55</v>
      </c>
      <c r="I571">
        <v>32.700000000000003</v>
      </c>
      <c r="J571" s="5">
        <f>BBDD_fashion_boutique[[#This Row],[markdown_percentage]]/100</f>
        <v>0.32700000000000001</v>
      </c>
      <c r="K571" s="2">
        <v>32.67</v>
      </c>
      <c r="L571" s="2">
        <f>BBDD_fashion_boutique[[#This Row],[original_price]]-BBDD_fashion_boutique[[#This Row],[current_price]]</f>
        <v>15.879999999999995</v>
      </c>
      <c r="M571" s="1">
        <v>45566</v>
      </c>
      <c r="N571" s="1" t="str">
        <f>PROPER(TEXT(BBDD_fashion_boutique[[#This Row],[purchase_date]],"dddd"))</f>
        <v>Martes</v>
      </c>
      <c r="O571" s="1" t="str">
        <f>PROPER(TEXT(BBDD_fashion_boutique[[#This Row],[purchase_date]],"mmmm"))</f>
        <v>Octubre</v>
      </c>
      <c r="P571" s="4">
        <v>39</v>
      </c>
      <c r="Q571" s="2">
        <v>2.8</v>
      </c>
      <c r="R571" t="str">
        <f>IF(BBDD_fashion_boutique[[#This Row],[stock_quantity]]&gt;9,"Ok",IF(BBDD_fashion_boutique[[#This Row],[stock_quantity]]=0,"Agotado","Pocas Unidades"))</f>
        <v>Ok</v>
      </c>
      <c r="S571" s="3">
        <f>IF(BBDD_fashion_boutique[[#This Row],[customer_rating]]="","No valorado",BBDD_fashion_boutique[[#This Row],[customer_rating]])</f>
        <v>2.8</v>
      </c>
      <c r="T571" t="s">
        <v>24</v>
      </c>
      <c r="V571">
        <f>IF(BBDD_fashion_boutique[[#This Row],[is_returned]]="False",0,1)</f>
        <v>0</v>
      </c>
      <c r="W571">
        <f>IF(BBDD_fashion_boutique[[#This Row],[is_returned]]="True",0,BBDD_fashion_boutique[[#This Row],[current_price]])</f>
        <v>32.67</v>
      </c>
      <c r="X571" t="str">
        <f>IF(BBDD_fashion_boutique[[#This Row],[return_reason]]="","No return",BBDD_fashion_boutique[[#This Row],[return_reason]])</f>
        <v>No return</v>
      </c>
      <c r="Y571">
        <f>IF(IFERROR(VLOOKUP(BBDD_fashion_boutique[[#This Row],[product_id]],A572:A2747,1,FALSE),0),1,0)</f>
        <v>0</v>
      </c>
    </row>
    <row r="572" spans="1:25" x14ac:dyDescent="0.3">
      <c r="A572" t="s">
        <v>631</v>
      </c>
      <c r="B572" t="s">
        <v>26</v>
      </c>
      <c r="C572" t="s">
        <v>67</v>
      </c>
      <c r="D572" t="s">
        <v>68</v>
      </c>
      <c r="E572" t="s">
        <v>64</v>
      </c>
      <c r="F572" t="str">
        <f>IF(BBDD_fashion_boutique[[#This Row],[category]]="Accessories","Accesorio",IF(BBDD_fashion_boutique[[#This Row],[size]]="","Desconocido",BBDD_fashion_boutique[[#This Row],[size]]))</f>
        <v>M</v>
      </c>
      <c r="G572" t="s">
        <v>72</v>
      </c>
      <c r="H572" s="2">
        <v>75.22</v>
      </c>
      <c r="I572">
        <v>0</v>
      </c>
      <c r="J572" s="5">
        <f>BBDD_fashion_boutique[[#This Row],[markdown_percentage]]/100</f>
        <v>0</v>
      </c>
      <c r="K572" s="2">
        <v>75.22</v>
      </c>
      <c r="L572" s="2">
        <f>BBDD_fashion_boutique[[#This Row],[original_price]]-BBDD_fashion_boutique[[#This Row],[current_price]]</f>
        <v>0</v>
      </c>
      <c r="M572" s="1">
        <v>45875</v>
      </c>
      <c r="N572" s="1" t="str">
        <f>PROPER(TEXT(BBDD_fashion_boutique[[#This Row],[purchase_date]],"dddd"))</f>
        <v>Miércoles</v>
      </c>
      <c r="O572" s="1" t="str">
        <f>PROPER(TEXT(BBDD_fashion_boutique[[#This Row],[purchase_date]],"mmmm"))</f>
        <v>Agosto</v>
      </c>
      <c r="P572" s="4">
        <v>22</v>
      </c>
      <c r="Q572" s="2">
        <v>2.1</v>
      </c>
      <c r="R572" t="str">
        <f>IF(BBDD_fashion_boutique[[#This Row],[stock_quantity]]&gt;9,"Ok",IF(BBDD_fashion_boutique[[#This Row],[stock_quantity]]=0,"Agotado","Pocas Unidades"))</f>
        <v>Ok</v>
      </c>
      <c r="S572" s="3">
        <f>IF(BBDD_fashion_boutique[[#This Row],[customer_rating]]="","No valorado",BBDD_fashion_boutique[[#This Row],[customer_rating]])</f>
        <v>2.1</v>
      </c>
      <c r="T572" t="s">
        <v>41</v>
      </c>
      <c r="U572" t="s">
        <v>79</v>
      </c>
      <c r="V572">
        <f>IF(BBDD_fashion_boutique[[#This Row],[is_returned]]="False",0,1)</f>
        <v>1</v>
      </c>
      <c r="W572">
        <f>IF(BBDD_fashion_boutique[[#This Row],[is_returned]]="True",0,BBDD_fashion_boutique[[#This Row],[current_price]])</f>
        <v>0</v>
      </c>
      <c r="X572" t="str">
        <f>IF(BBDD_fashion_boutique[[#This Row],[return_reason]]="","No return",BBDD_fashion_boutique[[#This Row],[return_reason]])</f>
        <v>Size Issue</v>
      </c>
      <c r="Y572">
        <f>IF(IFERROR(VLOOKUP(BBDD_fashion_boutique[[#This Row],[product_id]],A573:A2748,1,FALSE),0),1,0)</f>
        <v>0</v>
      </c>
    </row>
    <row r="573" spans="1:25" x14ac:dyDescent="0.3">
      <c r="A573" t="s">
        <v>632</v>
      </c>
      <c r="B573" t="s">
        <v>35</v>
      </c>
      <c r="C573" t="s">
        <v>54</v>
      </c>
      <c r="D573" t="s">
        <v>68</v>
      </c>
      <c r="E573" t="s">
        <v>61</v>
      </c>
      <c r="F573" t="str">
        <f>IF(BBDD_fashion_boutique[[#This Row],[category]]="Accessories","Accesorio",IF(BBDD_fashion_boutique[[#This Row],[size]]="","Desconocido",BBDD_fashion_boutique[[#This Row],[size]]))</f>
        <v>XS</v>
      </c>
      <c r="G573" t="s">
        <v>40</v>
      </c>
      <c r="H573" s="2">
        <v>98.95</v>
      </c>
      <c r="I573">
        <v>30.3</v>
      </c>
      <c r="J573" s="5">
        <f>BBDD_fashion_boutique[[#This Row],[markdown_percentage]]/100</f>
        <v>0.30299999999999999</v>
      </c>
      <c r="K573" s="2">
        <v>68.97</v>
      </c>
      <c r="L573" s="2">
        <f>BBDD_fashion_boutique[[#This Row],[original_price]]-BBDD_fashion_boutique[[#This Row],[current_price]]</f>
        <v>29.980000000000004</v>
      </c>
      <c r="M573" s="1">
        <v>45875</v>
      </c>
      <c r="N573" s="1" t="str">
        <f>PROPER(TEXT(BBDD_fashion_boutique[[#This Row],[purchase_date]],"dddd"))</f>
        <v>Miércoles</v>
      </c>
      <c r="O573" s="1" t="str">
        <f>PROPER(TEXT(BBDD_fashion_boutique[[#This Row],[purchase_date]],"mmmm"))</f>
        <v>Agosto</v>
      </c>
      <c r="P573" s="4">
        <v>16</v>
      </c>
      <c r="R573" t="str">
        <f>IF(BBDD_fashion_boutique[[#This Row],[stock_quantity]]&gt;9,"Ok",IF(BBDD_fashion_boutique[[#This Row],[stock_quantity]]=0,"Agotado","Pocas Unidades"))</f>
        <v>Ok</v>
      </c>
      <c r="S573" s="3" t="str">
        <f>IF(BBDD_fashion_boutique[[#This Row],[customer_rating]]="","No valorado",BBDD_fashion_boutique[[#This Row],[customer_rating]])</f>
        <v>No valorado</v>
      </c>
      <c r="T573" t="s">
        <v>24</v>
      </c>
      <c r="V573">
        <f>IF(BBDD_fashion_boutique[[#This Row],[is_returned]]="False",0,1)</f>
        <v>0</v>
      </c>
      <c r="W573">
        <f>IF(BBDD_fashion_boutique[[#This Row],[is_returned]]="True",0,BBDD_fashion_boutique[[#This Row],[current_price]])</f>
        <v>68.97</v>
      </c>
      <c r="X573" t="str">
        <f>IF(BBDD_fashion_boutique[[#This Row],[return_reason]]="","No return",BBDD_fashion_boutique[[#This Row],[return_reason]])</f>
        <v>No return</v>
      </c>
      <c r="Y573">
        <f>IF(IFERROR(VLOOKUP(BBDD_fashion_boutique[[#This Row],[product_id]],A574:A2749,1,FALSE),0),1,0)</f>
        <v>0</v>
      </c>
    </row>
    <row r="574" spans="1:25" x14ac:dyDescent="0.3">
      <c r="A574" t="s">
        <v>633</v>
      </c>
      <c r="B574" t="s">
        <v>26</v>
      </c>
      <c r="C574" t="s">
        <v>54</v>
      </c>
      <c r="D574" t="s">
        <v>21</v>
      </c>
      <c r="E574" t="s">
        <v>22</v>
      </c>
      <c r="F574" t="str">
        <f>IF(BBDD_fashion_boutique[[#This Row],[category]]="Accessories","Accesorio",IF(BBDD_fashion_boutique[[#This Row],[size]]="","Desconocido",BBDD_fashion_boutique[[#This Row],[size]]))</f>
        <v>XL</v>
      </c>
      <c r="G574" t="s">
        <v>76</v>
      </c>
      <c r="H574" s="2">
        <v>39.56</v>
      </c>
      <c r="I574">
        <v>0</v>
      </c>
      <c r="J574" s="5">
        <f>BBDD_fashion_boutique[[#This Row],[markdown_percentage]]/100</f>
        <v>0</v>
      </c>
      <c r="K574" s="2">
        <v>39.56</v>
      </c>
      <c r="L574" s="2">
        <f>BBDD_fashion_boutique[[#This Row],[original_price]]-BBDD_fashion_boutique[[#This Row],[current_price]]</f>
        <v>0</v>
      </c>
      <c r="M574" s="1">
        <v>45678</v>
      </c>
      <c r="N574" s="1" t="str">
        <f>PROPER(TEXT(BBDD_fashion_boutique[[#This Row],[purchase_date]],"dddd"))</f>
        <v>Martes</v>
      </c>
      <c r="O574" s="1" t="str">
        <f>PROPER(TEXT(BBDD_fashion_boutique[[#This Row],[purchase_date]],"mmmm"))</f>
        <v>Enero</v>
      </c>
      <c r="P574" s="4">
        <v>15</v>
      </c>
      <c r="R574" t="str">
        <f>IF(BBDD_fashion_boutique[[#This Row],[stock_quantity]]&gt;9,"Ok",IF(BBDD_fashion_boutique[[#This Row],[stock_quantity]]=0,"Agotado","Pocas Unidades"))</f>
        <v>Ok</v>
      </c>
      <c r="S574" s="3" t="str">
        <f>IF(BBDD_fashion_boutique[[#This Row],[customer_rating]]="","No valorado",BBDD_fashion_boutique[[#This Row],[customer_rating]])</f>
        <v>No valorado</v>
      </c>
      <c r="T574" t="s">
        <v>24</v>
      </c>
      <c r="V574">
        <f>IF(BBDD_fashion_boutique[[#This Row],[is_returned]]="False",0,1)</f>
        <v>0</v>
      </c>
      <c r="W574">
        <f>IF(BBDD_fashion_boutique[[#This Row],[is_returned]]="True",0,BBDD_fashion_boutique[[#This Row],[current_price]])</f>
        <v>39.56</v>
      </c>
      <c r="X574" t="str">
        <f>IF(BBDD_fashion_boutique[[#This Row],[return_reason]]="","No return",BBDD_fashion_boutique[[#This Row],[return_reason]])</f>
        <v>No return</v>
      </c>
      <c r="Y574">
        <f>IF(IFERROR(VLOOKUP(BBDD_fashion_boutique[[#This Row],[product_id]],A575:A2750,1,FALSE),0),1,0)</f>
        <v>0</v>
      </c>
    </row>
    <row r="575" spans="1:25" x14ac:dyDescent="0.3">
      <c r="A575" t="s">
        <v>634</v>
      </c>
      <c r="B575" t="s">
        <v>19</v>
      </c>
      <c r="C575" t="s">
        <v>27</v>
      </c>
      <c r="D575" t="s">
        <v>28</v>
      </c>
      <c r="E575" t="s">
        <v>45</v>
      </c>
      <c r="F575" t="str">
        <f>IF(BBDD_fashion_boutique[[#This Row],[category]]="Accessories","Accesorio",IF(BBDD_fashion_boutique[[#This Row],[size]]="","Desconocido",BBDD_fashion_boutique[[#This Row],[size]]))</f>
        <v>S</v>
      </c>
      <c r="G575" t="s">
        <v>40</v>
      </c>
      <c r="H575" s="2">
        <v>153.88</v>
      </c>
      <c r="I575">
        <v>0</v>
      </c>
      <c r="J575" s="5">
        <f>BBDD_fashion_boutique[[#This Row],[markdown_percentage]]/100</f>
        <v>0</v>
      </c>
      <c r="K575" s="2">
        <v>153.88</v>
      </c>
      <c r="L575" s="2">
        <f>BBDD_fashion_boutique[[#This Row],[original_price]]-BBDD_fashion_boutique[[#This Row],[current_price]]</f>
        <v>0</v>
      </c>
      <c r="M575" s="1">
        <v>45875</v>
      </c>
      <c r="N575" s="1" t="str">
        <f>PROPER(TEXT(BBDD_fashion_boutique[[#This Row],[purchase_date]],"dddd"))</f>
        <v>Miércoles</v>
      </c>
      <c r="O575" s="1" t="str">
        <f>PROPER(TEXT(BBDD_fashion_boutique[[#This Row],[purchase_date]],"mmmm"))</f>
        <v>Agosto</v>
      </c>
      <c r="P575" s="4">
        <v>42</v>
      </c>
      <c r="Q575" s="2">
        <v>2.2000000000000002</v>
      </c>
      <c r="R575" t="str">
        <f>IF(BBDD_fashion_boutique[[#This Row],[stock_quantity]]&gt;9,"Ok",IF(BBDD_fashion_boutique[[#This Row],[stock_quantity]]=0,"Agotado","Pocas Unidades"))</f>
        <v>Ok</v>
      </c>
      <c r="S575" s="3">
        <f>IF(BBDD_fashion_boutique[[#This Row],[customer_rating]]="","No valorado",BBDD_fashion_boutique[[#This Row],[customer_rating]])</f>
        <v>2.2000000000000002</v>
      </c>
      <c r="T575" t="s">
        <v>24</v>
      </c>
      <c r="V575">
        <f>IF(BBDD_fashion_boutique[[#This Row],[is_returned]]="False",0,1)</f>
        <v>0</v>
      </c>
      <c r="W575">
        <f>IF(BBDD_fashion_boutique[[#This Row],[is_returned]]="True",0,BBDD_fashion_boutique[[#This Row],[current_price]])</f>
        <v>153.88</v>
      </c>
      <c r="X575" t="str">
        <f>IF(BBDD_fashion_boutique[[#This Row],[return_reason]]="","No return",BBDD_fashion_boutique[[#This Row],[return_reason]])</f>
        <v>No return</v>
      </c>
      <c r="Y575">
        <f>IF(IFERROR(VLOOKUP(BBDD_fashion_boutique[[#This Row],[product_id]],A576:A2751,1,FALSE),0),1,0)</f>
        <v>0</v>
      </c>
    </row>
    <row r="576" spans="1:25" x14ac:dyDescent="0.3">
      <c r="A576" t="s">
        <v>635</v>
      </c>
      <c r="B576" t="s">
        <v>32</v>
      </c>
      <c r="C576" t="s">
        <v>59</v>
      </c>
      <c r="D576" t="s">
        <v>68</v>
      </c>
      <c r="F576" t="str">
        <f>IF(BBDD_fashion_boutique[[#This Row],[category]]="Accessories","Accesorio",IF(BBDD_fashion_boutique[[#This Row],[size]]="","Desconocido",BBDD_fashion_boutique[[#This Row],[size]]))</f>
        <v>Accesorio</v>
      </c>
      <c r="G576" t="s">
        <v>62</v>
      </c>
      <c r="H576" s="2">
        <v>68.87</v>
      </c>
      <c r="I576">
        <v>0</v>
      </c>
      <c r="J576" s="5">
        <f>BBDD_fashion_boutique[[#This Row],[markdown_percentage]]/100</f>
        <v>0</v>
      </c>
      <c r="K576" s="2">
        <v>68.87</v>
      </c>
      <c r="L576" s="2">
        <f>BBDD_fashion_boutique[[#This Row],[original_price]]-BBDD_fashion_boutique[[#This Row],[current_price]]</f>
        <v>0</v>
      </c>
      <c r="M576" s="1">
        <v>45875</v>
      </c>
      <c r="N576" s="1" t="str">
        <f>PROPER(TEXT(BBDD_fashion_boutique[[#This Row],[purchase_date]],"dddd"))</f>
        <v>Miércoles</v>
      </c>
      <c r="O576" s="1" t="str">
        <f>PROPER(TEXT(BBDD_fashion_boutique[[#This Row],[purchase_date]],"mmmm"))</f>
        <v>Agosto</v>
      </c>
      <c r="P576" s="4">
        <v>9</v>
      </c>
      <c r="Q576" s="2">
        <v>1.1000000000000001</v>
      </c>
      <c r="R576" t="str">
        <f>IF(BBDD_fashion_boutique[[#This Row],[stock_quantity]]&gt;9,"Ok",IF(BBDD_fashion_boutique[[#This Row],[stock_quantity]]=0,"Agotado","Pocas Unidades"))</f>
        <v>Pocas Unidades</v>
      </c>
      <c r="S576" s="3">
        <f>IF(BBDD_fashion_boutique[[#This Row],[customer_rating]]="","No valorado",BBDD_fashion_boutique[[#This Row],[customer_rating]])</f>
        <v>1.1000000000000001</v>
      </c>
      <c r="T576" t="s">
        <v>24</v>
      </c>
      <c r="V576">
        <f>IF(BBDD_fashion_boutique[[#This Row],[is_returned]]="False",0,1)</f>
        <v>0</v>
      </c>
      <c r="W576">
        <f>IF(BBDD_fashion_boutique[[#This Row],[is_returned]]="True",0,BBDD_fashion_boutique[[#This Row],[current_price]])</f>
        <v>68.87</v>
      </c>
      <c r="X576" t="str">
        <f>IF(BBDD_fashion_boutique[[#This Row],[return_reason]]="","No return",BBDD_fashion_boutique[[#This Row],[return_reason]])</f>
        <v>No return</v>
      </c>
      <c r="Y576">
        <f>IF(IFERROR(VLOOKUP(BBDD_fashion_boutique[[#This Row],[product_id]],A577:A2752,1,FALSE),0),1,0)</f>
        <v>0</v>
      </c>
    </row>
    <row r="577" spans="1:25" x14ac:dyDescent="0.3">
      <c r="A577" t="s">
        <v>636</v>
      </c>
      <c r="B577" t="s">
        <v>44</v>
      </c>
      <c r="C577" t="s">
        <v>59</v>
      </c>
      <c r="D577" t="s">
        <v>39</v>
      </c>
      <c r="E577" t="s">
        <v>64</v>
      </c>
      <c r="F577" t="str">
        <f>IF(BBDD_fashion_boutique[[#This Row],[category]]="Accessories","Accesorio",IF(BBDD_fashion_boutique[[#This Row],[size]]="","Desconocido",BBDD_fashion_boutique[[#This Row],[size]]))</f>
        <v>M</v>
      </c>
      <c r="G577" t="s">
        <v>30</v>
      </c>
      <c r="H577" s="2">
        <v>25.56</v>
      </c>
      <c r="I577">
        <v>38.9</v>
      </c>
      <c r="J577" s="5">
        <f>BBDD_fashion_boutique[[#This Row],[markdown_percentage]]/100</f>
        <v>0.38900000000000001</v>
      </c>
      <c r="K577" s="2">
        <v>15.62</v>
      </c>
      <c r="L577" s="2">
        <f>BBDD_fashion_boutique[[#This Row],[original_price]]-BBDD_fashion_boutique[[#This Row],[current_price]]</f>
        <v>9.94</v>
      </c>
      <c r="M577" s="1">
        <v>45875</v>
      </c>
      <c r="N577" s="1" t="str">
        <f>PROPER(TEXT(BBDD_fashion_boutique[[#This Row],[purchase_date]],"dddd"))</f>
        <v>Miércoles</v>
      </c>
      <c r="O577" s="1" t="str">
        <f>PROPER(TEXT(BBDD_fashion_boutique[[#This Row],[purchase_date]],"mmmm"))</f>
        <v>Agosto</v>
      </c>
      <c r="P577" s="4">
        <v>48</v>
      </c>
      <c r="R577" t="str">
        <f>IF(BBDD_fashion_boutique[[#This Row],[stock_quantity]]&gt;9,"Ok",IF(BBDD_fashion_boutique[[#This Row],[stock_quantity]]=0,"Agotado","Pocas Unidades"))</f>
        <v>Ok</v>
      </c>
      <c r="S577" s="3" t="str">
        <f>IF(BBDD_fashion_boutique[[#This Row],[customer_rating]]="","No valorado",BBDD_fashion_boutique[[#This Row],[customer_rating]])</f>
        <v>No valorado</v>
      </c>
      <c r="T577" t="s">
        <v>24</v>
      </c>
      <c r="V577">
        <f>IF(BBDD_fashion_boutique[[#This Row],[is_returned]]="False",0,1)</f>
        <v>0</v>
      </c>
      <c r="W577">
        <f>IF(BBDD_fashion_boutique[[#This Row],[is_returned]]="True",0,BBDD_fashion_boutique[[#This Row],[current_price]])</f>
        <v>15.62</v>
      </c>
      <c r="X577" t="str">
        <f>IF(BBDD_fashion_boutique[[#This Row],[return_reason]]="","No return",BBDD_fashion_boutique[[#This Row],[return_reason]])</f>
        <v>No return</v>
      </c>
      <c r="Y577">
        <f>IF(IFERROR(VLOOKUP(BBDD_fashion_boutique[[#This Row],[product_id]],A578:A2753,1,FALSE),0),1,0)</f>
        <v>0</v>
      </c>
    </row>
    <row r="578" spans="1:25" x14ac:dyDescent="0.3">
      <c r="A578" t="s">
        <v>637</v>
      </c>
      <c r="B578" t="s">
        <v>19</v>
      </c>
      <c r="C578" t="s">
        <v>54</v>
      </c>
      <c r="D578" t="s">
        <v>39</v>
      </c>
      <c r="E578" t="s">
        <v>55</v>
      </c>
      <c r="F578" t="str">
        <f>IF(BBDD_fashion_boutique[[#This Row],[category]]="Accessories","Accesorio",IF(BBDD_fashion_boutique[[#This Row],[size]]="","Desconocido",BBDD_fashion_boutique[[#This Row],[size]]))</f>
        <v>XXL</v>
      </c>
      <c r="G578" t="s">
        <v>40</v>
      </c>
      <c r="H578" s="2">
        <v>246.49</v>
      </c>
      <c r="I578">
        <v>0</v>
      </c>
      <c r="J578" s="5">
        <f>BBDD_fashion_boutique[[#This Row],[markdown_percentage]]/100</f>
        <v>0</v>
      </c>
      <c r="K578" s="2">
        <v>246.49</v>
      </c>
      <c r="L578" s="2">
        <f>BBDD_fashion_boutique[[#This Row],[original_price]]-BBDD_fashion_boutique[[#This Row],[current_price]]</f>
        <v>0</v>
      </c>
      <c r="M578" s="1">
        <v>45875</v>
      </c>
      <c r="N578" s="1" t="str">
        <f>PROPER(TEXT(BBDD_fashion_boutique[[#This Row],[purchase_date]],"dddd"))</f>
        <v>Miércoles</v>
      </c>
      <c r="O578" s="1" t="str">
        <f>PROPER(TEXT(BBDD_fashion_boutique[[#This Row],[purchase_date]],"mmmm"))</f>
        <v>Agosto</v>
      </c>
      <c r="P578" s="4">
        <v>20</v>
      </c>
      <c r="Q578" s="2">
        <v>4.8</v>
      </c>
      <c r="R578" t="str">
        <f>IF(BBDD_fashion_boutique[[#This Row],[stock_quantity]]&gt;9,"Ok",IF(BBDD_fashion_boutique[[#This Row],[stock_quantity]]=0,"Agotado","Pocas Unidades"))</f>
        <v>Ok</v>
      </c>
      <c r="S578" s="3">
        <f>IF(BBDD_fashion_boutique[[#This Row],[customer_rating]]="","No valorado",BBDD_fashion_boutique[[#This Row],[customer_rating]])</f>
        <v>4.8</v>
      </c>
      <c r="T578" t="s">
        <v>24</v>
      </c>
      <c r="V578">
        <f>IF(BBDD_fashion_boutique[[#This Row],[is_returned]]="False",0,1)</f>
        <v>0</v>
      </c>
      <c r="W578">
        <f>IF(BBDD_fashion_boutique[[#This Row],[is_returned]]="True",0,BBDD_fashion_boutique[[#This Row],[current_price]])</f>
        <v>246.49</v>
      </c>
      <c r="X578" t="str">
        <f>IF(BBDD_fashion_boutique[[#This Row],[return_reason]]="","No return",BBDD_fashion_boutique[[#This Row],[return_reason]])</f>
        <v>No return</v>
      </c>
      <c r="Y578">
        <f>IF(IFERROR(VLOOKUP(BBDD_fashion_boutique[[#This Row],[product_id]],A579:A2754,1,FALSE),0),1,0)</f>
        <v>0</v>
      </c>
    </row>
    <row r="579" spans="1:25" x14ac:dyDescent="0.3">
      <c r="A579" t="s">
        <v>638</v>
      </c>
      <c r="B579" t="s">
        <v>32</v>
      </c>
      <c r="C579" t="s">
        <v>54</v>
      </c>
      <c r="D579" t="s">
        <v>39</v>
      </c>
      <c r="F579" t="str">
        <f>IF(BBDD_fashion_boutique[[#This Row],[category]]="Accessories","Accesorio",IF(BBDD_fashion_boutique[[#This Row],[size]]="","Desconocido",BBDD_fashion_boutique[[#This Row],[size]]))</f>
        <v>Accesorio</v>
      </c>
      <c r="G579" t="s">
        <v>52</v>
      </c>
      <c r="H579" s="2">
        <v>52.41</v>
      </c>
      <c r="I579">
        <v>0</v>
      </c>
      <c r="J579" s="5">
        <f>BBDD_fashion_boutique[[#This Row],[markdown_percentage]]/100</f>
        <v>0</v>
      </c>
      <c r="K579" s="2">
        <v>52.41</v>
      </c>
      <c r="L579" s="2">
        <f>BBDD_fashion_boutique[[#This Row],[original_price]]-BBDD_fashion_boutique[[#This Row],[current_price]]</f>
        <v>0</v>
      </c>
      <c r="M579" s="1">
        <v>45875</v>
      </c>
      <c r="N579" s="1" t="str">
        <f>PROPER(TEXT(BBDD_fashion_boutique[[#This Row],[purchase_date]],"dddd"))</f>
        <v>Miércoles</v>
      </c>
      <c r="O579" s="1" t="str">
        <f>PROPER(TEXT(BBDD_fashion_boutique[[#This Row],[purchase_date]],"mmmm"))</f>
        <v>Agosto</v>
      </c>
      <c r="P579" s="4">
        <v>14</v>
      </c>
      <c r="R579" t="str">
        <f>IF(BBDD_fashion_boutique[[#This Row],[stock_quantity]]&gt;9,"Ok",IF(BBDD_fashion_boutique[[#This Row],[stock_quantity]]=0,"Agotado","Pocas Unidades"))</f>
        <v>Ok</v>
      </c>
      <c r="S579" s="3" t="str">
        <f>IF(BBDD_fashion_boutique[[#This Row],[customer_rating]]="","No valorado",BBDD_fashion_boutique[[#This Row],[customer_rating]])</f>
        <v>No valorado</v>
      </c>
      <c r="T579" t="s">
        <v>24</v>
      </c>
      <c r="V579">
        <f>IF(BBDD_fashion_boutique[[#This Row],[is_returned]]="False",0,1)</f>
        <v>0</v>
      </c>
      <c r="W579">
        <f>IF(BBDD_fashion_boutique[[#This Row],[is_returned]]="True",0,BBDD_fashion_boutique[[#This Row],[current_price]])</f>
        <v>52.41</v>
      </c>
      <c r="X579" t="str">
        <f>IF(BBDD_fashion_boutique[[#This Row],[return_reason]]="","No return",BBDD_fashion_boutique[[#This Row],[return_reason]])</f>
        <v>No return</v>
      </c>
      <c r="Y579">
        <f>IF(IFERROR(VLOOKUP(BBDD_fashion_boutique[[#This Row],[product_id]],A580:A2755,1,FALSE),0),1,0)</f>
        <v>0</v>
      </c>
    </row>
    <row r="580" spans="1:25" x14ac:dyDescent="0.3">
      <c r="A580" t="s">
        <v>639</v>
      </c>
      <c r="B580" t="s">
        <v>26</v>
      </c>
      <c r="C580" t="s">
        <v>20</v>
      </c>
      <c r="D580" t="s">
        <v>68</v>
      </c>
      <c r="E580" t="s">
        <v>64</v>
      </c>
      <c r="F580" t="str">
        <f>IF(BBDD_fashion_boutique[[#This Row],[category]]="Accessories","Accesorio",IF(BBDD_fashion_boutique[[#This Row],[size]]="","Desconocido",BBDD_fashion_boutique[[#This Row],[size]]))</f>
        <v>M</v>
      </c>
      <c r="G580" t="s">
        <v>70</v>
      </c>
      <c r="H580" s="2">
        <v>33.770000000000003</v>
      </c>
      <c r="I580">
        <v>0</v>
      </c>
      <c r="J580" s="5">
        <f>BBDD_fashion_boutique[[#This Row],[markdown_percentage]]/100</f>
        <v>0</v>
      </c>
      <c r="K580" s="2">
        <v>33.770000000000003</v>
      </c>
      <c r="L580" s="2">
        <f>BBDD_fashion_boutique[[#This Row],[original_price]]-BBDD_fashion_boutique[[#This Row],[current_price]]</f>
        <v>0</v>
      </c>
      <c r="M580" s="1">
        <v>45875</v>
      </c>
      <c r="N580" s="1" t="str">
        <f>PROPER(TEXT(BBDD_fashion_boutique[[#This Row],[purchase_date]],"dddd"))</f>
        <v>Miércoles</v>
      </c>
      <c r="O580" s="1" t="str">
        <f>PROPER(TEXT(BBDD_fashion_boutique[[#This Row],[purchase_date]],"mmmm"))</f>
        <v>Agosto</v>
      </c>
      <c r="P580" s="4">
        <v>12</v>
      </c>
      <c r="Q580" s="2">
        <v>3.8</v>
      </c>
      <c r="R580" t="str">
        <f>IF(BBDD_fashion_boutique[[#This Row],[stock_quantity]]&gt;9,"Ok",IF(BBDD_fashion_boutique[[#This Row],[stock_quantity]]=0,"Agotado","Pocas Unidades"))</f>
        <v>Ok</v>
      </c>
      <c r="S580" s="3">
        <f>IF(BBDD_fashion_boutique[[#This Row],[customer_rating]]="","No valorado",BBDD_fashion_boutique[[#This Row],[customer_rating]])</f>
        <v>3.8</v>
      </c>
      <c r="T580" t="s">
        <v>24</v>
      </c>
      <c r="V580">
        <f>IF(BBDD_fashion_boutique[[#This Row],[is_returned]]="False",0,1)</f>
        <v>0</v>
      </c>
      <c r="W580">
        <f>IF(BBDD_fashion_boutique[[#This Row],[is_returned]]="True",0,BBDD_fashion_boutique[[#This Row],[current_price]])</f>
        <v>33.770000000000003</v>
      </c>
      <c r="X580" t="str">
        <f>IF(BBDD_fashion_boutique[[#This Row],[return_reason]]="","No return",BBDD_fashion_boutique[[#This Row],[return_reason]])</f>
        <v>No return</v>
      </c>
      <c r="Y580">
        <f>IF(IFERROR(VLOOKUP(BBDD_fashion_boutique[[#This Row],[product_id]],A581:A2756,1,FALSE),0),1,0)</f>
        <v>0</v>
      </c>
    </row>
    <row r="581" spans="1:25" x14ac:dyDescent="0.3">
      <c r="A581" t="s">
        <v>640</v>
      </c>
      <c r="B581" t="s">
        <v>35</v>
      </c>
      <c r="C581" t="s">
        <v>54</v>
      </c>
      <c r="D581" t="s">
        <v>68</v>
      </c>
      <c r="E581" t="s">
        <v>64</v>
      </c>
      <c r="F581" t="str">
        <f>IF(BBDD_fashion_boutique[[#This Row],[category]]="Accessories","Accesorio",IF(BBDD_fashion_boutique[[#This Row],[size]]="","Desconocido",BBDD_fashion_boutique[[#This Row],[size]]))</f>
        <v>M</v>
      </c>
      <c r="G581" t="s">
        <v>30</v>
      </c>
      <c r="H581" s="2">
        <v>96.7</v>
      </c>
      <c r="I581">
        <v>0</v>
      </c>
      <c r="J581" s="5">
        <f>BBDD_fashion_boutique[[#This Row],[markdown_percentage]]/100</f>
        <v>0</v>
      </c>
      <c r="K581" s="2">
        <v>96.7</v>
      </c>
      <c r="L581" s="2">
        <f>BBDD_fashion_boutique[[#This Row],[original_price]]-BBDD_fashion_boutique[[#This Row],[current_price]]</f>
        <v>0</v>
      </c>
      <c r="M581" s="1">
        <v>45875</v>
      </c>
      <c r="N581" s="1" t="str">
        <f>PROPER(TEXT(BBDD_fashion_boutique[[#This Row],[purchase_date]],"dddd"))</f>
        <v>Miércoles</v>
      </c>
      <c r="O581" s="1" t="str">
        <f>PROPER(TEXT(BBDD_fashion_boutique[[#This Row],[purchase_date]],"mmmm"))</f>
        <v>Agosto</v>
      </c>
      <c r="P581" s="4">
        <v>28</v>
      </c>
      <c r="Q581" s="2">
        <v>3</v>
      </c>
      <c r="R581" t="str">
        <f>IF(BBDD_fashion_boutique[[#This Row],[stock_quantity]]&gt;9,"Ok",IF(BBDD_fashion_boutique[[#This Row],[stock_quantity]]=0,"Agotado","Pocas Unidades"))</f>
        <v>Ok</v>
      </c>
      <c r="S581" s="3">
        <f>IF(BBDD_fashion_boutique[[#This Row],[customer_rating]]="","No valorado",BBDD_fashion_boutique[[#This Row],[customer_rating]])</f>
        <v>3</v>
      </c>
      <c r="T581" t="s">
        <v>24</v>
      </c>
      <c r="V581">
        <f>IF(BBDD_fashion_boutique[[#This Row],[is_returned]]="False",0,1)</f>
        <v>0</v>
      </c>
      <c r="W581">
        <f>IF(BBDD_fashion_boutique[[#This Row],[is_returned]]="True",0,BBDD_fashion_boutique[[#This Row],[current_price]])</f>
        <v>96.7</v>
      </c>
      <c r="X581" t="str">
        <f>IF(BBDD_fashion_boutique[[#This Row],[return_reason]]="","No return",BBDD_fashion_boutique[[#This Row],[return_reason]])</f>
        <v>No return</v>
      </c>
      <c r="Y581">
        <f>IF(IFERROR(VLOOKUP(BBDD_fashion_boutique[[#This Row],[product_id]],A582:A2757,1,FALSE),0),1,0)</f>
        <v>0</v>
      </c>
    </row>
    <row r="582" spans="1:25" x14ac:dyDescent="0.3">
      <c r="A582" t="s">
        <v>641</v>
      </c>
      <c r="B582" t="s">
        <v>48</v>
      </c>
      <c r="C582" t="s">
        <v>54</v>
      </c>
      <c r="D582" t="s">
        <v>21</v>
      </c>
      <c r="E582" t="s">
        <v>64</v>
      </c>
      <c r="F582" t="str">
        <f>IF(BBDD_fashion_boutique[[#This Row],[category]]="Accessories","Accesorio",IF(BBDD_fashion_boutique[[#This Row],[size]]="","Desconocido",BBDD_fashion_boutique[[#This Row],[size]]))</f>
        <v>M</v>
      </c>
      <c r="G582" t="s">
        <v>23</v>
      </c>
      <c r="H582" s="2">
        <v>95.81</v>
      </c>
      <c r="I582">
        <v>0</v>
      </c>
      <c r="J582" s="5">
        <f>BBDD_fashion_boutique[[#This Row],[markdown_percentage]]/100</f>
        <v>0</v>
      </c>
      <c r="K582" s="2">
        <v>95.81</v>
      </c>
      <c r="L582" s="2">
        <f>BBDD_fashion_boutique[[#This Row],[original_price]]-BBDD_fashion_boutique[[#This Row],[current_price]]</f>
        <v>0</v>
      </c>
      <c r="M582" s="1">
        <v>45786</v>
      </c>
      <c r="N582" s="1" t="str">
        <f>PROPER(TEXT(BBDD_fashion_boutique[[#This Row],[purchase_date]],"dddd"))</f>
        <v>Viernes</v>
      </c>
      <c r="O582" s="1" t="str">
        <f>PROPER(TEXT(BBDD_fashion_boutique[[#This Row],[purchase_date]],"mmmm"))</f>
        <v>Mayo</v>
      </c>
      <c r="P582" s="4">
        <v>47</v>
      </c>
      <c r="Q582" s="2">
        <v>4.9000000000000004</v>
      </c>
      <c r="R582" t="str">
        <f>IF(BBDD_fashion_boutique[[#This Row],[stock_quantity]]&gt;9,"Ok",IF(BBDD_fashion_boutique[[#This Row],[stock_quantity]]=0,"Agotado","Pocas Unidades"))</f>
        <v>Ok</v>
      </c>
      <c r="S582" s="3">
        <f>IF(BBDD_fashion_boutique[[#This Row],[customer_rating]]="","No valorado",BBDD_fashion_boutique[[#This Row],[customer_rating]])</f>
        <v>4.9000000000000004</v>
      </c>
      <c r="T582" t="s">
        <v>24</v>
      </c>
      <c r="V582">
        <f>IF(BBDD_fashion_boutique[[#This Row],[is_returned]]="False",0,1)</f>
        <v>0</v>
      </c>
      <c r="W582">
        <f>IF(BBDD_fashion_boutique[[#This Row],[is_returned]]="True",0,BBDD_fashion_boutique[[#This Row],[current_price]])</f>
        <v>95.81</v>
      </c>
      <c r="X582" t="str">
        <f>IF(BBDD_fashion_boutique[[#This Row],[return_reason]]="","No return",BBDD_fashion_boutique[[#This Row],[return_reason]])</f>
        <v>No return</v>
      </c>
      <c r="Y582">
        <f>IF(IFERROR(VLOOKUP(BBDD_fashion_boutique[[#This Row],[product_id]],A583:A2758,1,FALSE),0),1,0)</f>
        <v>0</v>
      </c>
    </row>
    <row r="583" spans="1:25" x14ac:dyDescent="0.3">
      <c r="A583" t="s">
        <v>642</v>
      </c>
      <c r="B583" t="s">
        <v>26</v>
      </c>
      <c r="C583" t="s">
        <v>67</v>
      </c>
      <c r="D583" t="s">
        <v>39</v>
      </c>
      <c r="E583" t="s">
        <v>64</v>
      </c>
      <c r="F583" t="str">
        <f>IF(BBDD_fashion_boutique[[#This Row],[category]]="Accessories","Accesorio",IF(BBDD_fashion_boutique[[#This Row],[size]]="","Desconocido",BBDD_fashion_boutique[[#This Row],[size]]))</f>
        <v>M</v>
      </c>
      <c r="G583" t="s">
        <v>76</v>
      </c>
      <c r="H583" s="2">
        <v>41.58</v>
      </c>
      <c r="I583">
        <v>0</v>
      </c>
      <c r="J583" s="5">
        <f>BBDD_fashion_boutique[[#This Row],[markdown_percentage]]/100</f>
        <v>0</v>
      </c>
      <c r="K583" s="2">
        <v>41.58</v>
      </c>
      <c r="L583" s="2">
        <f>BBDD_fashion_boutique[[#This Row],[original_price]]-BBDD_fashion_boutique[[#This Row],[current_price]]</f>
        <v>0</v>
      </c>
      <c r="M583" s="1">
        <v>45875</v>
      </c>
      <c r="N583" s="1" t="str">
        <f>PROPER(TEXT(BBDD_fashion_boutique[[#This Row],[purchase_date]],"dddd"))</f>
        <v>Miércoles</v>
      </c>
      <c r="O583" s="1" t="str">
        <f>PROPER(TEXT(BBDD_fashion_boutique[[#This Row],[purchase_date]],"mmmm"))</f>
        <v>Agosto</v>
      </c>
      <c r="P583" s="4">
        <v>3</v>
      </c>
      <c r="Q583" s="2">
        <v>1.6</v>
      </c>
      <c r="R583" t="str">
        <f>IF(BBDD_fashion_boutique[[#This Row],[stock_quantity]]&gt;9,"Ok",IF(BBDD_fashion_boutique[[#This Row],[stock_quantity]]=0,"Agotado","Pocas Unidades"))</f>
        <v>Pocas Unidades</v>
      </c>
      <c r="S583" s="3">
        <f>IF(BBDD_fashion_boutique[[#This Row],[customer_rating]]="","No valorado",BBDD_fashion_boutique[[#This Row],[customer_rating]])</f>
        <v>1.6</v>
      </c>
      <c r="T583" t="s">
        <v>24</v>
      </c>
      <c r="V583">
        <f>IF(BBDD_fashion_boutique[[#This Row],[is_returned]]="False",0,1)</f>
        <v>0</v>
      </c>
      <c r="W583">
        <f>IF(BBDD_fashion_boutique[[#This Row],[is_returned]]="True",0,BBDD_fashion_boutique[[#This Row],[current_price]])</f>
        <v>41.58</v>
      </c>
      <c r="X583" t="str">
        <f>IF(BBDD_fashion_boutique[[#This Row],[return_reason]]="","No return",BBDD_fashion_boutique[[#This Row],[return_reason]])</f>
        <v>No return</v>
      </c>
      <c r="Y583">
        <f>IF(IFERROR(VLOOKUP(BBDD_fashion_boutique[[#This Row],[product_id]],A584:A2759,1,FALSE),0),1,0)</f>
        <v>0</v>
      </c>
    </row>
    <row r="584" spans="1:25" x14ac:dyDescent="0.3">
      <c r="A584" t="s">
        <v>643</v>
      </c>
      <c r="B584" t="s">
        <v>26</v>
      </c>
      <c r="C584" t="s">
        <v>27</v>
      </c>
      <c r="D584" t="s">
        <v>68</v>
      </c>
      <c r="E584" t="s">
        <v>22</v>
      </c>
      <c r="F584" t="str">
        <f>IF(BBDD_fashion_boutique[[#This Row],[category]]="Accessories","Accesorio",IF(BBDD_fashion_boutique[[#This Row],[size]]="","Desconocido",BBDD_fashion_boutique[[#This Row],[size]]))</f>
        <v>XL</v>
      </c>
      <c r="G584" t="s">
        <v>46</v>
      </c>
      <c r="H584" s="2">
        <v>46.67</v>
      </c>
      <c r="I584">
        <v>6.6</v>
      </c>
      <c r="J584" s="5">
        <f>BBDD_fashion_boutique[[#This Row],[markdown_percentage]]/100</f>
        <v>6.6000000000000003E-2</v>
      </c>
      <c r="K584" s="2">
        <v>43.59</v>
      </c>
      <c r="L584" s="2">
        <f>BBDD_fashion_boutique[[#This Row],[original_price]]-BBDD_fashion_boutique[[#This Row],[current_price]]</f>
        <v>3.0799999999999983</v>
      </c>
      <c r="M584" s="1">
        <v>45875</v>
      </c>
      <c r="N584" s="1" t="str">
        <f>PROPER(TEXT(BBDD_fashion_boutique[[#This Row],[purchase_date]],"dddd"))</f>
        <v>Miércoles</v>
      </c>
      <c r="O584" s="1" t="str">
        <f>PROPER(TEXT(BBDD_fashion_boutique[[#This Row],[purchase_date]],"mmmm"))</f>
        <v>Agosto</v>
      </c>
      <c r="P584" s="4">
        <v>35</v>
      </c>
      <c r="Q584" s="2">
        <v>1.3</v>
      </c>
      <c r="R584" t="str">
        <f>IF(BBDD_fashion_boutique[[#This Row],[stock_quantity]]&gt;9,"Ok",IF(BBDD_fashion_boutique[[#This Row],[stock_quantity]]=0,"Agotado","Pocas Unidades"))</f>
        <v>Ok</v>
      </c>
      <c r="S584" s="3">
        <f>IF(BBDD_fashion_boutique[[#This Row],[customer_rating]]="","No valorado",BBDD_fashion_boutique[[#This Row],[customer_rating]])</f>
        <v>1.3</v>
      </c>
      <c r="T584" t="s">
        <v>41</v>
      </c>
      <c r="U584" t="s">
        <v>89</v>
      </c>
      <c r="V584">
        <f>IF(BBDD_fashion_boutique[[#This Row],[is_returned]]="False",0,1)</f>
        <v>1</v>
      </c>
      <c r="W584">
        <f>IF(BBDD_fashion_boutique[[#This Row],[is_returned]]="True",0,BBDD_fashion_boutique[[#This Row],[current_price]])</f>
        <v>0</v>
      </c>
      <c r="X584" t="str">
        <f>IF(BBDD_fashion_boutique[[#This Row],[return_reason]]="","No return",BBDD_fashion_boutique[[#This Row],[return_reason]])</f>
        <v>Quality Issue</v>
      </c>
      <c r="Y584">
        <f>IF(IFERROR(VLOOKUP(BBDD_fashion_boutique[[#This Row],[product_id]],A585:A2760,1,FALSE),0),1,0)</f>
        <v>0</v>
      </c>
    </row>
    <row r="585" spans="1:25" x14ac:dyDescent="0.3">
      <c r="A585" t="s">
        <v>644</v>
      </c>
      <c r="B585" t="s">
        <v>44</v>
      </c>
      <c r="C585" t="s">
        <v>20</v>
      </c>
      <c r="D585" t="s">
        <v>28</v>
      </c>
      <c r="E585" t="s">
        <v>29</v>
      </c>
      <c r="F585" t="str">
        <f>IF(BBDD_fashion_boutique[[#This Row],[category]]="Accessories","Accesorio",IF(BBDD_fashion_boutique[[#This Row],[size]]="","Desconocido",BBDD_fashion_boutique[[#This Row],[size]]))</f>
        <v>L</v>
      </c>
      <c r="G585" t="s">
        <v>62</v>
      </c>
      <c r="H585" s="2">
        <v>25.98</v>
      </c>
      <c r="I585">
        <v>59.4</v>
      </c>
      <c r="J585" s="5">
        <f>BBDD_fashion_boutique[[#This Row],[markdown_percentage]]/100</f>
        <v>0.59399999999999997</v>
      </c>
      <c r="K585" s="2">
        <v>10.55</v>
      </c>
      <c r="L585" s="2">
        <f>BBDD_fashion_boutique[[#This Row],[original_price]]-BBDD_fashion_boutique[[#This Row],[current_price]]</f>
        <v>15.43</v>
      </c>
      <c r="M585" s="1">
        <v>45875</v>
      </c>
      <c r="N585" s="1" t="str">
        <f>PROPER(TEXT(BBDD_fashion_boutique[[#This Row],[purchase_date]],"dddd"))</f>
        <v>Miércoles</v>
      </c>
      <c r="O585" s="1" t="str">
        <f>PROPER(TEXT(BBDD_fashion_boutique[[#This Row],[purchase_date]],"mmmm"))</f>
        <v>Agosto</v>
      </c>
      <c r="P585" s="4">
        <v>40</v>
      </c>
      <c r="R585" t="str">
        <f>IF(BBDD_fashion_boutique[[#This Row],[stock_quantity]]&gt;9,"Ok",IF(BBDD_fashion_boutique[[#This Row],[stock_quantity]]=0,"Agotado","Pocas Unidades"))</f>
        <v>Ok</v>
      </c>
      <c r="S585" s="3" t="str">
        <f>IF(BBDD_fashion_boutique[[#This Row],[customer_rating]]="","No valorado",BBDD_fashion_boutique[[#This Row],[customer_rating]])</f>
        <v>No valorado</v>
      </c>
      <c r="T585" t="s">
        <v>24</v>
      </c>
      <c r="V585">
        <f>IF(BBDD_fashion_boutique[[#This Row],[is_returned]]="False",0,1)</f>
        <v>0</v>
      </c>
      <c r="W585">
        <f>IF(BBDD_fashion_boutique[[#This Row],[is_returned]]="True",0,BBDD_fashion_boutique[[#This Row],[current_price]])</f>
        <v>10.55</v>
      </c>
      <c r="X585" t="str">
        <f>IF(BBDD_fashion_boutique[[#This Row],[return_reason]]="","No return",BBDD_fashion_boutique[[#This Row],[return_reason]])</f>
        <v>No return</v>
      </c>
      <c r="Y585">
        <f>IF(IFERROR(VLOOKUP(BBDD_fashion_boutique[[#This Row],[product_id]],A586:A2761,1,FALSE),0),1,0)</f>
        <v>0</v>
      </c>
    </row>
    <row r="586" spans="1:25" x14ac:dyDescent="0.3">
      <c r="A586" t="s">
        <v>645</v>
      </c>
      <c r="B586" t="s">
        <v>19</v>
      </c>
      <c r="C586" t="s">
        <v>27</v>
      </c>
      <c r="D586" t="s">
        <v>68</v>
      </c>
      <c r="E586" t="s">
        <v>29</v>
      </c>
      <c r="F586" t="str">
        <f>IF(BBDD_fashion_boutique[[#This Row],[category]]="Accessories","Accesorio",IF(BBDD_fashion_boutique[[#This Row],[size]]="","Desconocido",BBDD_fashion_boutique[[#This Row],[size]]))</f>
        <v>L</v>
      </c>
      <c r="G586" t="s">
        <v>62</v>
      </c>
      <c r="H586" s="2">
        <v>204.82</v>
      </c>
      <c r="I586">
        <v>14</v>
      </c>
      <c r="J586" s="5">
        <f>BBDD_fashion_boutique[[#This Row],[markdown_percentage]]/100</f>
        <v>0.14000000000000001</v>
      </c>
      <c r="K586" s="2">
        <v>176.15</v>
      </c>
      <c r="L586" s="2">
        <f>BBDD_fashion_boutique[[#This Row],[original_price]]-BBDD_fashion_boutique[[#This Row],[current_price]]</f>
        <v>28.669999999999987</v>
      </c>
      <c r="M586" s="1">
        <v>45875</v>
      </c>
      <c r="N586" s="1" t="str">
        <f>PROPER(TEXT(BBDD_fashion_boutique[[#This Row],[purchase_date]],"dddd"))</f>
        <v>Miércoles</v>
      </c>
      <c r="O586" s="1" t="str">
        <f>PROPER(TEXT(BBDD_fashion_boutique[[#This Row],[purchase_date]],"mmmm"))</f>
        <v>Agosto</v>
      </c>
      <c r="P586" s="4">
        <v>27</v>
      </c>
      <c r="Q586" s="2">
        <v>3.8</v>
      </c>
      <c r="R586" t="str">
        <f>IF(BBDD_fashion_boutique[[#This Row],[stock_quantity]]&gt;9,"Ok",IF(BBDD_fashion_boutique[[#This Row],[stock_quantity]]=0,"Agotado","Pocas Unidades"))</f>
        <v>Ok</v>
      </c>
      <c r="S586" s="3">
        <f>IF(BBDD_fashion_boutique[[#This Row],[customer_rating]]="","No valorado",BBDD_fashion_boutique[[#This Row],[customer_rating]])</f>
        <v>3.8</v>
      </c>
      <c r="T586" t="s">
        <v>24</v>
      </c>
      <c r="V586">
        <f>IF(BBDD_fashion_boutique[[#This Row],[is_returned]]="False",0,1)</f>
        <v>0</v>
      </c>
      <c r="W586">
        <f>IF(BBDD_fashion_boutique[[#This Row],[is_returned]]="True",0,BBDD_fashion_boutique[[#This Row],[current_price]])</f>
        <v>176.15</v>
      </c>
      <c r="X586" t="str">
        <f>IF(BBDD_fashion_boutique[[#This Row],[return_reason]]="","No return",BBDD_fashion_boutique[[#This Row],[return_reason]])</f>
        <v>No return</v>
      </c>
      <c r="Y586">
        <f>IF(IFERROR(VLOOKUP(BBDD_fashion_boutique[[#This Row],[product_id]],A587:A2762,1,FALSE),0),1,0)</f>
        <v>0</v>
      </c>
    </row>
    <row r="587" spans="1:25" x14ac:dyDescent="0.3">
      <c r="A587" t="s">
        <v>646</v>
      </c>
      <c r="B587" t="s">
        <v>26</v>
      </c>
      <c r="C587" t="s">
        <v>20</v>
      </c>
      <c r="D587" t="s">
        <v>28</v>
      </c>
      <c r="E587" t="s">
        <v>55</v>
      </c>
      <c r="F587" t="str">
        <f>IF(BBDD_fashion_boutique[[#This Row],[category]]="Accessories","Accesorio",IF(BBDD_fashion_boutique[[#This Row],[size]]="","Desconocido",BBDD_fashion_boutique[[#This Row],[size]]))</f>
        <v>XXL</v>
      </c>
      <c r="G587" t="s">
        <v>30</v>
      </c>
      <c r="H587" s="2">
        <v>43.43</v>
      </c>
      <c r="I587">
        <v>47.1</v>
      </c>
      <c r="J587" s="5">
        <f>BBDD_fashion_boutique[[#This Row],[markdown_percentage]]/100</f>
        <v>0.47100000000000003</v>
      </c>
      <c r="K587" s="2">
        <v>22.97</v>
      </c>
      <c r="L587" s="2">
        <f>BBDD_fashion_boutique[[#This Row],[original_price]]-BBDD_fashion_boutique[[#This Row],[current_price]]</f>
        <v>20.46</v>
      </c>
      <c r="M587" s="1">
        <v>45875</v>
      </c>
      <c r="N587" s="1" t="str">
        <f>PROPER(TEXT(BBDD_fashion_boutique[[#This Row],[purchase_date]],"dddd"))</f>
        <v>Miércoles</v>
      </c>
      <c r="O587" s="1" t="str">
        <f>PROPER(TEXT(BBDD_fashion_boutique[[#This Row],[purchase_date]],"mmmm"))</f>
        <v>Agosto</v>
      </c>
      <c r="P587" s="4">
        <v>44</v>
      </c>
      <c r="Q587" s="2">
        <v>4.7</v>
      </c>
      <c r="R587" t="str">
        <f>IF(BBDD_fashion_boutique[[#This Row],[stock_quantity]]&gt;9,"Ok",IF(BBDD_fashion_boutique[[#This Row],[stock_quantity]]=0,"Agotado","Pocas Unidades"))</f>
        <v>Ok</v>
      </c>
      <c r="S587" s="3">
        <f>IF(BBDD_fashion_boutique[[#This Row],[customer_rating]]="","No valorado",BBDD_fashion_boutique[[#This Row],[customer_rating]])</f>
        <v>4.7</v>
      </c>
      <c r="T587" t="s">
        <v>24</v>
      </c>
      <c r="V587">
        <f>IF(BBDD_fashion_boutique[[#This Row],[is_returned]]="False",0,1)</f>
        <v>0</v>
      </c>
      <c r="W587">
        <f>IF(BBDD_fashion_boutique[[#This Row],[is_returned]]="True",0,BBDD_fashion_boutique[[#This Row],[current_price]])</f>
        <v>22.97</v>
      </c>
      <c r="X587" t="str">
        <f>IF(BBDD_fashion_boutique[[#This Row],[return_reason]]="","No return",BBDD_fashion_boutique[[#This Row],[return_reason]])</f>
        <v>No return</v>
      </c>
      <c r="Y587">
        <f>IF(IFERROR(VLOOKUP(BBDD_fashion_boutique[[#This Row],[product_id]],A588:A2763,1,FALSE),0),1,0)</f>
        <v>0</v>
      </c>
    </row>
    <row r="588" spans="1:25" x14ac:dyDescent="0.3">
      <c r="A588" t="s">
        <v>647</v>
      </c>
      <c r="B588" t="s">
        <v>32</v>
      </c>
      <c r="C588" t="s">
        <v>54</v>
      </c>
      <c r="D588" t="s">
        <v>68</v>
      </c>
      <c r="F588" t="str">
        <f>IF(BBDD_fashion_boutique[[#This Row],[category]]="Accessories","Accesorio",IF(BBDD_fashion_boutique[[#This Row],[size]]="","Desconocido",BBDD_fashion_boutique[[#This Row],[size]]))</f>
        <v>Accesorio</v>
      </c>
      <c r="G588" t="s">
        <v>50</v>
      </c>
      <c r="H588" s="2">
        <v>40.5</v>
      </c>
      <c r="I588">
        <v>40.5</v>
      </c>
      <c r="J588" s="5">
        <f>BBDD_fashion_boutique[[#This Row],[markdown_percentage]]/100</f>
        <v>0.40500000000000003</v>
      </c>
      <c r="K588" s="2">
        <v>24.1</v>
      </c>
      <c r="L588" s="2">
        <f>BBDD_fashion_boutique[[#This Row],[original_price]]-BBDD_fashion_boutique[[#This Row],[current_price]]</f>
        <v>16.399999999999999</v>
      </c>
      <c r="M588" s="1">
        <v>45875</v>
      </c>
      <c r="N588" s="1" t="str">
        <f>PROPER(TEXT(BBDD_fashion_boutique[[#This Row],[purchase_date]],"dddd"))</f>
        <v>Miércoles</v>
      </c>
      <c r="O588" s="1" t="str">
        <f>PROPER(TEXT(BBDD_fashion_boutique[[#This Row],[purchase_date]],"mmmm"))</f>
        <v>Agosto</v>
      </c>
      <c r="P588" s="4">
        <v>25</v>
      </c>
      <c r="Q588" s="2">
        <v>2.9</v>
      </c>
      <c r="R588" t="str">
        <f>IF(BBDD_fashion_boutique[[#This Row],[stock_quantity]]&gt;9,"Ok",IF(BBDD_fashion_boutique[[#This Row],[stock_quantity]]=0,"Agotado","Pocas Unidades"))</f>
        <v>Ok</v>
      </c>
      <c r="S588" s="3">
        <f>IF(BBDD_fashion_boutique[[#This Row],[customer_rating]]="","No valorado",BBDD_fashion_boutique[[#This Row],[customer_rating]])</f>
        <v>2.9</v>
      </c>
      <c r="T588" t="s">
        <v>24</v>
      </c>
      <c r="V588">
        <f>IF(BBDD_fashion_boutique[[#This Row],[is_returned]]="False",0,1)</f>
        <v>0</v>
      </c>
      <c r="W588">
        <f>IF(BBDD_fashion_boutique[[#This Row],[is_returned]]="True",0,BBDD_fashion_boutique[[#This Row],[current_price]])</f>
        <v>24.1</v>
      </c>
      <c r="X588" t="str">
        <f>IF(BBDD_fashion_boutique[[#This Row],[return_reason]]="","No return",BBDD_fashion_boutique[[#This Row],[return_reason]])</f>
        <v>No return</v>
      </c>
      <c r="Y588">
        <f>IF(IFERROR(VLOOKUP(BBDD_fashion_boutique[[#This Row],[product_id]],A589:A2764,1,FALSE),0),1,0)</f>
        <v>0</v>
      </c>
    </row>
    <row r="589" spans="1:25" x14ac:dyDescent="0.3">
      <c r="A589" t="s">
        <v>648</v>
      </c>
      <c r="B589" t="s">
        <v>44</v>
      </c>
      <c r="C589" t="s">
        <v>81</v>
      </c>
      <c r="D589" t="s">
        <v>28</v>
      </c>
      <c r="E589" t="s">
        <v>64</v>
      </c>
      <c r="F589" t="str">
        <f>IF(BBDD_fashion_boutique[[#This Row],[category]]="Accessories","Accesorio",IF(BBDD_fashion_boutique[[#This Row],[size]]="","Desconocido",BBDD_fashion_boutique[[#This Row],[size]]))</f>
        <v>M</v>
      </c>
      <c r="G589" t="s">
        <v>23</v>
      </c>
      <c r="H589" s="2">
        <v>73.59</v>
      </c>
      <c r="I589">
        <v>16.600000000000001</v>
      </c>
      <c r="J589" s="5">
        <f>BBDD_fashion_boutique[[#This Row],[markdown_percentage]]/100</f>
        <v>0.16600000000000001</v>
      </c>
      <c r="K589" s="2">
        <v>61.37</v>
      </c>
      <c r="L589" s="2">
        <f>BBDD_fashion_boutique[[#This Row],[original_price]]-BBDD_fashion_boutique[[#This Row],[current_price]]</f>
        <v>12.220000000000006</v>
      </c>
      <c r="M589" s="1">
        <v>45875</v>
      </c>
      <c r="N589" s="1" t="str">
        <f>PROPER(TEXT(BBDD_fashion_boutique[[#This Row],[purchase_date]],"dddd"))</f>
        <v>Miércoles</v>
      </c>
      <c r="O589" s="1" t="str">
        <f>PROPER(TEXT(BBDD_fashion_boutique[[#This Row],[purchase_date]],"mmmm"))</f>
        <v>Agosto</v>
      </c>
      <c r="P589" s="4">
        <v>34</v>
      </c>
      <c r="Q589" s="2">
        <v>4</v>
      </c>
      <c r="R589" t="str">
        <f>IF(BBDD_fashion_boutique[[#This Row],[stock_quantity]]&gt;9,"Ok",IF(BBDD_fashion_boutique[[#This Row],[stock_quantity]]=0,"Agotado","Pocas Unidades"))</f>
        <v>Ok</v>
      </c>
      <c r="S589" s="3">
        <f>IF(BBDD_fashion_boutique[[#This Row],[customer_rating]]="","No valorado",BBDD_fashion_boutique[[#This Row],[customer_rating]])</f>
        <v>4</v>
      </c>
      <c r="T589" t="s">
        <v>24</v>
      </c>
      <c r="V589">
        <f>IF(BBDD_fashion_boutique[[#This Row],[is_returned]]="False",0,1)</f>
        <v>0</v>
      </c>
      <c r="W589">
        <f>IF(BBDD_fashion_boutique[[#This Row],[is_returned]]="True",0,BBDD_fashion_boutique[[#This Row],[current_price]])</f>
        <v>61.37</v>
      </c>
      <c r="X589" t="str">
        <f>IF(BBDD_fashion_boutique[[#This Row],[return_reason]]="","No return",BBDD_fashion_boutique[[#This Row],[return_reason]])</f>
        <v>No return</v>
      </c>
      <c r="Y589">
        <f>IF(IFERROR(VLOOKUP(BBDD_fashion_boutique[[#This Row],[product_id]],A590:A2765,1,FALSE),0),1,0)</f>
        <v>0</v>
      </c>
    </row>
    <row r="590" spans="1:25" x14ac:dyDescent="0.3">
      <c r="A590" t="s">
        <v>649</v>
      </c>
      <c r="B590" t="s">
        <v>32</v>
      </c>
      <c r="C590" t="s">
        <v>59</v>
      </c>
      <c r="D590" t="s">
        <v>68</v>
      </c>
      <c r="F590" t="str">
        <f>IF(BBDD_fashion_boutique[[#This Row],[category]]="Accessories","Accesorio",IF(BBDD_fashion_boutique[[#This Row],[size]]="","Desconocido",BBDD_fashion_boutique[[#This Row],[size]]))</f>
        <v>Accesorio</v>
      </c>
      <c r="G590" t="s">
        <v>70</v>
      </c>
      <c r="H590" s="2">
        <v>17.670000000000002</v>
      </c>
      <c r="I590">
        <v>0</v>
      </c>
      <c r="J590" s="5">
        <f>BBDD_fashion_boutique[[#This Row],[markdown_percentage]]/100</f>
        <v>0</v>
      </c>
      <c r="K590" s="2">
        <v>17.670000000000002</v>
      </c>
      <c r="L590" s="2">
        <f>BBDD_fashion_boutique[[#This Row],[original_price]]-BBDD_fashion_boutique[[#This Row],[current_price]]</f>
        <v>0</v>
      </c>
      <c r="M590" s="1">
        <v>45875</v>
      </c>
      <c r="N590" s="1" t="str">
        <f>PROPER(TEXT(BBDD_fashion_boutique[[#This Row],[purchase_date]],"dddd"))</f>
        <v>Miércoles</v>
      </c>
      <c r="O590" s="1" t="str">
        <f>PROPER(TEXT(BBDD_fashion_boutique[[#This Row],[purchase_date]],"mmmm"))</f>
        <v>Agosto</v>
      </c>
      <c r="P590" s="4">
        <v>29</v>
      </c>
      <c r="Q590" s="2">
        <v>4.3</v>
      </c>
      <c r="R590" t="str">
        <f>IF(BBDD_fashion_boutique[[#This Row],[stock_quantity]]&gt;9,"Ok",IF(BBDD_fashion_boutique[[#This Row],[stock_quantity]]=0,"Agotado","Pocas Unidades"))</f>
        <v>Ok</v>
      </c>
      <c r="S590" s="3">
        <f>IF(BBDD_fashion_boutique[[#This Row],[customer_rating]]="","No valorado",BBDD_fashion_boutique[[#This Row],[customer_rating]])</f>
        <v>4.3</v>
      </c>
      <c r="T590" t="s">
        <v>24</v>
      </c>
      <c r="V590">
        <f>IF(BBDD_fashion_boutique[[#This Row],[is_returned]]="False",0,1)</f>
        <v>0</v>
      </c>
      <c r="W590">
        <f>IF(BBDD_fashion_boutique[[#This Row],[is_returned]]="True",0,BBDD_fashion_boutique[[#This Row],[current_price]])</f>
        <v>17.670000000000002</v>
      </c>
      <c r="X590" t="str">
        <f>IF(BBDD_fashion_boutique[[#This Row],[return_reason]]="","No return",BBDD_fashion_boutique[[#This Row],[return_reason]])</f>
        <v>No return</v>
      </c>
      <c r="Y590">
        <f>IF(IFERROR(VLOOKUP(BBDD_fashion_boutique[[#This Row],[product_id]],A591:A2766,1,FALSE),0),1,0)</f>
        <v>0</v>
      </c>
    </row>
    <row r="591" spans="1:25" x14ac:dyDescent="0.3">
      <c r="A591" t="s">
        <v>650</v>
      </c>
      <c r="B591" t="s">
        <v>48</v>
      </c>
      <c r="C591" t="s">
        <v>67</v>
      </c>
      <c r="D591" t="s">
        <v>28</v>
      </c>
      <c r="E591" t="s">
        <v>45</v>
      </c>
      <c r="F591" t="str">
        <f>IF(BBDD_fashion_boutique[[#This Row],[category]]="Accessories","Accesorio",IF(BBDD_fashion_boutique[[#This Row],[size]]="","Desconocido",BBDD_fashion_boutique[[#This Row],[size]]))</f>
        <v>S</v>
      </c>
      <c r="G591" t="s">
        <v>52</v>
      </c>
      <c r="H591" s="2">
        <v>70.010000000000005</v>
      </c>
      <c r="I591">
        <v>28</v>
      </c>
      <c r="J591" s="5">
        <f>BBDD_fashion_boutique[[#This Row],[markdown_percentage]]/100</f>
        <v>0.28000000000000003</v>
      </c>
      <c r="K591" s="2">
        <v>50.41</v>
      </c>
      <c r="L591" s="2">
        <f>BBDD_fashion_boutique[[#This Row],[original_price]]-BBDD_fashion_boutique[[#This Row],[current_price]]</f>
        <v>19.600000000000009</v>
      </c>
      <c r="M591" s="1">
        <v>45875</v>
      </c>
      <c r="N591" s="1" t="str">
        <f>PROPER(TEXT(BBDD_fashion_boutique[[#This Row],[purchase_date]],"dddd"))</f>
        <v>Miércoles</v>
      </c>
      <c r="O591" s="1" t="str">
        <f>PROPER(TEXT(BBDD_fashion_boutique[[#This Row],[purchase_date]],"mmmm"))</f>
        <v>Agosto</v>
      </c>
      <c r="P591" s="4">
        <v>23</v>
      </c>
      <c r="R591" t="str">
        <f>IF(BBDD_fashion_boutique[[#This Row],[stock_quantity]]&gt;9,"Ok",IF(BBDD_fashion_boutique[[#This Row],[stock_quantity]]=0,"Agotado","Pocas Unidades"))</f>
        <v>Ok</v>
      </c>
      <c r="S591" s="3" t="str">
        <f>IF(BBDD_fashion_boutique[[#This Row],[customer_rating]]="","No valorado",BBDD_fashion_boutique[[#This Row],[customer_rating]])</f>
        <v>No valorado</v>
      </c>
      <c r="T591" t="s">
        <v>24</v>
      </c>
      <c r="V591">
        <f>IF(BBDD_fashion_boutique[[#This Row],[is_returned]]="False",0,1)</f>
        <v>0</v>
      </c>
      <c r="W591">
        <f>IF(BBDD_fashion_boutique[[#This Row],[is_returned]]="True",0,BBDD_fashion_boutique[[#This Row],[current_price]])</f>
        <v>50.41</v>
      </c>
      <c r="X591" t="str">
        <f>IF(BBDD_fashion_boutique[[#This Row],[return_reason]]="","No return",BBDD_fashion_boutique[[#This Row],[return_reason]])</f>
        <v>No return</v>
      </c>
      <c r="Y591">
        <f>IF(IFERROR(VLOOKUP(BBDD_fashion_boutique[[#This Row],[product_id]],A592:A2767,1,FALSE),0),1,0)</f>
        <v>0</v>
      </c>
    </row>
    <row r="592" spans="1:25" x14ac:dyDescent="0.3">
      <c r="A592" t="s">
        <v>651</v>
      </c>
      <c r="B592" t="s">
        <v>35</v>
      </c>
      <c r="C592" t="s">
        <v>49</v>
      </c>
      <c r="D592" t="s">
        <v>39</v>
      </c>
      <c r="E592" t="s">
        <v>61</v>
      </c>
      <c r="F592" t="str">
        <f>IF(BBDD_fashion_boutique[[#This Row],[category]]="Accessories","Accesorio",IF(BBDD_fashion_boutique[[#This Row],[size]]="","Desconocido",BBDD_fashion_boutique[[#This Row],[size]]))</f>
        <v>XS</v>
      </c>
      <c r="G592" t="s">
        <v>23</v>
      </c>
      <c r="H592" s="2">
        <v>79.319999999999993</v>
      </c>
      <c r="I592">
        <v>33.700000000000003</v>
      </c>
      <c r="J592" s="5">
        <f>BBDD_fashion_boutique[[#This Row],[markdown_percentage]]/100</f>
        <v>0.33700000000000002</v>
      </c>
      <c r="K592" s="2">
        <v>52.59</v>
      </c>
      <c r="L592" s="2">
        <f>BBDD_fashion_boutique[[#This Row],[original_price]]-BBDD_fashion_boutique[[#This Row],[current_price]]</f>
        <v>26.72999999999999</v>
      </c>
      <c r="M592" s="1">
        <v>45875</v>
      </c>
      <c r="N592" s="1" t="str">
        <f>PROPER(TEXT(BBDD_fashion_boutique[[#This Row],[purchase_date]],"dddd"))</f>
        <v>Miércoles</v>
      </c>
      <c r="O592" s="1" t="str">
        <f>PROPER(TEXT(BBDD_fashion_boutique[[#This Row],[purchase_date]],"mmmm"))</f>
        <v>Agosto</v>
      </c>
      <c r="P592" s="4">
        <v>38</v>
      </c>
      <c r="Q592" s="2">
        <v>3</v>
      </c>
      <c r="R592" t="str">
        <f>IF(BBDD_fashion_boutique[[#This Row],[stock_quantity]]&gt;9,"Ok",IF(BBDD_fashion_boutique[[#This Row],[stock_quantity]]=0,"Agotado","Pocas Unidades"))</f>
        <v>Ok</v>
      </c>
      <c r="S592" s="3">
        <f>IF(BBDD_fashion_boutique[[#This Row],[customer_rating]]="","No valorado",BBDD_fashion_boutique[[#This Row],[customer_rating]])</f>
        <v>3</v>
      </c>
      <c r="T592" t="s">
        <v>41</v>
      </c>
      <c r="U592" t="s">
        <v>79</v>
      </c>
      <c r="V592">
        <f>IF(BBDD_fashion_boutique[[#This Row],[is_returned]]="False",0,1)</f>
        <v>1</v>
      </c>
      <c r="W592">
        <f>IF(BBDD_fashion_boutique[[#This Row],[is_returned]]="True",0,BBDD_fashion_boutique[[#This Row],[current_price]])</f>
        <v>0</v>
      </c>
      <c r="X592" t="str">
        <f>IF(BBDD_fashion_boutique[[#This Row],[return_reason]]="","No return",BBDD_fashion_boutique[[#This Row],[return_reason]])</f>
        <v>Size Issue</v>
      </c>
      <c r="Y592">
        <f>IF(IFERROR(VLOOKUP(BBDD_fashion_boutique[[#This Row],[product_id]],A593:A2768,1,FALSE),0),1,0)</f>
        <v>0</v>
      </c>
    </row>
    <row r="593" spans="1:25" x14ac:dyDescent="0.3">
      <c r="A593" t="s">
        <v>652</v>
      </c>
      <c r="B593" t="s">
        <v>32</v>
      </c>
      <c r="C593" t="s">
        <v>20</v>
      </c>
      <c r="D593" t="s">
        <v>68</v>
      </c>
      <c r="F593" t="str">
        <f>IF(BBDD_fashion_boutique[[#This Row],[category]]="Accessories","Accesorio",IF(BBDD_fashion_boutique[[#This Row],[size]]="","Desconocido",BBDD_fashion_boutique[[#This Row],[size]]))</f>
        <v>Accesorio</v>
      </c>
      <c r="G593" t="s">
        <v>62</v>
      </c>
      <c r="H593" s="2">
        <v>45.24</v>
      </c>
      <c r="I593">
        <v>0</v>
      </c>
      <c r="J593" s="5">
        <f>BBDD_fashion_boutique[[#This Row],[markdown_percentage]]/100</f>
        <v>0</v>
      </c>
      <c r="K593" s="2">
        <v>45.24</v>
      </c>
      <c r="L593" s="2">
        <f>BBDD_fashion_boutique[[#This Row],[original_price]]-BBDD_fashion_boutique[[#This Row],[current_price]]</f>
        <v>0</v>
      </c>
      <c r="M593" s="1">
        <v>45875</v>
      </c>
      <c r="N593" s="1" t="str">
        <f>PROPER(TEXT(BBDD_fashion_boutique[[#This Row],[purchase_date]],"dddd"))</f>
        <v>Miércoles</v>
      </c>
      <c r="O593" s="1" t="str">
        <f>PROPER(TEXT(BBDD_fashion_boutique[[#This Row],[purchase_date]],"mmmm"))</f>
        <v>Agosto</v>
      </c>
      <c r="P593" s="4">
        <v>20</v>
      </c>
      <c r="Q593" s="2">
        <v>3</v>
      </c>
      <c r="R593" t="str">
        <f>IF(BBDD_fashion_boutique[[#This Row],[stock_quantity]]&gt;9,"Ok",IF(BBDD_fashion_boutique[[#This Row],[stock_quantity]]=0,"Agotado","Pocas Unidades"))</f>
        <v>Ok</v>
      </c>
      <c r="S593" s="3">
        <f>IF(BBDD_fashion_boutique[[#This Row],[customer_rating]]="","No valorado",BBDD_fashion_boutique[[#This Row],[customer_rating]])</f>
        <v>3</v>
      </c>
      <c r="T593" t="s">
        <v>41</v>
      </c>
      <c r="U593" t="s">
        <v>89</v>
      </c>
      <c r="V593">
        <f>IF(BBDD_fashion_boutique[[#This Row],[is_returned]]="False",0,1)</f>
        <v>1</v>
      </c>
      <c r="W593">
        <f>IF(BBDD_fashion_boutique[[#This Row],[is_returned]]="True",0,BBDD_fashion_boutique[[#This Row],[current_price]])</f>
        <v>0</v>
      </c>
      <c r="X593" t="str">
        <f>IF(BBDD_fashion_boutique[[#This Row],[return_reason]]="","No return",BBDD_fashion_boutique[[#This Row],[return_reason]])</f>
        <v>Quality Issue</v>
      </c>
      <c r="Y593">
        <f>IF(IFERROR(VLOOKUP(BBDD_fashion_boutique[[#This Row],[product_id]],A594:A2769,1,FALSE),0),1,0)</f>
        <v>0</v>
      </c>
    </row>
    <row r="594" spans="1:25" x14ac:dyDescent="0.3">
      <c r="A594" t="s">
        <v>653</v>
      </c>
      <c r="B594" t="s">
        <v>26</v>
      </c>
      <c r="C594" t="s">
        <v>54</v>
      </c>
      <c r="D594" t="s">
        <v>68</v>
      </c>
      <c r="E594" t="s">
        <v>55</v>
      </c>
      <c r="F594" t="str">
        <f>IF(BBDD_fashion_boutique[[#This Row],[category]]="Accessories","Accesorio",IF(BBDD_fashion_boutique[[#This Row],[size]]="","Desconocido",BBDD_fashion_boutique[[#This Row],[size]]))</f>
        <v>XXL</v>
      </c>
      <c r="G594" t="s">
        <v>23</v>
      </c>
      <c r="H594" s="2">
        <v>63.51</v>
      </c>
      <c r="I594">
        <v>13.6</v>
      </c>
      <c r="J594" s="5">
        <f>BBDD_fashion_boutique[[#This Row],[markdown_percentage]]/100</f>
        <v>0.13600000000000001</v>
      </c>
      <c r="K594" s="2">
        <v>54.87</v>
      </c>
      <c r="L594" s="2">
        <f>BBDD_fashion_boutique[[#This Row],[original_price]]-BBDD_fashion_boutique[[#This Row],[current_price]]</f>
        <v>8.64</v>
      </c>
      <c r="M594" s="1">
        <v>45875</v>
      </c>
      <c r="N594" s="1" t="str">
        <f>PROPER(TEXT(BBDD_fashion_boutique[[#This Row],[purchase_date]],"dddd"))</f>
        <v>Miércoles</v>
      </c>
      <c r="O594" s="1" t="str">
        <f>PROPER(TEXT(BBDD_fashion_boutique[[#This Row],[purchase_date]],"mmmm"))</f>
        <v>Agosto</v>
      </c>
      <c r="P594" s="4">
        <v>19</v>
      </c>
      <c r="R594" t="str">
        <f>IF(BBDD_fashion_boutique[[#This Row],[stock_quantity]]&gt;9,"Ok",IF(BBDD_fashion_boutique[[#This Row],[stock_quantity]]=0,"Agotado","Pocas Unidades"))</f>
        <v>Ok</v>
      </c>
      <c r="S594" s="3" t="str">
        <f>IF(BBDD_fashion_boutique[[#This Row],[customer_rating]]="","No valorado",BBDD_fashion_boutique[[#This Row],[customer_rating]])</f>
        <v>No valorado</v>
      </c>
      <c r="T594" t="s">
        <v>24</v>
      </c>
      <c r="V594">
        <f>IF(BBDD_fashion_boutique[[#This Row],[is_returned]]="False",0,1)</f>
        <v>0</v>
      </c>
      <c r="W594">
        <f>IF(BBDD_fashion_boutique[[#This Row],[is_returned]]="True",0,BBDD_fashion_boutique[[#This Row],[current_price]])</f>
        <v>54.87</v>
      </c>
      <c r="X594" t="str">
        <f>IF(BBDD_fashion_boutique[[#This Row],[return_reason]]="","No return",BBDD_fashion_boutique[[#This Row],[return_reason]])</f>
        <v>No return</v>
      </c>
      <c r="Y594">
        <f>IF(IFERROR(VLOOKUP(BBDD_fashion_boutique[[#This Row],[product_id]],A595:A2770,1,FALSE),0),1,0)</f>
        <v>0</v>
      </c>
    </row>
    <row r="595" spans="1:25" x14ac:dyDescent="0.3">
      <c r="A595" t="s">
        <v>654</v>
      </c>
      <c r="B595" t="s">
        <v>44</v>
      </c>
      <c r="C595" t="s">
        <v>59</v>
      </c>
      <c r="D595" t="s">
        <v>28</v>
      </c>
      <c r="E595" t="s">
        <v>55</v>
      </c>
      <c r="F595" t="str">
        <f>IF(BBDD_fashion_boutique[[#This Row],[category]]="Accessories","Accesorio",IF(BBDD_fashion_boutique[[#This Row],[size]]="","Desconocido",BBDD_fashion_boutique[[#This Row],[size]]))</f>
        <v>XXL</v>
      </c>
      <c r="G595" t="s">
        <v>40</v>
      </c>
      <c r="H595" s="2">
        <v>55.23</v>
      </c>
      <c r="I595">
        <v>33.6</v>
      </c>
      <c r="J595" s="5">
        <f>BBDD_fashion_boutique[[#This Row],[markdown_percentage]]/100</f>
        <v>0.33600000000000002</v>
      </c>
      <c r="K595" s="2">
        <v>36.67</v>
      </c>
      <c r="L595" s="2">
        <f>BBDD_fashion_boutique[[#This Row],[original_price]]-BBDD_fashion_boutique[[#This Row],[current_price]]</f>
        <v>18.559999999999995</v>
      </c>
      <c r="M595" s="1">
        <v>45875</v>
      </c>
      <c r="N595" s="1" t="str">
        <f>PROPER(TEXT(BBDD_fashion_boutique[[#This Row],[purchase_date]],"dddd"))</f>
        <v>Miércoles</v>
      </c>
      <c r="O595" s="1" t="str">
        <f>PROPER(TEXT(BBDD_fashion_boutique[[#This Row],[purchase_date]],"mmmm"))</f>
        <v>Agosto</v>
      </c>
      <c r="P595" s="4">
        <v>9</v>
      </c>
      <c r="R595" t="str">
        <f>IF(BBDD_fashion_boutique[[#This Row],[stock_quantity]]&gt;9,"Ok",IF(BBDD_fashion_boutique[[#This Row],[stock_quantity]]=0,"Agotado","Pocas Unidades"))</f>
        <v>Pocas Unidades</v>
      </c>
      <c r="S595" s="3" t="str">
        <f>IF(BBDD_fashion_boutique[[#This Row],[customer_rating]]="","No valorado",BBDD_fashion_boutique[[#This Row],[customer_rating]])</f>
        <v>No valorado</v>
      </c>
      <c r="T595" t="s">
        <v>24</v>
      </c>
      <c r="V595">
        <f>IF(BBDD_fashion_boutique[[#This Row],[is_returned]]="False",0,1)</f>
        <v>0</v>
      </c>
      <c r="W595">
        <f>IF(BBDD_fashion_boutique[[#This Row],[is_returned]]="True",0,BBDD_fashion_boutique[[#This Row],[current_price]])</f>
        <v>36.67</v>
      </c>
      <c r="X595" t="str">
        <f>IF(BBDD_fashion_boutique[[#This Row],[return_reason]]="","No return",BBDD_fashion_boutique[[#This Row],[return_reason]])</f>
        <v>No return</v>
      </c>
      <c r="Y595">
        <f>IF(IFERROR(VLOOKUP(BBDD_fashion_boutique[[#This Row],[product_id]],A596:A2771,1,FALSE),0),1,0)</f>
        <v>0</v>
      </c>
    </row>
    <row r="596" spans="1:25" x14ac:dyDescent="0.3">
      <c r="A596" t="s">
        <v>655</v>
      </c>
      <c r="B596" t="s">
        <v>48</v>
      </c>
      <c r="C596" t="s">
        <v>37</v>
      </c>
      <c r="D596" t="s">
        <v>39</v>
      </c>
      <c r="E596" t="s">
        <v>64</v>
      </c>
      <c r="F596" t="str">
        <f>IF(BBDD_fashion_boutique[[#This Row],[category]]="Accessories","Accesorio",IF(BBDD_fashion_boutique[[#This Row],[size]]="","Desconocido",BBDD_fashion_boutique[[#This Row],[size]]))</f>
        <v>M</v>
      </c>
      <c r="G596" t="s">
        <v>70</v>
      </c>
      <c r="H596" s="2">
        <v>137.59</v>
      </c>
      <c r="I596">
        <v>0</v>
      </c>
      <c r="J596" s="5">
        <f>BBDD_fashion_boutique[[#This Row],[markdown_percentage]]/100</f>
        <v>0</v>
      </c>
      <c r="K596" s="2">
        <v>137.59</v>
      </c>
      <c r="L596" s="2">
        <f>BBDD_fashion_boutique[[#This Row],[original_price]]-BBDD_fashion_boutique[[#This Row],[current_price]]</f>
        <v>0</v>
      </c>
      <c r="M596" s="1">
        <v>45875</v>
      </c>
      <c r="N596" s="1" t="str">
        <f>PROPER(TEXT(BBDD_fashion_boutique[[#This Row],[purchase_date]],"dddd"))</f>
        <v>Miércoles</v>
      </c>
      <c r="O596" s="1" t="str">
        <f>PROPER(TEXT(BBDD_fashion_boutique[[#This Row],[purchase_date]],"mmmm"))</f>
        <v>Agosto</v>
      </c>
      <c r="P596" s="4">
        <v>18</v>
      </c>
      <c r="R596" t="str">
        <f>IF(BBDD_fashion_boutique[[#This Row],[stock_quantity]]&gt;9,"Ok",IF(BBDD_fashion_boutique[[#This Row],[stock_quantity]]=0,"Agotado","Pocas Unidades"))</f>
        <v>Ok</v>
      </c>
      <c r="S596" s="3" t="str">
        <f>IF(BBDD_fashion_boutique[[#This Row],[customer_rating]]="","No valorado",BBDD_fashion_boutique[[#This Row],[customer_rating]])</f>
        <v>No valorado</v>
      </c>
      <c r="T596" t="s">
        <v>24</v>
      </c>
      <c r="V596">
        <f>IF(BBDD_fashion_boutique[[#This Row],[is_returned]]="False",0,1)</f>
        <v>0</v>
      </c>
      <c r="W596">
        <f>IF(BBDD_fashion_boutique[[#This Row],[is_returned]]="True",0,BBDD_fashion_boutique[[#This Row],[current_price]])</f>
        <v>137.59</v>
      </c>
      <c r="X596" t="str">
        <f>IF(BBDD_fashion_boutique[[#This Row],[return_reason]]="","No return",BBDD_fashion_boutique[[#This Row],[return_reason]])</f>
        <v>No return</v>
      </c>
      <c r="Y596">
        <f>IF(IFERROR(VLOOKUP(BBDD_fashion_boutique[[#This Row],[product_id]],A597:A2772,1,FALSE),0),1,0)</f>
        <v>0</v>
      </c>
    </row>
    <row r="597" spans="1:25" x14ac:dyDescent="0.3">
      <c r="A597" t="s">
        <v>656</v>
      </c>
      <c r="B597" t="s">
        <v>35</v>
      </c>
      <c r="C597" t="s">
        <v>54</v>
      </c>
      <c r="D597" t="s">
        <v>39</v>
      </c>
      <c r="F597" t="str">
        <f>IF(BBDD_fashion_boutique[[#This Row],[category]]="Accessories","Accesorio",IF(BBDD_fashion_boutique[[#This Row],[size]]="","Desconocido",BBDD_fashion_boutique[[#This Row],[size]]))</f>
        <v>Desconocido</v>
      </c>
      <c r="G597" t="s">
        <v>40</v>
      </c>
      <c r="H597" s="2">
        <v>65.8</v>
      </c>
      <c r="I597">
        <v>0</v>
      </c>
      <c r="J597" s="5">
        <f>BBDD_fashion_boutique[[#This Row],[markdown_percentage]]/100</f>
        <v>0</v>
      </c>
      <c r="K597" s="2">
        <v>65.8</v>
      </c>
      <c r="L597" s="2">
        <f>BBDD_fashion_boutique[[#This Row],[original_price]]-BBDD_fashion_boutique[[#This Row],[current_price]]</f>
        <v>0</v>
      </c>
      <c r="M597" s="1">
        <v>45875</v>
      </c>
      <c r="N597" s="1" t="str">
        <f>PROPER(TEXT(BBDD_fashion_boutique[[#This Row],[purchase_date]],"dddd"))</f>
        <v>Miércoles</v>
      </c>
      <c r="O597" s="1" t="str">
        <f>PROPER(TEXT(BBDD_fashion_boutique[[#This Row],[purchase_date]],"mmmm"))</f>
        <v>Agosto</v>
      </c>
      <c r="P597" s="4">
        <v>46</v>
      </c>
      <c r="Q597" s="2">
        <v>3.2</v>
      </c>
      <c r="R597" t="str">
        <f>IF(BBDD_fashion_boutique[[#This Row],[stock_quantity]]&gt;9,"Ok",IF(BBDD_fashion_boutique[[#This Row],[stock_quantity]]=0,"Agotado","Pocas Unidades"))</f>
        <v>Ok</v>
      </c>
      <c r="S597" s="3">
        <f>IF(BBDD_fashion_boutique[[#This Row],[customer_rating]]="","No valorado",BBDD_fashion_boutique[[#This Row],[customer_rating]])</f>
        <v>3.2</v>
      </c>
      <c r="T597" t="s">
        <v>24</v>
      </c>
      <c r="V597">
        <f>IF(BBDD_fashion_boutique[[#This Row],[is_returned]]="False",0,1)</f>
        <v>0</v>
      </c>
      <c r="W597">
        <f>IF(BBDD_fashion_boutique[[#This Row],[is_returned]]="True",0,BBDD_fashion_boutique[[#This Row],[current_price]])</f>
        <v>65.8</v>
      </c>
      <c r="X597" t="str">
        <f>IF(BBDD_fashion_boutique[[#This Row],[return_reason]]="","No return",BBDD_fashion_boutique[[#This Row],[return_reason]])</f>
        <v>No return</v>
      </c>
      <c r="Y597">
        <f>IF(IFERROR(VLOOKUP(BBDD_fashion_boutique[[#This Row],[product_id]],A598:A2773,1,FALSE),0),1,0)</f>
        <v>0</v>
      </c>
    </row>
    <row r="598" spans="1:25" x14ac:dyDescent="0.3">
      <c r="A598" t="s">
        <v>657</v>
      </c>
      <c r="B598" t="s">
        <v>35</v>
      </c>
      <c r="C598" t="s">
        <v>27</v>
      </c>
      <c r="D598" t="s">
        <v>28</v>
      </c>
      <c r="E598" t="s">
        <v>22</v>
      </c>
      <c r="F598" t="str">
        <f>IF(BBDD_fashion_boutique[[#This Row],[category]]="Accessories","Accesorio",IF(BBDD_fashion_boutique[[#This Row],[size]]="","Desconocido",BBDD_fashion_boutique[[#This Row],[size]]))</f>
        <v>XL</v>
      </c>
      <c r="G598" t="s">
        <v>50</v>
      </c>
      <c r="H598" s="2">
        <v>88.42</v>
      </c>
      <c r="I598">
        <v>0</v>
      </c>
      <c r="J598" s="5">
        <f>BBDD_fashion_boutique[[#This Row],[markdown_percentage]]/100</f>
        <v>0</v>
      </c>
      <c r="K598" s="2">
        <v>88.42</v>
      </c>
      <c r="L598" s="2">
        <f>BBDD_fashion_boutique[[#This Row],[original_price]]-BBDD_fashion_boutique[[#This Row],[current_price]]</f>
        <v>0</v>
      </c>
      <c r="M598" s="1">
        <v>45875</v>
      </c>
      <c r="N598" s="1" t="str">
        <f>PROPER(TEXT(BBDD_fashion_boutique[[#This Row],[purchase_date]],"dddd"))</f>
        <v>Miércoles</v>
      </c>
      <c r="O598" s="1" t="str">
        <f>PROPER(TEXT(BBDD_fashion_boutique[[#This Row],[purchase_date]],"mmmm"))</f>
        <v>Agosto</v>
      </c>
      <c r="P598" s="4">
        <v>44</v>
      </c>
      <c r="Q598" s="2">
        <v>3.4</v>
      </c>
      <c r="R598" t="str">
        <f>IF(BBDD_fashion_boutique[[#This Row],[stock_quantity]]&gt;9,"Ok",IF(BBDD_fashion_boutique[[#This Row],[stock_quantity]]=0,"Agotado","Pocas Unidades"))</f>
        <v>Ok</v>
      </c>
      <c r="S598" s="3">
        <f>IF(BBDD_fashion_boutique[[#This Row],[customer_rating]]="","No valorado",BBDD_fashion_boutique[[#This Row],[customer_rating]])</f>
        <v>3.4</v>
      </c>
      <c r="T598" t="s">
        <v>41</v>
      </c>
      <c r="U598" t="s">
        <v>84</v>
      </c>
      <c r="V598">
        <f>IF(BBDD_fashion_boutique[[#This Row],[is_returned]]="False",0,1)</f>
        <v>1</v>
      </c>
      <c r="W598">
        <f>IF(BBDD_fashion_boutique[[#This Row],[is_returned]]="True",0,BBDD_fashion_boutique[[#This Row],[current_price]])</f>
        <v>0</v>
      </c>
      <c r="X598" t="str">
        <f>IF(BBDD_fashion_boutique[[#This Row],[return_reason]]="","No return",BBDD_fashion_boutique[[#This Row],[return_reason]])</f>
        <v>Damaged</v>
      </c>
      <c r="Y598">
        <f>IF(IFERROR(VLOOKUP(BBDD_fashion_boutique[[#This Row],[product_id]],A599:A2774,1,FALSE),0),1,0)</f>
        <v>0</v>
      </c>
    </row>
    <row r="599" spans="1:25" x14ac:dyDescent="0.3">
      <c r="A599" t="s">
        <v>658</v>
      </c>
      <c r="B599" t="s">
        <v>48</v>
      </c>
      <c r="C599" t="s">
        <v>49</v>
      </c>
      <c r="D599" t="s">
        <v>39</v>
      </c>
      <c r="E599" t="s">
        <v>64</v>
      </c>
      <c r="F599" t="str">
        <f>IF(BBDD_fashion_boutique[[#This Row],[category]]="Accessories","Accesorio",IF(BBDD_fashion_boutique[[#This Row],[size]]="","Desconocido",BBDD_fashion_boutique[[#This Row],[size]]))</f>
        <v>M</v>
      </c>
      <c r="G599" t="s">
        <v>23</v>
      </c>
      <c r="H599" s="2">
        <v>75.540000000000006</v>
      </c>
      <c r="I599">
        <v>0</v>
      </c>
      <c r="J599" s="5">
        <f>BBDD_fashion_boutique[[#This Row],[markdown_percentage]]/100</f>
        <v>0</v>
      </c>
      <c r="K599" s="2">
        <v>75.540000000000006</v>
      </c>
      <c r="L599" s="2">
        <f>BBDD_fashion_boutique[[#This Row],[original_price]]-BBDD_fashion_boutique[[#This Row],[current_price]]</f>
        <v>0</v>
      </c>
      <c r="M599" s="1">
        <v>45875</v>
      </c>
      <c r="N599" s="1" t="str">
        <f>PROPER(TEXT(BBDD_fashion_boutique[[#This Row],[purchase_date]],"dddd"))</f>
        <v>Miércoles</v>
      </c>
      <c r="O599" s="1" t="str">
        <f>PROPER(TEXT(BBDD_fashion_boutique[[#This Row],[purchase_date]],"mmmm"))</f>
        <v>Agosto</v>
      </c>
      <c r="P599" s="4">
        <v>6</v>
      </c>
      <c r="Q599" s="2">
        <v>4.5999999999999996</v>
      </c>
      <c r="R599" t="str">
        <f>IF(BBDD_fashion_boutique[[#This Row],[stock_quantity]]&gt;9,"Ok",IF(BBDD_fashion_boutique[[#This Row],[stock_quantity]]=0,"Agotado","Pocas Unidades"))</f>
        <v>Pocas Unidades</v>
      </c>
      <c r="S599" s="3">
        <f>IF(BBDD_fashion_boutique[[#This Row],[customer_rating]]="","No valorado",BBDD_fashion_boutique[[#This Row],[customer_rating]])</f>
        <v>4.5999999999999996</v>
      </c>
      <c r="T599" t="s">
        <v>24</v>
      </c>
      <c r="V599">
        <f>IF(BBDD_fashion_boutique[[#This Row],[is_returned]]="False",0,1)</f>
        <v>0</v>
      </c>
      <c r="W599">
        <f>IF(BBDD_fashion_boutique[[#This Row],[is_returned]]="True",0,BBDD_fashion_boutique[[#This Row],[current_price]])</f>
        <v>75.540000000000006</v>
      </c>
      <c r="X599" t="str">
        <f>IF(BBDD_fashion_boutique[[#This Row],[return_reason]]="","No return",BBDD_fashion_boutique[[#This Row],[return_reason]])</f>
        <v>No return</v>
      </c>
      <c r="Y599">
        <f>IF(IFERROR(VLOOKUP(BBDD_fashion_boutique[[#This Row],[product_id]],A600:A2775,1,FALSE),0),1,0)</f>
        <v>0</v>
      </c>
    </row>
    <row r="600" spans="1:25" x14ac:dyDescent="0.3">
      <c r="A600" t="s">
        <v>659</v>
      </c>
      <c r="B600" t="s">
        <v>35</v>
      </c>
      <c r="C600" t="s">
        <v>54</v>
      </c>
      <c r="D600" t="s">
        <v>21</v>
      </c>
      <c r="E600" t="s">
        <v>29</v>
      </c>
      <c r="F600" t="str">
        <f>IF(BBDD_fashion_boutique[[#This Row],[category]]="Accessories","Accesorio",IF(BBDD_fashion_boutique[[#This Row],[size]]="","Desconocido",BBDD_fashion_boutique[[#This Row],[size]]))</f>
        <v>L</v>
      </c>
      <c r="G600" t="s">
        <v>40</v>
      </c>
      <c r="H600" s="2">
        <v>185.13</v>
      </c>
      <c r="I600">
        <v>0</v>
      </c>
      <c r="J600" s="5">
        <f>BBDD_fashion_boutique[[#This Row],[markdown_percentage]]/100</f>
        <v>0</v>
      </c>
      <c r="K600" s="2">
        <v>185.13</v>
      </c>
      <c r="L600" s="2">
        <f>BBDD_fashion_boutique[[#This Row],[original_price]]-BBDD_fashion_boutique[[#This Row],[current_price]]</f>
        <v>0</v>
      </c>
      <c r="M600" s="1">
        <v>45786</v>
      </c>
      <c r="N600" s="1" t="str">
        <f>PROPER(TEXT(BBDD_fashion_boutique[[#This Row],[purchase_date]],"dddd"))</f>
        <v>Viernes</v>
      </c>
      <c r="O600" s="1" t="str">
        <f>PROPER(TEXT(BBDD_fashion_boutique[[#This Row],[purchase_date]],"mmmm"))</f>
        <v>Mayo</v>
      </c>
      <c r="P600" s="4">
        <v>49</v>
      </c>
      <c r="Q600" s="2">
        <v>4.9000000000000004</v>
      </c>
      <c r="R600" t="str">
        <f>IF(BBDD_fashion_boutique[[#This Row],[stock_quantity]]&gt;9,"Ok",IF(BBDD_fashion_boutique[[#This Row],[stock_quantity]]=0,"Agotado","Pocas Unidades"))</f>
        <v>Ok</v>
      </c>
      <c r="S600" s="3">
        <f>IF(BBDD_fashion_boutique[[#This Row],[customer_rating]]="","No valorado",BBDD_fashion_boutique[[#This Row],[customer_rating]])</f>
        <v>4.9000000000000004</v>
      </c>
      <c r="T600" t="s">
        <v>24</v>
      </c>
      <c r="V600">
        <f>IF(BBDD_fashion_boutique[[#This Row],[is_returned]]="False",0,1)</f>
        <v>0</v>
      </c>
      <c r="W600">
        <f>IF(BBDD_fashion_boutique[[#This Row],[is_returned]]="True",0,BBDD_fashion_boutique[[#This Row],[current_price]])</f>
        <v>185.13</v>
      </c>
      <c r="X600" t="str">
        <f>IF(BBDD_fashion_boutique[[#This Row],[return_reason]]="","No return",BBDD_fashion_boutique[[#This Row],[return_reason]])</f>
        <v>No return</v>
      </c>
      <c r="Y600">
        <f>IF(IFERROR(VLOOKUP(BBDD_fashion_boutique[[#This Row],[product_id]],A601:A2776,1,FALSE),0),1,0)</f>
        <v>0</v>
      </c>
    </row>
    <row r="601" spans="1:25" x14ac:dyDescent="0.3">
      <c r="A601" t="s">
        <v>660</v>
      </c>
      <c r="B601" t="s">
        <v>19</v>
      </c>
      <c r="C601" t="s">
        <v>49</v>
      </c>
      <c r="D601" t="s">
        <v>39</v>
      </c>
      <c r="E601" t="s">
        <v>29</v>
      </c>
      <c r="F601" t="str">
        <f>IF(BBDD_fashion_boutique[[#This Row],[category]]="Accessories","Accesorio",IF(BBDD_fashion_boutique[[#This Row],[size]]="","Desconocido",BBDD_fashion_boutique[[#This Row],[size]]))</f>
        <v>L</v>
      </c>
      <c r="G601" t="s">
        <v>33</v>
      </c>
      <c r="H601" s="2">
        <v>132.58000000000001</v>
      </c>
      <c r="I601">
        <v>0</v>
      </c>
      <c r="J601" s="5">
        <f>BBDD_fashion_boutique[[#This Row],[markdown_percentage]]/100</f>
        <v>0</v>
      </c>
      <c r="K601" s="2">
        <v>132.58000000000001</v>
      </c>
      <c r="L601" s="2">
        <f>BBDD_fashion_boutique[[#This Row],[original_price]]-BBDD_fashion_boutique[[#This Row],[current_price]]</f>
        <v>0</v>
      </c>
      <c r="M601" s="1">
        <v>45875</v>
      </c>
      <c r="N601" s="1" t="str">
        <f>PROPER(TEXT(BBDD_fashion_boutique[[#This Row],[purchase_date]],"dddd"))</f>
        <v>Miércoles</v>
      </c>
      <c r="O601" s="1" t="str">
        <f>PROPER(TEXT(BBDD_fashion_boutique[[#This Row],[purchase_date]],"mmmm"))</f>
        <v>Agosto</v>
      </c>
      <c r="P601" s="4">
        <v>45</v>
      </c>
      <c r="Q601" s="2">
        <v>1.6</v>
      </c>
      <c r="R601" t="str">
        <f>IF(BBDD_fashion_boutique[[#This Row],[stock_quantity]]&gt;9,"Ok",IF(BBDD_fashion_boutique[[#This Row],[stock_quantity]]=0,"Agotado","Pocas Unidades"))</f>
        <v>Ok</v>
      </c>
      <c r="S601" s="3">
        <f>IF(BBDD_fashion_boutique[[#This Row],[customer_rating]]="","No valorado",BBDD_fashion_boutique[[#This Row],[customer_rating]])</f>
        <v>1.6</v>
      </c>
      <c r="T601" t="s">
        <v>24</v>
      </c>
      <c r="V601">
        <f>IF(BBDD_fashion_boutique[[#This Row],[is_returned]]="False",0,1)</f>
        <v>0</v>
      </c>
      <c r="W601">
        <f>IF(BBDD_fashion_boutique[[#This Row],[is_returned]]="True",0,BBDD_fashion_boutique[[#This Row],[current_price]])</f>
        <v>132.58000000000001</v>
      </c>
      <c r="X601" t="str">
        <f>IF(BBDD_fashion_boutique[[#This Row],[return_reason]]="","No return",BBDD_fashion_boutique[[#This Row],[return_reason]])</f>
        <v>No return</v>
      </c>
      <c r="Y601">
        <f>IF(IFERROR(VLOOKUP(BBDD_fashion_boutique[[#This Row],[product_id]],A602:A2777,1,FALSE),0),1,0)</f>
        <v>0</v>
      </c>
    </row>
    <row r="602" spans="1:25" x14ac:dyDescent="0.3">
      <c r="A602" t="s">
        <v>661</v>
      </c>
      <c r="B602" t="s">
        <v>44</v>
      </c>
      <c r="C602" t="s">
        <v>20</v>
      </c>
      <c r="D602" t="s">
        <v>39</v>
      </c>
      <c r="E602" t="s">
        <v>64</v>
      </c>
      <c r="F602" t="str">
        <f>IF(BBDD_fashion_boutique[[#This Row],[category]]="Accessories","Accesorio",IF(BBDD_fashion_boutique[[#This Row],[size]]="","Desconocido",BBDD_fashion_boutique[[#This Row],[size]]))</f>
        <v>M</v>
      </c>
      <c r="G602" t="s">
        <v>40</v>
      </c>
      <c r="H602" s="2">
        <v>93.38</v>
      </c>
      <c r="I602">
        <v>0</v>
      </c>
      <c r="J602" s="5">
        <f>BBDD_fashion_boutique[[#This Row],[markdown_percentage]]/100</f>
        <v>0</v>
      </c>
      <c r="K602" s="2">
        <v>93.38</v>
      </c>
      <c r="L602" s="2">
        <f>BBDD_fashion_boutique[[#This Row],[original_price]]-BBDD_fashion_boutique[[#This Row],[current_price]]</f>
        <v>0</v>
      </c>
      <c r="M602" s="1">
        <v>45875</v>
      </c>
      <c r="N602" s="1" t="str">
        <f>PROPER(TEXT(BBDD_fashion_boutique[[#This Row],[purchase_date]],"dddd"))</f>
        <v>Miércoles</v>
      </c>
      <c r="O602" s="1" t="str">
        <f>PROPER(TEXT(BBDD_fashion_boutique[[#This Row],[purchase_date]],"mmmm"))</f>
        <v>Agosto</v>
      </c>
      <c r="P602" s="4">
        <v>7</v>
      </c>
      <c r="Q602" s="2">
        <v>3.5</v>
      </c>
      <c r="R602" t="str">
        <f>IF(BBDD_fashion_boutique[[#This Row],[stock_quantity]]&gt;9,"Ok",IF(BBDD_fashion_boutique[[#This Row],[stock_quantity]]=0,"Agotado","Pocas Unidades"))</f>
        <v>Pocas Unidades</v>
      </c>
      <c r="S602" s="3">
        <f>IF(BBDD_fashion_boutique[[#This Row],[customer_rating]]="","No valorado",BBDD_fashion_boutique[[#This Row],[customer_rating]])</f>
        <v>3.5</v>
      </c>
      <c r="T602" t="s">
        <v>24</v>
      </c>
      <c r="V602">
        <f>IF(BBDD_fashion_boutique[[#This Row],[is_returned]]="False",0,1)</f>
        <v>0</v>
      </c>
      <c r="W602">
        <f>IF(BBDD_fashion_boutique[[#This Row],[is_returned]]="True",0,BBDD_fashion_boutique[[#This Row],[current_price]])</f>
        <v>93.38</v>
      </c>
      <c r="X602" t="str">
        <f>IF(BBDD_fashion_boutique[[#This Row],[return_reason]]="","No return",BBDD_fashion_boutique[[#This Row],[return_reason]])</f>
        <v>No return</v>
      </c>
      <c r="Y602">
        <f>IF(IFERROR(VLOOKUP(BBDD_fashion_boutique[[#This Row],[product_id]],A603:A2778,1,FALSE),0),1,0)</f>
        <v>0</v>
      </c>
    </row>
    <row r="603" spans="1:25" x14ac:dyDescent="0.3">
      <c r="A603" t="s">
        <v>662</v>
      </c>
      <c r="B603" t="s">
        <v>32</v>
      </c>
      <c r="C603" t="s">
        <v>59</v>
      </c>
      <c r="D603" t="s">
        <v>39</v>
      </c>
      <c r="F603" t="str">
        <f>IF(BBDD_fashion_boutique[[#This Row],[category]]="Accessories","Accesorio",IF(BBDD_fashion_boutique[[#This Row],[size]]="","Desconocido",BBDD_fashion_boutique[[#This Row],[size]]))</f>
        <v>Accesorio</v>
      </c>
      <c r="G603" t="s">
        <v>33</v>
      </c>
      <c r="H603" s="2">
        <v>47.28</v>
      </c>
      <c r="I603">
        <v>0</v>
      </c>
      <c r="J603" s="5">
        <f>BBDD_fashion_boutique[[#This Row],[markdown_percentage]]/100</f>
        <v>0</v>
      </c>
      <c r="K603" s="2">
        <v>47.28</v>
      </c>
      <c r="L603" s="2">
        <f>BBDD_fashion_boutique[[#This Row],[original_price]]-BBDD_fashion_boutique[[#This Row],[current_price]]</f>
        <v>0</v>
      </c>
      <c r="M603" s="1">
        <v>45875</v>
      </c>
      <c r="N603" s="1" t="str">
        <f>PROPER(TEXT(BBDD_fashion_boutique[[#This Row],[purchase_date]],"dddd"))</f>
        <v>Miércoles</v>
      </c>
      <c r="O603" s="1" t="str">
        <f>PROPER(TEXT(BBDD_fashion_boutique[[#This Row],[purchase_date]],"mmmm"))</f>
        <v>Agosto</v>
      </c>
      <c r="P603" s="4">
        <v>38</v>
      </c>
      <c r="Q603" s="2">
        <v>4.2</v>
      </c>
      <c r="R603" t="str">
        <f>IF(BBDD_fashion_boutique[[#This Row],[stock_quantity]]&gt;9,"Ok",IF(BBDD_fashion_boutique[[#This Row],[stock_quantity]]=0,"Agotado","Pocas Unidades"))</f>
        <v>Ok</v>
      </c>
      <c r="S603" s="3">
        <f>IF(BBDD_fashion_boutique[[#This Row],[customer_rating]]="","No valorado",BBDD_fashion_boutique[[#This Row],[customer_rating]])</f>
        <v>4.2</v>
      </c>
      <c r="T603" t="s">
        <v>24</v>
      </c>
      <c r="V603">
        <f>IF(BBDD_fashion_boutique[[#This Row],[is_returned]]="False",0,1)</f>
        <v>0</v>
      </c>
      <c r="W603">
        <f>IF(BBDD_fashion_boutique[[#This Row],[is_returned]]="True",0,BBDD_fashion_boutique[[#This Row],[current_price]])</f>
        <v>47.28</v>
      </c>
      <c r="X603" t="str">
        <f>IF(BBDD_fashion_boutique[[#This Row],[return_reason]]="","No return",BBDD_fashion_boutique[[#This Row],[return_reason]])</f>
        <v>No return</v>
      </c>
      <c r="Y603">
        <f>IF(IFERROR(VLOOKUP(BBDD_fashion_boutique[[#This Row],[product_id]],A604:A2779,1,FALSE),0),1,0)</f>
        <v>0</v>
      </c>
    </row>
    <row r="604" spans="1:25" x14ac:dyDescent="0.3">
      <c r="A604" t="s">
        <v>663</v>
      </c>
      <c r="B604" t="s">
        <v>44</v>
      </c>
      <c r="C604" t="s">
        <v>37</v>
      </c>
      <c r="D604" t="s">
        <v>21</v>
      </c>
      <c r="E604" t="s">
        <v>29</v>
      </c>
      <c r="F604" t="str">
        <f>IF(BBDD_fashion_boutique[[#This Row],[category]]="Accessories","Accesorio",IF(BBDD_fashion_boutique[[#This Row],[size]]="","Desconocido",BBDD_fashion_boutique[[#This Row],[size]]))</f>
        <v>L</v>
      </c>
      <c r="G604" t="s">
        <v>52</v>
      </c>
      <c r="H604" s="2">
        <v>59.88</v>
      </c>
      <c r="I604">
        <v>0</v>
      </c>
      <c r="J604" s="5">
        <f>BBDD_fashion_boutique[[#This Row],[markdown_percentage]]/100</f>
        <v>0</v>
      </c>
      <c r="K604" s="2">
        <v>59.88</v>
      </c>
      <c r="L604" s="2">
        <f>BBDD_fashion_boutique[[#This Row],[original_price]]-BBDD_fashion_boutique[[#This Row],[current_price]]</f>
        <v>0</v>
      </c>
      <c r="M604" s="1">
        <v>45577</v>
      </c>
      <c r="N604" s="1" t="str">
        <f>PROPER(TEXT(BBDD_fashion_boutique[[#This Row],[purchase_date]],"dddd"))</f>
        <v>Sábado</v>
      </c>
      <c r="O604" s="1" t="str">
        <f>PROPER(TEXT(BBDD_fashion_boutique[[#This Row],[purchase_date]],"mmmm"))</f>
        <v>Octubre</v>
      </c>
      <c r="P604" s="4">
        <v>33</v>
      </c>
      <c r="Q604" s="2">
        <v>2.9</v>
      </c>
      <c r="R604" t="str">
        <f>IF(BBDD_fashion_boutique[[#This Row],[stock_quantity]]&gt;9,"Ok",IF(BBDD_fashion_boutique[[#This Row],[stock_quantity]]=0,"Agotado","Pocas Unidades"))</f>
        <v>Ok</v>
      </c>
      <c r="S604" s="3">
        <f>IF(BBDD_fashion_boutique[[#This Row],[customer_rating]]="","No valorado",BBDD_fashion_boutique[[#This Row],[customer_rating]])</f>
        <v>2.9</v>
      </c>
      <c r="T604" t="s">
        <v>24</v>
      </c>
      <c r="V604">
        <f>IF(BBDD_fashion_boutique[[#This Row],[is_returned]]="False",0,1)</f>
        <v>0</v>
      </c>
      <c r="W604">
        <f>IF(BBDD_fashion_boutique[[#This Row],[is_returned]]="True",0,BBDD_fashion_boutique[[#This Row],[current_price]])</f>
        <v>59.88</v>
      </c>
      <c r="X604" t="str">
        <f>IF(BBDD_fashion_boutique[[#This Row],[return_reason]]="","No return",BBDD_fashion_boutique[[#This Row],[return_reason]])</f>
        <v>No return</v>
      </c>
      <c r="Y604">
        <f>IF(IFERROR(VLOOKUP(BBDD_fashion_boutique[[#This Row],[product_id]],A605:A2780,1,FALSE),0),1,0)</f>
        <v>0</v>
      </c>
    </row>
    <row r="605" spans="1:25" x14ac:dyDescent="0.3">
      <c r="A605" t="s">
        <v>664</v>
      </c>
      <c r="B605" t="s">
        <v>48</v>
      </c>
      <c r="C605" t="s">
        <v>54</v>
      </c>
      <c r="D605" t="s">
        <v>28</v>
      </c>
      <c r="E605" t="s">
        <v>55</v>
      </c>
      <c r="F605" t="str">
        <f>IF(BBDD_fashion_boutique[[#This Row],[category]]="Accessories","Accesorio",IF(BBDD_fashion_boutique[[#This Row],[size]]="","Desconocido",BBDD_fashion_boutique[[#This Row],[size]]))</f>
        <v>XXL</v>
      </c>
      <c r="G605" t="s">
        <v>33</v>
      </c>
      <c r="H605" s="2">
        <v>140.07</v>
      </c>
      <c r="I605">
        <v>0</v>
      </c>
      <c r="J605" s="5">
        <f>BBDD_fashion_boutique[[#This Row],[markdown_percentage]]/100</f>
        <v>0</v>
      </c>
      <c r="K605" s="2">
        <v>140.07</v>
      </c>
      <c r="L605" s="2">
        <f>BBDD_fashion_boutique[[#This Row],[original_price]]-BBDD_fashion_boutique[[#This Row],[current_price]]</f>
        <v>0</v>
      </c>
      <c r="M605" s="1">
        <v>45875</v>
      </c>
      <c r="N605" s="1" t="str">
        <f>PROPER(TEXT(BBDD_fashion_boutique[[#This Row],[purchase_date]],"dddd"))</f>
        <v>Miércoles</v>
      </c>
      <c r="O605" s="1" t="str">
        <f>PROPER(TEXT(BBDD_fashion_boutique[[#This Row],[purchase_date]],"mmmm"))</f>
        <v>Agosto</v>
      </c>
      <c r="P605" s="4">
        <v>15</v>
      </c>
      <c r="Q605" s="2">
        <v>2.7</v>
      </c>
      <c r="R605" t="str">
        <f>IF(BBDD_fashion_boutique[[#This Row],[stock_quantity]]&gt;9,"Ok",IF(BBDD_fashion_boutique[[#This Row],[stock_quantity]]=0,"Agotado","Pocas Unidades"))</f>
        <v>Ok</v>
      </c>
      <c r="S605" s="3">
        <f>IF(BBDD_fashion_boutique[[#This Row],[customer_rating]]="","No valorado",BBDD_fashion_boutique[[#This Row],[customer_rating]])</f>
        <v>2.7</v>
      </c>
      <c r="T605" t="s">
        <v>24</v>
      </c>
      <c r="V605">
        <f>IF(BBDD_fashion_boutique[[#This Row],[is_returned]]="False",0,1)</f>
        <v>0</v>
      </c>
      <c r="W605">
        <f>IF(BBDD_fashion_boutique[[#This Row],[is_returned]]="True",0,BBDD_fashion_boutique[[#This Row],[current_price]])</f>
        <v>140.07</v>
      </c>
      <c r="X605" t="str">
        <f>IF(BBDD_fashion_boutique[[#This Row],[return_reason]]="","No return",BBDD_fashion_boutique[[#This Row],[return_reason]])</f>
        <v>No return</v>
      </c>
      <c r="Y605">
        <f>IF(IFERROR(VLOOKUP(BBDD_fashion_boutique[[#This Row],[product_id]],A606:A2781,1,FALSE),0),1,0)</f>
        <v>0</v>
      </c>
    </row>
    <row r="606" spans="1:25" x14ac:dyDescent="0.3">
      <c r="A606" t="s">
        <v>665</v>
      </c>
      <c r="B606" t="s">
        <v>32</v>
      </c>
      <c r="C606" t="s">
        <v>27</v>
      </c>
      <c r="D606" t="s">
        <v>28</v>
      </c>
      <c r="F606" t="str">
        <f>IF(BBDD_fashion_boutique[[#This Row],[category]]="Accessories","Accesorio",IF(BBDD_fashion_boutique[[#This Row],[size]]="","Desconocido",BBDD_fashion_boutique[[#This Row],[size]]))</f>
        <v>Accesorio</v>
      </c>
      <c r="G606" t="s">
        <v>33</v>
      </c>
      <c r="H606" s="2">
        <v>66.599999999999994</v>
      </c>
      <c r="I606">
        <v>0</v>
      </c>
      <c r="J606" s="5">
        <f>BBDD_fashion_boutique[[#This Row],[markdown_percentage]]/100</f>
        <v>0</v>
      </c>
      <c r="K606" s="2">
        <v>66.599999999999994</v>
      </c>
      <c r="L606" s="2">
        <f>BBDD_fashion_boutique[[#This Row],[original_price]]-BBDD_fashion_boutique[[#This Row],[current_price]]</f>
        <v>0</v>
      </c>
      <c r="M606" s="1">
        <v>45875</v>
      </c>
      <c r="N606" s="1" t="str">
        <f>PROPER(TEXT(BBDD_fashion_boutique[[#This Row],[purchase_date]],"dddd"))</f>
        <v>Miércoles</v>
      </c>
      <c r="O606" s="1" t="str">
        <f>PROPER(TEXT(BBDD_fashion_boutique[[#This Row],[purchase_date]],"mmmm"))</f>
        <v>Agosto</v>
      </c>
      <c r="P606" s="4">
        <v>47</v>
      </c>
      <c r="Q606" s="2">
        <v>4</v>
      </c>
      <c r="R606" t="str">
        <f>IF(BBDD_fashion_boutique[[#This Row],[stock_quantity]]&gt;9,"Ok",IF(BBDD_fashion_boutique[[#This Row],[stock_quantity]]=0,"Agotado","Pocas Unidades"))</f>
        <v>Ok</v>
      </c>
      <c r="S606" s="3">
        <f>IF(BBDD_fashion_boutique[[#This Row],[customer_rating]]="","No valorado",BBDD_fashion_boutique[[#This Row],[customer_rating]])</f>
        <v>4</v>
      </c>
      <c r="T606" t="s">
        <v>24</v>
      </c>
      <c r="V606">
        <f>IF(BBDD_fashion_boutique[[#This Row],[is_returned]]="False",0,1)</f>
        <v>0</v>
      </c>
      <c r="W606">
        <f>IF(BBDD_fashion_boutique[[#This Row],[is_returned]]="True",0,BBDD_fashion_boutique[[#This Row],[current_price]])</f>
        <v>66.599999999999994</v>
      </c>
      <c r="X606" t="str">
        <f>IF(BBDD_fashion_boutique[[#This Row],[return_reason]]="","No return",BBDD_fashion_boutique[[#This Row],[return_reason]])</f>
        <v>No return</v>
      </c>
      <c r="Y606">
        <f>IF(IFERROR(VLOOKUP(BBDD_fashion_boutique[[#This Row],[product_id]],A607:A2782,1,FALSE),0),1,0)</f>
        <v>0</v>
      </c>
    </row>
    <row r="607" spans="1:25" x14ac:dyDescent="0.3">
      <c r="A607" t="s">
        <v>666</v>
      </c>
      <c r="B607" t="s">
        <v>32</v>
      </c>
      <c r="C607" t="s">
        <v>67</v>
      </c>
      <c r="D607" t="s">
        <v>68</v>
      </c>
      <c r="F607" t="str">
        <f>IF(BBDD_fashion_boutique[[#This Row],[category]]="Accessories","Accesorio",IF(BBDD_fashion_boutique[[#This Row],[size]]="","Desconocido",BBDD_fashion_boutique[[#This Row],[size]]))</f>
        <v>Accesorio</v>
      </c>
      <c r="G607" t="s">
        <v>72</v>
      </c>
      <c r="H607" s="2">
        <v>39.82</v>
      </c>
      <c r="I607">
        <v>35.4</v>
      </c>
      <c r="J607" s="5">
        <f>BBDD_fashion_boutique[[#This Row],[markdown_percentage]]/100</f>
        <v>0.35399999999999998</v>
      </c>
      <c r="K607" s="2">
        <v>25.72</v>
      </c>
      <c r="L607" s="2">
        <f>BBDD_fashion_boutique[[#This Row],[original_price]]-BBDD_fashion_boutique[[#This Row],[current_price]]</f>
        <v>14.100000000000001</v>
      </c>
      <c r="M607" s="1">
        <v>45875</v>
      </c>
      <c r="N607" s="1" t="str">
        <f>PROPER(TEXT(BBDD_fashion_boutique[[#This Row],[purchase_date]],"dddd"))</f>
        <v>Miércoles</v>
      </c>
      <c r="O607" s="1" t="str">
        <f>PROPER(TEXT(BBDD_fashion_boutique[[#This Row],[purchase_date]],"mmmm"))</f>
        <v>Agosto</v>
      </c>
      <c r="P607" s="4">
        <v>9</v>
      </c>
      <c r="Q607" s="2">
        <v>4.5999999999999996</v>
      </c>
      <c r="R607" t="str">
        <f>IF(BBDD_fashion_boutique[[#This Row],[stock_quantity]]&gt;9,"Ok",IF(BBDD_fashion_boutique[[#This Row],[stock_quantity]]=0,"Agotado","Pocas Unidades"))</f>
        <v>Pocas Unidades</v>
      </c>
      <c r="S607" s="3">
        <f>IF(BBDD_fashion_boutique[[#This Row],[customer_rating]]="","No valorado",BBDD_fashion_boutique[[#This Row],[customer_rating]])</f>
        <v>4.5999999999999996</v>
      </c>
      <c r="T607" t="s">
        <v>24</v>
      </c>
      <c r="V607">
        <f>IF(BBDD_fashion_boutique[[#This Row],[is_returned]]="False",0,1)</f>
        <v>0</v>
      </c>
      <c r="W607">
        <f>IF(BBDD_fashion_boutique[[#This Row],[is_returned]]="True",0,BBDD_fashion_boutique[[#This Row],[current_price]])</f>
        <v>25.72</v>
      </c>
      <c r="X607" t="str">
        <f>IF(BBDD_fashion_boutique[[#This Row],[return_reason]]="","No return",BBDD_fashion_boutique[[#This Row],[return_reason]])</f>
        <v>No return</v>
      </c>
      <c r="Y607">
        <f>IF(IFERROR(VLOOKUP(BBDD_fashion_boutique[[#This Row],[product_id]],A608:A2783,1,FALSE),0),1,0)</f>
        <v>0</v>
      </c>
    </row>
    <row r="608" spans="1:25" x14ac:dyDescent="0.3">
      <c r="A608" t="s">
        <v>667</v>
      </c>
      <c r="B608" t="s">
        <v>32</v>
      </c>
      <c r="C608" t="s">
        <v>20</v>
      </c>
      <c r="D608" t="s">
        <v>39</v>
      </c>
      <c r="F608" t="str">
        <f>IF(BBDD_fashion_boutique[[#This Row],[category]]="Accessories","Accesorio",IF(BBDD_fashion_boutique[[#This Row],[size]]="","Desconocido",BBDD_fashion_boutique[[#This Row],[size]]))</f>
        <v>Accesorio</v>
      </c>
      <c r="G608" t="s">
        <v>23</v>
      </c>
      <c r="H608" s="2">
        <v>70.739999999999995</v>
      </c>
      <c r="I608">
        <v>0</v>
      </c>
      <c r="J608" s="5">
        <f>BBDD_fashion_boutique[[#This Row],[markdown_percentage]]/100</f>
        <v>0</v>
      </c>
      <c r="K608" s="2">
        <v>70.739999999999995</v>
      </c>
      <c r="L608" s="2">
        <f>BBDD_fashion_boutique[[#This Row],[original_price]]-BBDD_fashion_boutique[[#This Row],[current_price]]</f>
        <v>0</v>
      </c>
      <c r="M608" s="1">
        <v>45875</v>
      </c>
      <c r="N608" s="1" t="str">
        <f>PROPER(TEXT(BBDD_fashion_boutique[[#This Row],[purchase_date]],"dddd"))</f>
        <v>Miércoles</v>
      </c>
      <c r="O608" s="1" t="str">
        <f>PROPER(TEXT(BBDD_fashion_boutique[[#This Row],[purchase_date]],"mmmm"))</f>
        <v>Agosto</v>
      </c>
      <c r="P608" s="4">
        <v>49</v>
      </c>
      <c r="Q608" s="2">
        <v>1.8</v>
      </c>
      <c r="R608" t="str">
        <f>IF(BBDD_fashion_boutique[[#This Row],[stock_quantity]]&gt;9,"Ok",IF(BBDD_fashion_boutique[[#This Row],[stock_quantity]]=0,"Agotado","Pocas Unidades"))</f>
        <v>Ok</v>
      </c>
      <c r="S608" s="3">
        <f>IF(BBDD_fashion_boutique[[#This Row],[customer_rating]]="","No valorado",BBDD_fashion_boutique[[#This Row],[customer_rating]])</f>
        <v>1.8</v>
      </c>
      <c r="T608" t="s">
        <v>24</v>
      </c>
      <c r="V608">
        <f>IF(BBDD_fashion_boutique[[#This Row],[is_returned]]="False",0,1)</f>
        <v>0</v>
      </c>
      <c r="W608">
        <f>IF(BBDD_fashion_boutique[[#This Row],[is_returned]]="True",0,BBDD_fashion_boutique[[#This Row],[current_price]])</f>
        <v>70.739999999999995</v>
      </c>
      <c r="X608" t="str">
        <f>IF(BBDD_fashion_boutique[[#This Row],[return_reason]]="","No return",BBDD_fashion_boutique[[#This Row],[return_reason]])</f>
        <v>No return</v>
      </c>
      <c r="Y608">
        <f>IF(IFERROR(VLOOKUP(BBDD_fashion_boutique[[#This Row],[product_id]],A609:A2784,1,FALSE),0),1,0)</f>
        <v>0</v>
      </c>
    </row>
    <row r="609" spans="1:25" x14ac:dyDescent="0.3">
      <c r="A609" t="s">
        <v>668</v>
      </c>
      <c r="B609" t="s">
        <v>48</v>
      </c>
      <c r="C609" t="s">
        <v>20</v>
      </c>
      <c r="D609" t="s">
        <v>21</v>
      </c>
      <c r="E609" t="s">
        <v>64</v>
      </c>
      <c r="F609" t="str">
        <f>IF(BBDD_fashion_boutique[[#This Row],[category]]="Accessories","Accesorio",IF(BBDD_fashion_boutique[[#This Row],[size]]="","Desconocido",BBDD_fashion_boutique[[#This Row],[size]]))</f>
        <v>M</v>
      </c>
      <c r="G609" t="s">
        <v>23</v>
      </c>
      <c r="H609" s="2">
        <v>95.33</v>
      </c>
      <c r="I609">
        <v>0</v>
      </c>
      <c r="J609" s="5">
        <f>BBDD_fashion_boutique[[#This Row],[markdown_percentage]]/100</f>
        <v>0</v>
      </c>
      <c r="K609" s="2">
        <v>95.33</v>
      </c>
      <c r="L609" s="2">
        <f>BBDD_fashion_boutique[[#This Row],[original_price]]-BBDD_fashion_boutique[[#This Row],[current_price]]</f>
        <v>0</v>
      </c>
      <c r="M609" s="1">
        <v>45815</v>
      </c>
      <c r="N609" s="1" t="str">
        <f>PROPER(TEXT(BBDD_fashion_boutique[[#This Row],[purchase_date]],"dddd"))</f>
        <v>Sábado</v>
      </c>
      <c r="O609" s="1" t="str">
        <f>PROPER(TEXT(BBDD_fashion_boutique[[#This Row],[purchase_date]],"mmmm"))</f>
        <v>Junio</v>
      </c>
      <c r="P609" s="4">
        <v>36</v>
      </c>
      <c r="R609" t="str">
        <f>IF(BBDD_fashion_boutique[[#This Row],[stock_quantity]]&gt;9,"Ok",IF(BBDD_fashion_boutique[[#This Row],[stock_quantity]]=0,"Agotado","Pocas Unidades"))</f>
        <v>Ok</v>
      </c>
      <c r="S609" s="3" t="str">
        <f>IF(BBDD_fashion_boutique[[#This Row],[customer_rating]]="","No valorado",BBDD_fashion_boutique[[#This Row],[customer_rating]])</f>
        <v>No valorado</v>
      </c>
      <c r="T609" t="s">
        <v>41</v>
      </c>
      <c r="U609" t="s">
        <v>89</v>
      </c>
      <c r="V609">
        <f>IF(BBDD_fashion_boutique[[#This Row],[is_returned]]="False",0,1)</f>
        <v>1</v>
      </c>
      <c r="W609">
        <f>IF(BBDD_fashion_boutique[[#This Row],[is_returned]]="True",0,BBDD_fashion_boutique[[#This Row],[current_price]])</f>
        <v>0</v>
      </c>
      <c r="X609" t="str">
        <f>IF(BBDD_fashion_boutique[[#This Row],[return_reason]]="","No return",BBDD_fashion_boutique[[#This Row],[return_reason]])</f>
        <v>Quality Issue</v>
      </c>
      <c r="Y609">
        <f>IF(IFERROR(VLOOKUP(BBDD_fashion_boutique[[#This Row],[product_id]],A610:A2785,1,FALSE),0),1,0)</f>
        <v>0</v>
      </c>
    </row>
    <row r="610" spans="1:25" x14ac:dyDescent="0.3">
      <c r="A610" t="s">
        <v>669</v>
      </c>
      <c r="B610" t="s">
        <v>32</v>
      </c>
      <c r="C610" t="s">
        <v>81</v>
      </c>
      <c r="D610" t="s">
        <v>21</v>
      </c>
      <c r="F610" t="str">
        <f>IF(BBDD_fashion_boutique[[#This Row],[category]]="Accessories","Accesorio",IF(BBDD_fashion_boutique[[#This Row],[size]]="","Desconocido",BBDD_fashion_boutique[[#This Row],[size]]))</f>
        <v>Accesorio</v>
      </c>
      <c r="G610" t="s">
        <v>23</v>
      </c>
      <c r="H610" s="2">
        <v>32.619999999999997</v>
      </c>
      <c r="I610">
        <v>29.1</v>
      </c>
      <c r="J610" s="5">
        <f>BBDD_fashion_boutique[[#This Row],[markdown_percentage]]/100</f>
        <v>0.29100000000000004</v>
      </c>
      <c r="K610" s="2">
        <v>23.13</v>
      </c>
      <c r="L610" s="2">
        <f>BBDD_fashion_boutique[[#This Row],[original_price]]-BBDD_fashion_boutique[[#This Row],[current_price]]</f>
        <v>9.4899999999999984</v>
      </c>
      <c r="M610" s="1">
        <v>45865</v>
      </c>
      <c r="N610" s="1" t="str">
        <f>PROPER(TEXT(BBDD_fashion_boutique[[#This Row],[purchase_date]],"dddd"))</f>
        <v>Domingo</v>
      </c>
      <c r="O610" s="1" t="str">
        <f>PROPER(TEXT(BBDD_fashion_boutique[[#This Row],[purchase_date]],"mmmm"))</f>
        <v>Julio</v>
      </c>
      <c r="P610" s="4">
        <v>9</v>
      </c>
      <c r="Q610" s="2">
        <v>1.4</v>
      </c>
      <c r="R610" t="str">
        <f>IF(BBDD_fashion_boutique[[#This Row],[stock_quantity]]&gt;9,"Ok",IF(BBDD_fashion_boutique[[#This Row],[stock_quantity]]=0,"Agotado","Pocas Unidades"))</f>
        <v>Pocas Unidades</v>
      </c>
      <c r="S610" s="3">
        <f>IF(BBDD_fashion_boutique[[#This Row],[customer_rating]]="","No valorado",BBDD_fashion_boutique[[#This Row],[customer_rating]])</f>
        <v>1.4</v>
      </c>
      <c r="T610" t="s">
        <v>24</v>
      </c>
      <c r="V610">
        <f>IF(BBDD_fashion_boutique[[#This Row],[is_returned]]="False",0,1)</f>
        <v>0</v>
      </c>
      <c r="W610">
        <f>IF(BBDD_fashion_boutique[[#This Row],[is_returned]]="True",0,BBDD_fashion_boutique[[#This Row],[current_price]])</f>
        <v>23.13</v>
      </c>
      <c r="X610" t="str">
        <f>IF(BBDD_fashion_boutique[[#This Row],[return_reason]]="","No return",BBDD_fashion_boutique[[#This Row],[return_reason]])</f>
        <v>No return</v>
      </c>
      <c r="Y610">
        <f>IF(IFERROR(VLOOKUP(BBDD_fashion_boutique[[#This Row],[product_id]],A611:A2786,1,FALSE),0),1,0)</f>
        <v>0</v>
      </c>
    </row>
    <row r="611" spans="1:25" x14ac:dyDescent="0.3">
      <c r="A611" t="s">
        <v>670</v>
      </c>
      <c r="B611" t="s">
        <v>44</v>
      </c>
      <c r="C611" t="s">
        <v>49</v>
      </c>
      <c r="D611" t="s">
        <v>68</v>
      </c>
      <c r="E611" t="s">
        <v>22</v>
      </c>
      <c r="F611" t="str">
        <f>IF(BBDD_fashion_boutique[[#This Row],[category]]="Accessories","Accesorio",IF(BBDD_fashion_boutique[[#This Row],[size]]="","Desconocido",BBDD_fashion_boutique[[#This Row],[size]]))</f>
        <v>XL</v>
      </c>
      <c r="G611" t="s">
        <v>72</v>
      </c>
      <c r="H611" s="2">
        <v>41.07</v>
      </c>
      <c r="I611">
        <v>0</v>
      </c>
      <c r="J611" s="5">
        <f>BBDD_fashion_boutique[[#This Row],[markdown_percentage]]/100</f>
        <v>0</v>
      </c>
      <c r="K611" s="2">
        <v>41.07</v>
      </c>
      <c r="L611" s="2">
        <f>BBDD_fashion_boutique[[#This Row],[original_price]]-BBDD_fashion_boutique[[#This Row],[current_price]]</f>
        <v>0</v>
      </c>
      <c r="M611" s="1">
        <v>45875</v>
      </c>
      <c r="N611" s="1" t="str">
        <f>PROPER(TEXT(BBDD_fashion_boutique[[#This Row],[purchase_date]],"dddd"))</f>
        <v>Miércoles</v>
      </c>
      <c r="O611" s="1" t="str">
        <f>PROPER(TEXT(BBDD_fashion_boutique[[#This Row],[purchase_date]],"mmmm"))</f>
        <v>Agosto</v>
      </c>
      <c r="P611" s="4">
        <v>10</v>
      </c>
      <c r="Q611" s="2">
        <v>4.8</v>
      </c>
      <c r="R611" t="str">
        <f>IF(BBDD_fashion_boutique[[#This Row],[stock_quantity]]&gt;9,"Ok",IF(BBDD_fashion_boutique[[#This Row],[stock_quantity]]=0,"Agotado","Pocas Unidades"))</f>
        <v>Ok</v>
      </c>
      <c r="S611" s="3">
        <f>IF(BBDD_fashion_boutique[[#This Row],[customer_rating]]="","No valorado",BBDD_fashion_boutique[[#This Row],[customer_rating]])</f>
        <v>4.8</v>
      </c>
      <c r="T611" t="s">
        <v>24</v>
      </c>
      <c r="V611">
        <f>IF(BBDD_fashion_boutique[[#This Row],[is_returned]]="False",0,1)</f>
        <v>0</v>
      </c>
      <c r="W611">
        <f>IF(BBDD_fashion_boutique[[#This Row],[is_returned]]="True",0,BBDD_fashion_boutique[[#This Row],[current_price]])</f>
        <v>41.07</v>
      </c>
      <c r="X611" t="str">
        <f>IF(BBDD_fashion_boutique[[#This Row],[return_reason]]="","No return",BBDD_fashion_boutique[[#This Row],[return_reason]])</f>
        <v>No return</v>
      </c>
      <c r="Y611">
        <f>IF(IFERROR(VLOOKUP(BBDD_fashion_boutique[[#This Row],[product_id]],A612:A2787,1,FALSE),0),1,0)</f>
        <v>0</v>
      </c>
    </row>
    <row r="612" spans="1:25" x14ac:dyDescent="0.3">
      <c r="A612" t="s">
        <v>671</v>
      </c>
      <c r="B612" t="s">
        <v>44</v>
      </c>
      <c r="C612" t="s">
        <v>20</v>
      </c>
      <c r="D612" t="s">
        <v>28</v>
      </c>
      <c r="E612" t="s">
        <v>22</v>
      </c>
      <c r="F612" t="str">
        <f>IF(BBDD_fashion_boutique[[#This Row],[category]]="Accessories","Accesorio",IF(BBDD_fashion_boutique[[#This Row],[size]]="","Desconocido",BBDD_fashion_boutique[[#This Row],[size]]))</f>
        <v>XL</v>
      </c>
      <c r="G612" t="s">
        <v>46</v>
      </c>
      <c r="H612" s="2">
        <v>43.1</v>
      </c>
      <c r="I612">
        <v>0</v>
      </c>
      <c r="J612" s="5">
        <f>BBDD_fashion_boutique[[#This Row],[markdown_percentage]]/100</f>
        <v>0</v>
      </c>
      <c r="K612" s="2">
        <v>43.1</v>
      </c>
      <c r="L612" s="2">
        <f>BBDD_fashion_boutique[[#This Row],[original_price]]-BBDD_fashion_boutique[[#This Row],[current_price]]</f>
        <v>0</v>
      </c>
      <c r="M612" s="1">
        <v>45875</v>
      </c>
      <c r="N612" s="1" t="str">
        <f>PROPER(TEXT(BBDD_fashion_boutique[[#This Row],[purchase_date]],"dddd"))</f>
        <v>Miércoles</v>
      </c>
      <c r="O612" s="1" t="str">
        <f>PROPER(TEXT(BBDD_fashion_boutique[[#This Row],[purchase_date]],"mmmm"))</f>
        <v>Agosto</v>
      </c>
      <c r="P612" s="4">
        <v>34</v>
      </c>
      <c r="Q612" s="2">
        <v>4.9000000000000004</v>
      </c>
      <c r="R612" t="str">
        <f>IF(BBDD_fashion_boutique[[#This Row],[stock_quantity]]&gt;9,"Ok",IF(BBDD_fashion_boutique[[#This Row],[stock_quantity]]=0,"Agotado","Pocas Unidades"))</f>
        <v>Ok</v>
      </c>
      <c r="S612" s="3">
        <f>IF(BBDD_fashion_boutique[[#This Row],[customer_rating]]="","No valorado",BBDD_fashion_boutique[[#This Row],[customer_rating]])</f>
        <v>4.9000000000000004</v>
      </c>
      <c r="T612" t="s">
        <v>24</v>
      </c>
      <c r="V612">
        <f>IF(BBDD_fashion_boutique[[#This Row],[is_returned]]="False",0,1)</f>
        <v>0</v>
      </c>
      <c r="W612">
        <f>IF(BBDD_fashion_boutique[[#This Row],[is_returned]]="True",0,BBDD_fashion_boutique[[#This Row],[current_price]])</f>
        <v>43.1</v>
      </c>
      <c r="X612" t="str">
        <f>IF(BBDD_fashion_boutique[[#This Row],[return_reason]]="","No return",BBDD_fashion_boutique[[#This Row],[return_reason]])</f>
        <v>No return</v>
      </c>
      <c r="Y612">
        <f>IF(IFERROR(VLOOKUP(BBDD_fashion_boutique[[#This Row],[product_id]],A613:A2788,1,FALSE),0),1,0)</f>
        <v>0</v>
      </c>
    </row>
    <row r="613" spans="1:25" x14ac:dyDescent="0.3">
      <c r="A613" t="s">
        <v>672</v>
      </c>
      <c r="B613" t="s">
        <v>19</v>
      </c>
      <c r="C613" t="s">
        <v>59</v>
      </c>
      <c r="D613" t="s">
        <v>28</v>
      </c>
      <c r="E613" t="s">
        <v>55</v>
      </c>
      <c r="F613" t="str">
        <f>IF(BBDD_fashion_boutique[[#This Row],[category]]="Accessories","Accesorio",IF(BBDD_fashion_boutique[[#This Row],[size]]="","Desconocido",BBDD_fashion_boutique[[#This Row],[size]]))</f>
        <v>XXL</v>
      </c>
      <c r="G613" t="s">
        <v>70</v>
      </c>
      <c r="H613" s="2">
        <v>102.03</v>
      </c>
      <c r="I613">
        <v>27.9</v>
      </c>
      <c r="J613" s="5">
        <f>BBDD_fashion_boutique[[#This Row],[markdown_percentage]]/100</f>
        <v>0.27899999999999997</v>
      </c>
      <c r="K613" s="2">
        <v>73.56</v>
      </c>
      <c r="L613" s="2">
        <f>BBDD_fashion_boutique[[#This Row],[original_price]]-BBDD_fashion_boutique[[#This Row],[current_price]]</f>
        <v>28.47</v>
      </c>
      <c r="M613" s="1">
        <v>45875</v>
      </c>
      <c r="N613" s="1" t="str">
        <f>PROPER(TEXT(BBDD_fashion_boutique[[#This Row],[purchase_date]],"dddd"))</f>
        <v>Miércoles</v>
      </c>
      <c r="O613" s="1" t="str">
        <f>PROPER(TEXT(BBDD_fashion_boutique[[#This Row],[purchase_date]],"mmmm"))</f>
        <v>Agosto</v>
      </c>
      <c r="P613" s="4">
        <v>21</v>
      </c>
      <c r="Q613" s="2">
        <v>2.2000000000000002</v>
      </c>
      <c r="R613" t="str">
        <f>IF(BBDD_fashion_boutique[[#This Row],[stock_quantity]]&gt;9,"Ok",IF(BBDD_fashion_boutique[[#This Row],[stock_quantity]]=0,"Agotado","Pocas Unidades"))</f>
        <v>Ok</v>
      </c>
      <c r="S613" s="3">
        <f>IF(BBDD_fashion_boutique[[#This Row],[customer_rating]]="","No valorado",BBDD_fashion_boutique[[#This Row],[customer_rating]])</f>
        <v>2.2000000000000002</v>
      </c>
      <c r="T613" t="s">
        <v>41</v>
      </c>
      <c r="U613" t="s">
        <v>79</v>
      </c>
      <c r="V613">
        <f>IF(BBDD_fashion_boutique[[#This Row],[is_returned]]="False",0,1)</f>
        <v>1</v>
      </c>
      <c r="W613">
        <f>IF(BBDD_fashion_boutique[[#This Row],[is_returned]]="True",0,BBDD_fashion_boutique[[#This Row],[current_price]])</f>
        <v>0</v>
      </c>
      <c r="X613" t="str">
        <f>IF(BBDD_fashion_boutique[[#This Row],[return_reason]]="","No return",BBDD_fashion_boutique[[#This Row],[return_reason]])</f>
        <v>Size Issue</v>
      </c>
      <c r="Y613">
        <f>IF(IFERROR(VLOOKUP(BBDD_fashion_boutique[[#This Row],[product_id]],A614:A2789,1,FALSE),0),1,0)</f>
        <v>0</v>
      </c>
    </row>
    <row r="614" spans="1:25" x14ac:dyDescent="0.3">
      <c r="A614" t="s">
        <v>673</v>
      </c>
      <c r="B614" t="s">
        <v>32</v>
      </c>
      <c r="C614" t="s">
        <v>49</v>
      </c>
      <c r="D614" t="s">
        <v>28</v>
      </c>
      <c r="F614" t="str">
        <f>IF(BBDD_fashion_boutique[[#This Row],[category]]="Accessories","Accesorio",IF(BBDD_fashion_boutique[[#This Row],[size]]="","Desconocido",BBDD_fashion_boutique[[#This Row],[size]]))</f>
        <v>Accesorio</v>
      </c>
      <c r="G614" t="s">
        <v>23</v>
      </c>
      <c r="H614" s="2">
        <v>54.11</v>
      </c>
      <c r="I614">
        <v>0</v>
      </c>
      <c r="J614" s="5">
        <f>BBDD_fashion_boutique[[#This Row],[markdown_percentage]]/100</f>
        <v>0</v>
      </c>
      <c r="K614" s="2">
        <v>54.11</v>
      </c>
      <c r="L614" s="2">
        <f>BBDD_fashion_boutique[[#This Row],[original_price]]-BBDD_fashion_boutique[[#This Row],[current_price]]</f>
        <v>0</v>
      </c>
      <c r="M614" s="1">
        <v>45875</v>
      </c>
      <c r="N614" s="1" t="str">
        <f>PROPER(TEXT(BBDD_fashion_boutique[[#This Row],[purchase_date]],"dddd"))</f>
        <v>Miércoles</v>
      </c>
      <c r="O614" s="1" t="str">
        <f>PROPER(TEXT(BBDD_fashion_boutique[[#This Row],[purchase_date]],"mmmm"))</f>
        <v>Agosto</v>
      </c>
      <c r="P614" s="4">
        <v>15</v>
      </c>
      <c r="Q614" s="2">
        <v>2.6</v>
      </c>
      <c r="R614" t="str">
        <f>IF(BBDD_fashion_boutique[[#This Row],[stock_quantity]]&gt;9,"Ok",IF(BBDD_fashion_boutique[[#This Row],[stock_quantity]]=0,"Agotado","Pocas Unidades"))</f>
        <v>Ok</v>
      </c>
      <c r="S614" s="3">
        <f>IF(BBDD_fashion_boutique[[#This Row],[customer_rating]]="","No valorado",BBDD_fashion_boutique[[#This Row],[customer_rating]])</f>
        <v>2.6</v>
      </c>
      <c r="T614" t="s">
        <v>24</v>
      </c>
      <c r="V614">
        <f>IF(BBDD_fashion_boutique[[#This Row],[is_returned]]="False",0,1)</f>
        <v>0</v>
      </c>
      <c r="W614">
        <f>IF(BBDD_fashion_boutique[[#This Row],[is_returned]]="True",0,BBDD_fashion_boutique[[#This Row],[current_price]])</f>
        <v>54.11</v>
      </c>
      <c r="X614" t="str">
        <f>IF(BBDD_fashion_boutique[[#This Row],[return_reason]]="","No return",BBDD_fashion_boutique[[#This Row],[return_reason]])</f>
        <v>No return</v>
      </c>
      <c r="Y614">
        <f>IF(IFERROR(VLOOKUP(BBDD_fashion_boutique[[#This Row],[product_id]],A615:A2790,1,FALSE),0),1,0)</f>
        <v>0</v>
      </c>
    </row>
    <row r="615" spans="1:25" x14ac:dyDescent="0.3">
      <c r="A615" t="s">
        <v>674</v>
      </c>
      <c r="B615" t="s">
        <v>32</v>
      </c>
      <c r="C615" t="s">
        <v>49</v>
      </c>
      <c r="D615" t="s">
        <v>28</v>
      </c>
      <c r="F615" t="str">
        <f>IF(BBDD_fashion_boutique[[#This Row],[category]]="Accessories","Accesorio",IF(BBDD_fashion_boutique[[#This Row],[size]]="","Desconocido",BBDD_fashion_boutique[[#This Row],[size]]))</f>
        <v>Accesorio</v>
      </c>
      <c r="G615" t="s">
        <v>72</v>
      </c>
      <c r="H615" s="2">
        <v>43.5</v>
      </c>
      <c r="I615">
        <v>0</v>
      </c>
      <c r="J615" s="5">
        <f>BBDD_fashion_boutique[[#This Row],[markdown_percentage]]/100</f>
        <v>0</v>
      </c>
      <c r="K615" s="2">
        <v>43.5</v>
      </c>
      <c r="L615" s="2">
        <f>BBDD_fashion_boutique[[#This Row],[original_price]]-BBDD_fashion_boutique[[#This Row],[current_price]]</f>
        <v>0</v>
      </c>
      <c r="M615" s="1">
        <v>45875</v>
      </c>
      <c r="N615" s="1" t="str">
        <f>PROPER(TEXT(BBDD_fashion_boutique[[#This Row],[purchase_date]],"dddd"))</f>
        <v>Miércoles</v>
      </c>
      <c r="O615" s="1" t="str">
        <f>PROPER(TEXT(BBDD_fashion_boutique[[#This Row],[purchase_date]],"mmmm"))</f>
        <v>Agosto</v>
      </c>
      <c r="P615" s="4">
        <v>35</v>
      </c>
      <c r="Q615" s="2">
        <v>2.8</v>
      </c>
      <c r="R615" t="str">
        <f>IF(BBDD_fashion_boutique[[#This Row],[stock_quantity]]&gt;9,"Ok",IF(BBDD_fashion_boutique[[#This Row],[stock_quantity]]=0,"Agotado","Pocas Unidades"))</f>
        <v>Ok</v>
      </c>
      <c r="S615" s="3">
        <f>IF(BBDD_fashion_boutique[[#This Row],[customer_rating]]="","No valorado",BBDD_fashion_boutique[[#This Row],[customer_rating]])</f>
        <v>2.8</v>
      </c>
      <c r="T615" t="s">
        <v>24</v>
      </c>
      <c r="V615">
        <f>IF(BBDD_fashion_boutique[[#This Row],[is_returned]]="False",0,1)</f>
        <v>0</v>
      </c>
      <c r="W615">
        <f>IF(BBDD_fashion_boutique[[#This Row],[is_returned]]="True",0,BBDD_fashion_boutique[[#This Row],[current_price]])</f>
        <v>43.5</v>
      </c>
      <c r="X615" t="str">
        <f>IF(BBDD_fashion_boutique[[#This Row],[return_reason]]="","No return",BBDD_fashion_boutique[[#This Row],[return_reason]])</f>
        <v>No return</v>
      </c>
      <c r="Y615">
        <f>IF(IFERROR(VLOOKUP(BBDD_fashion_boutique[[#This Row],[product_id]],A616:A2791,1,FALSE),0),1,0)</f>
        <v>0</v>
      </c>
    </row>
    <row r="616" spans="1:25" x14ac:dyDescent="0.3">
      <c r="A616" t="s">
        <v>675</v>
      </c>
      <c r="B616" t="s">
        <v>32</v>
      </c>
      <c r="C616" t="s">
        <v>37</v>
      </c>
      <c r="D616" t="s">
        <v>28</v>
      </c>
      <c r="F616" t="str">
        <f>IF(BBDD_fashion_boutique[[#This Row],[category]]="Accessories","Accesorio",IF(BBDD_fashion_boutique[[#This Row],[size]]="","Desconocido",BBDD_fashion_boutique[[#This Row],[size]]))</f>
        <v>Accesorio</v>
      </c>
      <c r="G616" t="s">
        <v>30</v>
      </c>
      <c r="H616" s="2">
        <v>66</v>
      </c>
      <c r="I616">
        <v>0</v>
      </c>
      <c r="J616" s="5">
        <f>BBDD_fashion_boutique[[#This Row],[markdown_percentage]]/100</f>
        <v>0</v>
      </c>
      <c r="K616" s="2">
        <v>66</v>
      </c>
      <c r="L616" s="2">
        <f>BBDD_fashion_boutique[[#This Row],[original_price]]-BBDD_fashion_boutique[[#This Row],[current_price]]</f>
        <v>0</v>
      </c>
      <c r="M616" s="1">
        <v>45875</v>
      </c>
      <c r="N616" s="1" t="str">
        <f>PROPER(TEXT(BBDD_fashion_boutique[[#This Row],[purchase_date]],"dddd"))</f>
        <v>Miércoles</v>
      </c>
      <c r="O616" s="1" t="str">
        <f>PROPER(TEXT(BBDD_fashion_boutique[[#This Row],[purchase_date]],"mmmm"))</f>
        <v>Agosto</v>
      </c>
      <c r="P616" s="4">
        <v>19</v>
      </c>
      <c r="Q616" s="2">
        <v>2.6</v>
      </c>
      <c r="R616" t="str">
        <f>IF(BBDD_fashion_boutique[[#This Row],[stock_quantity]]&gt;9,"Ok",IF(BBDD_fashion_boutique[[#This Row],[stock_quantity]]=0,"Agotado","Pocas Unidades"))</f>
        <v>Ok</v>
      </c>
      <c r="S616" s="3">
        <f>IF(BBDD_fashion_boutique[[#This Row],[customer_rating]]="","No valorado",BBDD_fashion_boutique[[#This Row],[customer_rating]])</f>
        <v>2.6</v>
      </c>
      <c r="T616" t="s">
        <v>24</v>
      </c>
      <c r="V616">
        <f>IF(BBDD_fashion_boutique[[#This Row],[is_returned]]="False",0,1)</f>
        <v>0</v>
      </c>
      <c r="W616">
        <f>IF(BBDD_fashion_boutique[[#This Row],[is_returned]]="True",0,BBDD_fashion_boutique[[#This Row],[current_price]])</f>
        <v>66</v>
      </c>
      <c r="X616" t="str">
        <f>IF(BBDD_fashion_boutique[[#This Row],[return_reason]]="","No return",BBDD_fashion_boutique[[#This Row],[return_reason]])</f>
        <v>No return</v>
      </c>
      <c r="Y616">
        <f>IF(IFERROR(VLOOKUP(BBDD_fashion_boutique[[#This Row],[product_id]],A617:A2792,1,FALSE),0),1,0)</f>
        <v>0</v>
      </c>
    </row>
    <row r="617" spans="1:25" x14ac:dyDescent="0.3">
      <c r="A617" t="s">
        <v>676</v>
      </c>
      <c r="B617" t="s">
        <v>44</v>
      </c>
      <c r="C617" t="s">
        <v>37</v>
      </c>
      <c r="D617" t="s">
        <v>68</v>
      </c>
      <c r="E617" t="s">
        <v>64</v>
      </c>
      <c r="F617" t="str">
        <f>IF(BBDD_fashion_boutique[[#This Row],[category]]="Accessories","Accesorio",IF(BBDD_fashion_boutique[[#This Row],[size]]="","Desconocido",BBDD_fashion_boutique[[#This Row],[size]]))</f>
        <v>M</v>
      </c>
      <c r="G617" t="s">
        <v>40</v>
      </c>
      <c r="H617" s="2">
        <v>38.85</v>
      </c>
      <c r="I617">
        <v>0</v>
      </c>
      <c r="J617" s="5">
        <f>BBDD_fashion_boutique[[#This Row],[markdown_percentage]]/100</f>
        <v>0</v>
      </c>
      <c r="K617" s="2">
        <v>38.85</v>
      </c>
      <c r="L617" s="2">
        <f>BBDD_fashion_boutique[[#This Row],[original_price]]-BBDD_fashion_boutique[[#This Row],[current_price]]</f>
        <v>0</v>
      </c>
      <c r="M617" s="1">
        <v>45875</v>
      </c>
      <c r="N617" s="1" t="str">
        <f>PROPER(TEXT(BBDD_fashion_boutique[[#This Row],[purchase_date]],"dddd"))</f>
        <v>Miércoles</v>
      </c>
      <c r="O617" s="1" t="str">
        <f>PROPER(TEXT(BBDD_fashion_boutique[[#This Row],[purchase_date]],"mmmm"))</f>
        <v>Agosto</v>
      </c>
      <c r="P617" s="4">
        <v>10</v>
      </c>
      <c r="Q617" s="2">
        <v>3.8</v>
      </c>
      <c r="R617" t="str">
        <f>IF(BBDD_fashion_boutique[[#This Row],[stock_quantity]]&gt;9,"Ok",IF(BBDD_fashion_boutique[[#This Row],[stock_quantity]]=0,"Agotado","Pocas Unidades"))</f>
        <v>Ok</v>
      </c>
      <c r="S617" s="3">
        <f>IF(BBDD_fashion_boutique[[#This Row],[customer_rating]]="","No valorado",BBDD_fashion_boutique[[#This Row],[customer_rating]])</f>
        <v>3.8</v>
      </c>
      <c r="T617" t="s">
        <v>24</v>
      </c>
      <c r="V617">
        <f>IF(BBDD_fashion_boutique[[#This Row],[is_returned]]="False",0,1)</f>
        <v>0</v>
      </c>
      <c r="W617">
        <f>IF(BBDD_fashion_boutique[[#This Row],[is_returned]]="True",0,BBDD_fashion_boutique[[#This Row],[current_price]])</f>
        <v>38.85</v>
      </c>
      <c r="X617" t="str">
        <f>IF(BBDD_fashion_boutique[[#This Row],[return_reason]]="","No return",BBDD_fashion_boutique[[#This Row],[return_reason]])</f>
        <v>No return</v>
      </c>
      <c r="Y617">
        <f>IF(IFERROR(VLOOKUP(BBDD_fashion_boutique[[#This Row],[product_id]],A618:A2793,1,FALSE),0),1,0)</f>
        <v>0</v>
      </c>
    </row>
    <row r="618" spans="1:25" x14ac:dyDescent="0.3">
      <c r="A618" t="s">
        <v>677</v>
      </c>
      <c r="B618" t="s">
        <v>32</v>
      </c>
      <c r="C618" t="s">
        <v>20</v>
      </c>
      <c r="D618" t="s">
        <v>68</v>
      </c>
      <c r="F618" t="str">
        <f>IF(BBDD_fashion_boutique[[#This Row],[category]]="Accessories","Accesorio",IF(BBDD_fashion_boutique[[#This Row],[size]]="","Desconocido",BBDD_fashion_boutique[[#This Row],[size]]))</f>
        <v>Accesorio</v>
      </c>
      <c r="G618" t="s">
        <v>62</v>
      </c>
      <c r="H618" s="2">
        <v>61.29</v>
      </c>
      <c r="I618">
        <v>0</v>
      </c>
      <c r="J618" s="5">
        <f>BBDD_fashion_boutique[[#This Row],[markdown_percentage]]/100</f>
        <v>0</v>
      </c>
      <c r="K618" s="2">
        <v>61.29</v>
      </c>
      <c r="L618" s="2">
        <f>BBDD_fashion_boutique[[#This Row],[original_price]]-BBDD_fashion_boutique[[#This Row],[current_price]]</f>
        <v>0</v>
      </c>
      <c r="M618" s="1">
        <v>45875</v>
      </c>
      <c r="N618" s="1" t="str">
        <f>PROPER(TEXT(BBDD_fashion_boutique[[#This Row],[purchase_date]],"dddd"))</f>
        <v>Miércoles</v>
      </c>
      <c r="O618" s="1" t="str">
        <f>PROPER(TEXT(BBDD_fashion_boutique[[#This Row],[purchase_date]],"mmmm"))</f>
        <v>Agosto</v>
      </c>
      <c r="P618" s="4">
        <v>15</v>
      </c>
      <c r="Q618" s="2">
        <v>4</v>
      </c>
      <c r="R618" t="str">
        <f>IF(BBDD_fashion_boutique[[#This Row],[stock_quantity]]&gt;9,"Ok",IF(BBDD_fashion_boutique[[#This Row],[stock_quantity]]=0,"Agotado","Pocas Unidades"))</f>
        <v>Ok</v>
      </c>
      <c r="S618" s="3">
        <f>IF(BBDD_fashion_boutique[[#This Row],[customer_rating]]="","No valorado",BBDD_fashion_boutique[[#This Row],[customer_rating]])</f>
        <v>4</v>
      </c>
      <c r="T618" t="s">
        <v>24</v>
      </c>
      <c r="V618">
        <f>IF(BBDD_fashion_boutique[[#This Row],[is_returned]]="False",0,1)</f>
        <v>0</v>
      </c>
      <c r="W618">
        <f>IF(BBDD_fashion_boutique[[#This Row],[is_returned]]="True",0,BBDD_fashion_boutique[[#This Row],[current_price]])</f>
        <v>61.29</v>
      </c>
      <c r="X618" t="str">
        <f>IF(BBDD_fashion_boutique[[#This Row],[return_reason]]="","No return",BBDD_fashion_boutique[[#This Row],[return_reason]])</f>
        <v>No return</v>
      </c>
      <c r="Y618">
        <f>IF(IFERROR(VLOOKUP(BBDD_fashion_boutique[[#This Row],[product_id]],A619:A2794,1,FALSE),0),1,0)</f>
        <v>0</v>
      </c>
    </row>
    <row r="619" spans="1:25" x14ac:dyDescent="0.3">
      <c r="A619" t="s">
        <v>678</v>
      </c>
      <c r="B619" t="s">
        <v>44</v>
      </c>
      <c r="C619" t="s">
        <v>54</v>
      </c>
      <c r="D619" t="s">
        <v>21</v>
      </c>
      <c r="E619" t="s">
        <v>61</v>
      </c>
      <c r="F619" t="str">
        <f>IF(BBDD_fashion_boutique[[#This Row],[category]]="Accessories","Accesorio",IF(BBDD_fashion_boutique[[#This Row],[size]]="","Desconocido",BBDD_fashion_boutique[[#This Row],[size]]))</f>
        <v>XS</v>
      </c>
      <c r="G619" t="s">
        <v>62</v>
      </c>
      <c r="H619" s="2">
        <v>90.66</v>
      </c>
      <c r="I619">
        <v>0</v>
      </c>
      <c r="J619" s="5">
        <f>BBDD_fashion_boutique[[#This Row],[markdown_percentage]]/100</f>
        <v>0</v>
      </c>
      <c r="K619" s="2">
        <v>90.66</v>
      </c>
      <c r="L619" s="2">
        <f>BBDD_fashion_boutique[[#This Row],[original_price]]-BBDD_fashion_boutique[[#This Row],[current_price]]</f>
        <v>0</v>
      </c>
      <c r="M619" s="1">
        <v>45736</v>
      </c>
      <c r="N619" s="1" t="str">
        <f>PROPER(TEXT(BBDD_fashion_boutique[[#This Row],[purchase_date]],"dddd"))</f>
        <v>Jueves</v>
      </c>
      <c r="O619" s="1" t="str">
        <f>PROPER(TEXT(BBDD_fashion_boutique[[#This Row],[purchase_date]],"mmmm"))</f>
        <v>Marzo</v>
      </c>
      <c r="P619" s="4">
        <v>49</v>
      </c>
      <c r="Q619" s="2">
        <v>2.4</v>
      </c>
      <c r="R619" t="str">
        <f>IF(BBDD_fashion_boutique[[#This Row],[stock_quantity]]&gt;9,"Ok",IF(BBDD_fashion_boutique[[#This Row],[stock_quantity]]=0,"Agotado","Pocas Unidades"))</f>
        <v>Ok</v>
      </c>
      <c r="S619" s="3">
        <f>IF(BBDD_fashion_boutique[[#This Row],[customer_rating]]="","No valorado",BBDD_fashion_boutique[[#This Row],[customer_rating]])</f>
        <v>2.4</v>
      </c>
      <c r="T619" t="s">
        <v>41</v>
      </c>
      <c r="U619" t="s">
        <v>42</v>
      </c>
      <c r="V619">
        <f>IF(BBDD_fashion_boutique[[#This Row],[is_returned]]="False",0,1)</f>
        <v>1</v>
      </c>
      <c r="W619">
        <f>IF(BBDD_fashion_boutique[[#This Row],[is_returned]]="True",0,BBDD_fashion_boutique[[#This Row],[current_price]])</f>
        <v>0</v>
      </c>
      <c r="X619" t="str">
        <f>IF(BBDD_fashion_boutique[[#This Row],[return_reason]]="","No return",BBDD_fashion_boutique[[#This Row],[return_reason]])</f>
        <v>Color Mismatch</v>
      </c>
      <c r="Y619">
        <f>IF(IFERROR(VLOOKUP(BBDD_fashion_boutique[[#This Row],[product_id]],A620:A2795,1,FALSE),0),1,0)</f>
        <v>0</v>
      </c>
    </row>
    <row r="620" spans="1:25" x14ac:dyDescent="0.3">
      <c r="A620" t="s">
        <v>679</v>
      </c>
      <c r="B620" t="s">
        <v>48</v>
      </c>
      <c r="C620" t="s">
        <v>49</v>
      </c>
      <c r="D620" t="s">
        <v>39</v>
      </c>
      <c r="E620" t="s">
        <v>22</v>
      </c>
      <c r="F620" t="str">
        <f>IF(BBDD_fashion_boutique[[#This Row],[category]]="Accessories","Accesorio",IF(BBDD_fashion_boutique[[#This Row],[size]]="","Desconocido",BBDD_fashion_boutique[[#This Row],[size]]))</f>
        <v>XL</v>
      </c>
      <c r="G620" t="s">
        <v>52</v>
      </c>
      <c r="H620" s="2">
        <v>119.96</v>
      </c>
      <c r="I620">
        <v>0</v>
      </c>
      <c r="J620" s="5">
        <f>BBDD_fashion_boutique[[#This Row],[markdown_percentage]]/100</f>
        <v>0</v>
      </c>
      <c r="K620" s="2">
        <v>119.96</v>
      </c>
      <c r="L620" s="2">
        <f>BBDD_fashion_boutique[[#This Row],[original_price]]-BBDD_fashion_boutique[[#This Row],[current_price]]</f>
        <v>0</v>
      </c>
      <c r="M620" s="1">
        <v>45875</v>
      </c>
      <c r="N620" s="1" t="str">
        <f>PROPER(TEXT(BBDD_fashion_boutique[[#This Row],[purchase_date]],"dddd"))</f>
        <v>Miércoles</v>
      </c>
      <c r="O620" s="1" t="str">
        <f>PROPER(TEXT(BBDD_fashion_boutique[[#This Row],[purchase_date]],"mmmm"))</f>
        <v>Agosto</v>
      </c>
      <c r="P620" s="4">
        <v>5</v>
      </c>
      <c r="Q620" s="2">
        <v>5</v>
      </c>
      <c r="R620" t="str">
        <f>IF(BBDD_fashion_boutique[[#This Row],[stock_quantity]]&gt;9,"Ok",IF(BBDD_fashion_boutique[[#This Row],[stock_quantity]]=0,"Agotado","Pocas Unidades"))</f>
        <v>Pocas Unidades</v>
      </c>
      <c r="S620" s="3">
        <f>IF(BBDD_fashion_boutique[[#This Row],[customer_rating]]="","No valorado",BBDD_fashion_boutique[[#This Row],[customer_rating]])</f>
        <v>5</v>
      </c>
      <c r="T620" t="s">
        <v>24</v>
      </c>
      <c r="V620">
        <f>IF(BBDD_fashion_boutique[[#This Row],[is_returned]]="False",0,1)</f>
        <v>0</v>
      </c>
      <c r="W620">
        <f>IF(BBDD_fashion_boutique[[#This Row],[is_returned]]="True",0,BBDD_fashion_boutique[[#This Row],[current_price]])</f>
        <v>119.96</v>
      </c>
      <c r="X620" t="str">
        <f>IF(BBDD_fashion_boutique[[#This Row],[return_reason]]="","No return",BBDD_fashion_boutique[[#This Row],[return_reason]])</f>
        <v>No return</v>
      </c>
      <c r="Y620">
        <f>IF(IFERROR(VLOOKUP(BBDD_fashion_boutique[[#This Row],[product_id]],A621:A2796,1,FALSE),0),1,0)</f>
        <v>0</v>
      </c>
    </row>
    <row r="621" spans="1:25" x14ac:dyDescent="0.3">
      <c r="A621" t="s">
        <v>680</v>
      </c>
      <c r="B621" t="s">
        <v>35</v>
      </c>
      <c r="C621" t="s">
        <v>81</v>
      </c>
      <c r="D621" t="s">
        <v>39</v>
      </c>
      <c r="E621" t="s">
        <v>55</v>
      </c>
      <c r="F621" t="str">
        <f>IF(BBDD_fashion_boutique[[#This Row],[category]]="Accessories","Accesorio",IF(BBDD_fashion_boutique[[#This Row],[size]]="","Desconocido",BBDD_fashion_boutique[[#This Row],[size]]))</f>
        <v>XXL</v>
      </c>
      <c r="G621" t="s">
        <v>23</v>
      </c>
      <c r="H621" s="2">
        <v>130.21</v>
      </c>
      <c r="I621">
        <v>0</v>
      </c>
      <c r="J621" s="5">
        <f>BBDD_fashion_boutique[[#This Row],[markdown_percentage]]/100</f>
        <v>0</v>
      </c>
      <c r="K621" s="2">
        <v>130.21</v>
      </c>
      <c r="L621" s="2">
        <f>BBDD_fashion_boutique[[#This Row],[original_price]]-BBDD_fashion_boutique[[#This Row],[current_price]]</f>
        <v>0</v>
      </c>
      <c r="M621" s="1">
        <v>45875</v>
      </c>
      <c r="N621" s="1" t="str">
        <f>PROPER(TEXT(BBDD_fashion_boutique[[#This Row],[purchase_date]],"dddd"))</f>
        <v>Miércoles</v>
      </c>
      <c r="O621" s="1" t="str">
        <f>PROPER(TEXT(BBDD_fashion_boutique[[#This Row],[purchase_date]],"mmmm"))</f>
        <v>Agosto</v>
      </c>
      <c r="P621" s="4">
        <v>50</v>
      </c>
      <c r="Q621" s="2">
        <v>4.7</v>
      </c>
      <c r="R621" t="str">
        <f>IF(BBDD_fashion_boutique[[#This Row],[stock_quantity]]&gt;9,"Ok",IF(BBDD_fashion_boutique[[#This Row],[stock_quantity]]=0,"Agotado","Pocas Unidades"))</f>
        <v>Ok</v>
      </c>
      <c r="S621" s="3">
        <f>IF(BBDD_fashion_boutique[[#This Row],[customer_rating]]="","No valorado",BBDD_fashion_boutique[[#This Row],[customer_rating]])</f>
        <v>4.7</v>
      </c>
      <c r="T621" t="s">
        <v>24</v>
      </c>
      <c r="V621">
        <f>IF(BBDD_fashion_boutique[[#This Row],[is_returned]]="False",0,1)</f>
        <v>0</v>
      </c>
      <c r="W621">
        <f>IF(BBDD_fashion_boutique[[#This Row],[is_returned]]="True",0,BBDD_fashion_boutique[[#This Row],[current_price]])</f>
        <v>130.21</v>
      </c>
      <c r="X621" t="str">
        <f>IF(BBDD_fashion_boutique[[#This Row],[return_reason]]="","No return",BBDD_fashion_boutique[[#This Row],[return_reason]])</f>
        <v>No return</v>
      </c>
      <c r="Y621">
        <f>IF(IFERROR(VLOOKUP(BBDD_fashion_boutique[[#This Row],[product_id]],A622:A2797,1,FALSE),0),1,0)</f>
        <v>0</v>
      </c>
    </row>
    <row r="622" spans="1:25" x14ac:dyDescent="0.3">
      <c r="A622" t="s">
        <v>681</v>
      </c>
      <c r="B622" t="s">
        <v>26</v>
      </c>
      <c r="C622" t="s">
        <v>37</v>
      </c>
      <c r="D622" t="s">
        <v>28</v>
      </c>
      <c r="E622" t="s">
        <v>61</v>
      </c>
      <c r="F622" t="str">
        <f>IF(BBDD_fashion_boutique[[#This Row],[category]]="Accessories","Accesorio",IF(BBDD_fashion_boutique[[#This Row],[size]]="","Desconocido",BBDD_fashion_boutique[[#This Row],[size]]))</f>
        <v>XS</v>
      </c>
      <c r="G622" t="s">
        <v>23</v>
      </c>
      <c r="H622" s="2">
        <v>49.68</v>
      </c>
      <c r="I622">
        <v>0</v>
      </c>
      <c r="J622" s="5">
        <f>BBDD_fashion_boutique[[#This Row],[markdown_percentage]]/100</f>
        <v>0</v>
      </c>
      <c r="K622" s="2">
        <v>49.68</v>
      </c>
      <c r="L622" s="2">
        <f>BBDD_fashion_boutique[[#This Row],[original_price]]-BBDD_fashion_boutique[[#This Row],[current_price]]</f>
        <v>0</v>
      </c>
      <c r="M622" s="1">
        <v>45875</v>
      </c>
      <c r="N622" s="1" t="str">
        <f>PROPER(TEXT(BBDD_fashion_boutique[[#This Row],[purchase_date]],"dddd"))</f>
        <v>Miércoles</v>
      </c>
      <c r="O622" s="1" t="str">
        <f>PROPER(TEXT(BBDD_fashion_boutique[[#This Row],[purchase_date]],"mmmm"))</f>
        <v>Agosto</v>
      </c>
      <c r="P622" s="4">
        <v>15</v>
      </c>
      <c r="Q622" s="2">
        <v>2.8</v>
      </c>
      <c r="R622" t="str">
        <f>IF(BBDD_fashion_boutique[[#This Row],[stock_quantity]]&gt;9,"Ok",IF(BBDD_fashion_boutique[[#This Row],[stock_quantity]]=0,"Agotado","Pocas Unidades"))</f>
        <v>Ok</v>
      </c>
      <c r="S622" s="3">
        <f>IF(BBDD_fashion_boutique[[#This Row],[customer_rating]]="","No valorado",BBDD_fashion_boutique[[#This Row],[customer_rating]])</f>
        <v>2.8</v>
      </c>
      <c r="T622" t="s">
        <v>24</v>
      </c>
      <c r="V622">
        <f>IF(BBDD_fashion_boutique[[#This Row],[is_returned]]="False",0,1)</f>
        <v>0</v>
      </c>
      <c r="W622">
        <f>IF(BBDD_fashion_boutique[[#This Row],[is_returned]]="True",0,BBDD_fashion_boutique[[#This Row],[current_price]])</f>
        <v>49.68</v>
      </c>
      <c r="X622" t="str">
        <f>IF(BBDD_fashion_boutique[[#This Row],[return_reason]]="","No return",BBDD_fashion_boutique[[#This Row],[return_reason]])</f>
        <v>No return</v>
      </c>
      <c r="Y622">
        <f>IF(IFERROR(VLOOKUP(BBDD_fashion_boutique[[#This Row],[product_id]],A623:A2798,1,FALSE),0),1,0)</f>
        <v>0</v>
      </c>
    </row>
    <row r="623" spans="1:25" x14ac:dyDescent="0.3">
      <c r="A623" t="s">
        <v>682</v>
      </c>
      <c r="B623" t="s">
        <v>32</v>
      </c>
      <c r="C623" t="s">
        <v>20</v>
      </c>
      <c r="D623" t="s">
        <v>21</v>
      </c>
      <c r="F623" t="str">
        <f>IF(BBDD_fashion_boutique[[#This Row],[category]]="Accessories","Accesorio",IF(BBDD_fashion_boutique[[#This Row],[size]]="","Desconocido",BBDD_fashion_boutique[[#This Row],[size]]))</f>
        <v>Accesorio</v>
      </c>
      <c r="G623" t="s">
        <v>72</v>
      </c>
      <c r="H623" s="2">
        <v>46.58</v>
      </c>
      <c r="I623">
        <v>0</v>
      </c>
      <c r="J623" s="5">
        <f>BBDD_fashion_boutique[[#This Row],[markdown_percentage]]/100</f>
        <v>0</v>
      </c>
      <c r="K623" s="2">
        <v>46.58</v>
      </c>
      <c r="L623" s="2">
        <f>BBDD_fashion_boutique[[#This Row],[original_price]]-BBDD_fashion_boutique[[#This Row],[current_price]]</f>
        <v>0</v>
      </c>
      <c r="M623" s="1">
        <v>45560</v>
      </c>
      <c r="N623" s="1" t="str">
        <f>PROPER(TEXT(BBDD_fashion_boutique[[#This Row],[purchase_date]],"dddd"))</f>
        <v>Miércoles</v>
      </c>
      <c r="O623" s="1" t="str">
        <f>PROPER(TEXT(BBDD_fashion_boutique[[#This Row],[purchase_date]],"mmmm"))</f>
        <v>Septiembre</v>
      </c>
      <c r="P623" s="4">
        <v>42</v>
      </c>
      <c r="Q623" s="2">
        <v>1.7</v>
      </c>
      <c r="R623" t="str">
        <f>IF(BBDD_fashion_boutique[[#This Row],[stock_quantity]]&gt;9,"Ok",IF(BBDD_fashion_boutique[[#This Row],[stock_quantity]]=0,"Agotado","Pocas Unidades"))</f>
        <v>Ok</v>
      </c>
      <c r="S623" s="3">
        <f>IF(BBDD_fashion_boutique[[#This Row],[customer_rating]]="","No valorado",BBDD_fashion_boutique[[#This Row],[customer_rating]])</f>
        <v>1.7</v>
      </c>
      <c r="T623" t="s">
        <v>24</v>
      </c>
      <c r="V623">
        <f>IF(BBDD_fashion_boutique[[#This Row],[is_returned]]="False",0,1)</f>
        <v>0</v>
      </c>
      <c r="W623">
        <f>IF(BBDD_fashion_boutique[[#This Row],[is_returned]]="True",0,BBDD_fashion_boutique[[#This Row],[current_price]])</f>
        <v>46.58</v>
      </c>
      <c r="X623" t="str">
        <f>IF(BBDD_fashion_boutique[[#This Row],[return_reason]]="","No return",BBDD_fashion_boutique[[#This Row],[return_reason]])</f>
        <v>No return</v>
      </c>
      <c r="Y623">
        <f>IF(IFERROR(VLOOKUP(BBDD_fashion_boutique[[#This Row],[product_id]],A624:A2799,1,FALSE),0),1,0)</f>
        <v>0</v>
      </c>
    </row>
    <row r="624" spans="1:25" x14ac:dyDescent="0.3">
      <c r="A624" t="s">
        <v>683</v>
      </c>
      <c r="B624" t="s">
        <v>32</v>
      </c>
      <c r="C624" t="s">
        <v>49</v>
      </c>
      <c r="D624" t="s">
        <v>68</v>
      </c>
      <c r="F624" t="str">
        <f>IF(BBDD_fashion_boutique[[#This Row],[category]]="Accessories","Accesorio",IF(BBDD_fashion_boutique[[#This Row],[size]]="","Desconocido",BBDD_fashion_boutique[[#This Row],[size]]))</f>
        <v>Accesorio</v>
      </c>
      <c r="G624" t="s">
        <v>76</v>
      </c>
      <c r="H624" s="2">
        <v>69.88</v>
      </c>
      <c r="I624">
        <v>0</v>
      </c>
      <c r="J624" s="5">
        <f>BBDD_fashion_boutique[[#This Row],[markdown_percentage]]/100</f>
        <v>0</v>
      </c>
      <c r="K624" s="2">
        <v>69.88</v>
      </c>
      <c r="L624" s="2">
        <f>BBDD_fashion_boutique[[#This Row],[original_price]]-BBDD_fashion_boutique[[#This Row],[current_price]]</f>
        <v>0</v>
      </c>
      <c r="M624" s="1">
        <v>45875</v>
      </c>
      <c r="N624" s="1" t="str">
        <f>PROPER(TEXT(BBDD_fashion_boutique[[#This Row],[purchase_date]],"dddd"))</f>
        <v>Miércoles</v>
      </c>
      <c r="O624" s="1" t="str">
        <f>PROPER(TEXT(BBDD_fashion_boutique[[#This Row],[purchase_date]],"mmmm"))</f>
        <v>Agosto</v>
      </c>
      <c r="P624" s="4">
        <v>8</v>
      </c>
      <c r="Q624" s="2">
        <v>2.8</v>
      </c>
      <c r="R624" t="str">
        <f>IF(BBDD_fashion_boutique[[#This Row],[stock_quantity]]&gt;9,"Ok",IF(BBDD_fashion_boutique[[#This Row],[stock_quantity]]=0,"Agotado","Pocas Unidades"))</f>
        <v>Pocas Unidades</v>
      </c>
      <c r="S624" s="3">
        <f>IF(BBDD_fashion_boutique[[#This Row],[customer_rating]]="","No valorado",BBDD_fashion_boutique[[#This Row],[customer_rating]])</f>
        <v>2.8</v>
      </c>
      <c r="T624" t="s">
        <v>24</v>
      </c>
      <c r="V624">
        <f>IF(BBDD_fashion_boutique[[#This Row],[is_returned]]="False",0,1)</f>
        <v>0</v>
      </c>
      <c r="W624">
        <f>IF(BBDD_fashion_boutique[[#This Row],[is_returned]]="True",0,BBDD_fashion_boutique[[#This Row],[current_price]])</f>
        <v>69.88</v>
      </c>
      <c r="X624" t="str">
        <f>IF(BBDD_fashion_boutique[[#This Row],[return_reason]]="","No return",BBDD_fashion_boutique[[#This Row],[return_reason]])</f>
        <v>No return</v>
      </c>
      <c r="Y624">
        <f>IF(IFERROR(VLOOKUP(BBDD_fashion_boutique[[#This Row],[product_id]],A625:A2800,1,FALSE),0),1,0)</f>
        <v>0</v>
      </c>
    </row>
    <row r="625" spans="1:25" x14ac:dyDescent="0.3">
      <c r="A625" t="s">
        <v>684</v>
      </c>
      <c r="B625" t="s">
        <v>32</v>
      </c>
      <c r="C625" t="s">
        <v>81</v>
      </c>
      <c r="D625" t="s">
        <v>39</v>
      </c>
      <c r="F625" t="str">
        <f>IF(BBDD_fashion_boutique[[#This Row],[category]]="Accessories","Accesorio",IF(BBDD_fashion_boutique[[#This Row],[size]]="","Desconocido",BBDD_fashion_boutique[[#This Row],[size]]))</f>
        <v>Accesorio</v>
      </c>
      <c r="G625" t="s">
        <v>52</v>
      </c>
      <c r="H625" s="2">
        <v>32.15</v>
      </c>
      <c r="I625">
        <v>0</v>
      </c>
      <c r="J625" s="5">
        <f>BBDD_fashion_boutique[[#This Row],[markdown_percentage]]/100</f>
        <v>0</v>
      </c>
      <c r="K625" s="2">
        <v>32.15</v>
      </c>
      <c r="L625" s="2">
        <f>BBDD_fashion_boutique[[#This Row],[original_price]]-BBDD_fashion_boutique[[#This Row],[current_price]]</f>
        <v>0</v>
      </c>
      <c r="M625" s="1">
        <v>45875</v>
      </c>
      <c r="N625" s="1" t="str">
        <f>PROPER(TEXT(BBDD_fashion_boutique[[#This Row],[purchase_date]],"dddd"))</f>
        <v>Miércoles</v>
      </c>
      <c r="O625" s="1" t="str">
        <f>PROPER(TEXT(BBDD_fashion_boutique[[#This Row],[purchase_date]],"mmmm"))</f>
        <v>Agosto</v>
      </c>
      <c r="P625" s="4">
        <v>17</v>
      </c>
      <c r="Q625" s="2">
        <v>1.9</v>
      </c>
      <c r="R625" t="str">
        <f>IF(BBDD_fashion_boutique[[#This Row],[stock_quantity]]&gt;9,"Ok",IF(BBDD_fashion_boutique[[#This Row],[stock_quantity]]=0,"Agotado","Pocas Unidades"))</f>
        <v>Ok</v>
      </c>
      <c r="S625" s="3">
        <f>IF(BBDD_fashion_boutique[[#This Row],[customer_rating]]="","No valorado",BBDD_fashion_boutique[[#This Row],[customer_rating]])</f>
        <v>1.9</v>
      </c>
      <c r="T625" t="s">
        <v>41</v>
      </c>
      <c r="U625" t="s">
        <v>89</v>
      </c>
      <c r="V625">
        <f>IF(BBDD_fashion_boutique[[#This Row],[is_returned]]="False",0,1)</f>
        <v>1</v>
      </c>
      <c r="W625">
        <f>IF(BBDD_fashion_boutique[[#This Row],[is_returned]]="True",0,BBDD_fashion_boutique[[#This Row],[current_price]])</f>
        <v>0</v>
      </c>
      <c r="X625" t="str">
        <f>IF(BBDD_fashion_boutique[[#This Row],[return_reason]]="","No return",BBDD_fashion_boutique[[#This Row],[return_reason]])</f>
        <v>Quality Issue</v>
      </c>
      <c r="Y625">
        <f>IF(IFERROR(VLOOKUP(BBDD_fashion_boutique[[#This Row],[product_id]],A626:A2801,1,FALSE),0),1,0)</f>
        <v>0</v>
      </c>
    </row>
    <row r="626" spans="1:25" x14ac:dyDescent="0.3">
      <c r="A626" t="s">
        <v>685</v>
      </c>
      <c r="B626" t="s">
        <v>44</v>
      </c>
      <c r="C626" t="s">
        <v>81</v>
      </c>
      <c r="D626" t="s">
        <v>68</v>
      </c>
      <c r="E626" t="s">
        <v>45</v>
      </c>
      <c r="F626" t="str">
        <f>IF(BBDD_fashion_boutique[[#This Row],[category]]="Accessories","Accesorio",IF(BBDD_fashion_boutique[[#This Row],[size]]="","Desconocido",BBDD_fashion_boutique[[#This Row],[size]]))</f>
        <v>S</v>
      </c>
      <c r="G626" t="s">
        <v>33</v>
      </c>
      <c r="H626" s="2">
        <v>36.340000000000003</v>
      </c>
      <c r="I626">
        <v>0</v>
      </c>
      <c r="J626" s="5">
        <f>BBDD_fashion_boutique[[#This Row],[markdown_percentage]]/100</f>
        <v>0</v>
      </c>
      <c r="K626" s="2">
        <v>36.340000000000003</v>
      </c>
      <c r="L626" s="2">
        <f>BBDD_fashion_boutique[[#This Row],[original_price]]-BBDD_fashion_boutique[[#This Row],[current_price]]</f>
        <v>0</v>
      </c>
      <c r="M626" s="1">
        <v>45875</v>
      </c>
      <c r="N626" s="1" t="str">
        <f>PROPER(TEXT(BBDD_fashion_boutique[[#This Row],[purchase_date]],"dddd"))</f>
        <v>Miércoles</v>
      </c>
      <c r="O626" s="1" t="str">
        <f>PROPER(TEXT(BBDD_fashion_boutique[[#This Row],[purchase_date]],"mmmm"))</f>
        <v>Agosto</v>
      </c>
      <c r="P626" s="4">
        <v>6</v>
      </c>
      <c r="Q626" s="2">
        <v>4.5</v>
      </c>
      <c r="R626" t="str">
        <f>IF(BBDD_fashion_boutique[[#This Row],[stock_quantity]]&gt;9,"Ok",IF(BBDD_fashion_boutique[[#This Row],[stock_quantity]]=0,"Agotado","Pocas Unidades"))</f>
        <v>Pocas Unidades</v>
      </c>
      <c r="S626" s="3">
        <f>IF(BBDD_fashion_boutique[[#This Row],[customer_rating]]="","No valorado",BBDD_fashion_boutique[[#This Row],[customer_rating]])</f>
        <v>4.5</v>
      </c>
      <c r="T626" t="s">
        <v>41</v>
      </c>
      <c r="U626" t="s">
        <v>84</v>
      </c>
      <c r="V626">
        <f>IF(BBDD_fashion_boutique[[#This Row],[is_returned]]="False",0,1)</f>
        <v>1</v>
      </c>
      <c r="W626">
        <f>IF(BBDD_fashion_boutique[[#This Row],[is_returned]]="True",0,BBDD_fashion_boutique[[#This Row],[current_price]])</f>
        <v>0</v>
      </c>
      <c r="X626" t="str">
        <f>IF(BBDD_fashion_boutique[[#This Row],[return_reason]]="","No return",BBDD_fashion_boutique[[#This Row],[return_reason]])</f>
        <v>Damaged</v>
      </c>
      <c r="Y626">
        <f>IF(IFERROR(VLOOKUP(BBDD_fashion_boutique[[#This Row],[product_id]],A627:A2802,1,FALSE),0),1,0)</f>
        <v>0</v>
      </c>
    </row>
    <row r="627" spans="1:25" x14ac:dyDescent="0.3">
      <c r="A627" t="s">
        <v>686</v>
      </c>
      <c r="B627" t="s">
        <v>44</v>
      </c>
      <c r="C627" t="s">
        <v>49</v>
      </c>
      <c r="D627" t="s">
        <v>39</v>
      </c>
      <c r="E627" t="s">
        <v>64</v>
      </c>
      <c r="F627" t="str">
        <f>IF(BBDD_fashion_boutique[[#This Row],[category]]="Accessories","Accesorio",IF(BBDD_fashion_boutique[[#This Row],[size]]="","Desconocido",BBDD_fashion_boutique[[#This Row],[size]]))</f>
        <v>M</v>
      </c>
      <c r="G627" t="s">
        <v>62</v>
      </c>
      <c r="H627" s="2">
        <v>93.01</v>
      </c>
      <c r="I627">
        <v>0</v>
      </c>
      <c r="J627" s="5">
        <f>BBDD_fashion_boutique[[#This Row],[markdown_percentage]]/100</f>
        <v>0</v>
      </c>
      <c r="K627" s="2">
        <v>93.01</v>
      </c>
      <c r="L627" s="2">
        <f>BBDD_fashion_boutique[[#This Row],[original_price]]-BBDD_fashion_boutique[[#This Row],[current_price]]</f>
        <v>0</v>
      </c>
      <c r="M627" s="1">
        <v>45875</v>
      </c>
      <c r="N627" s="1" t="str">
        <f>PROPER(TEXT(BBDD_fashion_boutique[[#This Row],[purchase_date]],"dddd"))</f>
        <v>Miércoles</v>
      </c>
      <c r="O627" s="1" t="str">
        <f>PROPER(TEXT(BBDD_fashion_boutique[[#This Row],[purchase_date]],"mmmm"))</f>
        <v>Agosto</v>
      </c>
      <c r="P627" s="4">
        <v>34</v>
      </c>
      <c r="Q627" s="2">
        <v>1.4</v>
      </c>
      <c r="R627" t="str">
        <f>IF(BBDD_fashion_boutique[[#This Row],[stock_quantity]]&gt;9,"Ok",IF(BBDD_fashion_boutique[[#This Row],[stock_quantity]]=0,"Agotado","Pocas Unidades"))</f>
        <v>Ok</v>
      </c>
      <c r="S627" s="3">
        <f>IF(BBDD_fashion_boutique[[#This Row],[customer_rating]]="","No valorado",BBDD_fashion_boutique[[#This Row],[customer_rating]])</f>
        <v>1.4</v>
      </c>
      <c r="T627" t="s">
        <v>24</v>
      </c>
      <c r="V627">
        <f>IF(BBDD_fashion_boutique[[#This Row],[is_returned]]="False",0,1)</f>
        <v>0</v>
      </c>
      <c r="W627">
        <f>IF(BBDD_fashion_boutique[[#This Row],[is_returned]]="True",0,BBDD_fashion_boutique[[#This Row],[current_price]])</f>
        <v>93.01</v>
      </c>
      <c r="X627" t="str">
        <f>IF(BBDD_fashion_boutique[[#This Row],[return_reason]]="","No return",BBDD_fashion_boutique[[#This Row],[return_reason]])</f>
        <v>No return</v>
      </c>
      <c r="Y627">
        <f>IF(IFERROR(VLOOKUP(BBDD_fashion_boutique[[#This Row],[product_id]],A628:A2803,1,FALSE),0),1,0)</f>
        <v>0</v>
      </c>
    </row>
    <row r="628" spans="1:25" x14ac:dyDescent="0.3">
      <c r="A628" t="s">
        <v>687</v>
      </c>
      <c r="B628" t="s">
        <v>26</v>
      </c>
      <c r="C628" t="s">
        <v>67</v>
      </c>
      <c r="D628" t="s">
        <v>28</v>
      </c>
      <c r="E628" t="s">
        <v>45</v>
      </c>
      <c r="F628" t="str">
        <f>IF(BBDD_fashion_boutique[[#This Row],[category]]="Accessories","Accesorio",IF(BBDD_fashion_boutique[[#This Row],[size]]="","Desconocido",BBDD_fashion_boutique[[#This Row],[size]]))</f>
        <v>S</v>
      </c>
      <c r="G628" t="s">
        <v>76</v>
      </c>
      <c r="H628" s="2">
        <v>75</v>
      </c>
      <c r="I628">
        <v>0</v>
      </c>
      <c r="J628" s="5">
        <f>BBDD_fashion_boutique[[#This Row],[markdown_percentage]]/100</f>
        <v>0</v>
      </c>
      <c r="K628" s="2">
        <v>75</v>
      </c>
      <c r="L628" s="2">
        <f>BBDD_fashion_boutique[[#This Row],[original_price]]-BBDD_fashion_boutique[[#This Row],[current_price]]</f>
        <v>0</v>
      </c>
      <c r="M628" s="1">
        <v>45875</v>
      </c>
      <c r="N628" s="1" t="str">
        <f>PROPER(TEXT(BBDD_fashion_boutique[[#This Row],[purchase_date]],"dddd"))</f>
        <v>Miércoles</v>
      </c>
      <c r="O628" s="1" t="str">
        <f>PROPER(TEXT(BBDD_fashion_boutique[[#This Row],[purchase_date]],"mmmm"))</f>
        <v>Agosto</v>
      </c>
      <c r="P628" s="4">
        <v>19</v>
      </c>
      <c r="Q628" s="2">
        <v>1.6</v>
      </c>
      <c r="R628" t="str">
        <f>IF(BBDD_fashion_boutique[[#This Row],[stock_quantity]]&gt;9,"Ok",IF(BBDD_fashion_boutique[[#This Row],[stock_quantity]]=0,"Agotado","Pocas Unidades"))</f>
        <v>Ok</v>
      </c>
      <c r="S628" s="3">
        <f>IF(BBDD_fashion_boutique[[#This Row],[customer_rating]]="","No valorado",BBDD_fashion_boutique[[#This Row],[customer_rating]])</f>
        <v>1.6</v>
      </c>
      <c r="T628" t="s">
        <v>24</v>
      </c>
      <c r="V628">
        <f>IF(BBDD_fashion_boutique[[#This Row],[is_returned]]="False",0,1)</f>
        <v>0</v>
      </c>
      <c r="W628">
        <f>IF(BBDD_fashion_boutique[[#This Row],[is_returned]]="True",0,BBDD_fashion_boutique[[#This Row],[current_price]])</f>
        <v>75</v>
      </c>
      <c r="X628" t="str">
        <f>IF(BBDD_fashion_boutique[[#This Row],[return_reason]]="","No return",BBDD_fashion_boutique[[#This Row],[return_reason]])</f>
        <v>No return</v>
      </c>
      <c r="Y628">
        <f>IF(IFERROR(VLOOKUP(BBDD_fashion_boutique[[#This Row],[product_id]],A629:A2804,1,FALSE),0),1,0)</f>
        <v>0</v>
      </c>
    </row>
    <row r="629" spans="1:25" x14ac:dyDescent="0.3">
      <c r="A629" t="s">
        <v>688</v>
      </c>
      <c r="B629" t="s">
        <v>19</v>
      </c>
      <c r="C629" t="s">
        <v>20</v>
      </c>
      <c r="D629" t="s">
        <v>39</v>
      </c>
      <c r="E629" t="s">
        <v>64</v>
      </c>
      <c r="F629" t="str">
        <f>IF(BBDD_fashion_boutique[[#This Row],[category]]="Accessories","Accesorio",IF(BBDD_fashion_boutique[[#This Row],[size]]="","Desconocido",BBDD_fashion_boutique[[#This Row],[size]]))</f>
        <v>M</v>
      </c>
      <c r="G629" t="s">
        <v>50</v>
      </c>
      <c r="H629" s="2">
        <v>81.63</v>
      </c>
      <c r="I629">
        <v>12.4</v>
      </c>
      <c r="J629" s="5">
        <f>BBDD_fashion_boutique[[#This Row],[markdown_percentage]]/100</f>
        <v>0.124</v>
      </c>
      <c r="K629" s="2">
        <v>71.510000000000005</v>
      </c>
      <c r="L629" s="2">
        <f>BBDD_fashion_boutique[[#This Row],[original_price]]-BBDD_fashion_boutique[[#This Row],[current_price]]</f>
        <v>10.11999999999999</v>
      </c>
      <c r="M629" s="1">
        <v>45875</v>
      </c>
      <c r="N629" s="1" t="str">
        <f>PROPER(TEXT(BBDD_fashion_boutique[[#This Row],[purchase_date]],"dddd"))</f>
        <v>Miércoles</v>
      </c>
      <c r="O629" s="1" t="str">
        <f>PROPER(TEXT(BBDD_fashion_boutique[[#This Row],[purchase_date]],"mmmm"))</f>
        <v>Agosto</v>
      </c>
      <c r="P629" s="4">
        <v>3</v>
      </c>
      <c r="R629" t="str">
        <f>IF(BBDD_fashion_boutique[[#This Row],[stock_quantity]]&gt;9,"Ok",IF(BBDD_fashion_boutique[[#This Row],[stock_quantity]]=0,"Agotado","Pocas Unidades"))</f>
        <v>Pocas Unidades</v>
      </c>
      <c r="S629" s="3" t="str">
        <f>IF(BBDD_fashion_boutique[[#This Row],[customer_rating]]="","No valorado",BBDD_fashion_boutique[[#This Row],[customer_rating]])</f>
        <v>No valorado</v>
      </c>
      <c r="T629" t="s">
        <v>24</v>
      </c>
      <c r="V629">
        <f>IF(BBDD_fashion_boutique[[#This Row],[is_returned]]="False",0,1)</f>
        <v>0</v>
      </c>
      <c r="W629">
        <f>IF(BBDD_fashion_boutique[[#This Row],[is_returned]]="True",0,BBDD_fashion_boutique[[#This Row],[current_price]])</f>
        <v>71.510000000000005</v>
      </c>
      <c r="X629" t="str">
        <f>IF(BBDD_fashion_boutique[[#This Row],[return_reason]]="","No return",BBDD_fashion_boutique[[#This Row],[return_reason]])</f>
        <v>No return</v>
      </c>
      <c r="Y629">
        <f>IF(IFERROR(VLOOKUP(BBDD_fashion_boutique[[#This Row],[product_id]],A630:A2805,1,FALSE),0),1,0)</f>
        <v>0</v>
      </c>
    </row>
    <row r="630" spans="1:25" x14ac:dyDescent="0.3">
      <c r="A630" t="s">
        <v>689</v>
      </c>
      <c r="B630" t="s">
        <v>44</v>
      </c>
      <c r="C630" t="s">
        <v>27</v>
      </c>
      <c r="D630" t="s">
        <v>21</v>
      </c>
      <c r="E630" t="s">
        <v>22</v>
      </c>
      <c r="F630" t="str">
        <f>IF(BBDD_fashion_boutique[[#This Row],[category]]="Accessories","Accesorio",IF(BBDD_fashion_boutique[[#This Row],[size]]="","Desconocido",BBDD_fashion_boutique[[#This Row],[size]]))</f>
        <v>XL</v>
      </c>
      <c r="G630" t="s">
        <v>46</v>
      </c>
      <c r="H630" s="2">
        <v>109.81</v>
      </c>
      <c r="I630">
        <v>0</v>
      </c>
      <c r="J630" s="5">
        <f>BBDD_fashion_boutique[[#This Row],[markdown_percentage]]/100</f>
        <v>0</v>
      </c>
      <c r="K630" s="2">
        <v>109.81</v>
      </c>
      <c r="L630" s="2">
        <f>BBDD_fashion_boutique[[#This Row],[original_price]]-BBDD_fashion_boutique[[#This Row],[current_price]]</f>
        <v>0</v>
      </c>
      <c r="M630" s="1">
        <v>45862</v>
      </c>
      <c r="N630" s="1" t="str">
        <f>PROPER(TEXT(BBDD_fashion_boutique[[#This Row],[purchase_date]],"dddd"))</f>
        <v>Jueves</v>
      </c>
      <c r="O630" s="1" t="str">
        <f>PROPER(TEXT(BBDD_fashion_boutique[[#This Row],[purchase_date]],"mmmm"))</f>
        <v>Julio</v>
      </c>
      <c r="P630" s="4">
        <v>17</v>
      </c>
      <c r="Q630" s="2">
        <v>1.9</v>
      </c>
      <c r="R630" t="str">
        <f>IF(BBDD_fashion_boutique[[#This Row],[stock_quantity]]&gt;9,"Ok",IF(BBDD_fashion_boutique[[#This Row],[stock_quantity]]=0,"Agotado","Pocas Unidades"))</f>
        <v>Ok</v>
      </c>
      <c r="S630" s="3">
        <f>IF(BBDD_fashion_boutique[[#This Row],[customer_rating]]="","No valorado",BBDD_fashion_boutique[[#This Row],[customer_rating]])</f>
        <v>1.9</v>
      </c>
      <c r="T630" t="s">
        <v>24</v>
      </c>
      <c r="V630">
        <f>IF(BBDD_fashion_boutique[[#This Row],[is_returned]]="False",0,1)</f>
        <v>0</v>
      </c>
      <c r="W630">
        <f>IF(BBDD_fashion_boutique[[#This Row],[is_returned]]="True",0,BBDD_fashion_boutique[[#This Row],[current_price]])</f>
        <v>109.81</v>
      </c>
      <c r="X630" t="str">
        <f>IF(BBDD_fashion_boutique[[#This Row],[return_reason]]="","No return",BBDD_fashion_boutique[[#This Row],[return_reason]])</f>
        <v>No return</v>
      </c>
      <c r="Y630">
        <f>IF(IFERROR(VLOOKUP(BBDD_fashion_boutique[[#This Row],[product_id]],A631:A2806,1,FALSE),0),1,0)</f>
        <v>0</v>
      </c>
    </row>
    <row r="631" spans="1:25" x14ac:dyDescent="0.3">
      <c r="A631" t="s">
        <v>690</v>
      </c>
      <c r="B631" t="s">
        <v>44</v>
      </c>
      <c r="C631" t="s">
        <v>59</v>
      </c>
      <c r="D631" t="s">
        <v>39</v>
      </c>
      <c r="F631" t="str">
        <f>IF(BBDD_fashion_boutique[[#This Row],[category]]="Accessories","Accesorio",IF(BBDD_fashion_boutique[[#This Row],[size]]="","Desconocido",BBDD_fashion_boutique[[#This Row],[size]]))</f>
        <v>Desconocido</v>
      </c>
      <c r="G631" t="s">
        <v>33</v>
      </c>
      <c r="H631" s="2">
        <v>47.7</v>
      </c>
      <c r="I631">
        <v>0</v>
      </c>
      <c r="J631" s="5">
        <f>BBDD_fashion_boutique[[#This Row],[markdown_percentage]]/100</f>
        <v>0</v>
      </c>
      <c r="K631" s="2">
        <v>47.7</v>
      </c>
      <c r="L631" s="2">
        <f>BBDD_fashion_boutique[[#This Row],[original_price]]-BBDD_fashion_boutique[[#This Row],[current_price]]</f>
        <v>0</v>
      </c>
      <c r="M631" s="1">
        <v>45875</v>
      </c>
      <c r="N631" s="1" t="str">
        <f>PROPER(TEXT(BBDD_fashion_boutique[[#This Row],[purchase_date]],"dddd"))</f>
        <v>Miércoles</v>
      </c>
      <c r="O631" s="1" t="str">
        <f>PROPER(TEXT(BBDD_fashion_boutique[[#This Row],[purchase_date]],"mmmm"))</f>
        <v>Agosto</v>
      </c>
      <c r="P631" s="4">
        <v>14</v>
      </c>
      <c r="Q631" s="2">
        <v>2.2999999999999998</v>
      </c>
      <c r="R631" t="str">
        <f>IF(BBDD_fashion_boutique[[#This Row],[stock_quantity]]&gt;9,"Ok",IF(BBDD_fashion_boutique[[#This Row],[stock_quantity]]=0,"Agotado","Pocas Unidades"))</f>
        <v>Ok</v>
      </c>
      <c r="S631" s="3">
        <f>IF(BBDD_fashion_boutique[[#This Row],[customer_rating]]="","No valorado",BBDD_fashion_boutique[[#This Row],[customer_rating]])</f>
        <v>2.2999999999999998</v>
      </c>
      <c r="T631" t="s">
        <v>24</v>
      </c>
      <c r="V631">
        <f>IF(BBDD_fashion_boutique[[#This Row],[is_returned]]="False",0,1)</f>
        <v>0</v>
      </c>
      <c r="W631">
        <f>IF(BBDD_fashion_boutique[[#This Row],[is_returned]]="True",0,BBDD_fashion_boutique[[#This Row],[current_price]])</f>
        <v>47.7</v>
      </c>
      <c r="X631" t="str">
        <f>IF(BBDD_fashion_boutique[[#This Row],[return_reason]]="","No return",BBDD_fashion_boutique[[#This Row],[return_reason]])</f>
        <v>No return</v>
      </c>
      <c r="Y631">
        <f>IF(IFERROR(VLOOKUP(BBDD_fashion_boutique[[#This Row],[product_id]],A632:A2807,1,FALSE),0),1,0)</f>
        <v>0</v>
      </c>
    </row>
    <row r="632" spans="1:25" x14ac:dyDescent="0.3">
      <c r="A632" t="s">
        <v>691</v>
      </c>
      <c r="B632" t="s">
        <v>26</v>
      </c>
      <c r="C632" t="s">
        <v>37</v>
      </c>
      <c r="D632" t="s">
        <v>28</v>
      </c>
      <c r="E632" t="s">
        <v>45</v>
      </c>
      <c r="F632" t="str">
        <f>IF(BBDD_fashion_boutique[[#This Row],[category]]="Accessories","Accesorio",IF(BBDD_fashion_boutique[[#This Row],[size]]="","Desconocido",BBDD_fashion_boutique[[#This Row],[size]]))</f>
        <v>S</v>
      </c>
      <c r="G632" t="s">
        <v>23</v>
      </c>
      <c r="H632" s="2">
        <v>96.08</v>
      </c>
      <c r="I632">
        <v>0</v>
      </c>
      <c r="J632" s="5">
        <f>BBDD_fashion_boutique[[#This Row],[markdown_percentage]]/100</f>
        <v>0</v>
      </c>
      <c r="K632" s="2">
        <v>96.08</v>
      </c>
      <c r="L632" s="2">
        <f>BBDD_fashion_boutique[[#This Row],[original_price]]-BBDD_fashion_boutique[[#This Row],[current_price]]</f>
        <v>0</v>
      </c>
      <c r="M632" s="1">
        <v>45875</v>
      </c>
      <c r="N632" s="1" t="str">
        <f>PROPER(TEXT(BBDD_fashion_boutique[[#This Row],[purchase_date]],"dddd"))</f>
        <v>Miércoles</v>
      </c>
      <c r="O632" s="1" t="str">
        <f>PROPER(TEXT(BBDD_fashion_boutique[[#This Row],[purchase_date]],"mmmm"))</f>
        <v>Agosto</v>
      </c>
      <c r="P632" s="4">
        <v>7</v>
      </c>
      <c r="Q632" s="2">
        <v>2.5</v>
      </c>
      <c r="R632" t="str">
        <f>IF(BBDD_fashion_boutique[[#This Row],[stock_quantity]]&gt;9,"Ok",IF(BBDD_fashion_boutique[[#This Row],[stock_quantity]]=0,"Agotado","Pocas Unidades"))</f>
        <v>Pocas Unidades</v>
      </c>
      <c r="S632" s="3">
        <f>IF(BBDD_fashion_boutique[[#This Row],[customer_rating]]="","No valorado",BBDD_fashion_boutique[[#This Row],[customer_rating]])</f>
        <v>2.5</v>
      </c>
      <c r="T632" t="s">
        <v>24</v>
      </c>
      <c r="V632">
        <f>IF(BBDD_fashion_boutique[[#This Row],[is_returned]]="False",0,1)</f>
        <v>0</v>
      </c>
      <c r="W632">
        <f>IF(BBDD_fashion_boutique[[#This Row],[is_returned]]="True",0,BBDD_fashion_boutique[[#This Row],[current_price]])</f>
        <v>96.08</v>
      </c>
      <c r="X632" t="str">
        <f>IF(BBDD_fashion_boutique[[#This Row],[return_reason]]="","No return",BBDD_fashion_boutique[[#This Row],[return_reason]])</f>
        <v>No return</v>
      </c>
      <c r="Y632">
        <f>IF(IFERROR(VLOOKUP(BBDD_fashion_boutique[[#This Row],[product_id]],A633:A2808,1,FALSE),0),1,0)</f>
        <v>0</v>
      </c>
    </row>
    <row r="633" spans="1:25" x14ac:dyDescent="0.3">
      <c r="A633" t="s">
        <v>692</v>
      </c>
      <c r="B633" t="s">
        <v>26</v>
      </c>
      <c r="C633" t="s">
        <v>54</v>
      </c>
      <c r="D633" t="s">
        <v>28</v>
      </c>
      <c r="E633" t="s">
        <v>61</v>
      </c>
      <c r="F633" t="str">
        <f>IF(BBDD_fashion_boutique[[#This Row],[category]]="Accessories","Accesorio",IF(BBDD_fashion_boutique[[#This Row],[size]]="","Desconocido",BBDD_fashion_boutique[[#This Row],[size]]))</f>
        <v>XS</v>
      </c>
      <c r="G633" t="s">
        <v>76</v>
      </c>
      <c r="H633" s="2">
        <v>28</v>
      </c>
      <c r="I633">
        <v>2.6</v>
      </c>
      <c r="J633" s="5">
        <f>BBDD_fashion_boutique[[#This Row],[markdown_percentage]]/100</f>
        <v>2.6000000000000002E-2</v>
      </c>
      <c r="K633" s="2">
        <v>27.27</v>
      </c>
      <c r="L633" s="2">
        <f>BBDD_fashion_boutique[[#This Row],[original_price]]-BBDD_fashion_boutique[[#This Row],[current_price]]</f>
        <v>0.73000000000000043</v>
      </c>
      <c r="M633" s="1">
        <v>45875</v>
      </c>
      <c r="N633" s="1" t="str">
        <f>PROPER(TEXT(BBDD_fashion_boutique[[#This Row],[purchase_date]],"dddd"))</f>
        <v>Miércoles</v>
      </c>
      <c r="O633" s="1" t="str">
        <f>PROPER(TEXT(BBDD_fashion_boutique[[#This Row],[purchase_date]],"mmmm"))</f>
        <v>Agosto</v>
      </c>
      <c r="P633" s="4">
        <v>2</v>
      </c>
      <c r="R633" t="str">
        <f>IF(BBDD_fashion_boutique[[#This Row],[stock_quantity]]&gt;9,"Ok",IF(BBDD_fashion_boutique[[#This Row],[stock_quantity]]=0,"Agotado","Pocas Unidades"))</f>
        <v>Pocas Unidades</v>
      </c>
      <c r="S633" s="3" t="str">
        <f>IF(BBDD_fashion_boutique[[#This Row],[customer_rating]]="","No valorado",BBDD_fashion_boutique[[#This Row],[customer_rating]])</f>
        <v>No valorado</v>
      </c>
      <c r="T633" t="s">
        <v>24</v>
      </c>
      <c r="V633">
        <f>IF(BBDD_fashion_boutique[[#This Row],[is_returned]]="False",0,1)</f>
        <v>0</v>
      </c>
      <c r="W633">
        <f>IF(BBDD_fashion_boutique[[#This Row],[is_returned]]="True",0,BBDD_fashion_boutique[[#This Row],[current_price]])</f>
        <v>27.27</v>
      </c>
      <c r="X633" t="str">
        <f>IF(BBDD_fashion_boutique[[#This Row],[return_reason]]="","No return",BBDD_fashion_boutique[[#This Row],[return_reason]])</f>
        <v>No return</v>
      </c>
      <c r="Y633">
        <f>IF(IFERROR(VLOOKUP(BBDD_fashion_boutique[[#This Row],[product_id]],A634:A2809,1,FALSE),0),1,0)</f>
        <v>0</v>
      </c>
    </row>
    <row r="634" spans="1:25" x14ac:dyDescent="0.3">
      <c r="A634" t="s">
        <v>693</v>
      </c>
      <c r="B634" t="s">
        <v>44</v>
      </c>
      <c r="C634" t="s">
        <v>20</v>
      </c>
      <c r="D634" t="s">
        <v>28</v>
      </c>
      <c r="E634" t="s">
        <v>45</v>
      </c>
      <c r="F634" t="str">
        <f>IF(BBDD_fashion_boutique[[#This Row],[category]]="Accessories","Accesorio",IF(BBDD_fashion_boutique[[#This Row],[size]]="","Desconocido",BBDD_fashion_boutique[[#This Row],[size]]))</f>
        <v>S</v>
      </c>
      <c r="G634" t="s">
        <v>76</v>
      </c>
      <c r="H634" s="2">
        <v>52.43</v>
      </c>
      <c r="I634">
        <v>6.4</v>
      </c>
      <c r="J634" s="5">
        <f>BBDD_fashion_boutique[[#This Row],[markdown_percentage]]/100</f>
        <v>6.4000000000000001E-2</v>
      </c>
      <c r="K634" s="2">
        <v>49.07</v>
      </c>
      <c r="L634" s="2">
        <f>BBDD_fashion_boutique[[#This Row],[original_price]]-BBDD_fashion_boutique[[#This Row],[current_price]]</f>
        <v>3.3599999999999994</v>
      </c>
      <c r="M634" s="1">
        <v>45875</v>
      </c>
      <c r="N634" s="1" t="str">
        <f>PROPER(TEXT(BBDD_fashion_boutique[[#This Row],[purchase_date]],"dddd"))</f>
        <v>Miércoles</v>
      </c>
      <c r="O634" s="1" t="str">
        <f>PROPER(TEXT(BBDD_fashion_boutique[[#This Row],[purchase_date]],"mmmm"))</f>
        <v>Agosto</v>
      </c>
      <c r="P634" s="4">
        <v>42</v>
      </c>
      <c r="Q634" s="2">
        <v>2.6</v>
      </c>
      <c r="R634" t="str">
        <f>IF(BBDD_fashion_boutique[[#This Row],[stock_quantity]]&gt;9,"Ok",IF(BBDD_fashion_boutique[[#This Row],[stock_quantity]]=0,"Agotado","Pocas Unidades"))</f>
        <v>Ok</v>
      </c>
      <c r="S634" s="3">
        <f>IF(BBDD_fashion_boutique[[#This Row],[customer_rating]]="","No valorado",BBDD_fashion_boutique[[#This Row],[customer_rating]])</f>
        <v>2.6</v>
      </c>
      <c r="T634" t="s">
        <v>24</v>
      </c>
      <c r="V634">
        <f>IF(BBDD_fashion_boutique[[#This Row],[is_returned]]="False",0,1)</f>
        <v>0</v>
      </c>
      <c r="W634">
        <f>IF(BBDD_fashion_boutique[[#This Row],[is_returned]]="True",0,BBDD_fashion_boutique[[#This Row],[current_price]])</f>
        <v>49.07</v>
      </c>
      <c r="X634" t="str">
        <f>IF(BBDD_fashion_boutique[[#This Row],[return_reason]]="","No return",BBDD_fashion_boutique[[#This Row],[return_reason]])</f>
        <v>No return</v>
      </c>
      <c r="Y634">
        <f>IF(IFERROR(VLOOKUP(BBDD_fashion_boutique[[#This Row],[product_id]],A635:A2810,1,FALSE),0),1,0)</f>
        <v>0</v>
      </c>
    </row>
    <row r="635" spans="1:25" x14ac:dyDescent="0.3">
      <c r="A635" t="s">
        <v>694</v>
      </c>
      <c r="B635" t="s">
        <v>32</v>
      </c>
      <c r="C635" t="s">
        <v>67</v>
      </c>
      <c r="D635" t="s">
        <v>68</v>
      </c>
      <c r="F635" t="str">
        <f>IF(BBDD_fashion_boutique[[#This Row],[category]]="Accessories","Accesorio",IF(BBDD_fashion_boutique[[#This Row],[size]]="","Desconocido",BBDD_fashion_boutique[[#This Row],[size]]))</f>
        <v>Accesorio</v>
      </c>
      <c r="G635" t="s">
        <v>30</v>
      </c>
      <c r="H635" s="2">
        <v>67.95</v>
      </c>
      <c r="I635">
        <v>18.3</v>
      </c>
      <c r="J635" s="5">
        <f>BBDD_fashion_boutique[[#This Row],[markdown_percentage]]/100</f>
        <v>0.183</v>
      </c>
      <c r="K635" s="2">
        <v>55.52</v>
      </c>
      <c r="L635" s="2">
        <f>BBDD_fashion_boutique[[#This Row],[original_price]]-BBDD_fashion_boutique[[#This Row],[current_price]]</f>
        <v>12.43</v>
      </c>
      <c r="M635" s="1">
        <v>45875</v>
      </c>
      <c r="N635" s="1" t="str">
        <f>PROPER(TEXT(BBDD_fashion_boutique[[#This Row],[purchase_date]],"dddd"))</f>
        <v>Miércoles</v>
      </c>
      <c r="O635" s="1" t="str">
        <f>PROPER(TEXT(BBDD_fashion_boutique[[#This Row],[purchase_date]],"mmmm"))</f>
        <v>Agosto</v>
      </c>
      <c r="P635" s="4">
        <v>37</v>
      </c>
      <c r="R635" t="str">
        <f>IF(BBDD_fashion_boutique[[#This Row],[stock_quantity]]&gt;9,"Ok",IF(BBDD_fashion_boutique[[#This Row],[stock_quantity]]=0,"Agotado","Pocas Unidades"))</f>
        <v>Ok</v>
      </c>
      <c r="S635" s="3" t="str">
        <f>IF(BBDD_fashion_boutique[[#This Row],[customer_rating]]="","No valorado",BBDD_fashion_boutique[[#This Row],[customer_rating]])</f>
        <v>No valorado</v>
      </c>
      <c r="T635" t="s">
        <v>24</v>
      </c>
      <c r="V635">
        <f>IF(BBDD_fashion_boutique[[#This Row],[is_returned]]="False",0,1)</f>
        <v>0</v>
      </c>
      <c r="W635">
        <f>IF(BBDD_fashion_boutique[[#This Row],[is_returned]]="True",0,BBDD_fashion_boutique[[#This Row],[current_price]])</f>
        <v>55.52</v>
      </c>
      <c r="X635" t="str">
        <f>IF(BBDD_fashion_boutique[[#This Row],[return_reason]]="","No return",BBDD_fashion_boutique[[#This Row],[return_reason]])</f>
        <v>No return</v>
      </c>
      <c r="Y635">
        <f>IF(IFERROR(VLOOKUP(BBDD_fashion_boutique[[#This Row],[product_id]],A636:A2811,1,FALSE),0),1,0)</f>
        <v>0</v>
      </c>
    </row>
    <row r="636" spans="1:25" x14ac:dyDescent="0.3">
      <c r="A636" t="s">
        <v>695</v>
      </c>
      <c r="B636" t="s">
        <v>48</v>
      </c>
      <c r="C636" t="s">
        <v>59</v>
      </c>
      <c r="D636" t="s">
        <v>39</v>
      </c>
      <c r="F636" t="str">
        <f>IF(BBDD_fashion_boutique[[#This Row],[category]]="Accessories","Accesorio",IF(BBDD_fashion_boutique[[#This Row],[size]]="","Desconocido",BBDD_fashion_boutique[[#This Row],[size]]))</f>
        <v>Desconocido</v>
      </c>
      <c r="G636" t="s">
        <v>23</v>
      </c>
      <c r="H636" s="2">
        <v>131.91999999999999</v>
      </c>
      <c r="I636">
        <v>0</v>
      </c>
      <c r="J636" s="5">
        <f>BBDD_fashion_boutique[[#This Row],[markdown_percentage]]/100</f>
        <v>0</v>
      </c>
      <c r="K636" s="2">
        <v>131.91999999999999</v>
      </c>
      <c r="L636" s="2">
        <f>BBDD_fashion_boutique[[#This Row],[original_price]]-BBDD_fashion_boutique[[#This Row],[current_price]]</f>
        <v>0</v>
      </c>
      <c r="M636" s="1">
        <v>45875</v>
      </c>
      <c r="N636" s="1" t="str">
        <f>PROPER(TEXT(BBDD_fashion_boutique[[#This Row],[purchase_date]],"dddd"))</f>
        <v>Miércoles</v>
      </c>
      <c r="O636" s="1" t="str">
        <f>PROPER(TEXT(BBDD_fashion_boutique[[#This Row],[purchase_date]],"mmmm"))</f>
        <v>Agosto</v>
      </c>
      <c r="P636" s="4">
        <v>10</v>
      </c>
      <c r="Q636" s="2">
        <v>2.5</v>
      </c>
      <c r="R636" t="str">
        <f>IF(BBDD_fashion_boutique[[#This Row],[stock_quantity]]&gt;9,"Ok",IF(BBDD_fashion_boutique[[#This Row],[stock_quantity]]=0,"Agotado","Pocas Unidades"))</f>
        <v>Ok</v>
      </c>
      <c r="S636" s="3">
        <f>IF(BBDD_fashion_boutique[[#This Row],[customer_rating]]="","No valorado",BBDD_fashion_boutique[[#This Row],[customer_rating]])</f>
        <v>2.5</v>
      </c>
      <c r="T636" t="s">
        <v>24</v>
      </c>
      <c r="V636">
        <f>IF(BBDD_fashion_boutique[[#This Row],[is_returned]]="False",0,1)</f>
        <v>0</v>
      </c>
      <c r="W636">
        <f>IF(BBDD_fashion_boutique[[#This Row],[is_returned]]="True",0,BBDD_fashion_boutique[[#This Row],[current_price]])</f>
        <v>131.91999999999999</v>
      </c>
      <c r="X636" t="str">
        <f>IF(BBDD_fashion_boutique[[#This Row],[return_reason]]="","No return",BBDD_fashion_boutique[[#This Row],[return_reason]])</f>
        <v>No return</v>
      </c>
      <c r="Y636">
        <f>IF(IFERROR(VLOOKUP(BBDD_fashion_boutique[[#This Row],[product_id]],A637:A2812,1,FALSE),0),1,0)</f>
        <v>0</v>
      </c>
    </row>
    <row r="637" spans="1:25" x14ac:dyDescent="0.3">
      <c r="A637" t="s">
        <v>696</v>
      </c>
      <c r="B637" t="s">
        <v>19</v>
      </c>
      <c r="C637" t="s">
        <v>59</v>
      </c>
      <c r="D637" t="s">
        <v>21</v>
      </c>
      <c r="E637" t="s">
        <v>61</v>
      </c>
      <c r="F637" t="str">
        <f>IF(BBDD_fashion_boutique[[#This Row],[category]]="Accessories","Accesorio",IF(BBDD_fashion_boutique[[#This Row],[size]]="","Desconocido",BBDD_fashion_boutique[[#This Row],[size]]))</f>
        <v>XS</v>
      </c>
      <c r="G637" t="s">
        <v>40</v>
      </c>
      <c r="H637" s="2">
        <v>205.77</v>
      </c>
      <c r="I637">
        <v>0</v>
      </c>
      <c r="J637" s="5">
        <f>BBDD_fashion_boutique[[#This Row],[markdown_percentage]]/100</f>
        <v>0</v>
      </c>
      <c r="K637" s="2">
        <v>205.77</v>
      </c>
      <c r="L637" s="2">
        <f>BBDD_fashion_boutique[[#This Row],[original_price]]-BBDD_fashion_boutique[[#This Row],[current_price]]</f>
        <v>0</v>
      </c>
      <c r="M637" s="1">
        <v>45688</v>
      </c>
      <c r="N637" s="1" t="str">
        <f>PROPER(TEXT(BBDD_fashion_boutique[[#This Row],[purchase_date]],"dddd"))</f>
        <v>Viernes</v>
      </c>
      <c r="O637" s="1" t="str">
        <f>PROPER(TEXT(BBDD_fashion_boutique[[#This Row],[purchase_date]],"mmmm"))</f>
        <v>Enero</v>
      </c>
      <c r="P637" s="4">
        <v>38</v>
      </c>
      <c r="Q637" s="2">
        <v>1</v>
      </c>
      <c r="R637" t="str">
        <f>IF(BBDD_fashion_boutique[[#This Row],[stock_quantity]]&gt;9,"Ok",IF(BBDD_fashion_boutique[[#This Row],[stock_quantity]]=0,"Agotado","Pocas Unidades"))</f>
        <v>Ok</v>
      </c>
      <c r="S637" s="3">
        <f>IF(BBDD_fashion_boutique[[#This Row],[customer_rating]]="","No valorado",BBDD_fashion_boutique[[#This Row],[customer_rating]])</f>
        <v>1</v>
      </c>
      <c r="T637" t="s">
        <v>24</v>
      </c>
      <c r="V637">
        <f>IF(BBDD_fashion_boutique[[#This Row],[is_returned]]="False",0,1)</f>
        <v>0</v>
      </c>
      <c r="W637">
        <f>IF(BBDD_fashion_boutique[[#This Row],[is_returned]]="True",0,BBDD_fashion_boutique[[#This Row],[current_price]])</f>
        <v>205.77</v>
      </c>
      <c r="X637" t="str">
        <f>IF(BBDD_fashion_boutique[[#This Row],[return_reason]]="","No return",BBDD_fashion_boutique[[#This Row],[return_reason]])</f>
        <v>No return</v>
      </c>
      <c r="Y637">
        <f>IF(IFERROR(VLOOKUP(BBDD_fashion_boutique[[#This Row],[product_id]],A638:A2813,1,FALSE),0),1,0)</f>
        <v>0</v>
      </c>
    </row>
    <row r="638" spans="1:25" x14ac:dyDescent="0.3">
      <c r="A638" t="s">
        <v>697</v>
      </c>
      <c r="B638" t="s">
        <v>26</v>
      </c>
      <c r="C638" t="s">
        <v>27</v>
      </c>
      <c r="D638" t="s">
        <v>28</v>
      </c>
      <c r="E638" t="s">
        <v>22</v>
      </c>
      <c r="F638" t="str">
        <f>IF(BBDD_fashion_boutique[[#This Row],[category]]="Accessories","Accesorio",IF(BBDD_fashion_boutique[[#This Row],[size]]="","Desconocido",BBDD_fashion_boutique[[#This Row],[size]]))</f>
        <v>XL</v>
      </c>
      <c r="G638" t="s">
        <v>40</v>
      </c>
      <c r="H638" s="2">
        <v>97.88</v>
      </c>
      <c r="I638">
        <v>11.3</v>
      </c>
      <c r="J638" s="5">
        <f>BBDD_fashion_boutique[[#This Row],[markdown_percentage]]/100</f>
        <v>0.113</v>
      </c>
      <c r="K638" s="2">
        <v>86.82</v>
      </c>
      <c r="L638" s="2">
        <f>BBDD_fashion_boutique[[#This Row],[original_price]]-BBDD_fashion_boutique[[#This Row],[current_price]]</f>
        <v>11.060000000000002</v>
      </c>
      <c r="M638" s="1">
        <v>45875</v>
      </c>
      <c r="N638" s="1" t="str">
        <f>PROPER(TEXT(BBDD_fashion_boutique[[#This Row],[purchase_date]],"dddd"))</f>
        <v>Miércoles</v>
      </c>
      <c r="O638" s="1" t="str">
        <f>PROPER(TEXT(BBDD_fashion_boutique[[#This Row],[purchase_date]],"mmmm"))</f>
        <v>Agosto</v>
      </c>
      <c r="P638" s="4">
        <v>27</v>
      </c>
      <c r="Q638" s="2">
        <v>1.3</v>
      </c>
      <c r="R638" t="str">
        <f>IF(BBDD_fashion_boutique[[#This Row],[stock_quantity]]&gt;9,"Ok",IF(BBDD_fashion_boutique[[#This Row],[stock_quantity]]=0,"Agotado","Pocas Unidades"))</f>
        <v>Ok</v>
      </c>
      <c r="S638" s="3">
        <f>IF(BBDD_fashion_boutique[[#This Row],[customer_rating]]="","No valorado",BBDD_fashion_boutique[[#This Row],[customer_rating]])</f>
        <v>1.3</v>
      </c>
      <c r="T638" t="s">
        <v>24</v>
      </c>
      <c r="V638">
        <f>IF(BBDD_fashion_boutique[[#This Row],[is_returned]]="False",0,1)</f>
        <v>0</v>
      </c>
      <c r="W638">
        <f>IF(BBDD_fashion_boutique[[#This Row],[is_returned]]="True",0,BBDD_fashion_boutique[[#This Row],[current_price]])</f>
        <v>86.82</v>
      </c>
      <c r="X638" t="str">
        <f>IF(BBDD_fashion_boutique[[#This Row],[return_reason]]="","No return",BBDD_fashion_boutique[[#This Row],[return_reason]])</f>
        <v>No return</v>
      </c>
      <c r="Y638">
        <f>IF(IFERROR(VLOOKUP(BBDD_fashion_boutique[[#This Row],[product_id]],A639:A2814,1,FALSE),0),1,0)</f>
        <v>0</v>
      </c>
    </row>
    <row r="639" spans="1:25" x14ac:dyDescent="0.3">
      <c r="A639" t="s">
        <v>698</v>
      </c>
      <c r="B639" t="s">
        <v>35</v>
      </c>
      <c r="C639" t="s">
        <v>20</v>
      </c>
      <c r="D639" t="s">
        <v>68</v>
      </c>
      <c r="E639" t="s">
        <v>29</v>
      </c>
      <c r="F639" t="str">
        <f>IF(BBDD_fashion_boutique[[#This Row],[category]]="Accessories","Accesorio",IF(BBDD_fashion_boutique[[#This Row],[size]]="","Desconocido",BBDD_fashion_boutique[[#This Row],[size]]))</f>
        <v>L</v>
      </c>
      <c r="G639" t="s">
        <v>46</v>
      </c>
      <c r="H639" s="2">
        <v>109.55</v>
      </c>
      <c r="I639">
        <v>0</v>
      </c>
      <c r="J639" s="5">
        <f>BBDD_fashion_boutique[[#This Row],[markdown_percentage]]/100</f>
        <v>0</v>
      </c>
      <c r="K639" s="2">
        <v>109.55</v>
      </c>
      <c r="L639" s="2">
        <f>BBDD_fashion_boutique[[#This Row],[original_price]]-BBDD_fashion_boutique[[#This Row],[current_price]]</f>
        <v>0</v>
      </c>
      <c r="M639" s="1">
        <v>45875</v>
      </c>
      <c r="N639" s="1" t="str">
        <f>PROPER(TEXT(BBDD_fashion_boutique[[#This Row],[purchase_date]],"dddd"))</f>
        <v>Miércoles</v>
      </c>
      <c r="O639" s="1" t="str">
        <f>PROPER(TEXT(BBDD_fashion_boutique[[#This Row],[purchase_date]],"mmmm"))</f>
        <v>Agosto</v>
      </c>
      <c r="P639" s="4">
        <v>32</v>
      </c>
      <c r="Q639" s="2">
        <v>1.4</v>
      </c>
      <c r="R639" t="str">
        <f>IF(BBDD_fashion_boutique[[#This Row],[stock_quantity]]&gt;9,"Ok",IF(BBDD_fashion_boutique[[#This Row],[stock_quantity]]=0,"Agotado","Pocas Unidades"))</f>
        <v>Ok</v>
      </c>
      <c r="S639" s="3">
        <f>IF(BBDD_fashion_boutique[[#This Row],[customer_rating]]="","No valorado",BBDD_fashion_boutique[[#This Row],[customer_rating]])</f>
        <v>1.4</v>
      </c>
      <c r="T639" t="s">
        <v>24</v>
      </c>
      <c r="V639">
        <f>IF(BBDD_fashion_boutique[[#This Row],[is_returned]]="False",0,1)</f>
        <v>0</v>
      </c>
      <c r="W639">
        <f>IF(BBDD_fashion_boutique[[#This Row],[is_returned]]="True",0,BBDD_fashion_boutique[[#This Row],[current_price]])</f>
        <v>109.55</v>
      </c>
      <c r="X639" t="str">
        <f>IF(BBDD_fashion_boutique[[#This Row],[return_reason]]="","No return",BBDD_fashion_boutique[[#This Row],[return_reason]])</f>
        <v>No return</v>
      </c>
      <c r="Y639">
        <f>IF(IFERROR(VLOOKUP(BBDD_fashion_boutique[[#This Row],[product_id]],A640:A2815,1,FALSE),0),1,0)</f>
        <v>0</v>
      </c>
    </row>
    <row r="640" spans="1:25" x14ac:dyDescent="0.3">
      <c r="A640" t="s">
        <v>699</v>
      </c>
      <c r="B640" t="s">
        <v>44</v>
      </c>
      <c r="C640" t="s">
        <v>20</v>
      </c>
      <c r="D640" t="s">
        <v>39</v>
      </c>
      <c r="E640" t="s">
        <v>29</v>
      </c>
      <c r="F640" t="str">
        <f>IF(BBDD_fashion_boutique[[#This Row],[category]]="Accessories","Accesorio",IF(BBDD_fashion_boutique[[#This Row],[size]]="","Desconocido",BBDD_fashion_boutique[[#This Row],[size]]))</f>
        <v>L</v>
      </c>
      <c r="G640" t="s">
        <v>46</v>
      </c>
      <c r="H640" s="2">
        <v>52.94</v>
      </c>
      <c r="I640">
        <v>10.6</v>
      </c>
      <c r="J640" s="5">
        <f>BBDD_fashion_boutique[[#This Row],[markdown_percentage]]/100</f>
        <v>0.106</v>
      </c>
      <c r="K640" s="2">
        <v>47.33</v>
      </c>
      <c r="L640" s="2">
        <f>BBDD_fashion_boutique[[#This Row],[original_price]]-BBDD_fashion_boutique[[#This Row],[current_price]]</f>
        <v>5.6099999999999994</v>
      </c>
      <c r="M640" s="1">
        <v>45875</v>
      </c>
      <c r="N640" s="1" t="str">
        <f>PROPER(TEXT(BBDD_fashion_boutique[[#This Row],[purchase_date]],"dddd"))</f>
        <v>Miércoles</v>
      </c>
      <c r="O640" s="1" t="str">
        <f>PROPER(TEXT(BBDD_fashion_boutique[[#This Row],[purchase_date]],"mmmm"))</f>
        <v>Agosto</v>
      </c>
      <c r="P640" s="4">
        <v>50</v>
      </c>
      <c r="Q640" s="2">
        <v>2.7</v>
      </c>
      <c r="R640" t="str">
        <f>IF(BBDD_fashion_boutique[[#This Row],[stock_quantity]]&gt;9,"Ok",IF(BBDD_fashion_boutique[[#This Row],[stock_quantity]]=0,"Agotado","Pocas Unidades"))</f>
        <v>Ok</v>
      </c>
      <c r="S640" s="3">
        <f>IF(BBDD_fashion_boutique[[#This Row],[customer_rating]]="","No valorado",BBDD_fashion_boutique[[#This Row],[customer_rating]])</f>
        <v>2.7</v>
      </c>
      <c r="T640" t="s">
        <v>24</v>
      </c>
      <c r="V640">
        <f>IF(BBDD_fashion_boutique[[#This Row],[is_returned]]="False",0,1)</f>
        <v>0</v>
      </c>
      <c r="W640">
        <f>IF(BBDD_fashion_boutique[[#This Row],[is_returned]]="True",0,BBDD_fashion_boutique[[#This Row],[current_price]])</f>
        <v>47.33</v>
      </c>
      <c r="X640" t="str">
        <f>IF(BBDD_fashion_boutique[[#This Row],[return_reason]]="","No return",BBDD_fashion_boutique[[#This Row],[return_reason]])</f>
        <v>No return</v>
      </c>
      <c r="Y640">
        <f>IF(IFERROR(VLOOKUP(BBDD_fashion_boutique[[#This Row],[product_id]],A641:A2816,1,FALSE),0),1,0)</f>
        <v>0</v>
      </c>
    </row>
    <row r="641" spans="1:25" x14ac:dyDescent="0.3">
      <c r="A641" t="s">
        <v>700</v>
      </c>
      <c r="B641" t="s">
        <v>44</v>
      </c>
      <c r="C641" t="s">
        <v>37</v>
      </c>
      <c r="D641" t="s">
        <v>28</v>
      </c>
      <c r="E641" t="s">
        <v>61</v>
      </c>
      <c r="F641" t="str">
        <f>IF(BBDD_fashion_boutique[[#This Row],[category]]="Accessories","Accesorio",IF(BBDD_fashion_boutique[[#This Row],[size]]="","Desconocido",BBDD_fashion_boutique[[#This Row],[size]]))</f>
        <v>XS</v>
      </c>
      <c r="G641" t="s">
        <v>30</v>
      </c>
      <c r="H641" s="2">
        <v>70.83</v>
      </c>
      <c r="I641">
        <v>18</v>
      </c>
      <c r="J641" s="5">
        <f>BBDD_fashion_boutique[[#This Row],[markdown_percentage]]/100</f>
        <v>0.18</v>
      </c>
      <c r="K641" s="2">
        <v>58.08</v>
      </c>
      <c r="L641" s="2">
        <f>BBDD_fashion_boutique[[#This Row],[original_price]]-BBDD_fashion_boutique[[#This Row],[current_price]]</f>
        <v>12.75</v>
      </c>
      <c r="M641" s="1">
        <v>45875</v>
      </c>
      <c r="N641" s="1" t="str">
        <f>PROPER(TEXT(BBDD_fashion_boutique[[#This Row],[purchase_date]],"dddd"))</f>
        <v>Miércoles</v>
      </c>
      <c r="O641" s="1" t="str">
        <f>PROPER(TEXT(BBDD_fashion_boutique[[#This Row],[purchase_date]],"mmmm"))</f>
        <v>Agosto</v>
      </c>
      <c r="P641" s="4">
        <v>21</v>
      </c>
      <c r="Q641" s="2">
        <v>2.9</v>
      </c>
      <c r="R641" t="str">
        <f>IF(BBDD_fashion_boutique[[#This Row],[stock_quantity]]&gt;9,"Ok",IF(BBDD_fashion_boutique[[#This Row],[stock_quantity]]=0,"Agotado","Pocas Unidades"))</f>
        <v>Ok</v>
      </c>
      <c r="S641" s="3">
        <f>IF(BBDD_fashion_boutique[[#This Row],[customer_rating]]="","No valorado",BBDD_fashion_boutique[[#This Row],[customer_rating]])</f>
        <v>2.9</v>
      </c>
      <c r="T641" t="s">
        <v>24</v>
      </c>
      <c r="V641">
        <f>IF(BBDD_fashion_boutique[[#This Row],[is_returned]]="False",0,1)</f>
        <v>0</v>
      </c>
      <c r="W641">
        <f>IF(BBDD_fashion_boutique[[#This Row],[is_returned]]="True",0,BBDD_fashion_boutique[[#This Row],[current_price]])</f>
        <v>58.08</v>
      </c>
      <c r="X641" t="str">
        <f>IF(BBDD_fashion_boutique[[#This Row],[return_reason]]="","No return",BBDD_fashion_boutique[[#This Row],[return_reason]])</f>
        <v>No return</v>
      </c>
      <c r="Y641">
        <f>IF(IFERROR(VLOOKUP(BBDD_fashion_boutique[[#This Row],[product_id]],A642:A2817,1,FALSE),0),1,0)</f>
        <v>0</v>
      </c>
    </row>
    <row r="642" spans="1:25" x14ac:dyDescent="0.3">
      <c r="A642" t="s">
        <v>701</v>
      </c>
      <c r="B642" t="s">
        <v>48</v>
      </c>
      <c r="C642" t="s">
        <v>49</v>
      </c>
      <c r="D642" t="s">
        <v>39</v>
      </c>
      <c r="E642" t="s">
        <v>29</v>
      </c>
      <c r="F642" t="str">
        <f>IF(BBDD_fashion_boutique[[#This Row],[category]]="Accessories","Accesorio",IF(BBDD_fashion_boutique[[#This Row],[size]]="","Desconocido",BBDD_fashion_boutique[[#This Row],[size]]))</f>
        <v>L</v>
      </c>
      <c r="G642" t="s">
        <v>70</v>
      </c>
      <c r="H642" s="2">
        <v>53.17</v>
      </c>
      <c r="I642">
        <v>0</v>
      </c>
      <c r="J642" s="5">
        <f>BBDD_fashion_boutique[[#This Row],[markdown_percentage]]/100</f>
        <v>0</v>
      </c>
      <c r="K642" s="2">
        <v>53.17</v>
      </c>
      <c r="L642" s="2">
        <f>BBDD_fashion_boutique[[#This Row],[original_price]]-BBDD_fashion_boutique[[#This Row],[current_price]]</f>
        <v>0</v>
      </c>
      <c r="M642" s="1">
        <v>45875</v>
      </c>
      <c r="N642" s="1" t="str">
        <f>PROPER(TEXT(BBDD_fashion_boutique[[#This Row],[purchase_date]],"dddd"))</f>
        <v>Miércoles</v>
      </c>
      <c r="O642" s="1" t="str">
        <f>PROPER(TEXT(BBDD_fashion_boutique[[#This Row],[purchase_date]],"mmmm"))</f>
        <v>Agosto</v>
      </c>
      <c r="P642" s="4">
        <v>14</v>
      </c>
      <c r="Q642" s="2">
        <v>4.5</v>
      </c>
      <c r="R642" t="str">
        <f>IF(BBDD_fashion_boutique[[#This Row],[stock_quantity]]&gt;9,"Ok",IF(BBDD_fashion_boutique[[#This Row],[stock_quantity]]=0,"Agotado","Pocas Unidades"))</f>
        <v>Ok</v>
      </c>
      <c r="S642" s="3">
        <f>IF(BBDD_fashion_boutique[[#This Row],[customer_rating]]="","No valorado",BBDD_fashion_boutique[[#This Row],[customer_rating]])</f>
        <v>4.5</v>
      </c>
      <c r="T642" t="s">
        <v>41</v>
      </c>
      <c r="U642" t="s">
        <v>121</v>
      </c>
      <c r="V642">
        <f>IF(BBDD_fashion_boutique[[#This Row],[is_returned]]="False",0,1)</f>
        <v>1</v>
      </c>
      <c r="W642">
        <f>IF(BBDD_fashion_boutique[[#This Row],[is_returned]]="True",0,BBDD_fashion_boutique[[#This Row],[current_price]])</f>
        <v>0</v>
      </c>
      <c r="X642" t="str">
        <f>IF(BBDD_fashion_boutique[[#This Row],[return_reason]]="","No return",BBDD_fashion_boutique[[#This Row],[return_reason]])</f>
        <v>Changed Mind</v>
      </c>
      <c r="Y642">
        <f>IF(IFERROR(VLOOKUP(BBDD_fashion_boutique[[#This Row],[product_id]],A643:A2818,1,FALSE),0),1,0)</f>
        <v>0</v>
      </c>
    </row>
    <row r="643" spans="1:25" x14ac:dyDescent="0.3">
      <c r="A643" t="s">
        <v>702</v>
      </c>
      <c r="B643" t="s">
        <v>44</v>
      </c>
      <c r="C643" t="s">
        <v>37</v>
      </c>
      <c r="D643" t="s">
        <v>68</v>
      </c>
      <c r="E643" t="s">
        <v>61</v>
      </c>
      <c r="F643" t="str">
        <f>IF(BBDD_fashion_boutique[[#This Row],[category]]="Accessories","Accesorio",IF(BBDD_fashion_boutique[[#This Row],[size]]="","Desconocido",BBDD_fashion_boutique[[#This Row],[size]]))</f>
        <v>XS</v>
      </c>
      <c r="G643" t="s">
        <v>62</v>
      </c>
      <c r="H643" s="2">
        <v>119.56</v>
      </c>
      <c r="I643">
        <v>46.2</v>
      </c>
      <c r="J643" s="5">
        <f>BBDD_fashion_boutique[[#This Row],[markdown_percentage]]/100</f>
        <v>0.46200000000000002</v>
      </c>
      <c r="K643" s="2">
        <v>64.319999999999993</v>
      </c>
      <c r="L643" s="2">
        <f>BBDD_fashion_boutique[[#This Row],[original_price]]-BBDD_fashion_boutique[[#This Row],[current_price]]</f>
        <v>55.240000000000009</v>
      </c>
      <c r="M643" s="1">
        <v>45875</v>
      </c>
      <c r="N643" s="1" t="str">
        <f>PROPER(TEXT(BBDD_fashion_boutique[[#This Row],[purchase_date]],"dddd"))</f>
        <v>Miércoles</v>
      </c>
      <c r="O643" s="1" t="str">
        <f>PROPER(TEXT(BBDD_fashion_boutique[[#This Row],[purchase_date]],"mmmm"))</f>
        <v>Agosto</v>
      </c>
      <c r="P643" s="4">
        <v>14</v>
      </c>
      <c r="R643" t="str">
        <f>IF(BBDD_fashion_boutique[[#This Row],[stock_quantity]]&gt;9,"Ok",IF(BBDD_fashion_boutique[[#This Row],[stock_quantity]]=0,"Agotado","Pocas Unidades"))</f>
        <v>Ok</v>
      </c>
      <c r="S643" s="3" t="str">
        <f>IF(BBDD_fashion_boutique[[#This Row],[customer_rating]]="","No valorado",BBDD_fashion_boutique[[#This Row],[customer_rating]])</f>
        <v>No valorado</v>
      </c>
      <c r="T643" t="s">
        <v>24</v>
      </c>
      <c r="V643">
        <f>IF(BBDD_fashion_boutique[[#This Row],[is_returned]]="False",0,1)</f>
        <v>0</v>
      </c>
      <c r="W643">
        <f>IF(BBDD_fashion_boutique[[#This Row],[is_returned]]="True",0,BBDD_fashion_boutique[[#This Row],[current_price]])</f>
        <v>64.319999999999993</v>
      </c>
      <c r="X643" t="str">
        <f>IF(BBDD_fashion_boutique[[#This Row],[return_reason]]="","No return",BBDD_fashion_boutique[[#This Row],[return_reason]])</f>
        <v>No return</v>
      </c>
      <c r="Y643">
        <f>IF(IFERROR(VLOOKUP(BBDD_fashion_boutique[[#This Row],[product_id]],A644:A2819,1,FALSE),0),1,0)</f>
        <v>0</v>
      </c>
    </row>
    <row r="644" spans="1:25" x14ac:dyDescent="0.3">
      <c r="A644" t="s">
        <v>703</v>
      </c>
      <c r="B644" t="s">
        <v>48</v>
      </c>
      <c r="C644" t="s">
        <v>49</v>
      </c>
      <c r="D644" t="s">
        <v>28</v>
      </c>
      <c r="E644" t="s">
        <v>45</v>
      </c>
      <c r="F644" t="str">
        <f>IF(BBDD_fashion_boutique[[#This Row],[category]]="Accessories","Accesorio",IF(BBDD_fashion_boutique[[#This Row],[size]]="","Desconocido",BBDD_fashion_boutique[[#This Row],[size]]))</f>
        <v>S</v>
      </c>
      <c r="G644" t="s">
        <v>50</v>
      </c>
      <c r="H644" s="2">
        <v>144.43</v>
      </c>
      <c r="I644">
        <v>0</v>
      </c>
      <c r="J644" s="5">
        <f>BBDD_fashion_boutique[[#This Row],[markdown_percentage]]/100</f>
        <v>0</v>
      </c>
      <c r="K644" s="2">
        <v>144.43</v>
      </c>
      <c r="L644" s="2">
        <f>BBDD_fashion_boutique[[#This Row],[original_price]]-BBDD_fashion_boutique[[#This Row],[current_price]]</f>
        <v>0</v>
      </c>
      <c r="M644" s="1">
        <v>45875</v>
      </c>
      <c r="N644" s="1" t="str">
        <f>PROPER(TEXT(BBDD_fashion_boutique[[#This Row],[purchase_date]],"dddd"))</f>
        <v>Miércoles</v>
      </c>
      <c r="O644" s="1" t="str">
        <f>PROPER(TEXT(BBDD_fashion_boutique[[#This Row],[purchase_date]],"mmmm"))</f>
        <v>Agosto</v>
      </c>
      <c r="P644" s="4">
        <v>41</v>
      </c>
      <c r="Q644" s="2">
        <v>3.6</v>
      </c>
      <c r="R644" t="str">
        <f>IF(BBDD_fashion_boutique[[#This Row],[stock_quantity]]&gt;9,"Ok",IF(BBDD_fashion_boutique[[#This Row],[stock_quantity]]=0,"Agotado","Pocas Unidades"))</f>
        <v>Ok</v>
      </c>
      <c r="S644" s="3">
        <f>IF(BBDD_fashion_boutique[[#This Row],[customer_rating]]="","No valorado",BBDD_fashion_boutique[[#This Row],[customer_rating]])</f>
        <v>3.6</v>
      </c>
      <c r="T644" t="s">
        <v>24</v>
      </c>
      <c r="V644">
        <f>IF(BBDD_fashion_boutique[[#This Row],[is_returned]]="False",0,1)</f>
        <v>0</v>
      </c>
      <c r="W644">
        <f>IF(BBDD_fashion_boutique[[#This Row],[is_returned]]="True",0,BBDD_fashion_boutique[[#This Row],[current_price]])</f>
        <v>144.43</v>
      </c>
      <c r="X644" t="str">
        <f>IF(BBDD_fashion_boutique[[#This Row],[return_reason]]="","No return",BBDD_fashion_boutique[[#This Row],[return_reason]])</f>
        <v>No return</v>
      </c>
      <c r="Y644">
        <f>IF(IFERROR(VLOOKUP(BBDD_fashion_boutique[[#This Row],[product_id]],A645:A2820,1,FALSE),0),1,0)</f>
        <v>0</v>
      </c>
    </row>
    <row r="645" spans="1:25" x14ac:dyDescent="0.3">
      <c r="A645" t="s">
        <v>704</v>
      </c>
      <c r="B645" t="s">
        <v>19</v>
      </c>
      <c r="C645" t="s">
        <v>49</v>
      </c>
      <c r="D645" t="s">
        <v>21</v>
      </c>
      <c r="E645" t="s">
        <v>45</v>
      </c>
      <c r="F645" t="str">
        <f>IF(BBDD_fashion_boutique[[#This Row],[category]]="Accessories","Accesorio",IF(BBDD_fashion_boutique[[#This Row],[size]]="","Desconocido",BBDD_fashion_boutique[[#This Row],[size]]))</f>
        <v>S</v>
      </c>
      <c r="G645" t="s">
        <v>72</v>
      </c>
      <c r="H645" s="2">
        <v>172.93</v>
      </c>
      <c r="I645">
        <v>0</v>
      </c>
      <c r="J645" s="5">
        <f>BBDD_fashion_boutique[[#This Row],[markdown_percentage]]/100</f>
        <v>0</v>
      </c>
      <c r="K645" s="2">
        <v>172.93</v>
      </c>
      <c r="L645" s="2">
        <f>BBDD_fashion_boutique[[#This Row],[original_price]]-BBDD_fashion_boutique[[#This Row],[current_price]]</f>
        <v>0</v>
      </c>
      <c r="M645" s="1">
        <v>45759</v>
      </c>
      <c r="N645" s="1" t="str">
        <f>PROPER(TEXT(BBDD_fashion_boutique[[#This Row],[purchase_date]],"dddd"))</f>
        <v>Sábado</v>
      </c>
      <c r="O645" s="1" t="str">
        <f>PROPER(TEXT(BBDD_fashion_boutique[[#This Row],[purchase_date]],"mmmm"))</f>
        <v>Abril</v>
      </c>
      <c r="P645" s="4">
        <v>43</v>
      </c>
      <c r="Q645" s="2">
        <v>4.7</v>
      </c>
      <c r="R645" t="str">
        <f>IF(BBDD_fashion_boutique[[#This Row],[stock_quantity]]&gt;9,"Ok",IF(BBDD_fashion_boutique[[#This Row],[stock_quantity]]=0,"Agotado","Pocas Unidades"))</f>
        <v>Ok</v>
      </c>
      <c r="S645" s="3">
        <f>IF(BBDD_fashion_boutique[[#This Row],[customer_rating]]="","No valorado",BBDD_fashion_boutique[[#This Row],[customer_rating]])</f>
        <v>4.7</v>
      </c>
      <c r="T645" t="s">
        <v>41</v>
      </c>
      <c r="U645" t="s">
        <v>89</v>
      </c>
      <c r="V645">
        <f>IF(BBDD_fashion_boutique[[#This Row],[is_returned]]="False",0,1)</f>
        <v>1</v>
      </c>
      <c r="W645">
        <f>IF(BBDD_fashion_boutique[[#This Row],[is_returned]]="True",0,BBDD_fashion_boutique[[#This Row],[current_price]])</f>
        <v>0</v>
      </c>
      <c r="X645" t="str">
        <f>IF(BBDD_fashion_boutique[[#This Row],[return_reason]]="","No return",BBDD_fashion_boutique[[#This Row],[return_reason]])</f>
        <v>Quality Issue</v>
      </c>
      <c r="Y645">
        <f>IF(IFERROR(VLOOKUP(BBDD_fashion_boutique[[#This Row],[product_id]],A646:A2821,1,FALSE),0),1,0)</f>
        <v>0</v>
      </c>
    </row>
    <row r="646" spans="1:25" x14ac:dyDescent="0.3">
      <c r="A646" t="s">
        <v>705</v>
      </c>
      <c r="B646" t="s">
        <v>19</v>
      </c>
      <c r="C646" t="s">
        <v>67</v>
      </c>
      <c r="D646" t="s">
        <v>28</v>
      </c>
      <c r="E646" t="s">
        <v>22</v>
      </c>
      <c r="F646" t="str">
        <f>IF(BBDD_fashion_boutique[[#This Row],[category]]="Accessories","Accesorio",IF(BBDD_fashion_boutique[[#This Row],[size]]="","Desconocido",BBDD_fashion_boutique[[#This Row],[size]]))</f>
        <v>XL</v>
      </c>
      <c r="G646" t="s">
        <v>62</v>
      </c>
      <c r="H646" s="2">
        <v>191.95</v>
      </c>
      <c r="I646">
        <v>40.4</v>
      </c>
      <c r="J646" s="5">
        <f>BBDD_fashion_boutique[[#This Row],[markdown_percentage]]/100</f>
        <v>0.40399999999999997</v>
      </c>
      <c r="K646" s="2">
        <v>114.4</v>
      </c>
      <c r="L646" s="2">
        <f>BBDD_fashion_boutique[[#This Row],[original_price]]-BBDD_fashion_boutique[[#This Row],[current_price]]</f>
        <v>77.549999999999983</v>
      </c>
      <c r="M646" s="1">
        <v>45875</v>
      </c>
      <c r="N646" s="1" t="str">
        <f>PROPER(TEXT(BBDD_fashion_boutique[[#This Row],[purchase_date]],"dddd"))</f>
        <v>Miércoles</v>
      </c>
      <c r="O646" s="1" t="str">
        <f>PROPER(TEXT(BBDD_fashion_boutique[[#This Row],[purchase_date]],"mmmm"))</f>
        <v>Agosto</v>
      </c>
      <c r="P646" s="4">
        <v>21</v>
      </c>
      <c r="Q646" s="2">
        <v>2.9</v>
      </c>
      <c r="R646" t="str">
        <f>IF(BBDD_fashion_boutique[[#This Row],[stock_quantity]]&gt;9,"Ok",IF(BBDD_fashion_boutique[[#This Row],[stock_quantity]]=0,"Agotado","Pocas Unidades"))</f>
        <v>Ok</v>
      </c>
      <c r="S646" s="3">
        <f>IF(BBDD_fashion_boutique[[#This Row],[customer_rating]]="","No valorado",BBDD_fashion_boutique[[#This Row],[customer_rating]])</f>
        <v>2.9</v>
      </c>
      <c r="T646" t="s">
        <v>24</v>
      </c>
      <c r="V646">
        <f>IF(BBDD_fashion_boutique[[#This Row],[is_returned]]="False",0,1)</f>
        <v>0</v>
      </c>
      <c r="W646">
        <f>IF(BBDD_fashion_boutique[[#This Row],[is_returned]]="True",0,BBDD_fashion_boutique[[#This Row],[current_price]])</f>
        <v>114.4</v>
      </c>
      <c r="X646" t="str">
        <f>IF(BBDD_fashion_boutique[[#This Row],[return_reason]]="","No return",BBDD_fashion_boutique[[#This Row],[return_reason]])</f>
        <v>No return</v>
      </c>
      <c r="Y646">
        <f>IF(IFERROR(VLOOKUP(BBDD_fashion_boutique[[#This Row],[product_id]],A647:A2822,1,FALSE),0),1,0)</f>
        <v>0</v>
      </c>
    </row>
    <row r="647" spans="1:25" x14ac:dyDescent="0.3">
      <c r="A647" t="s">
        <v>706</v>
      </c>
      <c r="B647" t="s">
        <v>48</v>
      </c>
      <c r="C647" t="s">
        <v>54</v>
      </c>
      <c r="D647" t="s">
        <v>28</v>
      </c>
      <c r="E647" t="s">
        <v>64</v>
      </c>
      <c r="F647" t="str">
        <f>IF(BBDD_fashion_boutique[[#This Row],[category]]="Accessories","Accesorio",IF(BBDD_fashion_boutique[[#This Row],[size]]="","Desconocido",BBDD_fashion_boutique[[#This Row],[size]]))</f>
        <v>M</v>
      </c>
      <c r="G647" t="s">
        <v>33</v>
      </c>
      <c r="H647" s="2">
        <v>128.56</v>
      </c>
      <c r="I647">
        <v>0</v>
      </c>
      <c r="J647" s="5">
        <f>BBDD_fashion_boutique[[#This Row],[markdown_percentage]]/100</f>
        <v>0</v>
      </c>
      <c r="K647" s="2">
        <v>128.56</v>
      </c>
      <c r="L647" s="2">
        <f>BBDD_fashion_boutique[[#This Row],[original_price]]-BBDD_fashion_boutique[[#This Row],[current_price]]</f>
        <v>0</v>
      </c>
      <c r="M647" s="1">
        <v>45875</v>
      </c>
      <c r="N647" s="1" t="str">
        <f>PROPER(TEXT(BBDD_fashion_boutique[[#This Row],[purchase_date]],"dddd"))</f>
        <v>Miércoles</v>
      </c>
      <c r="O647" s="1" t="str">
        <f>PROPER(TEXT(BBDD_fashion_boutique[[#This Row],[purchase_date]],"mmmm"))</f>
        <v>Agosto</v>
      </c>
      <c r="P647" s="4">
        <v>45</v>
      </c>
      <c r="Q647" s="2">
        <v>2.4</v>
      </c>
      <c r="R647" t="str">
        <f>IF(BBDD_fashion_boutique[[#This Row],[stock_quantity]]&gt;9,"Ok",IF(BBDD_fashion_boutique[[#This Row],[stock_quantity]]=0,"Agotado","Pocas Unidades"))</f>
        <v>Ok</v>
      </c>
      <c r="S647" s="3">
        <f>IF(BBDD_fashion_boutique[[#This Row],[customer_rating]]="","No valorado",BBDD_fashion_boutique[[#This Row],[customer_rating]])</f>
        <v>2.4</v>
      </c>
      <c r="T647" t="s">
        <v>24</v>
      </c>
      <c r="V647">
        <f>IF(BBDD_fashion_boutique[[#This Row],[is_returned]]="False",0,1)</f>
        <v>0</v>
      </c>
      <c r="W647">
        <f>IF(BBDD_fashion_boutique[[#This Row],[is_returned]]="True",0,BBDD_fashion_boutique[[#This Row],[current_price]])</f>
        <v>128.56</v>
      </c>
      <c r="X647" t="str">
        <f>IF(BBDD_fashion_boutique[[#This Row],[return_reason]]="","No return",BBDD_fashion_boutique[[#This Row],[return_reason]])</f>
        <v>No return</v>
      </c>
      <c r="Y647">
        <f>IF(IFERROR(VLOOKUP(BBDD_fashion_boutique[[#This Row],[product_id]],A648:A2823,1,FALSE),0),1,0)</f>
        <v>0</v>
      </c>
    </row>
    <row r="648" spans="1:25" x14ac:dyDescent="0.3">
      <c r="A648" t="s">
        <v>707</v>
      </c>
      <c r="B648" t="s">
        <v>48</v>
      </c>
      <c r="C648" t="s">
        <v>54</v>
      </c>
      <c r="D648" t="s">
        <v>68</v>
      </c>
      <c r="E648" t="s">
        <v>29</v>
      </c>
      <c r="F648" t="str">
        <f>IF(BBDD_fashion_boutique[[#This Row],[category]]="Accessories","Accesorio",IF(BBDD_fashion_boutique[[#This Row],[size]]="","Desconocido",BBDD_fashion_boutique[[#This Row],[size]]))</f>
        <v>L</v>
      </c>
      <c r="G648" t="s">
        <v>40</v>
      </c>
      <c r="H648" s="2">
        <v>123.08</v>
      </c>
      <c r="I648">
        <v>53</v>
      </c>
      <c r="J648" s="5">
        <f>BBDD_fashion_boutique[[#This Row],[markdown_percentage]]/100</f>
        <v>0.53</v>
      </c>
      <c r="K648" s="2">
        <v>57.85</v>
      </c>
      <c r="L648" s="2">
        <f>BBDD_fashion_boutique[[#This Row],[original_price]]-BBDD_fashion_boutique[[#This Row],[current_price]]</f>
        <v>65.22999999999999</v>
      </c>
      <c r="M648" s="1">
        <v>45875</v>
      </c>
      <c r="N648" s="1" t="str">
        <f>PROPER(TEXT(BBDD_fashion_boutique[[#This Row],[purchase_date]],"dddd"))</f>
        <v>Miércoles</v>
      </c>
      <c r="O648" s="1" t="str">
        <f>PROPER(TEXT(BBDD_fashion_boutique[[#This Row],[purchase_date]],"mmmm"))</f>
        <v>Agosto</v>
      </c>
      <c r="P648" s="4">
        <v>38</v>
      </c>
      <c r="Q648" s="2">
        <v>2.5</v>
      </c>
      <c r="R648" t="str">
        <f>IF(BBDD_fashion_boutique[[#This Row],[stock_quantity]]&gt;9,"Ok",IF(BBDD_fashion_boutique[[#This Row],[stock_quantity]]=0,"Agotado","Pocas Unidades"))</f>
        <v>Ok</v>
      </c>
      <c r="S648" s="3">
        <f>IF(BBDD_fashion_boutique[[#This Row],[customer_rating]]="","No valorado",BBDD_fashion_boutique[[#This Row],[customer_rating]])</f>
        <v>2.5</v>
      </c>
      <c r="T648" t="s">
        <v>24</v>
      </c>
      <c r="V648">
        <f>IF(BBDD_fashion_boutique[[#This Row],[is_returned]]="False",0,1)</f>
        <v>0</v>
      </c>
      <c r="W648">
        <f>IF(BBDD_fashion_boutique[[#This Row],[is_returned]]="True",0,BBDD_fashion_boutique[[#This Row],[current_price]])</f>
        <v>57.85</v>
      </c>
      <c r="X648" t="str">
        <f>IF(BBDD_fashion_boutique[[#This Row],[return_reason]]="","No return",BBDD_fashion_boutique[[#This Row],[return_reason]])</f>
        <v>No return</v>
      </c>
      <c r="Y648">
        <f>IF(IFERROR(VLOOKUP(BBDD_fashion_boutique[[#This Row],[product_id]],A649:A2824,1,FALSE),0),1,0)</f>
        <v>0</v>
      </c>
    </row>
    <row r="649" spans="1:25" x14ac:dyDescent="0.3">
      <c r="A649" t="s">
        <v>708</v>
      </c>
      <c r="B649" t="s">
        <v>19</v>
      </c>
      <c r="C649" t="s">
        <v>59</v>
      </c>
      <c r="D649" t="s">
        <v>21</v>
      </c>
      <c r="E649" t="s">
        <v>45</v>
      </c>
      <c r="F649" t="str">
        <f>IF(BBDD_fashion_boutique[[#This Row],[category]]="Accessories","Accesorio",IF(BBDD_fashion_boutique[[#This Row],[size]]="","Desconocido",BBDD_fashion_boutique[[#This Row],[size]]))</f>
        <v>S</v>
      </c>
      <c r="G649" t="s">
        <v>72</v>
      </c>
      <c r="H649" s="2">
        <v>119.78</v>
      </c>
      <c r="I649">
        <v>0</v>
      </c>
      <c r="J649" s="5">
        <f>BBDD_fashion_boutique[[#This Row],[markdown_percentage]]/100</f>
        <v>0</v>
      </c>
      <c r="K649" s="2">
        <v>119.78</v>
      </c>
      <c r="L649" s="2">
        <f>BBDD_fashion_boutique[[#This Row],[original_price]]-BBDD_fashion_boutique[[#This Row],[current_price]]</f>
        <v>0</v>
      </c>
      <c r="M649" s="1">
        <v>45751</v>
      </c>
      <c r="N649" s="1" t="str">
        <f>PROPER(TEXT(BBDD_fashion_boutique[[#This Row],[purchase_date]],"dddd"))</f>
        <v>Viernes</v>
      </c>
      <c r="O649" s="1" t="str">
        <f>PROPER(TEXT(BBDD_fashion_boutique[[#This Row],[purchase_date]],"mmmm"))</f>
        <v>Abril</v>
      </c>
      <c r="P649" s="4">
        <v>22</v>
      </c>
      <c r="Q649" s="2">
        <v>1.5</v>
      </c>
      <c r="R649" t="str">
        <f>IF(BBDD_fashion_boutique[[#This Row],[stock_quantity]]&gt;9,"Ok",IF(BBDD_fashion_boutique[[#This Row],[stock_quantity]]=0,"Agotado","Pocas Unidades"))</f>
        <v>Ok</v>
      </c>
      <c r="S649" s="3">
        <f>IF(BBDD_fashion_boutique[[#This Row],[customer_rating]]="","No valorado",BBDD_fashion_boutique[[#This Row],[customer_rating]])</f>
        <v>1.5</v>
      </c>
      <c r="T649" t="s">
        <v>41</v>
      </c>
      <c r="U649" t="s">
        <v>42</v>
      </c>
      <c r="V649">
        <f>IF(BBDD_fashion_boutique[[#This Row],[is_returned]]="False",0,1)</f>
        <v>1</v>
      </c>
      <c r="W649">
        <f>IF(BBDD_fashion_boutique[[#This Row],[is_returned]]="True",0,BBDD_fashion_boutique[[#This Row],[current_price]])</f>
        <v>0</v>
      </c>
      <c r="X649" t="str">
        <f>IF(BBDD_fashion_boutique[[#This Row],[return_reason]]="","No return",BBDD_fashion_boutique[[#This Row],[return_reason]])</f>
        <v>Color Mismatch</v>
      </c>
      <c r="Y649">
        <f>IF(IFERROR(VLOOKUP(BBDD_fashion_boutique[[#This Row],[product_id]],A650:A2825,1,FALSE),0),1,0)</f>
        <v>0</v>
      </c>
    </row>
    <row r="650" spans="1:25" x14ac:dyDescent="0.3">
      <c r="A650" t="s">
        <v>709</v>
      </c>
      <c r="B650" t="s">
        <v>44</v>
      </c>
      <c r="C650" t="s">
        <v>37</v>
      </c>
      <c r="D650" t="s">
        <v>68</v>
      </c>
      <c r="E650" t="s">
        <v>61</v>
      </c>
      <c r="F650" t="str">
        <f>IF(BBDD_fashion_boutique[[#This Row],[category]]="Accessories","Accesorio",IF(BBDD_fashion_boutique[[#This Row],[size]]="","Desconocido",BBDD_fashion_boutique[[#This Row],[size]]))</f>
        <v>XS</v>
      </c>
      <c r="G650" t="s">
        <v>40</v>
      </c>
      <c r="H650" s="2">
        <v>110.6</v>
      </c>
      <c r="I650">
        <v>0</v>
      </c>
      <c r="J650" s="5">
        <f>BBDD_fashion_boutique[[#This Row],[markdown_percentage]]/100</f>
        <v>0</v>
      </c>
      <c r="K650" s="2">
        <v>110.6</v>
      </c>
      <c r="L650" s="2">
        <f>BBDD_fashion_boutique[[#This Row],[original_price]]-BBDD_fashion_boutique[[#This Row],[current_price]]</f>
        <v>0</v>
      </c>
      <c r="M650" s="1">
        <v>45875</v>
      </c>
      <c r="N650" s="1" t="str">
        <f>PROPER(TEXT(BBDD_fashion_boutique[[#This Row],[purchase_date]],"dddd"))</f>
        <v>Miércoles</v>
      </c>
      <c r="O650" s="1" t="str">
        <f>PROPER(TEXT(BBDD_fashion_boutique[[#This Row],[purchase_date]],"mmmm"))</f>
        <v>Agosto</v>
      </c>
      <c r="P650" s="4">
        <v>19</v>
      </c>
      <c r="R650" t="str">
        <f>IF(BBDD_fashion_boutique[[#This Row],[stock_quantity]]&gt;9,"Ok",IF(BBDD_fashion_boutique[[#This Row],[stock_quantity]]=0,"Agotado","Pocas Unidades"))</f>
        <v>Ok</v>
      </c>
      <c r="S650" s="3" t="str">
        <f>IF(BBDD_fashion_boutique[[#This Row],[customer_rating]]="","No valorado",BBDD_fashion_boutique[[#This Row],[customer_rating]])</f>
        <v>No valorado</v>
      </c>
      <c r="T650" t="s">
        <v>41</v>
      </c>
      <c r="U650" t="s">
        <v>42</v>
      </c>
      <c r="V650">
        <f>IF(BBDD_fashion_boutique[[#This Row],[is_returned]]="False",0,1)</f>
        <v>1</v>
      </c>
      <c r="W650">
        <f>IF(BBDD_fashion_boutique[[#This Row],[is_returned]]="True",0,BBDD_fashion_boutique[[#This Row],[current_price]])</f>
        <v>0</v>
      </c>
      <c r="X650" t="str">
        <f>IF(BBDD_fashion_boutique[[#This Row],[return_reason]]="","No return",BBDD_fashion_boutique[[#This Row],[return_reason]])</f>
        <v>Color Mismatch</v>
      </c>
      <c r="Y650">
        <f>IF(IFERROR(VLOOKUP(BBDD_fashion_boutique[[#This Row],[product_id]],A651:A2826,1,FALSE),0),1,0)</f>
        <v>0</v>
      </c>
    </row>
    <row r="651" spans="1:25" x14ac:dyDescent="0.3">
      <c r="A651" t="s">
        <v>710</v>
      </c>
      <c r="B651" t="s">
        <v>26</v>
      </c>
      <c r="C651" t="s">
        <v>20</v>
      </c>
      <c r="D651" t="s">
        <v>21</v>
      </c>
      <c r="E651" t="s">
        <v>45</v>
      </c>
      <c r="F651" t="str">
        <f>IF(BBDD_fashion_boutique[[#This Row],[category]]="Accessories","Accesorio",IF(BBDD_fashion_boutique[[#This Row],[size]]="","Desconocido",BBDD_fashion_boutique[[#This Row],[size]]))</f>
        <v>S</v>
      </c>
      <c r="G651" t="s">
        <v>72</v>
      </c>
      <c r="H651" s="2">
        <v>58.16</v>
      </c>
      <c r="I651">
        <v>0</v>
      </c>
      <c r="J651" s="5">
        <f>BBDD_fashion_boutique[[#This Row],[markdown_percentage]]/100</f>
        <v>0</v>
      </c>
      <c r="K651" s="2">
        <v>58.16</v>
      </c>
      <c r="L651" s="2">
        <f>BBDD_fashion_boutique[[#This Row],[original_price]]-BBDD_fashion_boutique[[#This Row],[current_price]]</f>
        <v>0</v>
      </c>
      <c r="M651" s="1">
        <v>45840</v>
      </c>
      <c r="N651" s="1" t="str">
        <f>PROPER(TEXT(BBDD_fashion_boutique[[#This Row],[purchase_date]],"dddd"))</f>
        <v>Miércoles</v>
      </c>
      <c r="O651" s="1" t="str">
        <f>PROPER(TEXT(BBDD_fashion_boutique[[#This Row],[purchase_date]],"mmmm"))</f>
        <v>Julio</v>
      </c>
      <c r="P651" s="4">
        <v>29</v>
      </c>
      <c r="Q651" s="2">
        <v>4.0999999999999996</v>
      </c>
      <c r="R651" t="str">
        <f>IF(BBDD_fashion_boutique[[#This Row],[stock_quantity]]&gt;9,"Ok",IF(BBDD_fashion_boutique[[#This Row],[stock_quantity]]=0,"Agotado","Pocas Unidades"))</f>
        <v>Ok</v>
      </c>
      <c r="S651" s="3">
        <f>IF(BBDD_fashion_boutique[[#This Row],[customer_rating]]="","No valorado",BBDD_fashion_boutique[[#This Row],[customer_rating]])</f>
        <v>4.0999999999999996</v>
      </c>
      <c r="T651" t="s">
        <v>24</v>
      </c>
      <c r="V651">
        <f>IF(BBDD_fashion_boutique[[#This Row],[is_returned]]="False",0,1)</f>
        <v>0</v>
      </c>
      <c r="W651">
        <f>IF(BBDD_fashion_boutique[[#This Row],[is_returned]]="True",0,BBDD_fashion_boutique[[#This Row],[current_price]])</f>
        <v>58.16</v>
      </c>
      <c r="X651" t="str">
        <f>IF(BBDD_fashion_boutique[[#This Row],[return_reason]]="","No return",BBDD_fashion_boutique[[#This Row],[return_reason]])</f>
        <v>No return</v>
      </c>
      <c r="Y651">
        <f>IF(IFERROR(VLOOKUP(BBDD_fashion_boutique[[#This Row],[product_id]],A652:A2827,1,FALSE),0),1,0)</f>
        <v>0</v>
      </c>
    </row>
    <row r="652" spans="1:25" x14ac:dyDescent="0.3">
      <c r="A652" t="s">
        <v>711</v>
      </c>
      <c r="B652" t="s">
        <v>19</v>
      </c>
      <c r="C652" t="s">
        <v>49</v>
      </c>
      <c r="D652" t="s">
        <v>39</v>
      </c>
      <c r="E652" t="s">
        <v>45</v>
      </c>
      <c r="F652" t="str">
        <f>IF(BBDD_fashion_boutique[[#This Row],[category]]="Accessories","Accesorio",IF(BBDD_fashion_boutique[[#This Row],[size]]="","Desconocido",BBDD_fashion_boutique[[#This Row],[size]]))</f>
        <v>S</v>
      </c>
      <c r="G652" t="s">
        <v>52</v>
      </c>
      <c r="H652" s="2">
        <v>208.82</v>
      </c>
      <c r="I652">
        <v>0</v>
      </c>
      <c r="J652" s="5">
        <f>BBDD_fashion_boutique[[#This Row],[markdown_percentage]]/100</f>
        <v>0</v>
      </c>
      <c r="K652" s="2">
        <v>208.82</v>
      </c>
      <c r="L652" s="2">
        <f>BBDD_fashion_boutique[[#This Row],[original_price]]-BBDD_fashion_boutique[[#This Row],[current_price]]</f>
        <v>0</v>
      </c>
      <c r="M652" s="1">
        <v>45875</v>
      </c>
      <c r="N652" s="1" t="str">
        <f>PROPER(TEXT(BBDD_fashion_boutique[[#This Row],[purchase_date]],"dddd"))</f>
        <v>Miércoles</v>
      </c>
      <c r="O652" s="1" t="str">
        <f>PROPER(TEXT(BBDD_fashion_boutique[[#This Row],[purchase_date]],"mmmm"))</f>
        <v>Agosto</v>
      </c>
      <c r="P652" s="4">
        <v>45</v>
      </c>
      <c r="Q652" s="2">
        <v>1.8</v>
      </c>
      <c r="R652" t="str">
        <f>IF(BBDD_fashion_boutique[[#This Row],[stock_quantity]]&gt;9,"Ok",IF(BBDD_fashion_boutique[[#This Row],[stock_quantity]]=0,"Agotado","Pocas Unidades"))</f>
        <v>Ok</v>
      </c>
      <c r="S652" s="3">
        <f>IF(BBDD_fashion_boutique[[#This Row],[customer_rating]]="","No valorado",BBDD_fashion_boutique[[#This Row],[customer_rating]])</f>
        <v>1.8</v>
      </c>
      <c r="T652" t="s">
        <v>24</v>
      </c>
      <c r="V652">
        <f>IF(BBDD_fashion_boutique[[#This Row],[is_returned]]="False",0,1)</f>
        <v>0</v>
      </c>
      <c r="W652">
        <f>IF(BBDD_fashion_boutique[[#This Row],[is_returned]]="True",0,BBDD_fashion_boutique[[#This Row],[current_price]])</f>
        <v>208.82</v>
      </c>
      <c r="X652" t="str">
        <f>IF(BBDD_fashion_boutique[[#This Row],[return_reason]]="","No return",BBDD_fashion_boutique[[#This Row],[return_reason]])</f>
        <v>No return</v>
      </c>
      <c r="Y652">
        <f>IF(IFERROR(VLOOKUP(BBDD_fashion_boutique[[#This Row],[product_id]],A653:A2828,1,FALSE),0),1,0)</f>
        <v>0</v>
      </c>
    </row>
    <row r="653" spans="1:25" x14ac:dyDescent="0.3">
      <c r="A653" t="s">
        <v>712</v>
      </c>
      <c r="B653" t="s">
        <v>35</v>
      </c>
      <c r="C653" t="s">
        <v>59</v>
      </c>
      <c r="D653" t="s">
        <v>28</v>
      </c>
      <c r="E653" t="s">
        <v>64</v>
      </c>
      <c r="F653" t="str">
        <f>IF(BBDD_fashion_boutique[[#This Row],[category]]="Accessories","Accesorio",IF(BBDD_fashion_boutique[[#This Row],[size]]="","Desconocido",BBDD_fashion_boutique[[#This Row],[size]]))</f>
        <v>M</v>
      </c>
      <c r="G653" t="s">
        <v>33</v>
      </c>
      <c r="H653" s="2">
        <v>192.74</v>
      </c>
      <c r="I653">
        <v>0</v>
      </c>
      <c r="J653" s="5">
        <f>BBDD_fashion_boutique[[#This Row],[markdown_percentage]]/100</f>
        <v>0</v>
      </c>
      <c r="K653" s="2">
        <v>192.74</v>
      </c>
      <c r="L653" s="2">
        <f>BBDD_fashion_boutique[[#This Row],[original_price]]-BBDD_fashion_boutique[[#This Row],[current_price]]</f>
        <v>0</v>
      </c>
      <c r="M653" s="1">
        <v>45875</v>
      </c>
      <c r="N653" s="1" t="str">
        <f>PROPER(TEXT(BBDD_fashion_boutique[[#This Row],[purchase_date]],"dddd"))</f>
        <v>Miércoles</v>
      </c>
      <c r="O653" s="1" t="str">
        <f>PROPER(TEXT(BBDD_fashion_boutique[[#This Row],[purchase_date]],"mmmm"))</f>
        <v>Agosto</v>
      </c>
      <c r="P653" s="4">
        <v>43</v>
      </c>
      <c r="Q653" s="2">
        <v>4.3</v>
      </c>
      <c r="R653" t="str">
        <f>IF(BBDD_fashion_boutique[[#This Row],[stock_quantity]]&gt;9,"Ok",IF(BBDD_fashion_boutique[[#This Row],[stock_quantity]]=0,"Agotado","Pocas Unidades"))</f>
        <v>Ok</v>
      </c>
      <c r="S653" s="3">
        <f>IF(BBDD_fashion_boutique[[#This Row],[customer_rating]]="","No valorado",BBDD_fashion_boutique[[#This Row],[customer_rating]])</f>
        <v>4.3</v>
      </c>
      <c r="T653" t="s">
        <v>24</v>
      </c>
      <c r="V653">
        <f>IF(BBDD_fashion_boutique[[#This Row],[is_returned]]="False",0,1)</f>
        <v>0</v>
      </c>
      <c r="W653">
        <f>IF(BBDD_fashion_boutique[[#This Row],[is_returned]]="True",0,BBDD_fashion_boutique[[#This Row],[current_price]])</f>
        <v>192.74</v>
      </c>
      <c r="X653" t="str">
        <f>IF(BBDD_fashion_boutique[[#This Row],[return_reason]]="","No return",BBDD_fashion_boutique[[#This Row],[return_reason]])</f>
        <v>No return</v>
      </c>
      <c r="Y653">
        <f>IF(IFERROR(VLOOKUP(BBDD_fashion_boutique[[#This Row],[product_id]],A654:A2829,1,FALSE),0),1,0)</f>
        <v>0</v>
      </c>
    </row>
    <row r="654" spans="1:25" x14ac:dyDescent="0.3">
      <c r="A654" t="s">
        <v>713</v>
      </c>
      <c r="B654" t="s">
        <v>32</v>
      </c>
      <c r="C654" t="s">
        <v>67</v>
      </c>
      <c r="D654" t="s">
        <v>39</v>
      </c>
      <c r="F654" t="str">
        <f>IF(BBDD_fashion_boutique[[#This Row],[category]]="Accessories","Accesorio",IF(BBDD_fashion_boutique[[#This Row],[size]]="","Desconocido",BBDD_fashion_boutique[[#This Row],[size]]))</f>
        <v>Accesorio</v>
      </c>
      <c r="G654" t="s">
        <v>23</v>
      </c>
      <c r="H654" s="2">
        <v>71.819999999999993</v>
      </c>
      <c r="I654">
        <v>18.399999999999999</v>
      </c>
      <c r="J654" s="5">
        <f>BBDD_fashion_boutique[[#This Row],[markdown_percentage]]/100</f>
        <v>0.184</v>
      </c>
      <c r="K654" s="2">
        <v>58.61</v>
      </c>
      <c r="L654" s="2">
        <f>BBDD_fashion_boutique[[#This Row],[original_price]]-BBDD_fashion_boutique[[#This Row],[current_price]]</f>
        <v>13.209999999999994</v>
      </c>
      <c r="M654" s="1">
        <v>45875</v>
      </c>
      <c r="N654" s="1" t="str">
        <f>PROPER(TEXT(BBDD_fashion_boutique[[#This Row],[purchase_date]],"dddd"))</f>
        <v>Miércoles</v>
      </c>
      <c r="O654" s="1" t="str">
        <f>PROPER(TEXT(BBDD_fashion_boutique[[#This Row],[purchase_date]],"mmmm"))</f>
        <v>Agosto</v>
      </c>
      <c r="P654" s="4">
        <v>50</v>
      </c>
      <c r="Q654" s="2">
        <v>1.9</v>
      </c>
      <c r="R654" t="str">
        <f>IF(BBDD_fashion_boutique[[#This Row],[stock_quantity]]&gt;9,"Ok",IF(BBDD_fashion_boutique[[#This Row],[stock_quantity]]=0,"Agotado","Pocas Unidades"))</f>
        <v>Ok</v>
      </c>
      <c r="S654" s="3">
        <f>IF(BBDD_fashion_boutique[[#This Row],[customer_rating]]="","No valorado",BBDD_fashion_boutique[[#This Row],[customer_rating]])</f>
        <v>1.9</v>
      </c>
      <c r="T654" t="s">
        <v>24</v>
      </c>
      <c r="V654">
        <f>IF(BBDD_fashion_boutique[[#This Row],[is_returned]]="False",0,1)</f>
        <v>0</v>
      </c>
      <c r="W654">
        <f>IF(BBDD_fashion_boutique[[#This Row],[is_returned]]="True",0,BBDD_fashion_boutique[[#This Row],[current_price]])</f>
        <v>58.61</v>
      </c>
      <c r="X654" t="str">
        <f>IF(BBDD_fashion_boutique[[#This Row],[return_reason]]="","No return",BBDD_fashion_boutique[[#This Row],[return_reason]])</f>
        <v>No return</v>
      </c>
      <c r="Y654">
        <f>IF(IFERROR(VLOOKUP(BBDD_fashion_boutique[[#This Row],[product_id]],A655:A2830,1,FALSE),0),1,0)</f>
        <v>0</v>
      </c>
    </row>
    <row r="655" spans="1:25" x14ac:dyDescent="0.3">
      <c r="A655" t="s">
        <v>714</v>
      </c>
      <c r="B655" t="s">
        <v>35</v>
      </c>
      <c r="C655" t="s">
        <v>20</v>
      </c>
      <c r="D655" t="s">
        <v>68</v>
      </c>
      <c r="E655" t="s">
        <v>61</v>
      </c>
      <c r="F655" t="str">
        <f>IF(BBDD_fashion_boutique[[#This Row],[category]]="Accessories","Accesorio",IF(BBDD_fashion_boutique[[#This Row],[size]]="","Desconocido",BBDD_fashion_boutique[[#This Row],[size]]))</f>
        <v>XS</v>
      </c>
      <c r="G655" t="s">
        <v>23</v>
      </c>
      <c r="H655" s="2">
        <v>145.4</v>
      </c>
      <c r="I655">
        <v>0</v>
      </c>
      <c r="J655" s="5">
        <f>BBDD_fashion_boutique[[#This Row],[markdown_percentage]]/100</f>
        <v>0</v>
      </c>
      <c r="K655" s="2">
        <v>145.4</v>
      </c>
      <c r="L655" s="2">
        <f>BBDD_fashion_boutique[[#This Row],[original_price]]-BBDD_fashion_boutique[[#This Row],[current_price]]</f>
        <v>0</v>
      </c>
      <c r="M655" s="1">
        <v>45875</v>
      </c>
      <c r="N655" s="1" t="str">
        <f>PROPER(TEXT(BBDD_fashion_boutique[[#This Row],[purchase_date]],"dddd"))</f>
        <v>Miércoles</v>
      </c>
      <c r="O655" s="1" t="str">
        <f>PROPER(TEXT(BBDD_fashion_boutique[[#This Row],[purchase_date]],"mmmm"))</f>
        <v>Agosto</v>
      </c>
      <c r="P655" s="4">
        <v>14</v>
      </c>
      <c r="Q655" s="2">
        <v>2</v>
      </c>
      <c r="R655" t="str">
        <f>IF(BBDD_fashion_boutique[[#This Row],[stock_quantity]]&gt;9,"Ok",IF(BBDD_fashion_boutique[[#This Row],[stock_quantity]]=0,"Agotado","Pocas Unidades"))</f>
        <v>Ok</v>
      </c>
      <c r="S655" s="3">
        <f>IF(BBDD_fashion_boutique[[#This Row],[customer_rating]]="","No valorado",BBDD_fashion_boutique[[#This Row],[customer_rating]])</f>
        <v>2</v>
      </c>
      <c r="T655" t="s">
        <v>24</v>
      </c>
      <c r="V655">
        <f>IF(BBDD_fashion_boutique[[#This Row],[is_returned]]="False",0,1)</f>
        <v>0</v>
      </c>
      <c r="W655">
        <f>IF(BBDD_fashion_boutique[[#This Row],[is_returned]]="True",0,BBDD_fashion_boutique[[#This Row],[current_price]])</f>
        <v>145.4</v>
      </c>
      <c r="X655" t="str">
        <f>IF(BBDD_fashion_boutique[[#This Row],[return_reason]]="","No return",BBDD_fashion_boutique[[#This Row],[return_reason]])</f>
        <v>No return</v>
      </c>
      <c r="Y655">
        <f>IF(IFERROR(VLOOKUP(BBDD_fashion_boutique[[#This Row],[product_id]],A656:A2831,1,FALSE),0),1,0)</f>
        <v>0</v>
      </c>
    </row>
    <row r="656" spans="1:25" x14ac:dyDescent="0.3">
      <c r="A656" t="s">
        <v>715</v>
      </c>
      <c r="B656" t="s">
        <v>44</v>
      </c>
      <c r="C656" t="s">
        <v>49</v>
      </c>
      <c r="D656" t="s">
        <v>68</v>
      </c>
      <c r="E656" t="s">
        <v>55</v>
      </c>
      <c r="F656" t="str">
        <f>IF(BBDD_fashion_boutique[[#This Row],[category]]="Accessories","Accesorio",IF(BBDD_fashion_boutique[[#This Row],[size]]="","Desconocido",BBDD_fashion_boutique[[#This Row],[size]]))</f>
        <v>XXL</v>
      </c>
      <c r="G656" t="s">
        <v>76</v>
      </c>
      <c r="H656" s="2">
        <v>51.94</v>
      </c>
      <c r="I656">
        <v>0</v>
      </c>
      <c r="J656" s="5">
        <f>BBDD_fashion_boutique[[#This Row],[markdown_percentage]]/100</f>
        <v>0</v>
      </c>
      <c r="K656" s="2">
        <v>51.94</v>
      </c>
      <c r="L656" s="2">
        <f>BBDD_fashion_boutique[[#This Row],[original_price]]-BBDD_fashion_boutique[[#This Row],[current_price]]</f>
        <v>0</v>
      </c>
      <c r="M656" s="1">
        <v>45875</v>
      </c>
      <c r="N656" s="1" t="str">
        <f>PROPER(TEXT(BBDD_fashion_boutique[[#This Row],[purchase_date]],"dddd"))</f>
        <v>Miércoles</v>
      </c>
      <c r="O656" s="1" t="str">
        <f>PROPER(TEXT(BBDD_fashion_boutique[[#This Row],[purchase_date]],"mmmm"))</f>
        <v>Agosto</v>
      </c>
      <c r="P656" s="4">
        <v>9</v>
      </c>
      <c r="Q656" s="2">
        <v>3.2</v>
      </c>
      <c r="R656" t="str">
        <f>IF(BBDD_fashion_boutique[[#This Row],[stock_quantity]]&gt;9,"Ok",IF(BBDD_fashion_boutique[[#This Row],[stock_quantity]]=0,"Agotado","Pocas Unidades"))</f>
        <v>Pocas Unidades</v>
      </c>
      <c r="S656" s="3">
        <f>IF(BBDD_fashion_boutique[[#This Row],[customer_rating]]="","No valorado",BBDD_fashion_boutique[[#This Row],[customer_rating]])</f>
        <v>3.2</v>
      </c>
      <c r="T656" t="s">
        <v>24</v>
      </c>
      <c r="V656">
        <f>IF(BBDD_fashion_boutique[[#This Row],[is_returned]]="False",0,1)</f>
        <v>0</v>
      </c>
      <c r="W656">
        <f>IF(BBDD_fashion_boutique[[#This Row],[is_returned]]="True",0,BBDD_fashion_boutique[[#This Row],[current_price]])</f>
        <v>51.94</v>
      </c>
      <c r="X656" t="str">
        <f>IF(BBDD_fashion_boutique[[#This Row],[return_reason]]="","No return",BBDD_fashion_boutique[[#This Row],[return_reason]])</f>
        <v>No return</v>
      </c>
      <c r="Y656">
        <f>IF(IFERROR(VLOOKUP(BBDD_fashion_boutique[[#This Row],[product_id]],A657:A2832,1,FALSE),0),1,0)</f>
        <v>0</v>
      </c>
    </row>
    <row r="657" spans="1:25" x14ac:dyDescent="0.3">
      <c r="A657" t="s">
        <v>716</v>
      </c>
      <c r="B657" t="s">
        <v>32</v>
      </c>
      <c r="C657" t="s">
        <v>59</v>
      </c>
      <c r="D657" t="s">
        <v>21</v>
      </c>
      <c r="F657" t="str">
        <f>IF(BBDD_fashion_boutique[[#This Row],[category]]="Accessories","Accesorio",IF(BBDD_fashion_boutique[[#This Row],[size]]="","Desconocido",BBDD_fashion_boutique[[#This Row],[size]]))</f>
        <v>Accesorio</v>
      </c>
      <c r="G657" t="s">
        <v>33</v>
      </c>
      <c r="H657" s="2">
        <v>77.48</v>
      </c>
      <c r="I657">
        <v>0</v>
      </c>
      <c r="J657" s="5">
        <f>BBDD_fashion_boutique[[#This Row],[markdown_percentage]]/100</f>
        <v>0</v>
      </c>
      <c r="K657" s="2">
        <v>77.48</v>
      </c>
      <c r="L657" s="2">
        <f>BBDD_fashion_boutique[[#This Row],[original_price]]-BBDD_fashion_boutique[[#This Row],[current_price]]</f>
        <v>0</v>
      </c>
      <c r="M657" s="1">
        <v>45572</v>
      </c>
      <c r="N657" s="1" t="str">
        <f>PROPER(TEXT(BBDD_fashion_boutique[[#This Row],[purchase_date]],"dddd"))</f>
        <v>Lunes</v>
      </c>
      <c r="O657" s="1" t="str">
        <f>PROPER(TEXT(BBDD_fashion_boutique[[#This Row],[purchase_date]],"mmmm"))</f>
        <v>Octubre</v>
      </c>
      <c r="P657" s="4">
        <v>49</v>
      </c>
      <c r="Q657" s="2">
        <v>3.3</v>
      </c>
      <c r="R657" t="str">
        <f>IF(BBDD_fashion_boutique[[#This Row],[stock_quantity]]&gt;9,"Ok",IF(BBDD_fashion_boutique[[#This Row],[stock_quantity]]=0,"Agotado","Pocas Unidades"))</f>
        <v>Ok</v>
      </c>
      <c r="S657" s="3">
        <f>IF(BBDD_fashion_boutique[[#This Row],[customer_rating]]="","No valorado",BBDD_fashion_boutique[[#This Row],[customer_rating]])</f>
        <v>3.3</v>
      </c>
      <c r="T657" t="s">
        <v>41</v>
      </c>
      <c r="U657" t="s">
        <v>89</v>
      </c>
      <c r="V657">
        <f>IF(BBDD_fashion_boutique[[#This Row],[is_returned]]="False",0,1)</f>
        <v>1</v>
      </c>
      <c r="W657">
        <f>IF(BBDD_fashion_boutique[[#This Row],[is_returned]]="True",0,BBDD_fashion_boutique[[#This Row],[current_price]])</f>
        <v>0</v>
      </c>
      <c r="X657" t="str">
        <f>IF(BBDD_fashion_boutique[[#This Row],[return_reason]]="","No return",BBDD_fashion_boutique[[#This Row],[return_reason]])</f>
        <v>Quality Issue</v>
      </c>
      <c r="Y657">
        <f>IF(IFERROR(VLOOKUP(BBDD_fashion_boutique[[#This Row],[product_id]],A658:A2833,1,FALSE),0),1,0)</f>
        <v>0</v>
      </c>
    </row>
    <row r="658" spans="1:25" x14ac:dyDescent="0.3">
      <c r="A658" t="s">
        <v>717</v>
      </c>
      <c r="B658" t="s">
        <v>48</v>
      </c>
      <c r="C658" t="s">
        <v>49</v>
      </c>
      <c r="D658" t="s">
        <v>68</v>
      </c>
      <c r="E658" t="s">
        <v>29</v>
      </c>
      <c r="F658" t="str">
        <f>IF(BBDD_fashion_boutique[[#This Row],[category]]="Accessories","Accesorio",IF(BBDD_fashion_boutique[[#This Row],[size]]="","Desconocido",BBDD_fashion_boutique[[#This Row],[size]]))</f>
        <v>L</v>
      </c>
      <c r="G658" t="s">
        <v>33</v>
      </c>
      <c r="H658" s="2">
        <v>59.66</v>
      </c>
      <c r="I658">
        <v>45.2</v>
      </c>
      <c r="J658" s="5">
        <f>BBDD_fashion_boutique[[#This Row],[markdown_percentage]]/100</f>
        <v>0.45200000000000001</v>
      </c>
      <c r="K658" s="2">
        <v>32.69</v>
      </c>
      <c r="L658" s="2">
        <f>BBDD_fashion_boutique[[#This Row],[original_price]]-BBDD_fashion_boutique[[#This Row],[current_price]]</f>
        <v>26.97</v>
      </c>
      <c r="M658" s="1">
        <v>45875</v>
      </c>
      <c r="N658" s="1" t="str">
        <f>PROPER(TEXT(BBDD_fashion_boutique[[#This Row],[purchase_date]],"dddd"))</f>
        <v>Miércoles</v>
      </c>
      <c r="O658" s="1" t="str">
        <f>PROPER(TEXT(BBDD_fashion_boutique[[#This Row],[purchase_date]],"mmmm"))</f>
        <v>Agosto</v>
      </c>
      <c r="P658" s="4">
        <v>14</v>
      </c>
      <c r="Q658" s="2">
        <v>2.6</v>
      </c>
      <c r="R658" t="str">
        <f>IF(BBDD_fashion_boutique[[#This Row],[stock_quantity]]&gt;9,"Ok",IF(BBDD_fashion_boutique[[#This Row],[stock_quantity]]=0,"Agotado","Pocas Unidades"))</f>
        <v>Ok</v>
      </c>
      <c r="S658" s="3">
        <f>IF(BBDD_fashion_boutique[[#This Row],[customer_rating]]="","No valorado",BBDD_fashion_boutique[[#This Row],[customer_rating]])</f>
        <v>2.6</v>
      </c>
      <c r="T658" t="s">
        <v>24</v>
      </c>
      <c r="V658">
        <f>IF(BBDD_fashion_boutique[[#This Row],[is_returned]]="False",0,1)</f>
        <v>0</v>
      </c>
      <c r="W658">
        <f>IF(BBDD_fashion_boutique[[#This Row],[is_returned]]="True",0,BBDD_fashion_boutique[[#This Row],[current_price]])</f>
        <v>32.69</v>
      </c>
      <c r="X658" t="str">
        <f>IF(BBDD_fashion_boutique[[#This Row],[return_reason]]="","No return",BBDD_fashion_boutique[[#This Row],[return_reason]])</f>
        <v>No return</v>
      </c>
      <c r="Y658">
        <f>IF(IFERROR(VLOOKUP(BBDD_fashion_boutique[[#This Row],[product_id]],A659:A2834,1,FALSE),0),1,0)</f>
        <v>0</v>
      </c>
    </row>
    <row r="659" spans="1:25" x14ac:dyDescent="0.3">
      <c r="A659" t="s">
        <v>718</v>
      </c>
      <c r="B659" t="s">
        <v>44</v>
      </c>
      <c r="C659" t="s">
        <v>27</v>
      </c>
      <c r="D659" t="s">
        <v>68</v>
      </c>
      <c r="E659" t="s">
        <v>45</v>
      </c>
      <c r="F659" t="str">
        <f>IF(BBDD_fashion_boutique[[#This Row],[category]]="Accessories","Accesorio",IF(BBDD_fashion_boutique[[#This Row],[size]]="","Desconocido",BBDD_fashion_boutique[[#This Row],[size]]))</f>
        <v>S</v>
      </c>
      <c r="G659" t="s">
        <v>23</v>
      </c>
      <c r="H659" s="2">
        <v>102.07</v>
      </c>
      <c r="I659">
        <v>0</v>
      </c>
      <c r="J659" s="5">
        <f>BBDD_fashion_boutique[[#This Row],[markdown_percentage]]/100</f>
        <v>0</v>
      </c>
      <c r="K659" s="2">
        <v>102.07</v>
      </c>
      <c r="L659" s="2">
        <f>BBDD_fashion_boutique[[#This Row],[original_price]]-BBDD_fashion_boutique[[#This Row],[current_price]]</f>
        <v>0</v>
      </c>
      <c r="M659" s="1">
        <v>45875</v>
      </c>
      <c r="N659" s="1" t="str">
        <f>PROPER(TEXT(BBDD_fashion_boutique[[#This Row],[purchase_date]],"dddd"))</f>
        <v>Miércoles</v>
      </c>
      <c r="O659" s="1" t="str">
        <f>PROPER(TEXT(BBDD_fashion_boutique[[#This Row],[purchase_date]],"mmmm"))</f>
        <v>Agosto</v>
      </c>
      <c r="P659" s="4">
        <v>26</v>
      </c>
      <c r="R659" t="str">
        <f>IF(BBDD_fashion_boutique[[#This Row],[stock_quantity]]&gt;9,"Ok",IF(BBDD_fashion_boutique[[#This Row],[stock_quantity]]=0,"Agotado","Pocas Unidades"))</f>
        <v>Ok</v>
      </c>
      <c r="S659" s="3" t="str">
        <f>IF(BBDD_fashion_boutique[[#This Row],[customer_rating]]="","No valorado",BBDD_fashion_boutique[[#This Row],[customer_rating]])</f>
        <v>No valorado</v>
      </c>
      <c r="T659" t="s">
        <v>41</v>
      </c>
      <c r="U659" t="s">
        <v>42</v>
      </c>
      <c r="V659">
        <f>IF(BBDD_fashion_boutique[[#This Row],[is_returned]]="False",0,1)</f>
        <v>1</v>
      </c>
      <c r="W659">
        <f>IF(BBDD_fashion_boutique[[#This Row],[is_returned]]="True",0,BBDD_fashion_boutique[[#This Row],[current_price]])</f>
        <v>0</v>
      </c>
      <c r="X659" t="str">
        <f>IF(BBDD_fashion_boutique[[#This Row],[return_reason]]="","No return",BBDD_fashion_boutique[[#This Row],[return_reason]])</f>
        <v>Color Mismatch</v>
      </c>
      <c r="Y659">
        <f>IF(IFERROR(VLOOKUP(BBDD_fashion_boutique[[#This Row],[product_id]],A660:A2835,1,FALSE),0),1,0)</f>
        <v>0</v>
      </c>
    </row>
    <row r="660" spans="1:25" x14ac:dyDescent="0.3">
      <c r="A660" t="s">
        <v>719</v>
      </c>
      <c r="B660" t="s">
        <v>32</v>
      </c>
      <c r="C660" t="s">
        <v>37</v>
      </c>
      <c r="D660" t="s">
        <v>21</v>
      </c>
      <c r="F660" t="str">
        <f>IF(BBDD_fashion_boutique[[#This Row],[category]]="Accessories","Accesorio",IF(BBDD_fashion_boutique[[#This Row],[size]]="","Desconocido",BBDD_fashion_boutique[[#This Row],[size]]))</f>
        <v>Accesorio</v>
      </c>
      <c r="G660" t="s">
        <v>46</v>
      </c>
      <c r="H660" s="2">
        <v>48.57</v>
      </c>
      <c r="I660">
        <v>0</v>
      </c>
      <c r="J660" s="5">
        <f>BBDD_fashion_boutique[[#This Row],[markdown_percentage]]/100</f>
        <v>0</v>
      </c>
      <c r="K660" s="2">
        <v>48.57</v>
      </c>
      <c r="L660" s="2">
        <f>BBDD_fashion_boutique[[#This Row],[original_price]]-BBDD_fashion_boutique[[#This Row],[current_price]]</f>
        <v>0</v>
      </c>
      <c r="M660" s="1">
        <v>45632</v>
      </c>
      <c r="N660" s="1" t="str">
        <f>PROPER(TEXT(BBDD_fashion_boutique[[#This Row],[purchase_date]],"dddd"))</f>
        <v>Viernes</v>
      </c>
      <c r="O660" s="1" t="str">
        <f>PROPER(TEXT(BBDD_fashion_boutique[[#This Row],[purchase_date]],"mmmm"))</f>
        <v>Diciembre</v>
      </c>
      <c r="P660" s="4">
        <v>12</v>
      </c>
      <c r="Q660" s="2">
        <v>4.7</v>
      </c>
      <c r="R660" t="str">
        <f>IF(BBDD_fashion_boutique[[#This Row],[stock_quantity]]&gt;9,"Ok",IF(BBDD_fashion_boutique[[#This Row],[stock_quantity]]=0,"Agotado","Pocas Unidades"))</f>
        <v>Ok</v>
      </c>
      <c r="S660" s="3">
        <f>IF(BBDD_fashion_boutique[[#This Row],[customer_rating]]="","No valorado",BBDD_fashion_boutique[[#This Row],[customer_rating]])</f>
        <v>4.7</v>
      </c>
      <c r="T660" t="s">
        <v>24</v>
      </c>
      <c r="V660">
        <f>IF(BBDD_fashion_boutique[[#This Row],[is_returned]]="False",0,1)</f>
        <v>0</v>
      </c>
      <c r="W660">
        <f>IF(BBDD_fashion_boutique[[#This Row],[is_returned]]="True",0,BBDD_fashion_boutique[[#This Row],[current_price]])</f>
        <v>48.57</v>
      </c>
      <c r="X660" t="str">
        <f>IF(BBDD_fashion_boutique[[#This Row],[return_reason]]="","No return",BBDD_fashion_boutique[[#This Row],[return_reason]])</f>
        <v>No return</v>
      </c>
      <c r="Y660">
        <f>IF(IFERROR(VLOOKUP(BBDD_fashion_boutique[[#This Row],[product_id]],A661:A2836,1,FALSE),0),1,0)</f>
        <v>0</v>
      </c>
    </row>
    <row r="661" spans="1:25" x14ac:dyDescent="0.3">
      <c r="A661" t="s">
        <v>720</v>
      </c>
      <c r="B661" t="s">
        <v>35</v>
      </c>
      <c r="C661" t="s">
        <v>67</v>
      </c>
      <c r="D661" t="s">
        <v>68</v>
      </c>
      <c r="E661" t="s">
        <v>64</v>
      </c>
      <c r="F661" t="str">
        <f>IF(BBDD_fashion_boutique[[#This Row],[category]]="Accessories","Accesorio",IF(BBDD_fashion_boutique[[#This Row],[size]]="","Desconocido",BBDD_fashion_boutique[[#This Row],[size]]))</f>
        <v>M</v>
      </c>
      <c r="G661" t="s">
        <v>70</v>
      </c>
      <c r="H661" s="2">
        <v>121.55</v>
      </c>
      <c r="I661">
        <v>0</v>
      </c>
      <c r="J661" s="5">
        <f>BBDD_fashion_boutique[[#This Row],[markdown_percentage]]/100</f>
        <v>0</v>
      </c>
      <c r="K661" s="2">
        <v>121.55</v>
      </c>
      <c r="L661" s="2">
        <f>BBDD_fashion_boutique[[#This Row],[original_price]]-BBDD_fashion_boutique[[#This Row],[current_price]]</f>
        <v>0</v>
      </c>
      <c r="M661" s="1">
        <v>45875</v>
      </c>
      <c r="N661" s="1" t="str">
        <f>PROPER(TEXT(BBDD_fashion_boutique[[#This Row],[purchase_date]],"dddd"))</f>
        <v>Miércoles</v>
      </c>
      <c r="O661" s="1" t="str">
        <f>PROPER(TEXT(BBDD_fashion_boutique[[#This Row],[purchase_date]],"mmmm"))</f>
        <v>Agosto</v>
      </c>
      <c r="P661" s="4">
        <v>16</v>
      </c>
      <c r="R661" t="str">
        <f>IF(BBDD_fashion_boutique[[#This Row],[stock_quantity]]&gt;9,"Ok",IF(BBDD_fashion_boutique[[#This Row],[stock_quantity]]=0,"Agotado","Pocas Unidades"))</f>
        <v>Ok</v>
      </c>
      <c r="S661" s="3" t="str">
        <f>IF(BBDD_fashion_boutique[[#This Row],[customer_rating]]="","No valorado",BBDD_fashion_boutique[[#This Row],[customer_rating]])</f>
        <v>No valorado</v>
      </c>
      <c r="T661" t="s">
        <v>41</v>
      </c>
      <c r="U661" t="s">
        <v>84</v>
      </c>
      <c r="V661">
        <f>IF(BBDD_fashion_boutique[[#This Row],[is_returned]]="False",0,1)</f>
        <v>1</v>
      </c>
      <c r="W661">
        <f>IF(BBDD_fashion_boutique[[#This Row],[is_returned]]="True",0,BBDD_fashion_boutique[[#This Row],[current_price]])</f>
        <v>0</v>
      </c>
      <c r="X661" t="str">
        <f>IF(BBDD_fashion_boutique[[#This Row],[return_reason]]="","No return",BBDD_fashion_boutique[[#This Row],[return_reason]])</f>
        <v>Damaged</v>
      </c>
      <c r="Y661">
        <f>IF(IFERROR(VLOOKUP(BBDD_fashion_boutique[[#This Row],[product_id]],A662:A2837,1,FALSE),0),1,0)</f>
        <v>0</v>
      </c>
    </row>
    <row r="662" spans="1:25" x14ac:dyDescent="0.3">
      <c r="A662" t="s">
        <v>721</v>
      </c>
      <c r="B662" t="s">
        <v>32</v>
      </c>
      <c r="C662" t="s">
        <v>59</v>
      </c>
      <c r="D662" t="s">
        <v>28</v>
      </c>
      <c r="F662" t="str">
        <f>IF(BBDD_fashion_boutique[[#This Row],[category]]="Accessories","Accesorio",IF(BBDD_fashion_boutique[[#This Row],[size]]="","Desconocido",BBDD_fashion_boutique[[#This Row],[size]]))</f>
        <v>Accesorio</v>
      </c>
      <c r="G662" t="s">
        <v>70</v>
      </c>
      <c r="H662" s="2">
        <v>59.22</v>
      </c>
      <c r="I662">
        <v>44.8</v>
      </c>
      <c r="J662" s="5">
        <f>BBDD_fashion_boutique[[#This Row],[markdown_percentage]]/100</f>
        <v>0.44799999999999995</v>
      </c>
      <c r="K662" s="2">
        <v>32.69</v>
      </c>
      <c r="L662" s="2">
        <f>BBDD_fashion_boutique[[#This Row],[original_price]]-BBDD_fashion_boutique[[#This Row],[current_price]]</f>
        <v>26.53</v>
      </c>
      <c r="M662" s="1">
        <v>45875</v>
      </c>
      <c r="N662" s="1" t="str">
        <f>PROPER(TEXT(BBDD_fashion_boutique[[#This Row],[purchase_date]],"dddd"))</f>
        <v>Miércoles</v>
      </c>
      <c r="O662" s="1" t="str">
        <f>PROPER(TEXT(BBDD_fashion_boutique[[#This Row],[purchase_date]],"mmmm"))</f>
        <v>Agosto</v>
      </c>
      <c r="P662" s="4">
        <v>21</v>
      </c>
      <c r="Q662" s="2">
        <v>2</v>
      </c>
      <c r="R662" t="str">
        <f>IF(BBDD_fashion_boutique[[#This Row],[stock_quantity]]&gt;9,"Ok",IF(BBDD_fashion_boutique[[#This Row],[stock_quantity]]=0,"Agotado","Pocas Unidades"))</f>
        <v>Ok</v>
      </c>
      <c r="S662" s="3">
        <f>IF(BBDD_fashion_boutique[[#This Row],[customer_rating]]="","No valorado",BBDD_fashion_boutique[[#This Row],[customer_rating]])</f>
        <v>2</v>
      </c>
      <c r="T662" t="s">
        <v>24</v>
      </c>
      <c r="V662">
        <f>IF(BBDD_fashion_boutique[[#This Row],[is_returned]]="False",0,1)</f>
        <v>0</v>
      </c>
      <c r="W662">
        <f>IF(BBDD_fashion_boutique[[#This Row],[is_returned]]="True",0,BBDD_fashion_boutique[[#This Row],[current_price]])</f>
        <v>32.69</v>
      </c>
      <c r="X662" t="str">
        <f>IF(BBDD_fashion_boutique[[#This Row],[return_reason]]="","No return",BBDD_fashion_boutique[[#This Row],[return_reason]])</f>
        <v>No return</v>
      </c>
      <c r="Y662">
        <f>IF(IFERROR(VLOOKUP(BBDD_fashion_boutique[[#This Row],[product_id]],A663:A2838,1,FALSE),0),1,0)</f>
        <v>0</v>
      </c>
    </row>
    <row r="663" spans="1:25" x14ac:dyDescent="0.3">
      <c r="A663" t="s">
        <v>722</v>
      </c>
      <c r="B663" t="s">
        <v>26</v>
      </c>
      <c r="C663" t="s">
        <v>59</v>
      </c>
      <c r="D663" t="s">
        <v>21</v>
      </c>
      <c r="E663" t="s">
        <v>61</v>
      </c>
      <c r="F663" t="str">
        <f>IF(BBDD_fashion_boutique[[#This Row],[category]]="Accessories","Accesorio",IF(BBDD_fashion_boutique[[#This Row],[size]]="","Desconocido",BBDD_fashion_boutique[[#This Row],[size]]))</f>
        <v>XS</v>
      </c>
      <c r="G663" t="s">
        <v>62</v>
      </c>
      <c r="H663" s="2">
        <v>58.5</v>
      </c>
      <c r="I663">
        <v>2.1</v>
      </c>
      <c r="J663" s="5">
        <f>BBDD_fashion_boutique[[#This Row],[markdown_percentage]]/100</f>
        <v>2.1000000000000001E-2</v>
      </c>
      <c r="K663" s="2">
        <v>57.27</v>
      </c>
      <c r="L663" s="2">
        <f>BBDD_fashion_boutique[[#This Row],[original_price]]-BBDD_fashion_boutique[[#This Row],[current_price]]</f>
        <v>1.2299999999999969</v>
      </c>
      <c r="M663" s="1">
        <v>45800</v>
      </c>
      <c r="N663" s="1" t="str">
        <f>PROPER(TEXT(BBDD_fashion_boutique[[#This Row],[purchase_date]],"dddd"))</f>
        <v>Viernes</v>
      </c>
      <c r="O663" s="1" t="str">
        <f>PROPER(TEXT(BBDD_fashion_boutique[[#This Row],[purchase_date]],"mmmm"))</f>
        <v>Mayo</v>
      </c>
      <c r="P663" s="4">
        <v>24</v>
      </c>
      <c r="Q663" s="2">
        <v>3.9</v>
      </c>
      <c r="R663" t="str">
        <f>IF(BBDD_fashion_boutique[[#This Row],[stock_quantity]]&gt;9,"Ok",IF(BBDD_fashion_boutique[[#This Row],[stock_quantity]]=0,"Agotado","Pocas Unidades"))</f>
        <v>Ok</v>
      </c>
      <c r="S663" s="3">
        <f>IF(BBDD_fashion_boutique[[#This Row],[customer_rating]]="","No valorado",BBDD_fashion_boutique[[#This Row],[customer_rating]])</f>
        <v>3.9</v>
      </c>
      <c r="T663" t="s">
        <v>24</v>
      </c>
      <c r="V663">
        <f>IF(BBDD_fashion_boutique[[#This Row],[is_returned]]="False",0,1)</f>
        <v>0</v>
      </c>
      <c r="W663">
        <f>IF(BBDD_fashion_boutique[[#This Row],[is_returned]]="True",0,BBDD_fashion_boutique[[#This Row],[current_price]])</f>
        <v>57.27</v>
      </c>
      <c r="X663" t="str">
        <f>IF(BBDD_fashion_boutique[[#This Row],[return_reason]]="","No return",BBDD_fashion_boutique[[#This Row],[return_reason]])</f>
        <v>No return</v>
      </c>
      <c r="Y663">
        <f>IF(IFERROR(VLOOKUP(BBDD_fashion_boutique[[#This Row],[product_id]],A664:A2839,1,FALSE),0),1,0)</f>
        <v>0</v>
      </c>
    </row>
    <row r="664" spans="1:25" x14ac:dyDescent="0.3">
      <c r="A664" t="s">
        <v>723</v>
      </c>
      <c r="B664" t="s">
        <v>32</v>
      </c>
      <c r="C664" t="s">
        <v>81</v>
      </c>
      <c r="D664" t="s">
        <v>39</v>
      </c>
      <c r="F664" t="str">
        <f>IF(BBDD_fashion_boutique[[#This Row],[category]]="Accessories","Accesorio",IF(BBDD_fashion_boutique[[#This Row],[size]]="","Desconocido",BBDD_fashion_boutique[[#This Row],[size]]))</f>
        <v>Accesorio</v>
      </c>
      <c r="G664" t="s">
        <v>52</v>
      </c>
      <c r="H664" s="2">
        <v>73.849999999999994</v>
      </c>
      <c r="I664">
        <v>0</v>
      </c>
      <c r="J664" s="5">
        <f>BBDD_fashion_boutique[[#This Row],[markdown_percentage]]/100</f>
        <v>0</v>
      </c>
      <c r="K664" s="2">
        <v>73.849999999999994</v>
      </c>
      <c r="L664" s="2">
        <f>BBDD_fashion_boutique[[#This Row],[original_price]]-BBDD_fashion_boutique[[#This Row],[current_price]]</f>
        <v>0</v>
      </c>
      <c r="M664" s="1">
        <v>45875</v>
      </c>
      <c r="N664" s="1" t="str">
        <f>PROPER(TEXT(BBDD_fashion_boutique[[#This Row],[purchase_date]],"dddd"))</f>
        <v>Miércoles</v>
      </c>
      <c r="O664" s="1" t="str">
        <f>PROPER(TEXT(BBDD_fashion_boutique[[#This Row],[purchase_date]],"mmmm"))</f>
        <v>Agosto</v>
      </c>
      <c r="P664" s="4">
        <v>46</v>
      </c>
      <c r="Q664" s="2">
        <v>2</v>
      </c>
      <c r="R664" t="str">
        <f>IF(BBDD_fashion_boutique[[#This Row],[stock_quantity]]&gt;9,"Ok",IF(BBDD_fashion_boutique[[#This Row],[stock_quantity]]=0,"Agotado","Pocas Unidades"))</f>
        <v>Ok</v>
      </c>
      <c r="S664" s="3">
        <f>IF(BBDD_fashion_boutique[[#This Row],[customer_rating]]="","No valorado",BBDD_fashion_boutique[[#This Row],[customer_rating]])</f>
        <v>2</v>
      </c>
      <c r="T664" t="s">
        <v>24</v>
      </c>
      <c r="V664">
        <f>IF(BBDD_fashion_boutique[[#This Row],[is_returned]]="False",0,1)</f>
        <v>0</v>
      </c>
      <c r="W664">
        <f>IF(BBDD_fashion_boutique[[#This Row],[is_returned]]="True",0,BBDD_fashion_boutique[[#This Row],[current_price]])</f>
        <v>73.849999999999994</v>
      </c>
      <c r="X664" t="str">
        <f>IF(BBDD_fashion_boutique[[#This Row],[return_reason]]="","No return",BBDD_fashion_boutique[[#This Row],[return_reason]])</f>
        <v>No return</v>
      </c>
      <c r="Y664">
        <f>IF(IFERROR(VLOOKUP(BBDD_fashion_boutique[[#This Row],[product_id]],A665:A2840,1,FALSE),0),1,0)</f>
        <v>0</v>
      </c>
    </row>
    <row r="665" spans="1:25" x14ac:dyDescent="0.3">
      <c r="A665" t="s">
        <v>724</v>
      </c>
      <c r="B665" t="s">
        <v>44</v>
      </c>
      <c r="C665" t="s">
        <v>54</v>
      </c>
      <c r="D665" t="s">
        <v>68</v>
      </c>
      <c r="E665" t="s">
        <v>55</v>
      </c>
      <c r="F665" t="str">
        <f>IF(BBDD_fashion_boutique[[#This Row],[category]]="Accessories","Accesorio",IF(BBDD_fashion_boutique[[#This Row],[size]]="","Desconocido",BBDD_fashion_boutique[[#This Row],[size]]))</f>
        <v>XXL</v>
      </c>
      <c r="G665" t="s">
        <v>23</v>
      </c>
      <c r="H665" s="2">
        <v>114.32</v>
      </c>
      <c r="I665">
        <v>36.5</v>
      </c>
      <c r="J665" s="5">
        <f>BBDD_fashion_boutique[[#This Row],[markdown_percentage]]/100</f>
        <v>0.36499999999999999</v>
      </c>
      <c r="K665" s="2">
        <v>72.59</v>
      </c>
      <c r="L665" s="2">
        <f>BBDD_fashion_boutique[[#This Row],[original_price]]-BBDD_fashion_boutique[[#This Row],[current_price]]</f>
        <v>41.72999999999999</v>
      </c>
      <c r="M665" s="1">
        <v>45875</v>
      </c>
      <c r="N665" s="1" t="str">
        <f>PROPER(TEXT(BBDD_fashion_boutique[[#This Row],[purchase_date]],"dddd"))</f>
        <v>Miércoles</v>
      </c>
      <c r="O665" s="1" t="str">
        <f>PROPER(TEXT(BBDD_fashion_boutique[[#This Row],[purchase_date]],"mmmm"))</f>
        <v>Agosto</v>
      </c>
      <c r="P665" s="4">
        <v>41</v>
      </c>
      <c r="Q665" s="2">
        <v>4.0999999999999996</v>
      </c>
      <c r="R665" t="str">
        <f>IF(BBDD_fashion_boutique[[#This Row],[stock_quantity]]&gt;9,"Ok",IF(BBDD_fashion_boutique[[#This Row],[stock_quantity]]=0,"Agotado","Pocas Unidades"))</f>
        <v>Ok</v>
      </c>
      <c r="S665" s="3">
        <f>IF(BBDD_fashion_boutique[[#This Row],[customer_rating]]="","No valorado",BBDD_fashion_boutique[[#This Row],[customer_rating]])</f>
        <v>4.0999999999999996</v>
      </c>
      <c r="T665" t="s">
        <v>24</v>
      </c>
      <c r="V665">
        <f>IF(BBDD_fashion_boutique[[#This Row],[is_returned]]="False",0,1)</f>
        <v>0</v>
      </c>
      <c r="W665">
        <f>IF(BBDD_fashion_boutique[[#This Row],[is_returned]]="True",0,BBDD_fashion_boutique[[#This Row],[current_price]])</f>
        <v>72.59</v>
      </c>
      <c r="X665" t="str">
        <f>IF(BBDD_fashion_boutique[[#This Row],[return_reason]]="","No return",BBDD_fashion_boutique[[#This Row],[return_reason]])</f>
        <v>No return</v>
      </c>
      <c r="Y665">
        <f>IF(IFERROR(VLOOKUP(BBDD_fashion_boutique[[#This Row],[product_id]],A666:A2841,1,FALSE),0),1,0)</f>
        <v>0</v>
      </c>
    </row>
    <row r="666" spans="1:25" x14ac:dyDescent="0.3">
      <c r="A666" t="s">
        <v>725</v>
      </c>
      <c r="B666" t="s">
        <v>44</v>
      </c>
      <c r="C666" t="s">
        <v>81</v>
      </c>
      <c r="D666" t="s">
        <v>68</v>
      </c>
      <c r="E666" t="s">
        <v>61</v>
      </c>
      <c r="F666" t="str">
        <f>IF(BBDD_fashion_boutique[[#This Row],[category]]="Accessories","Accesorio",IF(BBDD_fashion_boutique[[#This Row],[size]]="","Desconocido",BBDD_fashion_boutique[[#This Row],[size]]))</f>
        <v>XS</v>
      </c>
      <c r="G666" t="s">
        <v>46</v>
      </c>
      <c r="H666" s="2">
        <v>91.4</v>
      </c>
      <c r="I666">
        <v>11</v>
      </c>
      <c r="J666" s="5">
        <f>BBDD_fashion_boutique[[#This Row],[markdown_percentage]]/100</f>
        <v>0.11</v>
      </c>
      <c r="K666" s="2">
        <v>81.349999999999994</v>
      </c>
      <c r="L666" s="2">
        <f>BBDD_fashion_boutique[[#This Row],[original_price]]-BBDD_fashion_boutique[[#This Row],[current_price]]</f>
        <v>10.050000000000011</v>
      </c>
      <c r="M666" s="1">
        <v>45875</v>
      </c>
      <c r="N666" s="1" t="str">
        <f>PROPER(TEXT(BBDD_fashion_boutique[[#This Row],[purchase_date]],"dddd"))</f>
        <v>Miércoles</v>
      </c>
      <c r="O666" s="1" t="str">
        <f>PROPER(TEXT(BBDD_fashion_boutique[[#This Row],[purchase_date]],"mmmm"))</f>
        <v>Agosto</v>
      </c>
      <c r="P666" s="4">
        <v>18</v>
      </c>
      <c r="Q666" s="2">
        <v>1.6</v>
      </c>
      <c r="R666" t="str">
        <f>IF(BBDD_fashion_boutique[[#This Row],[stock_quantity]]&gt;9,"Ok",IF(BBDD_fashion_boutique[[#This Row],[stock_quantity]]=0,"Agotado","Pocas Unidades"))</f>
        <v>Ok</v>
      </c>
      <c r="S666" s="3">
        <f>IF(BBDD_fashion_boutique[[#This Row],[customer_rating]]="","No valorado",BBDD_fashion_boutique[[#This Row],[customer_rating]])</f>
        <v>1.6</v>
      </c>
      <c r="T666" t="s">
        <v>24</v>
      </c>
      <c r="V666">
        <f>IF(BBDD_fashion_boutique[[#This Row],[is_returned]]="False",0,1)</f>
        <v>0</v>
      </c>
      <c r="W666">
        <f>IF(BBDD_fashion_boutique[[#This Row],[is_returned]]="True",0,BBDD_fashion_boutique[[#This Row],[current_price]])</f>
        <v>81.349999999999994</v>
      </c>
      <c r="X666" t="str">
        <f>IF(BBDD_fashion_boutique[[#This Row],[return_reason]]="","No return",BBDD_fashion_boutique[[#This Row],[return_reason]])</f>
        <v>No return</v>
      </c>
      <c r="Y666">
        <f>IF(IFERROR(VLOOKUP(BBDD_fashion_boutique[[#This Row],[product_id]],A667:A2842,1,FALSE),0),1,0)</f>
        <v>0</v>
      </c>
    </row>
    <row r="667" spans="1:25" x14ac:dyDescent="0.3">
      <c r="A667" t="s">
        <v>726</v>
      </c>
      <c r="B667" t="s">
        <v>32</v>
      </c>
      <c r="C667" t="s">
        <v>81</v>
      </c>
      <c r="D667" t="s">
        <v>28</v>
      </c>
      <c r="F667" t="str">
        <f>IF(BBDD_fashion_boutique[[#This Row],[category]]="Accessories","Accesorio",IF(BBDD_fashion_boutique[[#This Row],[size]]="","Desconocido",BBDD_fashion_boutique[[#This Row],[size]]))</f>
        <v>Accesorio</v>
      </c>
      <c r="G667" t="s">
        <v>70</v>
      </c>
      <c r="H667" s="2">
        <v>69.77</v>
      </c>
      <c r="I667">
        <v>0</v>
      </c>
      <c r="J667" s="5">
        <f>BBDD_fashion_boutique[[#This Row],[markdown_percentage]]/100</f>
        <v>0</v>
      </c>
      <c r="K667" s="2">
        <v>69.77</v>
      </c>
      <c r="L667" s="2">
        <f>BBDD_fashion_boutique[[#This Row],[original_price]]-BBDD_fashion_boutique[[#This Row],[current_price]]</f>
        <v>0</v>
      </c>
      <c r="M667" s="1">
        <v>45875</v>
      </c>
      <c r="N667" s="1" t="str">
        <f>PROPER(TEXT(BBDD_fashion_boutique[[#This Row],[purchase_date]],"dddd"))</f>
        <v>Miércoles</v>
      </c>
      <c r="O667" s="1" t="str">
        <f>PROPER(TEXT(BBDD_fashion_boutique[[#This Row],[purchase_date]],"mmmm"))</f>
        <v>Agosto</v>
      </c>
      <c r="P667" s="4">
        <v>30</v>
      </c>
      <c r="R667" t="str">
        <f>IF(BBDD_fashion_boutique[[#This Row],[stock_quantity]]&gt;9,"Ok",IF(BBDD_fashion_boutique[[#This Row],[stock_quantity]]=0,"Agotado","Pocas Unidades"))</f>
        <v>Ok</v>
      </c>
      <c r="S667" s="3" t="str">
        <f>IF(BBDD_fashion_boutique[[#This Row],[customer_rating]]="","No valorado",BBDD_fashion_boutique[[#This Row],[customer_rating]])</f>
        <v>No valorado</v>
      </c>
      <c r="T667" t="s">
        <v>41</v>
      </c>
      <c r="U667" t="s">
        <v>42</v>
      </c>
      <c r="V667">
        <f>IF(BBDD_fashion_boutique[[#This Row],[is_returned]]="False",0,1)</f>
        <v>1</v>
      </c>
      <c r="W667">
        <f>IF(BBDD_fashion_boutique[[#This Row],[is_returned]]="True",0,BBDD_fashion_boutique[[#This Row],[current_price]])</f>
        <v>0</v>
      </c>
      <c r="X667" t="str">
        <f>IF(BBDD_fashion_boutique[[#This Row],[return_reason]]="","No return",BBDD_fashion_boutique[[#This Row],[return_reason]])</f>
        <v>Color Mismatch</v>
      </c>
      <c r="Y667">
        <f>IF(IFERROR(VLOOKUP(BBDD_fashion_boutique[[#This Row],[product_id]],A668:A2843,1,FALSE),0),1,0)</f>
        <v>0</v>
      </c>
    </row>
    <row r="668" spans="1:25" x14ac:dyDescent="0.3">
      <c r="A668" t="s">
        <v>727</v>
      </c>
      <c r="B668" t="s">
        <v>26</v>
      </c>
      <c r="C668" t="s">
        <v>54</v>
      </c>
      <c r="D668" t="s">
        <v>68</v>
      </c>
      <c r="E668" t="s">
        <v>29</v>
      </c>
      <c r="F668" t="str">
        <f>IF(BBDD_fashion_boutique[[#This Row],[category]]="Accessories","Accesorio",IF(BBDD_fashion_boutique[[#This Row],[size]]="","Desconocido",BBDD_fashion_boutique[[#This Row],[size]]))</f>
        <v>L</v>
      </c>
      <c r="G668" t="s">
        <v>33</v>
      </c>
      <c r="H668" s="2">
        <v>72.95</v>
      </c>
      <c r="I668">
        <v>0</v>
      </c>
      <c r="J668" s="5">
        <f>BBDD_fashion_boutique[[#This Row],[markdown_percentage]]/100</f>
        <v>0</v>
      </c>
      <c r="K668" s="2">
        <v>72.95</v>
      </c>
      <c r="L668" s="2">
        <f>BBDD_fashion_boutique[[#This Row],[original_price]]-BBDD_fashion_boutique[[#This Row],[current_price]]</f>
        <v>0</v>
      </c>
      <c r="M668" s="1">
        <v>45875</v>
      </c>
      <c r="N668" s="1" t="str">
        <f>PROPER(TEXT(BBDD_fashion_boutique[[#This Row],[purchase_date]],"dddd"))</f>
        <v>Miércoles</v>
      </c>
      <c r="O668" s="1" t="str">
        <f>PROPER(TEXT(BBDD_fashion_boutique[[#This Row],[purchase_date]],"mmmm"))</f>
        <v>Agosto</v>
      </c>
      <c r="P668" s="4">
        <v>27</v>
      </c>
      <c r="Q668" s="2">
        <v>4.8</v>
      </c>
      <c r="R668" t="str">
        <f>IF(BBDD_fashion_boutique[[#This Row],[stock_quantity]]&gt;9,"Ok",IF(BBDD_fashion_boutique[[#This Row],[stock_quantity]]=0,"Agotado","Pocas Unidades"))</f>
        <v>Ok</v>
      </c>
      <c r="S668" s="3">
        <f>IF(BBDD_fashion_boutique[[#This Row],[customer_rating]]="","No valorado",BBDD_fashion_boutique[[#This Row],[customer_rating]])</f>
        <v>4.8</v>
      </c>
      <c r="T668" t="s">
        <v>24</v>
      </c>
      <c r="V668">
        <f>IF(BBDD_fashion_boutique[[#This Row],[is_returned]]="False",0,1)</f>
        <v>0</v>
      </c>
      <c r="W668">
        <f>IF(BBDD_fashion_boutique[[#This Row],[is_returned]]="True",0,BBDD_fashion_boutique[[#This Row],[current_price]])</f>
        <v>72.95</v>
      </c>
      <c r="X668" t="str">
        <f>IF(BBDD_fashion_boutique[[#This Row],[return_reason]]="","No return",BBDD_fashion_boutique[[#This Row],[return_reason]])</f>
        <v>No return</v>
      </c>
      <c r="Y668">
        <f>IF(IFERROR(VLOOKUP(BBDD_fashion_boutique[[#This Row],[product_id]],A669:A2844,1,FALSE),0),1,0)</f>
        <v>0</v>
      </c>
    </row>
    <row r="669" spans="1:25" x14ac:dyDescent="0.3">
      <c r="A669" t="s">
        <v>728</v>
      </c>
      <c r="B669" t="s">
        <v>44</v>
      </c>
      <c r="C669" t="s">
        <v>59</v>
      </c>
      <c r="D669" t="s">
        <v>68</v>
      </c>
      <c r="E669" t="s">
        <v>22</v>
      </c>
      <c r="F669" t="str">
        <f>IF(BBDD_fashion_boutique[[#This Row],[category]]="Accessories","Accesorio",IF(BBDD_fashion_boutique[[#This Row],[size]]="","Desconocido",BBDD_fashion_boutique[[#This Row],[size]]))</f>
        <v>XL</v>
      </c>
      <c r="G669" t="s">
        <v>62</v>
      </c>
      <c r="H669" s="2">
        <v>63.99</v>
      </c>
      <c r="I669">
        <v>42.2</v>
      </c>
      <c r="J669" s="5">
        <f>BBDD_fashion_boutique[[#This Row],[markdown_percentage]]/100</f>
        <v>0.42200000000000004</v>
      </c>
      <c r="K669" s="2">
        <v>36.99</v>
      </c>
      <c r="L669" s="2">
        <f>BBDD_fashion_boutique[[#This Row],[original_price]]-BBDD_fashion_boutique[[#This Row],[current_price]]</f>
        <v>27</v>
      </c>
      <c r="M669" s="1">
        <v>45875</v>
      </c>
      <c r="N669" s="1" t="str">
        <f>PROPER(TEXT(BBDD_fashion_boutique[[#This Row],[purchase_date]],"dddd"))</f>
        <v>Miércoles</v>
      </c>
      <c r="O669" s="1" t="str">
        <f>PROPER(TEXT(BBDD_fashion_boutique[[#This Row],[purchase_date]],"mmmm"))</f>
        <v>Agosto</v>
      </c>
      <c r="P669" s="4">
        <v>35</v>
      </c>
      <c r="Q669" s="2">
        <v>3.2</v>
      </c>
      <c r="R669" t="str">
        <f>IF(BBDD_fashion_boutique[[#This Row],[stock_quantity]]&gt;9,"Ok",IF(BBDD_fashion_boutique[[#This Row],[stock_quantity]]=0,"Agotado","Pocas Unidades"))</f>
        <v>Ok</v>
      </c>
      <c r="S669" s="3">
        <f>IF(BBDD_fashion_boutique[[#This Row],[customer_rating]]="","No valorado",BBDD_fashion_boutique[[#This Row],[customer_rating]])</f>
        <v>3.2</v>
      </c>
      <c r="T669" t="s">
        <v>24</v>
      </c>
      <c r="V669">
        <f>IF(BBDD_fashion_boutique[[#This Row],[is_returned]]="False",0,1)</f>
        <v>0</v>
      </c>
      <c r="W669">
        <f>IF(BBDD_fashion_boutique[[#This Row],[is_returned]]="True",0,BBDD_fashion_boutique[[#This Row],[current_price]])</f>
        <v>36.99</v>
      </c>
      <c r="X669" t="str">
        <f>IF(BBDD_fashion_boutique[[#This Row],[return_reason]]="","No return",BBDD_fashion_boutique[[#This Row],[return_reason]])</f>
        <v>No return</v>
      </c>
      <c r="Y669">
        <f>IF(IFERROR(VLOOKUP(BBDD_fashion_boutique[[#This Row],[product_id]],A670:A2845,1,FALSE),0),1,0)</f>
        <v>0</v>
      </c>
    </row>
    <row r="670" spans="1:25" x14ac:dyDescent="0.3">
      <c r="A670" t="s">
        <v>729</v>
      </c>
      <c r="B670" t="s">
        <v>48</v>
      </c>
      <c r="C670" t="s">
        <v>37</v>
      </c>
      <c r="D670" t="s">
        <v>68</v>
      </c>
      <c r="E670" t="s">
        <v>22</v>
      </c>
      <c r="F670" t="str">
        <f>IF(BBDD_fashion_boutique[[#This Row],[category]]="Accessories","Accesorio",IF(BBDD_fashion_boutique[[#This Row],[size]]="","Desconocido",BBDD_fashion_boutique[[#This Row],[size]]))</f>
        <v>XL</v>
      </c>
      <c r="G670" t="s">
        <v>50</v>
      </c>
      <c r="H670" s="2">
        <v>74.84</v>
      </c>
      <c r="I670">
        <v>51.9</v>
      </c>
      <c r="J670" s="5">
        <f>BBDD_fashion_boutique[[#This Row],[markdown_percentage]]/100</f>
        <v>0.51900000000000002</v>
      </c>
      <c r="K670" s="2">
        <v>36</v>
      </c>
      <c r="L670" s="2">
        <f>BBDD_fashion_boutique[[#This Row],[original_price]]-BBDD_fashion_boutique[[#This Row],[current_price]]</f>
        <v>38.840000000000003</v>
      </c>
      <c r="M670" s="1">
        <v>45875</v>
      </c>
      <c r="N670" s="1" t="str">
        <f>PROPER(TEXT(BBDD_fashion_boutique[[#This Row],[purchase_date]],"dddd"))</f>
        <v>Miércoles</v>
      </c>
      <c r="O670" s="1" t="str">
        <f>PROPER(TEXT(BBDD_fashion_boutique[[#This Row],[purchase_date]],"mmmm"))</f>
        <v>Agosto</v>
      </c>
      <c r="P670" s="4">
        <v>35</v>
      </c>
      <c r="Q670" s="2">
        <v>2.5</v>
      </c>
      <c r="R670" t="str">
        <f>IF(BBDD_fashion_boutique[[#This Row],[stock_quantity]]&gt;9,"Ok",IF(BBDD_fashion_boutique[[#This Row],[stock_quantity]]=0,"Agotado","Pocas Unidades"))</f>
        <v>Ok</v>
      </c>
      <c r="S670" s="3">
        <f>IF(BBDD_fashion_boutique[[#This Row],[customer_rating]]="","No valorado",BBDD_fashion_boutique[[#This Row],[customer_rating]])</f>
        <v>2.5</v>
      </c>
      <c r="T670" t="s">
        <v>24</v>
      </c>
      <c r="V670">
        <f>IF(BBDD_fashion_boutique[[#This Row],[is_returned]]="False",0,1)</f>
        <v>0</v>
      </c>
      <c r="W670">
        <f>IF(BBDD_fashion_boutique[[#This Row],[is_returned]]="True",0,BBDD_fashion_boutique[[#This Row],[current_price]])</f>
        <v>36</v>
      </c>
      <c r="X670" t="str">
        <f>IF(BBDD_fashion_boutique[[#This Row],[return_reason]]="","No return",BBDD_fashion_boutique[[#This Row],[return_reason]])</f>
        <v>No return</v>
      </c>
      <c r="Y670">
        <f>IF(IFERROR(VLOOKUP(BBDD_fashion_boutique[[#This Row],[product_id]],A671:A2846,1,FALSE),0),1,0)</f>
        <v>0</v>
      </c>
    </row>
    <row r="671" spans="1:25" x14ac:dyDescent="0.3">
      <c r="A671" t="s">
        <v>730</v>
      </c>
      <c r="B671" t="s">
        <v>19</v>
      </c>
      <c r="C671" t="s">
        <v>54</v>
      </c>
      <c r="D671" t="s">
        <v>21</v>
      </c>
      <c r="E671" t="s">
        <v>61</v>
      </c>
      <c r="F671" t="str">
        <f>IF(BBDD_fashion_boutique[[#This Row],[category]]="Accessories","Accesorio",IF(BBDD_fashion_boutique[[#This Row],[size]]="","Desconocido",BBDD_fashion_boutique[[#This Row],[size]]))</f>
        <v>XS</v>
      </c>
      <c r="G671" t="s">
        <v>33</v>
      </c>
      <c r="H671" s="2">
        <v>158.84</v>
      </c>
      <c r="I671">
        <v>0</v>
      </c>
      <c r="J671" s="5">
        <f>BBDD_fashion_boutique[[#This Row],[markdown_percentage]]/100</f>
        <v>0</v>
      </c>
      <c r="K671" s="2">
        <v>158.84</v>
      </c>
      <c r="L671" s="2">
        <f>BBDD_fashion_boutique[[#This Row],[original_price]]-BBDD_fashion_boutique[[#This Row],[current_price]]</f>
        <v>0</v>
      </c>
      <c r="M671" s="1">
        <v>45763</v>
      </c>
      <c r="N671" s="1" t="str">
        <f>PROPER(TEXT(BBDD_fashion_boutique[[#This Row],[purchase_date]],"dddd"))</f>
        <v>Miércoles</v>
      </c>
      <c r="O671" s="1" t="str">
        <f>PROPER(TEXT(BBDD_fashion_boutique[[#This Row],[purchase_date]],"mmmm"))</f>
        <v>Abril</v>
      </c>
      <c r="P671" s="4">
        <v>30</v>
      </c>
      <c r="Q671" s="2">
        <v>4.5999999999999996</v>
      </c>
      <c r="R671" t="str">
        <f>IF(BBDD_fashion_boutique[[#This Row],[stock_quantity]]&gt;9,"Ok",IF(BBDD_fashion_boutique[[#This Row],[stock_quantity]]=0,"Agotado","Pocas Unidades"))</f>
        <v>Ok</v>
      </c>
      <c r="S671" s="3">
        <f>IF(BBDD_fashion_boutique[[#This Row],[customer_rating]]="","No valorado",BBDD_fashion_boutique[[#This Row],[customer_rating]])</f>
        <v>4.5999999999999996</v>
      </c>
      <c r="T671" t="s">
        <v>24</v>
      </c>
      <c r="V671">
        <f>IF(BBDD_fashion_boutique[[#This Row],[is_returned]]="False",0,1)</f>
        <v>0</v>
      </c>
      <c r="W671">
        <f>IF(BBDD_fashion_boutique[[#This Row],[is_returned]]="True",0,BBDD_fashion_boutique[[#This Row],[current_price]])</f>
        <v>158.84</v>
      </c>
      <c r="X671" t="str">
        <f>IF(BBDD_fashion_boutique[[#This Row],[return_reason]]="","No return",BBDD_fashion_boutique[[#This Row],[return_reason]])</f>
        <v>No return</v>
      </c>
      <c r="Y671">
        <f>IF(IFERROR(VLOOKUP(BBDD_fashion_boutique[[#This Row],[product_id]],A672:A2847,1,FALSE),0),1,0)</f>
        <v>0</v>
      </c>
    </row>
    <row r="672" spans="1:25" x14ac:dyDescent="0.3">
      <c r="A672" t="s">
        <v>731</v>
      </c>
      <c r="B672" t="s">
        <v>35</v>
      </c>
      <c r="C672" t="s">
        <v>49</v>
      </c>
      <c r="D672" t="s">
        <v>21</v>
      </c>
      <c r="E672" t="s">
        <v>64</v>
      </c>
      <c r="F672" t="str">
        <f>IF(BBDD_fashion_boutique[[#This Row],[category]]="Accessories","Accesorio",IF(BBDD_fashion_boutique[[#This Row],[size]]="","Desconocido",BBDD_fashion_boutique[[#This Row],[size]]))</f>
        <v>M</v>
      </c>
      <c r="G672" t="s">
        <v>76</v>
      </c>
      <c r="H672" s="2">
        <v>96.36</v>
      </c>
      <c r="I672">
        <v>58.6</v>
      </c>
      <c r="J672" s="5">
        <f>BBDD_fashion_boutique[[#This Row],[markdown_percentage]]/100</f>
        <v>0.58599999999999997</v>
      </c>
      <c r="K672" s="2">
        <v>39.89</v>
      </c>
      <c r="L672" s="2">
        <f>BBDD_fashion_boutique[[#This Row],[original_price]]-BBDD_fashion_boutique[[#This Row],[current_price]]</f>
        <v>56.47</v>
      </c>
      <c r="M672" s="1">
        <v>45698</v>
      </c>
      <c r="N672" s="1" t="str">
        <f>PROPER(TEXT(BBDD_fashion_boutique[[#This Row],[purchase_date]],"dddd"))</f>
        <v>Lunes</v>
      </c>
      <c r="O672" s="1" t="str">
        <f>PROPER(TEXT(BBDD_fashion_boutique[[#This Row],[purchase_date]],"mmmm"))</f>
        <v>Febrero</v>
      </c>
      <c r="P672" s="4">
        <v>16</v>
      </c>
      <c r="Q672" s="2">
        <v>3.9</v>
      </c>
      <c r="R672" t="str">
        <f>IF(BBDD_fashion_boutique[[#This Row],[stock_quantity]]&gt;9,"Ok",IF(BBDD_fashion_boutique[[#This Row],[stock_quantity]]=0,"Agotado","Pocas Unidades"))</f>
        <v>Ok</v>
      </c>
      <c r="S672" s="3">
        <f>IF(BBDD_fashion_boutique[[#This Row],[customer_rating]]="","No valorado",BBDD_fashion_boutique[[#This Row],[customer_rating]])</f>
        <v>3.9</v>
      </c>
      <c r="T672" t="s">
        <v>24</v>
      </c>
      <c r="V672">
        <f>IF(BBDD_fashion_boutique[[#This Row],[is_returned]]="False",0,1)</f>
        <v>0</v>
      </c>
      <c r="W672">
        <f>IF(BBDD_fashion_boutique[[#This Row],[is_returned]]="True",0,BBDD_fashion_boutique[[#This Row],[current_price]])</f>
        <v>39.89</v>
      </c>
      <c r="X672" t="str">
        <f>IF(BBDD_fashion_boutique[[#This Row],[return_reason]]="","No return",BBDD_fashion_boutique[[#This Row],[return_reason]])</f>
        <v>No return</v>
      </c>
      <c r="Y672">
        <f>IF(IFERROR(VLOOKUP(BBDD_fashion_boutique[[#This Row],[product_id]],A673:A2848,1,FALSE),0),1,0)</f>
        <v>0</v>
      </c>
    </row>
    <row r="673" spans="1:25" x14ac:dyDescent="0.3">
      <c r="A673" t="s">
        <v>732</v>
      </c>
      <c r="B673" t="s">
        <v>44</v>
      </c>
      <c r="C673" t="s">
        <v>54</v>
      </c>
      <c r="D673" t="s">
        <v>21</v>
      </c>
      <c r="E673" t="s">
        <v>61</v>
      </c>
      <c r="F673" t="str">
        <f>IF(BBDD_fashion_boutique[[#This Row],[category]]="Accessories","Accesorio",IF(BBDD_fashion_boutique[[#This Row],[size]]="","Desconocido",BBDD_fashion_boutique[[#This Row],[size]]))</f>
        <v>XS</v>
      </c>
      <c r="G673" t="s">
        <v>72</v>
      </c>
      <c r="H673" s="2">
        <v>51.06</v>
      </c>
      <c r="I673">
        <v>13.9</v>
      </c>
      <c r="J673" s="5">
        <f>BBDD_fashion_boutique[[#This Row],[markdown_percentage]]/100</f>
        <v>0.13900000000000001</v>
      </c>
      <c r="K673" s="2">
        <v>43.96</v>
      </c>
      <c r="L673" s="2">
        <f>BBDD_fashion_boutique[[#This Row],[original_price]]-BBDD_fashion_boutique[[#This Row],[current_price]]</f>
        <v>7.1000000000000014</v>
      </c>
      <c r="M673" s="1">
        <v>45520</v>
      </c>
      <c r="N673" s="1" t="str">
        <f>PROPER(TEXT(BBDD_fashion_boutique[[#This Row],[purchase_date]],"dddd"))</f>
        <v>Viernes</v>
      </c>
      <c r="O673" s="1" t="str">
        <f>PROPER(TEXT(BBDD_fashion_boutique[[#This Row],[purchase_date]],"mmmm"))</f>
        <v>Agosto</v>
      </c>
      <c r="P673" s="4">
        <v>16</v>
      </c>
      <c r="Q673" s="2">
        <v>1.3</v>
      </c>
      <c r="R673" t="str">
        <f>IF(BBDD_fashion_boutique[[#This Row],[stock_quantity]]&gt;9,"Ok",IF(BBDD_fashion_boutique[[#This Row],[stock_quantity]]=0,"Agotado","Pocas Unidades"))</f>
        <v>Ok</v>
      </c>
      <c r="S673" s="3">
        <f>IF(BBDD_fashion_boutique[[#This Row],[customer_rating]]="","No valorado",BBDD_fashion_boutique[[#This Row],[customer_rating]])</f>
        <v>1.3</v>
      </c>
      <c r="T673" t="s">
        <v>24</v>
      </c>
      <c r="V673">
        <f>IF(BBDD_fashion_boutique[[#This Row],[is_returned]]="False",0,1)</f>
        <v>0</v>
      </c>
      <c r="W673">
        <f>IF(BBDD_fashion_boutique[[#This Row],[is_returned]]="True",0,BBDD_fashion_boutique[[#This Row],[current_price]])</f>
        <v>43.96</v>
      </c>
      <c r="X673" t="str">
        <f>IF(BBDD_fashion_boutique[[#This Row],[return_reason]]="","No return",BBDD_fashion_boutique[[#This Row],[return_reason]])</f>
        <v>No return</v>
      </c>
      <c r="Y673">
        <f>IF(IFERROR(VLOOKUP(BBDD_fashion_boutique[[#This Row],[product_id]],A674:A2849,1,FALSE),0),1,0)</f>
        <v>0</v>
      </c>
    </row>
    <row r="674" spans="1:25" x14ac:dyDescent="0.3">
      <c r="A674" t="s">
        <v>733</v>
      </c>
      <c r="B674" t="s">
        <v>44</v>
      </c>
      <c r="C674" t="s">
        <v>37</v>
      </c>
      <c r="D674" t="s">
        <v>68</v>
      </c>
      <c r="E674" t="s">
        <v>29</v>
      </c>
      <c r="F674" t="str">
        <f>IF(BBDD_fashion_boutique[[#This Row],[category]]="Accessories","Accesorio",IF(BBDD_fashion_boutique[[#This Row],[size]]="","Desconocido",BBDD_fashion_boutique[[#This Row],[size]]))</f>
        <v>L</v>
      </c>
      <c r="G674" t="s">
        <v>70</v>
      </c>
      <c r="H674" s="2">
        <v>49.75</v>
      </c>
      <c r="I674">
        <v>26.4</v>
      </c>
      <c r="J674" s="5">
        <f>BBDD_fashion_boutique[[#This Row],[markdown_percentage]]/100</f>
        <v>0.26400000000000001</v>
      </c>
      <c r="K674" s="2">
        <v>36.619999999999997</v>
      </c>
      <c r="L674" s="2">
        <f>BBDD_fashion_boutique[[#This Row],[original_price]]-BBDD_fashion_boutique[[#This Row],[current_price]]</f>
        <v>13.130000000000003</v>
      </c>
      <c r="M674" s="1">
        <v>45875</v>
      </c>
      <c r="N674" s="1" t="str">
        <f>PROPER(TEXT(BBDD_fashion_boutique[[#This Row],[purchase_date]],"dddd"))</f>
        <v>Miércoles</v>
      </c>
      <c r="O674" s="1" t="str">
        <f>PROPER(TEXT(BBDD_fashion_boutique[[#This Row],[purchase_date]],"mmmm"))</f>
        <v>Agosto</v>
      </c>
      <c r="P674" s="4">
        <v>24</v>
      </c>
      <c r="Q674" s="2">
        <v>3.8</v>
      </c>
      <c r="R674" t="str">
        <f>IF(BBDD_fashion_boutique[[#This Row],[stock_quantity]]&gt;9,"Ok",IF(BBDD_fashion_boutique[[#This Row],[stock_quantity]]=0,"Agotado","Pocas Unidades"))</f>
        <v>Ok</v>
      </c>
      <c r="S674" s="3">
        <f>IF(BBDD_fashion_boutique[[#This Row],[customer_rating]]="","No valorado",BBDD_fashion_boutique[[#This Row],[customer_rating]])</f>
        <v>3.8</v>
      </c>
      <c r="T674" t="s">
        <v>24</v>
      </c>
      <c r="V674">
        <f>IF(BBDD_fashion_boutique[[#This Row],[is_returned]]="False",0,1)</f>
        <v>0</v>
      </c>
      <c r="W674">
        <f>IF(BBDD_fashion_boutique[[#This Row],[is_returned]]="True",0,BBDD_fashion_boutique[[#This Row],[current_price]])</f>
        <v>36.619999999999997</v>
      </c>
      <c r="X674" t="str">
        <f>IF(BBDD_fashion_boutique[[#This Row],[return_reason]]="","No return",BBDD_fashion_boutique[[#This Row],[return_reason]])</f>
        <v>No return</v>
      </c>
      <c r="Y674">
        <f>IF(IFERROR(VLOOKUP(BBDD_fashion_boutique[[#This Row],[product_id]],A675:A2850,1,FALSE),0),1,0)</f>
        <v>0</v>
      </c>
    </row>
    <row r="675" spans="1:25" x14ac:dyDescent="0.3">
      <c r="A675" t="s">
        <v>734</v>
      </c>
      <c r="B675" t="s">
        <v>48</v>
      </c>
      <c r="C675" t="s">
        <v>49</v>
      </c>
      <c r="D675" t="s">
        <v>21</v>
      </c>
      <c r="E675" t="s">
        <v>61</v>
      </c>
      <c r="F675" t="str">
        <f>IF(BBDD_fashion_boutique[[#This Row],[category]]="Accessories","Accesorio",IF(BBDD_fashion_boutique[[#This Row],[size]]="","Desconocido",BBDD_fashion_boutique[[#This Row],[size]]))</f>
        <v>XS</v>
      </c>
      <c r="G675" t="s">
        <v>30</v>
      </c>
      <c r="H675" s="2">
        <v>148.97999999999999</v>
      </c>
      <c r="I675">
        <v>0</v>
      </c>
      <c r="J675" s="5">
        <f>BBDD_fashion_boutique[[#This Row],[markdown_percentage]]/100</f>
        <v>0</v>
      </c>
      <c r="K675" s="2">
        <v>148.97999999999999</v>
      </c>
      <c r="L675" s="2">
        <f>BBDD_fashion_boutique[[#This Row],[original_price]]-BBDD_fashion_boutique[[#This Row],[current_price]]</f>
        <v>0</v>
      </c>
      <c r="M675" s="1">
        <v>45591</v>
      </c>
      <c r="N675" s="1" t="str">
        <f>PROPER(TEXT(BBDD_fashion_boutique[[#This Row],[purchase_date]],"dddd"))</f>
        <v>Sábado</v>
      </c>
      <c r="O675" s="1" t="str">
        <f>PROPER(TEXT(BBDD_fashion_boutique[[#This Row],[purchase_date]],"mmmm"))</f>
        <v>Octubre</v>
      </c>
      <c r="P675" s="4">
        <v>11</v>
      </c>
      <c r="Q675" s="2">
        <v>2.2000000000000002</v>
      </c>
      <c r="R675" t="str">
        <f>IF(BBDD_fashion_boutique[[#This Row],[stock_quantity]]&gt;9,"Ok",IF(BBDD_fashion_boutique[[#This Row],[stock_quantity]]=0,"Agotado","Pocas Unidades"))</f>
        <v>Ok</v>
      </c>
      <c r="S675" s="3">
        <f>IF(BBDD_fashion_boutique[[#This Row],[customer_rating]]="","No valorado",BBDD_fashion_boutique[[#This Row],[customer_rating]])</f>
        <v>2.2000000000000002</v>
      </c>
      <c r="T675" t="s">
        <v>41</v>
      </c>
      <c r="U675" t="s">
        <v>131</v>
      </c>
      <c r="V675">
        <f>IF(BBDD_fashion_boutique[[#This Row],[is_returned]]="False",0,1)</f>
        <v>1</v>
      </c>
      <c r="W675">
        <f>IF(BBDD_fashion_boutique[[#This Row],[is_returned]]="True",0,BBDD_fashion_boutique[[#This Row],[current_price]])</f>
        <v>0</v>
      </c>
      <c r="X675" t="str">
        <f>IF(BBDD_fashion_boutique[[#This Row],[return_reason]]="","No return",BBDD_fashion_boutique[[#This Row],[return_reason]])</f>
        <v>Wrong Item</v>
      </c>
      <c r="Y675">
        <f>IF(IFERROR(VLOOKUP(BBDD_fashion_boutique[[#This Row],[product_id]],A676:A2851,1,FALSE),0),1,0)</f>
        <v>0</v>
      </c>
    </row>
    <row r="676" spans="1:25" x14ac:dyDescent="0.3">
      <c r="A676" t="s">
        <v>735</v>
      </c>
      <c r="B676" t="s">
        <v>32</v>
      </c>
      <c r="C676" t="s">
        <v>67</v>
      </c>
      <c r="D676" t="s">
        <v>28</v>
      </c>
      <c r="F676" t="str">
        <f>IF(BBDD_fashion_boutique[[#This Row],[category]]="Accessories","Accesorio",IF(BBDD_fashion_boutique[[#This Row],[size]]="","Desconocido",BBDD_fashion_boutique[[#This Row],[size]]))</f>
        <v>Accesorio</v>
      </c>
      <c r="G676" t="s">
        <v>46</v>
      </c>
      <c r="H676" s="2">
        <v>72.239999999999995</v>
      </c>
      <c r="I676">
        <v>0</v>
      </c>
      <c r="J676" s="5">
        <f>BBDD_fashion_boutique[[#This Row],[markdown_percentage]]/100</f>
        <v>0</v>
      </c>
      <c r="K676" s="2">
        <v>72.239999999999995</v>
      </c>
      <c r="L676" s="2">
        <f>BBDD_fashion_boutique[[#This Row],[original_price]]-BBDD_fashion_boutique[[#This Row],[current_price]]</f>
        <v>0</v>
      </c>
      <c r="M676" s="1">
        <v>45875</v>
      </c>
      <c r="N676" s="1" t="str">
        <f>PROPER(TEXT(BBDD_fashion_boutique[[#This Row],[purchase_date]],"dddd"))</f>
        <v>Miércoles</v>
      </c>
      <c r="O676" s="1" t="str">
        <f>PROPER(TEXT(BBDD_fashion_boutique[[#This Row],[purchase_date]],"mmmm"))</f>
        <v>Agosto</v>
      </c>
      <c r="P676" s="4">
        <v>35</v>
      </c>
      <c r="Q676" s="2">
        <v>4.0999999999999996</v>
      </c>
      <c r="R676" t="str">
        <f>IF(BBDD_fashion_boutique[[#This Row],[stock_quantity]]&gt;9,"Ok",IF(BBDD_fashion_boutique[[#This Row],[stock_quantity]]=0,"Agotado","Pocas Unidades"))</f>
        <v>Ok</v>
      </c>
      <c r="S676" s="3">
        <f>IF(BBDD_fashion_boutique[[#This Row],[customer_rating]]="","No valorado",BBDD_fashion_boutique[[#This Row],[customer_rating]])</f>
        <v>4.0999999999999996</v>
      </c>
      <c r="T676" t="s">
        <v>24</v>
      </c>
      <c r="V676">
        <f>IF(BBDD_fashion_boutique[[#This Row],[is_returned]]="False",0,1)</f>
        <v>0</v>
      </c>
      <c r="W676">
        <f>IF(BBDD_fashion_boutique[[#This Row],[is_returned]]="True",0,BBDD_fashion_boutique[[#This Row],[current_price]])</f>
        <v>72.239999999999995</v>
      </c>
      <c r="X676" t="str">
        <f>IF(BBDD_fashion_boutique[[#This Row],[return_reason]]="","No return",BBDD_fashion_boutique[[#This Row],[return_reason]])</f>
        <v>No return</v>
      </c>
      <c r="Y676">
        <f>IF(IFERROR(VLOOKUP(BBDD_fashion_boutique[[#This Row],[product_id]],A677:A2852,1,FALSE),0),1,0)</f>
        <v>0</v>
      </c>
    </row>
    <row r="677" spans="1:25" x14ac:dyDescent="0.3">
      <c r="A677" t="s">
        <v>736</v>
      </c>
      <c r="B677" t="s">
        <v>26</v>
      </c>
      <c r="C677" t="s">
        <v>49</v>
      </c>
      <c r="D677" t="s">
        <v>28</v>
      </c>
      <c r="E677" t="s">
        <v>61</v>
      </c>
      <c r="F677" t="str">
        <f>IF(BBDD_fashion_boutique[[#This Row],[category]]="Accessories","Accesorio",IF(BBDD_fashion_boutique[[#This Row],[size]]="","Desconocido",BBDD_fashion_boutique[[#This Row],[size]]))</f>
        <v>XS</v>
      </c>
      <c r="G677" t="s">
        <v>50</v>
      </c>
      <c r="H677" s="2">
        <v>94.92</v>
      </c>
      <c r="I677">
        <v>0</v>
      </c>
      <c r="J677" s="5">
        <f>BBDD_fashion_boutique[[#This Row],[markdown_percentage]]/100</f>
        <v>0</v>
      </c>
      <c r="K677" s="2">
        <v>94.92</v>
      </c>
      <c r="L677" s="2">
        <f>BBDD_fashion_boutique[[#This Row],[original_price]]-BBDD_fashion_boutique[[#This Row],[current_price]]</f>
        <v>0</v>
      </c>
      <c r="M677" s="1">
        <v>45875</v>
      </c>
      <c r="N677" s="1" t="str">
        <f>PROPER(TEXT(BBDD_fashion_boutique[[#This Row],[purchase_date]],"dddd"))</f>
        <v>Miércoles</v>
      </c>
      <c r="O677" s="1" t="str">
        <f>PROPER(TEXT(BBDD_fashion_boutique[[#This Row],[purchase_date]],"mmmm"))</f>
        <v>Agosto</v>
      </c>
      <c r="P677" s="4">
        <v>5</v>
      </c>
      <c r="Q677" s="2">
        <v>3.3</v>
      </c>
      <c r="R677" t="str">
        <f>IF(BBDD_fashion_boutique[[#This Row],[stock_quantity]]&gt;9,"Ok",IF(BBDD_fashion_boutique[[#This Row],[stock_quantity]]=0,"Agotado","Pocas Unidades"))</f>
        <v>Pocas Unidades</v>
      </c>
      <c r="S677" s="3">
        <f>IF(BBDD_fashion_boutique[[#This Row],[customer_rating]]="","No valorado",BBDD_fashion_boutique[[#This Row],[customer_rating]])</f>
        <v>3.3</v>
      </c>
      <c r="T677" t="s">
        <v>24</v>
      </c>
      <c r="V677">
        <f>IF(BBDD_fashion_boutique[[#This Row],[is_returned]]="False",0,1)</f>
        <v>0</v>
      </c>
      <c r="W677">
        <f>IF(BBDD_fashion_boutique[[#This Row],[is_returned]]="True",0,BBDD_fashion_boutique[[#This Row],[current_price]])</f>
        <v>94.92</v>
      </c>
      <c r="X677" t="str">
        <f>IF(BBDD_fashion_boutique[[#This Row],[return_reason]]="","No return",BBDD_fashion_boutique[[#This Row],[return_reason]])</f>
        <v>No return</v>
      </c>
      <c r="Y677">
        <f>IF(IFERROR(VLOOKUP(BBDD_fashion_boutique[[#This Row],[product_id]],A678:A2853,1,FALSE),0),1,0)</f>
        <v>0</v>
      </c>
    </row>
    <row r="678" spans="1:25" x14ac:dyDescent="0.3">
      <c r="A678" t="s">
        <v>737</v>
      </c>
      <c r="B678" t="s">
        <v>19</v>
      </c>
      <c r="C678" t="s">
        <v>37</v>
      </c>
      <c r="D678" t="s">
        <v>39</v>
      </c>
      <c r="E678" t="s">
        <v>55</v>
      </c>
      <c r="F678" t="str">
        <f>IF(BBDD_fashion_boutique[[#This Row],[category]]="Accessories","Accesorio",IF(BBDD_fashion_boutique[[#This Row],[size]]="","Desconocido",BBDD_fashion_boutique[[#This Row],[size]]))</f>
        <v>XXL</v>
      </c>
      <c r="G678" t="s">
        <v>76</v>
      </c>
      <c r="H678" s="2">
        <v>91.08</v>
      </c>
      <c r="I678">
        <v>0</v>
      </c>
      <c r="J678" s="5">
        <f>BBDD_fashion_boutique[[#This Row],[markdown_percentage]]/100</f>
        <v>0</v>
      </c>
      <c r="K678" s="2">
        <v>91.08</v>
      </c>
      <c r="L678" s="2">
        <f>BBDD_fashion_boutique[[#This Row],[original_price]]-BBDD_fashion_boutique[[#This Row],[current_price]]</f>
        <v>0</v>
      </c>
      <c r="M678" s="1">
        <v>45875</v>
      </c>
      <c r="N678" s="1" t="str">
        <f>PROPER(TEXT(BBDD_fashion_boutique[[#This Row],[purchase_date]],"dddd"))</f>
        <v>Miércoles</v>
      </c>
      <c r="O678" s="1" t="str">
        <f>PROPER(TEXT(BBDD_fashion_boutique[[#This Row],[purchase_date]],"mmmm"))</f>
        <v>Agosto</v>
      </c>
      <c r="P678" s="4">
        <v>47</v>
      </c>
      <c r="Q678" s="2">
        <v>4.9000000000000004</v>
      </c>
      <c r="R678" t="str">
        <f>IF(BBDD_fashion_boutique[[#This Row],[stock_quantity]]&gt;9,"Ok",IF(BBDD_fashion_boutique[[#This Row],[stock_quantity]]=0,"Agotado","Pocas Unidades"))</f>
        <v>Ok</v>
      </c>
      <c r="S678" s="3">
        <f>IF(BBDD_fashion_boutique[[#This Row],[customer_rating]]="","No valorado",BBDD_fashion_boutique[[#This Row],[customer_rating]])</f>
        <v>4.9000000000000004</v>
      </c>
      <c r="T678" t="s">
        <v>24</v>
      </c>
      <c r="V678">
        <f>IF(BBDD_fashion_boutique[[#This Row],[is_returned]]="False",0,1)</f>
        <v>0</v>
      </c>
      <c r="W678">
        <f>IF(BBDD_fashion_boutique[[#This Row],[is_returned]]="True",0,BBDD_fashion_boutique[[#This Row],[current_price]])</f>
        <v>91.08</v>
      </c>
      <c r="X678" t="str">
        <f>IF(BBDD_fashion_boutique[[#This Row],[return_reason]]="","No return",BBDD_fashion_boutique[[#This Row],[return_reason]])</f>
        <v>No return</v>
      </c>
      <c r="Y678">
        <f>IF(IFERROR(VLOOKUP(BBDD_fashion_boutique[[#This Row],[product_id]],A679:A2854,1,FALSE),0),1,0)</f>
        <v>0</v>
      </c>
    </row>
    <row r="679" spans="1:25" x14ac:dyDescent="0.3">
      <c r="A679" t="s">
        <v>738</v>
      </c>
      <c r="B679" t="s">
        <v>32</v>
      </c>
      <c r="C679" t="s">
        <v>37</v>
      </c>
      <c r="D679" t="s">
        <v>39</v>
      </c>
      <c r="F679" t="str">
        <f>IF(BBDD_fashion_boutique[[#This Row],[category]]="Accessories","Accesorio",IF(BBDD_fashion_boutique[[#This Row],[size]]="","Desconocido",BBDD_fashion_boutique[[#This Row],[size]]))</f>
        <v>Accesorio</v>
      </c>
      <c r="G679" t="s">
        <v>76</v>
      </c>
      <c r="H679" s="2">
        <v>49.72</v>
      </c>
      <c r="I679">
        <v>58.3</v>
      </c>
      <c r="J679" s="5">
        <f>BBDD_fashion_boutique[[#This Row],[markdown_percentage]]/100</f>
        <v>0.58299999999999996</v>
      </c>
      <c r="K679" s="2">
        <v>20.73</v>
      </c>
      <c r="L679" s="2">
        <f>BBDD_fashion_boutique[[#This Row],[original_price]]-BBDD_fashion_boutique[[#This Row],[current_price]]</f>
        <v>28.99</v>
      </c>
      <c r="M679" s="1">
        <v>45875</v>
      </c>
      <c r="N679" s="1" t="str">
        <f>PROPER(TEXT(BBDD_fashion_boutique[[#This Row],[purchase_date]],"dddd"))</f>
        <v>Miércoles</v>
      </c>
      <c r="O679" s="1" t="str">
        <f>PROPER(TEXT(BBDD_fashion_boutique[[#This Row],[purchase_date]],"mmmm"))</f>
        <v>Agosto</v>
      </c>
      <c r="P679" s="4">
        <v>4</v>
      </c>
      <c r="Q679" s="2">
        <v>1.6</v>
      </c>
      <c r="R679" t="str">
        <f>IF(BBDD_fashion_boutique[[#This Row],[stock_quantity]]&gt;9,"Ok",IF(BBDD_fashion_boutique[[#This Row],[stock_quantity]]=0,"Agotado","Pocas Unidades"))</f>
        <v>Pocas Unidades</v>
      </c>
      <c r="S679" s="3">
        <f>IF(BBDD_fashion_boutique[[#This Row],[customer_rating]]="","No valorado",BBDD_fashion_boutique[[#This Row],[customer_rating]])</f>
        <v>1.6</v>
      </c>
      <c r="T679" t="s">
        <v>24</v>
      </c>
      <c r="V679">
        <f>IF(BBDD_fashion_boutique[[#This Row],[is_returned]]="False",0,1)</f>
        <v>0</v>
      </c>
      <c r="W679">
        <f>IF(BBDD_fashion_boutique[[#This Row],[is_returned]]="True",0,BBDD_fashion_boutique[[#This Row],[current_price]])</f>
        <v>20.73</v>
      </c>
      <c r="X679" t="str">
        <f>IF(BBDD_fashion_boutique[[#This Row],[return_reason]]="","No return",BBDD_fashion_boutique[[#This Row],[return_reason]])</f>
        <v>No return</v>
      </c>
      <c r="Y679">
        <f>IF(IFERROR(VLOOKUP(BBDD_fashion_boutique[[#This Row],[product_id]],A680:A2855,1,FALSE),0),1,0)</f>
        <v>0</v>
      </c>
    </row>
    <row r="680" spans="1:25" x14ac:dyDescent="0.3">
      <c r="A680" t="s">
        <v>739</v>
      </c>
      <c r="B680" t="s">
        <v>32</v>
      </c>
      <c r="C680" t="s">
        <v>67</v>
      </c>
      <c r="D680" t="s">
        <v>28</v>
      </c>
      <c r="F680" t="str">
        <f>IF(BBDD_fashion_boutique[[#This Row],[category]]="Accessories","Accesorio",IF(BBDD_fashion_boutique[[#This Row],[size]]="","Desconocido",BBDD_fashion_boutique[[#This Row],[size]]))</f>
        <v>Accesorio</v>
      </c>
      <c r="G680" t="s">
        <v>72</v>
      </c>
      <c r="H680" s="2">
        <v>23.09</v>
      </c>
      <c r="I680">
        <v>7.1</v>
      </c>
      <c r="J680" s="5">
        <f>BBDD_fashion_boutique[[#This Row],[markdown_percentage]]/100</f>
        <v>7.0999999999999994E-2</v>
      </c>
      <c r="K680" s="2">
        <v>21.45</v>
      </c>
      <c r="L680" s="2">
        <f>BBDD_fashion_boutique[[#This Row],[original_price]]-BBDD_fashion_boutique[[#This Row],[current_price]]</f>
        <v>1.6400000000000006</v>
      </c>
      <c r="M680" s="1">
        <v>45875</v>
      </c>
      <c r="N680" s="1" t="str">
        <f>PROPER(TEXT(BBDD_fashion_boutique[[#This Row],[purchase_date]],"dddd"))</f>
        <v>Miércoles</v>
      </c>
      <c r="O680" s="1" t="str">
        <f>PROPER(TEXT(BBDD_fashion_boutique[[#This Row],[purchase_date]],"mmmm"))</f>
        <v>Agosto</v>
      </c>
      <c r="P680" s="4">
        <v>11</v>
      </c>
      <c r="Q680" s="2">
        <v>1.2</v>
      </c>
      <c r="R680" t="str">
        <f>IF(BBDD_fashion_boutique[[#This Row],[stock_quantity]]&gt;9,"Ok",IF(BBDD_fashion_boutique[[#This Row],[stock_quantity]]=0,"Agotado","Pocas Unidades"))</f>
        <v>Ok</v>
      </c>
      <c r="S680" s="3">
        <f>IF(BBDD_fashion_boutique[[#This Row],[customer_rating]]="","No valorado",BBDD_fashion_boutique[[#This Row],[customer_rating]])</f>
        <v>1.2</v>
      </c>
      <c r="T680" t="s">
        <v>24</v>
      </c>
      <c r="V680">
        <f>IF(BBDD_fashion_boutique[[#This Row],[is_returned]]="False",0,1)</f>
        <v>0</v>
      </c>
      <c r="W680">
        <f>IF(BBDD_fashion_boutique[[#This Row],[is_returned]]="True",0,BBDD_fashion_boutique[[#This Row],[current_price]])</f>
        <v>21.45</v>
      </c>
      <c r="X680" t="str">
        <f>IF(BBDD_fashion_boutique[[#This Row],[return_reason]]="","No return",BBDD_fashion_boutique[[#This Row],[return_reason]])</f>
        <v>No return</v>
      </c>
      <c r="Y680">
        <f>IF(IFERROR(VLOOKUP(BBDD_fashion_boutique[[#This Row],[product_id]],A681:A2856,1,FALSE),0),1,0)</f>
        <v>0</v>
      </c>
    </row>
    <row r="681" spans="1:25" x14ac:dyDescent="0.3">
      <c r="A681" t="s">
        <v>740</v>
      </c>
      <c r="B681" t="s">
        <v>32</v>
      </c>
      <c r="C681" t="s">
        <v>20</v>
      </c>
      <c r="D681" t="s">
        <v>21</v>
      </c>
      <c r="F681" t="str">
        <f>IF(BBDD_fashion_boutique[[#This Row],[category]]="Accessories","Accesorio",IF(BBDD_fashion_boutique[[#This Row],[size]]="","Desconocido",BBDD_fashion_boutique[[#This Row],[size]]))</f>
        <v>Accesorio</v>
      </c>
      <c r="G681" t="s">
        <v>23</v>
      </c>
      <c r="H681" s="2">
        <v>49.95</v>
      </c>
      <c r="I681">
        <v>0</v>
      </c>
      <c r="J681" s="5">
        <f>BBDD_fashion_boutique[[#This Row],[markdown_percentage]]/100</f>
        <v>0</v>
      </c>
      <c r="K681" s="2">
        <v>49.95</v>
      </c>
      <c r="L681" s="2">
        <f>BBDD_fashion_boutique[[#This Row],[original_price]]-BBDD_fashion_boutique[[#This Row],[current_price]]</f>
        <v>0</v>
      </c>
      <c r="M681" s="1">
        <v>45552</v>
      </c>
      <c r="N681" s="1" t="str">
        <f>PROPER(TEXT(BBDD_fashion_boutique[[#This Row],[purchase_date]],"dddd"))</f>
        <v>Martes</v>
      </c>
      <c r="O681" s="1" t="str">
        <f>PROPER(TEXT(BBDD_fashion_boutique[[#This Row],[purchase_date]],"mmmm"))</f>
        <v>Septiembre</v>
      </c>
      <c r="P681" s="4">
        <v>29</v>
      </c>
      <c r="Q681" s="2">
        <v>4.3</v>
      </c>
      <c r="R681" t="str">
        <f>IF(BBDD_fashion_boutique[[#This Row],[stock_quantity]]&gt;9,"Ok",IF(BBDD_fashion_boutique[[#This Row],[stock_quantity]]=0,"Agotado","Pocas Unidades"))</f>
        <v>Ok</v>
      </c>
      <c r="S681" s="3">
        <f>IF(BBDD_fashion_boutique[[#This Row],[customer_rating]]="","No valorado",BBDD_fashion_boutique[[#This Row],[customer_rating]])</f>
        <v>4.3</v>
      </c>
      <c r="T681" t="s">
        <v>24</v>
      </c>
      <c r="V681">
        <f>IF(BBDD_fashion_boutique[[#This Row],[is_returned]]="False",0,1)</f>
        <v>0</v>
      </c>
      <c r="W681">
        <f>IF(BBDD_fashion_boutique[[#This Row],[is_returned]]="True",0,BBDD_fashion_boutique[[#This Row],[current_price]])</f>
        <v>49.95</v>
      </c>
      <c r="X681" t="str">
        <f>IF(BBDD_fashion_boutique[[#This Row],[return_reason]]="","No return",BBDD_fashion_boutique[[#This Row],[return_reason]])</f>
        <v>No return</v>
      </c>
      <c r="Y681">
        <f>IF(IFERROR(VLOOKUP(BBDD_fashion_boutique[[#This Row],[product_id]],A682:A2857,1,FALSE),0),1,0)</f>
        <v>0</v>
      </c>
    </row>
    <row r="682" spans="1:25" x14ac:dyDescent="0.3">
      <c r="A682" t="s">
        <v>741</v>
      </c>
      <c r="B682" t="s">
        <v>32</v>
      </c>
      <c r="C682" t="s">
        <v>81</v>
      </c>
      <c r="D682" t="s">
        <v>28</v>
      </c>
      <c r="F682" t="str">
        <f>IF(BBDD_fashion_boutique[[#This Row],[category]]="Accessories","Accesorio",IF(BBDD_fashion_boutique[[#This Row],[size]]="","Desconocido",BBDD_fashion_boutique[[#This Row],[size]]))</f>
        <v>Accesorio</v>
      </c>
      <c r="G682" t="s">
        <v>52</v>
      </c>
      <c r="H682" s="2">
        <v>25.7</v>
      </c>
      <c r="I682">
        <v>0</v>
      </c>
      <c r="J682" s="5">
        <f>BBDD_fashion_boutique[[#This Row],[markdown_percentage]]/100</f>
        <v>0</v>
      </c>
      <c r="K682" s="2">
        <v>25.7</v>
      </c>
      <c r="L682" s="2">
        <f>BBDD_fashion_boutique[[#This Row],[original_price]]-BBDD_fashion_boutique[[#This Row],[current_price]]</f>
        <v>0</v>
      </c>
      <c r="M682" s="1">
        <v>45875</v>
      </c>
      <c r="N682" s="1" t="str">
        <f>PROPER(TEXT(BBDD_fashion_boutique[[#This Row],[purchase_date]],"dddd"))</f>
        <v>Miércoles</v>
      </c>
      <c r="O682" s="1" t="str">
        <f>PROPER(TEXT(BBDD_fashion_boutique[[#This Row],[purchase_date]],"mmmm"))</f>
        <v>Agosto</v>
      </c>
      <c r="P682" s="4">
        <v>38</v>
      </c>
      <c r="Q682" s="2">
        <v>3.2</v>
      </c>
      <c r="R682" t="str">
        <f>IF(BBDD_fashion_boutique[[#This Row],[stock_quantity]]&gt;9,"Ok",IF(BBDD_fashion_boutique[[#This Row],[stock_quantity]]=0,"Agotado","Pocas Unidades"))</f>
        <v>Ok</v>
      </c>
      <c r="S682" s="3">
        <f>IF(BBDD_fashion_boutique[[#This Row],[customer_rating]]="","No valorado",BBDD_fashion_boutique[[#This Row],[customer_rating]])</f>
        <v>3.2</v>
      </c>
      <c r="T682" t="s">
        <v>41</v>
      </c>
      <c r="U682" t="s">
        <v>89</v>
      </c>
      <c r="V682">
        <f>IF(BBDD_fashion_boutique[[#This Row],[is_returned]]="False",0,1)</f>
        <v>1</v>
      </c>
      <c r="W682">
        <f>IF(BBDD_fashion_boutique[[#This Row],[is_returned]]="True",0,BBDD_fashion_boutique[[#This Row],[current_price]])</f>
        <v>0</v>
      </c>
      <c r="X682" t="str">
        <f>IF(BBDD_fashion_boutique[[#This Row],[return_reason]]="","No return",BBDD_fashion_boutique[[#This Row],[return_reason]])</f>
        <v>Quality Issue</v>
      </c>
      <c r="Y682">
        <f>IF(IFERROR(VLOOKUP(BBDD_fashion_boutique[[#This Row],[product_id]],A683:A2858,1,FALSE),0),1,0)</f>
        <v>0</v>
      </c>
    </row>
    <row r="683" spans="1:25" x14ac:dyDescent="0.3">
      <c r="A683" t="s">
        <v>742</v>
      </c>
      <c r="B683" t="s">
        <v>35</v>
      </c>
      <c r="C683" t="s">
        <v>49</v>
      </c>
      <c r="D683" t="s">
        <v>68</v>
      </c>
      <c r="E683" t="s">
        <v>61</v>
      </c>
      <c r="F683" t="str">
        <f>IF(BBDD_fashion_boutique[[#This Row],[category]]="Accessories","Accesorio",IF(BBDD_fashion_boutique[[#This Row],[size]]="","Desconocido",BBDD_fashion_boutique[[#This Row],[size]]))</f>
        <v>XS</v>
      </c>
      <c r="G683" t="s">
        <v>52</v>
      </c>
      <c r="H683" s="2">
        <v>175.22</v>
      </c>
      <c r="I683">
        <v>0</v>
      </c>
      <c r="J683" s="5">
        <f>BBDD_fashion_boutique[[#This Row],[markdown_percentage]]/100</f>
        <v>0</v>
      </c>
      <c r="K683" s="2">
        <v>175.22</v>
      </c>
      <c r="L683" s="2">
        <f>BBDD_fashion_boutique[[#This Row],[original_price]]-BBDD_fashion_boutique[[#This Row],[current_price]]</f>
        <v>0</v>
      </c>
      <c r="M683" s="1">
        <v>45875</v>
      </c>
      <c r="N683" s="1" t="str">
        <f>PROPER(TEXT(BBDD_fashion_boutique[[#This Row],[purchase_date]],"dddd"))</f>
        <v>Miércoles</v>
      </c>
      <c r="O683" s="1" t="str">
        <f>PROPER(TEXT(BBDD_fashion_boutique[[#This Row],[purchase_date]],"mmmm"))</f>
        <v>Agosto</v>
      </c>
      <c r="P683" s="4">
        <v>8</v>
      </c>
      <c r="Q683" s="2">
        <v>4.9000000000000004</v>
      </c>
      <c r="R683" t="str">
        <f>IF(BBDD_fashion_boutique[[#This Row],[stock_quantity]]&gt;9,"Ok",IF(BBDD_fashion_boutique[[#This Row],[stock_quantity]]=0,"Agotado","Pocas Unidades"))</f>
        <v>Pocas Unidades</v>
      </c>
      <c r="S683" s="3">
        <f>IF(BBDD_fashion_boutique[[#This Row],[customer_rating]]="","No valorado",BBDD_fashion_boutique[[#This Row],[customer_rating]])</f>
        <v>4.9000000000000004</v>
      </c>
      <c r="T683" t="s">
        <v>24</v>
      </c>
      <c r="V683">
        <f>IF(BBDD_fashion_boutique[[#This Row],[is_returned]]="False",0,1)</f>
        <v>0</v>
      </c>
      <c r="W683">
        <f>IF(BBDD_fashion_boutique[[#This Row],[is_returned]]="True",0,BBDD_fashion_boutique[[#This Row],[current_price]])</f>
        <v>175.22</v>
      </c>
      <c r="X683" t="str">
        <f>IF(BBDD_fashion_boutique[[#This Row],[return_reason]]="","No return",BBDD_fashion_boutique[[#This Row],[return_reason]])</f>
        <v>No return</v>
      </c>
      <c r="Y683">
        <f>IF(IFERROR(VLOOKUP(BBDD_fashion_boutique[[#This Row],[product_id]],A684:A2859,1,FALSE),0),1,0)</f>
        <v>0</v>
      </c>
    </row>
    <row r="684" spans="1:25" x14ac:dyDescent="0.3">
      <c r="A684" t="s">
        <v>743</v>
      </c>
      <c r="B684" t="s">
        <v>44</v>
      </c>
      <c r="C684" t="s">
        <v>59</v>
      </c>
      <c r="D684" t="s">
        <v>68</v>
      </c>
      <c r="E684" t="s">
        <v>61</v>
      </c>
      <c r="F684" t="str">
        <f>IF(BBDD_fashion_boutique[[#This Row],[category]]="Accessories","Accesorio",IF(BBDD_fashion_boutique[[#This Row],[size]]="","Desconocido",BBDD_fashion_boutique[[#This Row],[size]]))</f>
        <v>XS</v>
      </c>
      <c r="G684" t="s">
        <v>46</v>
      </c>
      <c r="H684" s="2">
        <v>37.57</v>
      </c>
      <c r="I684">
        <v>0</v>
      </c>
      <c r="J684" s="5">
        <f>BBDD_fashion_boutique[[#This Row],[markdown_percentage]]/100</f>
        <v>0</v>
      </c>
      <c r="K684" s="2">
        <v>37.57</v>
      </c>
      <c r="L684" s="2">
        <f>BBDD_fashion_boutique[[#This Row],[original_price]]-BBDD_fashion_boutique[[#This Row],[current_price]]</f>
        <v>0</v>
      </c>
      <c r="M684" s="1">
        <v>45875</v>
      </c>
      <c r="N684" s="1" t="str">
        <f>PROPER(TEXT(BBDD_fashion_boutique[[#This Row],[purchase_date]],"dddd"))</f>
        <v>Miércoles</v>
      </c>
      <c r="O684" s="1" t="str">
        <f>PROPER(TEXT(BBDD_fashion_boutique[[#This Row],[purchase_date]],"mmmm"))</f>
        <v>Agosto</v>
      </c>
      <c r="P684" s="4">
        <v>18</v>
      </c>
      <c r="Q684" s="2">
        <v>1.9</v>
      </c>
      <c r="R684" t="str">
        <f>IF(BBDD_fashion_boutique[[#This Row],[stock_quantity]]&gt;9,"Ok",IF(BBDD_fashion_boutique[[#This Row],[stock_quantity]]=0,"Agotado","Pocas Unidades"))</f>
        <v>Ok</v>
      </c>
      <c r="S684" s="3">
        <f>IF(BBDD_fashion_boutique[[#This Row],[customer_rating]]="","No valorado",BBDD_fashion_boutique[[#This Row],[customer_rating]])</f>
        <v>1.9</v>
      </c>
      <c r="T684" t="s">
        <v>24</v>
      </c>
      <c r="V684">
        <f>IF(BBDD_fashion_boutique[[#This Row],[is_returned]]="False",0,1)</f>
        <v>0</v>
      </c>
      <c r="W684">
        <f>IF(BBDD_fashion_boutique[[#This Row],[is_returned]]="True",0,BBDD_fashion_boutique[[#This Row],[current_price]])</f>
        <v>37.57</v>
      </c>
      <c r="X684" t="str">
        <f>IF(BBDD_fashion_boutique[[#This Row],[return_reason]]="","No return",BBDD_fashion_boutique[[#This Row],[return_reason]])</f>
        <v>No return</v>
      </c>
      <c r="Y684">
        <f>IF(IFERROR(VLOOKUP(BBDD_fashion_boutique[[#This Row],[product_id]],A685:A2860,1,FALSE),0),1,0)</f>
        <v>0</v>
      </c>
    </row>
    <row r="685" spans="1:25" x14ac:dyDescent="0.3">
      <c r="A685" t="s">
        <v>744</v>
      </c>
      <c r="B685" t="s">
        <v>19</v>
      </c>
      <c r="C685" t="s">
        <v>20</v>
      </c>
      <c r="D685" t="s">
        <v>21</v>
      </c>
      <c r="E685" t="s">
        <v>64</v>
      </c>
      <c r="F685" t="str">
        <f>IF(BBDD_fashion_boutique[[#This Row],[category]]="Accessories","Accesorio",IF(BBDD_fashion_boutique[[#This Row],[size]]="","Desconocido",BBDD_fashion_boutique[[#This Row],[size]]))</f>
        <v>M</v>
      </c>
      <c r="G685" t="s">
        <v>52</v>
      </c>
      <c r="H685" s="2">
        <v>245.87</v>
      </c>
      <c r="I685">
        <v>0</v>
      </c>
      <c r="J685" s="5">
        <f>BBDD_fashion_boutique[[#This Row],[markdown_percentage]]/100</f>
        <v>0</v>
      </c>
      <c r="K685" s="2">
        <v>245.87</v>
      </c>
      <c r="L685" s="2">
        <f>BBDD_fashion_boutique[[#This Row],[original_price]]-BBDD_fashion_boutique[[#This Row],[current_price]]</f>
        <v>0</v>
      </c>
      <c r="M685" s="1">
        <v>45832</v>
      </c>
      <c r="N685" s="1" t="str">
        <f>PROPER(TEXT(BBDD_fashion_boutique[[#This Row],[purchase_date]],"dddd"))</f>
        <v>Martes</v>
      </c>
      <c r="O685" s="1" t="str">
        <f>PROPER(TEXT(BBDD_fashion_boutique[[#This Row],[purchase_date]],"mmmm"))</f>
        <v>Junio</v>
      </c>
      <c r="P685" s="4">
        <v>27</v>
      </c>
      <c r="Q685" s="2">
        <v>2.6</v>
      </c>
      <c r="R685" t="str">
        <f>IF(BBDD_fashion_boutique[[#This Row],[stock_quantity]]&gt;9,"Ok",IF(BBDD_fashion_boutique[[#This Row],[stock_quantity]]=0,"Agotado","Pocas Unidades"))</f>
        <v>Ok</v>
      </c>
      <c r="S685" s="3">
        <f>IF(BBDD_fashion_boutique[[#This Row],[customer_rating]]="","No valorado",BBDD_fashion_boutique[[#This Row],[customer_rating]])</f>
        <v>2.6</v>
      </c>
      <c r="T685" t="s">
        <v>24</v>
      </c>
      <c r="V685">
        <f>IF(BBDD_fashion_boutique[[#This Row],[is_returned]]="False",0,1)</f>
        <v>0</v>
      </c>
      <c r="W685">
        <f>IF(BBDD_fashion_boutique[[#This Row],[is_returned]]="True",0,BBDD_fashion_boutique[[#This Row],[current_price]])</f>
        <v>245.87</v>
      </c>
      <c r="X685" t="str">
        <f>IF(BBDD_fashion_boutique[[#This Row],[return_reason]]="","No return",BBDD_fashion_boutique[[#This Row],[return_reason]])</f>
        <v>No return</v>
      </c>
      <c r="Y685">
        <f>IF(IFERROR(VLOOKUP(BBDD_fashion_boutique[[#This Row],[product_id]],A686:A2861,1,FALSE),0),1,0)</f>
        <v>0</v>
      </c>
    </row>
    <row r="686" spans="1:25" x14ac:dyDescent="0.3">
      <c r="A686" t="s">
        <v>745</v>
      </c>
      <c r="B686" t="s">
        <v>44</v>
      </c>
      <c r="C686" t="s">
        <v>37</v>
      </c>
      <c r="D686" t="s">
        <v>28</v>
      </c>
      <c r="E686" t="s">
        <v>61</v>
      </c>
      <c r="F686" t="str">
        <f>IF(BBDD_fashion_boutique[[#This Row],[category]]="Accessories","Accesorio",IF(BBDD_fashion_boutique[[#This Row],[size]]="","Desconocido",BBDD_fashion_boutique[[#This Row],[size]]))</f>
        <v>XS</v>
      </c>
      <c r="G686" t="s">
        <v>23</v>
      </c>
      <c r="H686" s="2">
        <v>116.92</v>
      </c>
      <c r="I686">
        <v>0</v>
      </c>
      <c r="J686" s="5">
        <f>BBDD_fashion_boutique[[#This Row],[markdown_percentage]]/100</f>
        <v>0</v>
      </c>
      <c r="K686" s="2">
        <v>116.92</v>
      </c>
      <c r="L686" s="2">
        <f>BBDD_fashion_boutique[[#This Row],[original_price]]-BBDD_fashion_boutique[[#This Row],[current_price]]</f>
        <v>0</v>
      </c>
      <c r="M686" s="1">
        <v>45875</v>
      </c>
      <c r="N686" s="1" t="str">
        <f>PROPER(TEXT(BBDD_fashion_boutique[[#This Row],[purchase_date]],"dddd"))</f>
        <v>Miércoles</v>
      </c>
      <c r="O686" s="1" t="str">
        <f>PROPER(TEXT(BBDD_fashion_boutique[[#This Row],[purchase_date]],"mmmm"))</f>
        <v>Agosto</v>
      </c>
      <c r="P686" s="4">
        <v>13</v>
      </c>
      <c r="Q686" s="2">
        <v>3.2</v>
      </c>
      <c r="R686" t="str">
        <f>IF(BBDD_fashion_boutique[[#This Row],[stock_quantity]]&gt;9,"Ok",IF(BBDD_fashion_boutique[[#This Row],[stock_quantity]]=0,"Agotado","Pocas Unidades"))</f>
        <v>Ok</v>
      </c>
      <c r="S686" s="3">
        <f>IF(BBDD_fashion_boutique[[#This Row],[customer_rating]]="","No valorado",BBDD_fashion_boutique[[#This Row],[customer_rating]])</f>
        <v>3.2</v>
      </c>
      <c r="T686" t="s">
        <v>24</v>
      </c>
      <c r="V686">
        <f>IF(BBDD_fashion_boutique[[#This Row],[is_returned]]="False",0,1)</f>
        <v>0</v>
      </c>
      <c r="W686">
        <f>IF(BBDD_fashion_boutique[[#This Row],[is_returned]]="True",0,BBDD_fashion_boutique[[#This Row],[current_price]])</f>
        <v>116.92</v>
      </c>
      <c r="X686" t="str">
        <f>IF(BBDD_fashion_boutique[[#This Row],[return_reason]]="","No return",BBDD_fashion_boutique[[#This Row],[return_reason]])</f>
        <v>No return</v>
      </c>
      <c r="Y686">
        <f>IF(IFERROR(VLOOKUP(BBDD_fashion_boutique[[#This Row],[product_id]],A687:A2862,1,FALSE),0),1,0)</f>
        <v>0</v>
      </c>
    </row>
    <row r="687" spans="1:25" x14ac:dyDescent="0.3">
      <c r="A687" t="s">
        <v>746</v>
      </c>
      <c r="B687" t="s">
        <v>48</v>
      </c>
      <c r="C687" t="s">
        <v>59</v>
      </c>
      <c r="D687" t="s">
        <v>28</v>
      </c>
      <c r="E687" t="s">
        <v>29</v>
      </c>
      <c r="F687" t="str">
        <f>IF(BBDD_fashion_boutique[[#This Row],[category]]="Accessories","Accesorio",IF(BBDD_fashion_boutique[[#This Row],[size]]="","Desconocido",BBDD_fashion_boutique[[#This Row],[size]]))</f>
        <v>L</v>
      </c>
      <c r="G687" t="s">
        <v>30</v>
      </c>
      <c r="H687" s="2">
        <v>103.11</v>
      </c>
      <c r="I687">
        <v>0</v>
      </c>
      <c r="J687" s="5">
        <f>BBDD_fashion_boutique[[#This Row],[markdown_percentage]]/100</f>
        <v>0</v>
      </c>
      <c r="K687" s="2">
        <v>103.11</v>
      </c>
      <c r="L687" s="2">
        <f>BBDD_fashion_boutique[[#This Row],[original_price]]-BBDD_fashion_boutique[[#This Row],[current_price]]</f>
        <v>0</v>
      </c>
      <c r="M687" s="1">
        <v>45875</v>
      </c>
      <c r="N687" s="1" t="str">
        <f>PROPER(TEXT(BBDD_fashion_boutique[[#This Row],[purchase_date]],"dddd"))</f>
        <v>Miércoles</v>
      </c>
      <c r="O687" s="1" t="str">
        <f>PROPER(TEXT(BBDD_fashion_boutique[[#This Row],[purchase_date]],"mmmm"))</f>
        <v>Agosto</v>
      </c>
      <c r="P687" s="4">
        <v>17</v>
      </c>
      <c r="R687" t="str">
        <f>IF(BBDD_fashion_boutique[[#This Row],[stock_quantity]]&gt;9,"Ok",IF(BBDD_fashion_boutique[[#This Row],[stock_quantity]]=0,"Agotado","Pocas Unidades"))</f>
        <v>Ok</v>
      </c>
      <c r="S687" s="3" t="str">
        <f>IF(BBDD_fashion_boutique[[#This Row],[customer_rating]]="","No valorado",BBDD_fashion_boutique[[#This Row],[customer_rating]])</f>
        <v>No valorado</v>
      </c>
      <c r="T687" t="s">
        <v>24</v>
      </c>
      <c r="V687">
        <f>IF(BBDD_fashion_boutique[[#This Row],[is_returned]]="False",0,1)</f>
        <v>0</v>
      </c>
      <c r="W687">
        <f>IF(BBDD_fashion_boutique[[#This Row],[is_returned]]="True",0,BBDD_fashion_boutique[[#This Row],[current_price]])</f>
        <v>103.11</v>
      </c>
      <c r="X687" t="str">
        <f>IF(BBDD_fashion_boutique[[#This Row],[return_reason]]="","No return",BBDD_fashion_boutique[[#This Row],[return_reason]])</f>
        <v>No return</v>
      </c>
      <c r="Y687">
        <f>IF(IFERROR(VLOOKUP(BBDD_fashion_boutique[[#This Row],[product_id]],A688:A2863,1,FALSE),0),1,0)</f>
        <v>0</v>
      </c>
    </row>
    <row r="688" spans="1:25" x14ac:dyDescent="0.3">
      <c r="A688" t="s">
        <v>747</v>
      </c>
      <c r="B688" t="s">
        <v>19</v>
      </c>
      <c r="C688" t="s">
        <v>27</v>
      </c>
      <c r="D688" t="s">
        <v>39</v>
      </c>
      <c r="E688" t="s">
        <v>64</v>
      </c>
      <c r="F688" t="str">
        <f>IF(BBDD_fashion_boutique[[#This Row],[category]]="Accessories","Accesorio",IF(BBDD_fashion_boutique[[#This Row],[size]]="","Desconocido",BBDD_fashion_boutique[[#This Row],[size]]))</f>
        <v>M</v>
      </c>
      <c r="G688" t="s">
        <v>72</v>
      </c>
      <c r="H688" s="2">
        <v>238.89</v>
      </c>
      <c r="I688">
        <v>0.5</v>
      </c>
      <c r="J688" s="5">
        <f>BBDD_fashion_boutique[[#This Row],[markdown_percentage]]/100</f>
        <v>5.0000000000000001E-3</v>
      </c>
      <c r="K688" s="2">
        <v>237.7</v>
      </c>
      <c r="L688" s="2">
        <f>BBDD_fashion_boutique[[#This Row],[original_price]]-BBDD_fashion_boutique[[#This Row],[current_price]]</f>
        <v>1.1899999999999977</v>
      </c>
      <c r="M688" s="1">
        <v>45875</v>
      </c>
      <c r="N688" s="1" t="str">
        <f>PROPER(TEXT(BBDD_fashion_boutique[[#This Row],[purchase_date]],"dddd"))</f>
        <v>Miércoles</v>
      </c>
      <c r="O688" s="1" t="str">
        <f>PROPER(TEXT(BBDD_fashion_boutique[[#This Row],[purchase_date]],"mmmm"))</f>
        <v>Agosto</v>
      </c>
      <c r="P688" s="4">
        <v>28</v>
      </c>
      <c r="Q688" s="2">
        <v>2.7</v>
      </c>
      <c r="R688" t="str">
        <f>IF(BBDD_fashion_boutique[[#This Row],[stock_quantity]]&gt;9,"Ok",IF(BBDD_fashion_boutique[[#This Row],[stock_quantity]]=0,"Agotado","Pocas Unidades"))</f>
        <v>Ok</v>
      </c>
      <c r="S688" s="3">
        <f>IF(BBDD_fashion_boutique[[#This Row],[customer_rating]]="","No valorado",BBDD_fashion_boutique[[#This Row],[customer_rating]])</f>
        <v>2.7</v>
      </c>
      <c r="T688" t="s">
        <v>24</v>
      </c>
      <c r="V688">
        <f>IF(BBDD_fashion_boutique[[#This Row],[is_returned]]="False",0,1)</f>
        <v>0</v>
      </c>
      <c r="W688">
        <f>IF(BBDD_fashion_boutique[[#This Row],[is_returned]]="True",0,BBDD_fashion_boutique[[#This Row],[current_price]])</f>
        <v>237.7</v>
      </c>
      <c r="X688" t="str">
        <f>IF(BBDD_fashion_boutique[[#This Row],[return_reason]]="","No return",BBDD_fashion_boutique[[#This Row],[return_reason]])</f>
        <v>No return</v>
      </c>
      <c r="Y688">
        <f>IF(IFERROR(VLOOKUP(BBDD_fashion_boutique[[#This Row],[product_id]],A689:A2864,1,FALSE),0),1,0)</f>
        <v>0</v>
      </c>
    </row>
    <row r="689" spans="1:25" x14ac:dyDescent="0.3">
      <c r="A689" t="s">
        <v>748</v>
      </c>
      <c r="B689" t="s">
        <v>35</v>
      </c>
      <c r="C689" t="s">
        <v>27</v>
      </c>
      <c r="D689" t="s">
        <v>68</v>
      </c>
      <c r="E689" t="s">
        <v>61</v>
      </c>
      <c r="F689" t="str">
        <f>IF(BBDD_fashion_boutique[[#This Row],[category]]="Accessories","Accesorio",IF(BBDD_fashion_boutique[[#This Row],[size]]="","Desconocido",BBDD_fashion_boutique[[#This Row],[size]]))</f>
        <v>XS</v>
      </c>
      <c r="G689" t="s">
        <v>30</v>
      </c>
      <c r="H689" s="2">
        <v>86.81</v>
      </c>
      <c r="I689">
        <v>12.6</v>
      </c>
      <c r="J689" s="5">
        <f>BBDD_fashion_boutique[[#This Row],[markdown_percentage]]/100</f>
        <v>0.126</v>
      </c>
      <c r="K689" s="2">
        <v>75.87</v>
      </c>
      <c r="L689" s="2">
        <f>BBDD_fashion_boutique[[#This Row],[original_price]]-BBDD_fashion_boutique[[#This Row],[current_price]]</f>
        <v>10.939999999999998</v>
      </c>
      <c r="M689" s="1">
        <v>45875</v>
      </c>
      <c r="N689" s="1" t="str">
        <f>PROPER(TEXT(BBDD_fashion_boutique[[#This Row],[purchase_date]],"dddd"))</f>
        <v>Miércoles</v>
      </c>
      <c r="O689" s="1" t="str">
        <f>PROPER(TEXT(BBDD_fashion_boutique[[#This Row],[purchase_date]],"mmmm"))</f>
        <v>Agosto</v>
      </c>
      <c r="P689" s="4">
        <v>6</v>
      </c>
      <c r="Q689" s="2">
        <v>1.7</v>
      </c>
      <c r="R689" t="str">
        <f>IF(BBDD_fashion_boutique[[#This Row],[stock_quantity]]&gt;9,"Ok",IF(BBDD_fashion_boutique[[#This Row],[stock_quantity]]=0,"Agotado","Pocas Unidades"))</f>
        <v>Pocas Unidades</v>
      </c>
      <c r="S689" s="3">
        <f>IF(BBDD_fashion_boutique[[#This Row],[customer_rating]]="","No valorado",BBDD_fashion_boutique[[#This Row],[customer_rating]])</f>
        <v>1.7</v>
      </c>
      <c r="T689" t="s">
        <v>24</v>
      </c>
      <c r="V689">
        <f>IF(BBDD_fashion_boutique[[#This Row],[is_returned]]="False",0,1)</f>
        <v>0</v>
      </c>
      <c r="W689">
        <f>IF(BBDD_fashion_boutique[[#This Row],[is_returned]]="True",0,BBDD_fashion_boutique[[#This Row],[current_price]])</f>
        <v>75.87</v>
      </c>
      <c r="X689" t="str">
        <f>IF(BBDD_fashion_boutique[[#This Row],[return_reason]]="","No return",BBDD_fashion_boutique[[#This Row],[return_reason]])</f>
        <v>No return</v>
      </c>
      <c r="Y689">
        <f>IF(IFERROR(VLOOKUP(BBDD_fashion_boutique[[#This Row],[product_id]],A690:A2865,1,FALSE),0),1,0)</f>
        <v>0</v>
      </c>
    </row>
    <row r="690" spans="1:25" x14ac:dyDescent="0.3">
      <c r="A690" t="s">
        <v>749</v>
      </c>
      <c r="B690" t="s">
        <v>44</v>
      </c>
      <c r="C690" t="s">
        <v>49</v>
      </c>
      <c r="D690" t="s">
        <v>68</v>
      </c>
      <c r="E690" t="s">
        <v>61</v>
      </c>
      <c r="F690" t="str">
        <f>IF(BBDD_fashion_boutique[[#This Row],[category]]="Accessories","Accesorio",IF(BBDD_fashion_boutique[[#This Row],[size]]="","Desconocido",BBDD_fashion_boutique[[#This Row],[size]]))</f>
        <v>XS</v>
      </c>
      <c r="G690" t="s">
        <v>50</v>
      </c>
      <c r="H690" s="2">
        <v>58.8</v>
      </c>
      <c r="I690">
        <v>11.8</v>
      </c>
      <c r="J690" s="5">
        <f>BBDD_fashion_boutique[[#This Row],[markdown_percentage]]/100</f>
        <v>0.11800000000000001</v>
      </c>
      <c r="K690" s="2">
        <v>51.86</v>
      </c>
      <c r="L690" s="2">
        <f>BBDD_fashion_boutique[[#This Row],[original_price]]-BBDD_fashion_boutique[[#This Row],[current_price]]</f>
        <v>6.9399999999999977</v>
      </c>
      <c r="M690" s="1">
        <v>45875</v>
      </c>
      <c r="N690" s="1" t="str">
        <f>PROPER(TEXT(BBDD_fashion_boutique[[#This Row],[purchase_date]],"dddd"))</f>
        <v>Miércoles</v>
      </c>
      <c r="O690" s="1" t="str">
        <f>PROPER(TEXT(BBDD_fashion_boutique[[#This Row],[purchase_date]],"mmmm"))</f>
        <v>Agosto</v>
      </c>
      <c r="P690" s="4">
        <v>8</v>
      </c>
      <c r="R690" t="str">
        <f>IF(BBDD_fashion_boutique[[#This Row],[stock_quantity]]&gt;9,"Ok",IF(BBDD_fashion_boutique[[#This Row],[stock_quantity]]=0,"Agotado","Pocas Unidades"))</f>
        <v>Pocas Unidades</v>
      </c>
      <c r="S690" s="3" t="str">
        <f>IF(BBDD_fashion_boutique[[#This Row],[customer_rating]]="","No valorado",BBDD_fashion_boutique[[#This Row],[customer_rating]])</f>
        <v>No valorado</v>
      </c>
      <c r="T690" t="s">
        <v>24</v>
      </c>
      <c r="V690">
        <f>IF(BBDD_fashion_boutique[[#This Row],[is_returned]]="False",0,1)</f>
        <v>0</v>
      </c>
      <c r="W690">
        <f>IF(BBDD_fashion_boutique[[#This Row],[is_returned]]="True",0,BBDD_fashion_boutique[[#This Row],[current_price]])</f>
        <v>51.86</v>
      </c>
      <c r="X690" t="str">
        <f>IF(BBDD_fashion_boutique[[#This Row],[return_reason]]="","No return",BBDD_fashion_boutique[[#This Row],[return_reason]])</f>
        <v>No return</v>
      </c>
      <c r="Y690">
        <f>IF(IFERROR(VLOOKUP(BBDD_fashion_boutique[[#This Row],[product_id]],A691:A2866,1,FALSE),0),1,0)</f>
        <v>0</v>
      </c>
    </row>
    <row r="691" spans="1:25" x14ac:dyDescent="0.3">
      <c r="A691" t="s">
        <v>750</v>
      </c>
      <c r="B691" t="s">
        <v>44</v>
      </c>
      <c r="C691" t="s">
        <v>59</v>
      </c>
      <c r="D691" t="s">
        <v>21</v>
      </c>
      <c r="E691" t="s">
        <v>22</v>
      </c>
      <c r="F691" t="str">
        <f>IF(BBDD_fashion_boutique[[#This Row],[category]]="Accessories","Accesorio",IF(BBDD_fashion_boutique[[#This Row],[size]]="","Desconocido",BBDD_fashion_boutique[[#This Row],[size]]))</f>
        <v>XL</v>
      </c>
      <c r="G691" t="s">
        <v>62</v>
      </c>
      <c r="H691" s="2">
        <v>41.65</v>
      </c>
      <c r="I691">
        <v>52</v>
      </c>
      <c r="J691" s="5">
        <f>BBDD_fashion_boutique[[#This Row],[markdown_percentage]]/100</f>
        <v>0.52</v>
      </c>
      <c r="K691" s="2">
        <v>19.989999999999998</v>
      </c>
      <c r="L691" s="2">
        <f>BBDD_fashion_boutique[[#This Row],[original_price]]-BBDD_fashion_boutique[[#This Row],[current_price]]</f>
        <v>21.66</v>
      </c>
      <c r="M691" s="1">
        <v>45793</v>
      </c>
      <c r="N691" s="1" t="str">
        <f>PROPER(TEXT(BBDD_fashion_boutique[[#This Row],[purchase_date]],"dddd"))</f>
        <v>Viernes</v>
      </c>
      <c r="O691" s="1" t="str">
        <f>PROPER(TEXT(BBDD_fashion_boutique[[#This Row],[purchase_date]],"mmmm"))</f>
        <v>Mayo</v>
      </c>
      <c r="P691" s="4">
        <v>20</v>
      </c>
      <c r="Q691" s="2">
        <v>1.2</v>
      </c>
      <c r="R691" t="str">
        <f>IF(BBDD_fashion_boutique[[#This Row],[stock_quantity]]&gt;9,"Ok",IF(BBDD_fashion_boutique[[#This Row],[stock_quantity]]=0,"Agotado","Pocas Unidades"))</f>
        <v>Ok</v>
      </c>
      <c r="S691" s="3">
        <f>IF(BBDD_fashion_boutique[[#This Row],[customer_rating]]="","No valorado",BBDD_fashion_boutique[[#This Row],[customer_rating]])</f>
        <v>1.2</v>
      </c>
      <c r="T691" t="s">
        <v>24</v>
      </c>
      <c r="V691">
        <f>IF(BBDD_fashion_boutique[[#This Row],[is_returned]]="False",0,1)</f>
        <v>0</v>
      </c>
      <c r="W691">
        <f>IF(BBDD_fashion_boutique[[#This Row],[is_returned]]="True",0,BBDD_fashion_boutique[[#This Row],[current_price]])</f>
        <v>19.989999999999998</v>
      </c>
      <c r="X691" t="str">
        <f>IF(BBDD_fashion_boutique[[#This Row],[return_reason]]="","No return",BBDD_fashion_boutique[[#This Row],[return_reason]])</f>
        <v>No return</v>
      </c>
      <c r="Y691">
        <f>IF(IFERROR(VLOOKUP(BBDD_fashion_boutique[[#This Row],[product_id]],A692:A2867,1,FALSE),0),1,0)</f>
        <v>0</v>
      </c>
    </row>
    <row r="692" spans="1:25" x14ac:dyDescent="0.3">
      <c r="A692" t="s">
        <v>751</v>
      </c>
      <c r="B692" t="s">
        <v>26</v>
      </c>
      <c r="C692" t="s">
        <v>54</v>
      </c>
      <c r="D692" t="s">
        <v>21</v>
      </c>
      <c r="E692" t="s">
        <v>22</v>
      </c>
      <c r="F692" t="str">
        <f>IF(BBDD_fashion_boutique[[#This Row],[category]]="Accessories","Accesorio",IF(BBDD_fashion_boutique[[#This Row],[size]]="","Desconocido",BBDD_fashion_boutique[[#This Row],[size]]))</f>
        <v>XL</v>
      </c>
      <c r="G692" t="s">
        <v>33</v>
      </c>
      <c r="H692" s="2">
        <v>61.67</v>
      </c>
      <c r="I692">
        <v>46.4</v>
      </c>
      <c r="J692" s="5">
        <f>BBDD_fashion_boutique[[#This Row],[markdown_percentage]]/100</f>
        <v>0.46399999999999997</v>
      </c>
      <c r="K692" s="2">
        <v>33.06</v>
      </c>
      <c r="L692" s="2">
        <f>BBDD_fashion_boutique[[#This Row],[original_price]]-BBDD_fashion_boutique[[#This Row],[current_price]]</f>
        <v>28.61</v>
      </c>
      <c r="M692" s="1">
        <v>45853</v>
      </c>
      <c r="N692" s="1" t="str">
        <f>PROPER(TEXT(BBDD_fashion_boutique[[#This Row],[purchase_date]],"dddd"))</f>
        <v>Martes</v>
      </c>
      <c r="O692" s="1" t="str">
        <f>PROPER(TEXT(BBDD_fashion_boutique[[#This Row],[purchase_date]],"mmmm"))</f>
        <v>Julio</v>
      </c>
      <c r="P692" s="4">
        <v>50</v>
      </c>
      <c r="Q692" s="2">
        <v>2.7</v>
      </c>
      <c r="R692" t="str">
        <f>IF(BBDD_fashion_boutique[[#This Row],[stock_quantity]]&gt;9,"Ok",IF(BBDD_fashion_boutique[[#This Row],[stock_quantity]]=0,"Agotado","Pocas Unidades"))</f>
        <v>Ok</v>
      </c>
      <c r="S692" s="3">
        <f>IF(BBDD_fashion_boutique[[#This Row],[customer_rating]]="","No valorado",BBDD_fashion_boutique[[#This Row],[customer_rating]])</f>
        <v>2.7</v>
      </c>
      <c r="T692" t="s">
        <v>24</v>
      </c>
      <c r="V692">
        <f>IF(BBDD_fashion_boutique[[#This Row],[is_returned]]="False",0,1)</f>
        <v>0</v>
      </c>
      <c r="W692">
        <f>IF(BBDD_fashion_boutique[[#This Row],[is_returned]]="True",0,BBDD_fashion_boutique[[#This Row],[current_price]])</f>
        <v>33.06</v>
      </c>
      <c r="X692" t="str">
        <f>IF(BBDD_fashion_boutique[[#This Row],[return_reason]]="","No return",BBDD_fashion_boutique[[#This Row],[return_reason]])</f>
        <v>No return</v>
      </c>
      <c r="Y692">
        <f>IF(IFERROR(VLOOKUP(BBDD_fashion_boutique[[#This Row],[product_id]],A693:A2868,1,FALSE),0),1,0)</f>
        <v>0</v>
      </c>
    </row>
    <row r="693" spans="1:25" x14ac:dyDescent="0.3">
      <c r="A693" t="s">
        <v>752</v>
      </c>
      <c r="B693" t="s">
        <v>44</v>
      </c>
      <c r="C693" t="s">
        <v>54</v>
      </c>
      <c r="D693" t="s">
        <v>39</v>
      </c>
      <c r="E693" t="s">
        <v>61</v>
      </c>
      <c r="F693" t="str">
        <f>IF(BBDD_fashion_boutique[[#This Row],[category]]="Accessories","Accesorio",IF(BBDD_fashion_boutique[[#This Row],[size]]="","Desconocido",BBDD_fashion_boutique[[#This Row],[size]]))</f>
        <v>XS</v>
      </c>
      <c r="G693" t="s">
        <v>33</v>
      </c>
      <c r="H693" s="2">
        <v>40.39</v>
      </c>
      <c r="I693">
        <v>0</v>
      </c>
      <c r="J693" s="5">
        <f>BBDD_fashion_boutique[[#This Row],[markdown_percentage]]/100</f>
        <v>0</v>
      </c>
      <c r="K693" s="2">
        <v>40.39</v>
      </c>
      <c r="L693" s="2">
        <f>BBDD_fashion_boutique[[#This Row],[original_price]]-BBDD_fashion_boutique[[#This Row],[current_price]]</f>
        <v>0</v>
      </c>
      <c r="M693" s="1">
        <v>45875</v>
      </c>
      <c r="N693" s="1" t="str">
        <f>PROPER(TEXT(BBDD_fashion_boutique[[#This Row],[purchase_date]],"dddd"))</f>
        <v>Miércoles</v>
      </c>
      <c r="O693" s="1" t="str">
        <f>PROPER(TEXT(BBDD_fashion_boutique[[#This Row],[purchase_date]],"mmmm"))</f>
        <v>Agosto</v>
      </c>
      <c r="P693" s="4">
        <v>16</v>
      </c>
      <c r="R693" t="str">
        <f>IF(BBDD_fashion_boutique[[#This Row],[stock_quantity]]&gt;9,"Ok",IF(BBDD_fashion_boutique[[#This Row],[stock_quantity]]=0,"Agotado","Pocas Unidades"))</f>
        <v>Ok</v>
      </c>
      <c r="S693" s="3" t="str">
        <f>IF(BBDD_fashion_boutique[[#This Row],[customer_rating]]="","No valorado",BBDD_fashion_boutique[[#This Row],[customer_rating]])</f>
        <v>No valorado</v>
      </c>
      <c r="T693" t="s">
        <v>24</v>
      </c>
      <c r="V693">
        <f>IF(BBDD_fashion_boutique[[#This Row],[is_returned]]="False",0,1)</f>
        <v>0</v>
      </c>
      <c r="W693">
        <f>IF(BBDD_fashion_boutique[[#This Row],[is_returned]]="True",0,BBDD_fashion_boutique[[#This Row],[current_price]])</f>
        <v>40.39</v>
      </c>
      <c r="X693" t="str">
        <f>IF(BBDD_fashion_boutique[[#This Row],[return_reason]]="","No return",BBDD_fashion_boutique[[#This Row],[return_reason]])</f>
        <v>No return</v>
      </c>
      <c r="Y693">
        <f>IF(IFERROR(VLOOKUP(BBDD_fashion_boutique[[#This Row],[product_id]],A694:A2869,1,FALSE),0),1,0)</f>
        <v>0</v>
      </c>
    </row>
    <row r="694" spans="1:25" x14ac:dyDescent="0.3">
      <c r="A694" t="s">
        <v>753</v>
      </c>
      <c r="B694" t="s">
        <v>26</v>
      </c>
      <c r="C694" t="s">
        <v>59</v>
      </c>
      <c r="D694" t="s">
        <v>39</v>
      </c>
      <c r="E694" t="s">
        <v>55</v>
      </c>
      <c r="F694" t="str">
        <f>IF(BBDD_fashion_boutique[[#This Row],[category]]="Accessories","Accesorio",IF(BBDD_fashion_boutique[[#This Row],[size]]="","Desconocido",BBDD_fashion_boutique[[#This Row],[size]]))</f>
        <v>XXL</v>
      </c>
      <c r="G694" t="s">
        <v>72</v>
      </c>
      <c r="H694" s="2">
        <v>95.13</v>
      </c>
      <c r="I694">
        <v>45.4</v>
      </c>
      <c r="J694" s="5">
        <f>BBDD_fashion_boutique[[#This Row],[markdown_percentage]]/100</f>
        <v>0.45399999999999996</v>
      </c>
      <c r="K694" s="2">
        <v>51.94</v>
      </c>
      <c r="L694" s="2">
        <f>BBDD_fashion_boutique[[#This Row],[original_price]]-BBDD_fashion_boutique[[#This Row],[current_price]]</f>
        <v>43.19</v>
      </c>
      <c r="M694" s="1">
        <v>45875</v>
      </c>
      <c r="N694" s="1" t="str">
        <f>PROPER(TEXT(BBDD_fashion_boutique[[#This Row],[purchase_date]],"dddd"))</f>
        <v>Miércoles</v>
      </c>
      <c r="O694" s="1" t="str">
        <f>PROPER(TEXT(BBDD_fashion_boutique[[#This Row],[purchase_date]],"mmmm"))</f>
        <v>Agosto</v>
      </c>
      <c r="P694" s="4">
        <v>46</v>
      </c>
      <c r="Q694" s="2">
        <v>2.5</v>
      </c>
      <c r="R694" t="str">
        <f>IF(BBDD_fashion_boutique[[#This Row],[stock_quantity]]&gt;9,"Ok",IF(BBDD_fashion_boutique[[#This Row],[stock_quantity]]=0,"Agotado","Pocas Unidades"))</f>
        <v>Ok</v>
      </c>
      <c r="S694" s="3">
        <f>IF(BBDD_fashion_boutique[[#This Row],[customer_rating]]="","No valorado",BBDD_fashion_boutique[[#This Row],[customer_rating]])</f>
        <v>2.5</v>
      </c>
      <c r="T694" t="s">
        <v>24</v>
      </c>
      <c r="V694">
        <f>IF(BBDD_fashion_boutique[[#This Row],[is_returned]]="False",0,1)</f>
        <v>0</v>
      </c>
      <c r="W694">
        <f>IF(BBDD_fashion_boutique[[#This Row],[is_returned]]="True",0,BBDD_fashion_boutique[[#This Row],[current_price]])</f>
        <v>51.94</v>
      </c>
      <c r="X694" t="str">
        <f>IF(BBDD_fashion_boutique[[#This Row],[return_reason]]="","No return",BBDD_fashion_boutique[[#This Row],[return_reason]])</f>
        <v>No return</v>
      </c>
      <c r="Y694">
        <f>IF(IFERROR(VLOOKUP(BBDD_fashion_boutique[[#This Row],[product_id]],A695:A2870,1,FALSE),0),1,0)</f>
        <v>0</v>
      </c>
    </row>
    <row r="695" spans="1:25" x14ac:dyDescent="0.3">
      <c r="A695" t="s">
        <v>754</v>
      </c>
      <c r="B695" t="s">
        <v>44</v>
      </c>
      <c r="C695" t="s">
        <v>20</v>
      </c>
      <c r="D695" t="s">
        <v>39</v>
      </c>
      <c r="E695" t="s">
        <v>45</v>
      </c>
      <c r="F695" t="str">
        <f>IF(BBDD_fashion_boutique[[#This Row],[category]]="Accessories","Accesorio",IF(BBDD_fashion_boutique[[#This Row],[size]]="","Desconocido",BBDD_fashion_boutique[[#This Row],[size]]))</f>
        <v>S</v>
      </c>
      <c r="G695" t="s">
        <v>52</v>
      </c>
      <c r="H695" s="2">
        <v>115.14</v>
      </c>
      <c r="I695">
        <v>0</v>
      </c>
      <c r="J695" s="5">
        <f>BBDD_fashion_boutique[[#This Row],[markdown_percentage]]/100</f>
        <v>0</v>
      </c>
      <c r="K695" s="2">
        <v>115.14</v>
      </c>
      <c r="L695" s="2">
        <f>BBDD_fashion_boutique[[#This Row],[original_price]]-BBDD_fashion_boutique[[#This Row],[current_price]]</f>
        <v>0</v>
      </c>
      <c r="M695" s="1">
        <v>45875</v>
      </c>
      <c r="N695" s="1" t="str">
        <f>PROPER(TEXT(BBDD_fashion_boutique[[#This Row],[purchase_date]],"dddd"))</f>
        <v>Miércoles</v>
      </c>
      <c r="O695" s="1" t="str">
        <f>PROPER(TEXT(BBDD_fashion_boutique[[#This Row],[purchase_date]],"mmmm"))</f>
        <v>Agosto</v>
      </c>
      <c r="P695" s="4">
        <v>43</v>
      </c>
      <c r="Q695" s="2">
        <v>2.5</v>
      </c>
      <c r="R695" t="str">
        <f>IF(BBDD_fashion_boutique[[#This Row],[stock_quantity]]&gt;9,"Ok",IF(BBDD_fashion_boutique[[#This Row],[stock_quantity]]=0,"Agotado","Pocas Unidades"))</f>
        <v>Ok</v>
      </c>
      <c r="S695" s="3">
        <f>IF(BBDD_fashion_boutique[[#This Row],[customer_rating]]="","No valorado",BBDD_fashion_boutique[[#This Row],[customer_rating]])</f>
        <v>2.5</v>
      </c>
      <c r="T695" t="s">
        <v>24</v>
      </c>
      <c r="V695">
        <f>IF(BBDD_fashion_boutique[[#This Row],[is_returned]]="False",0,1)</f>
        <v>0</v>
      </c>
      <c r="W695">
        <f>IF(BBDD_fashion_boutique[[#This Row],[is_returned]]="True",0,BBDD_fashion_boutique[[#This Row],[current_price]])</f>
        <v>115.14</v>
      </c>
      <c r="X695" t="str">
        <f>IF(BBDD_fashion_boutique[[#This Row],[return_reason]]="","No return",BBDD_fashion_boutique[[#This Row],[return_reason]])</f>
        <v>No return</v>
      </c>
      <c r="Y695">
        <f>IF(IFERROR(VLOOKUP(BBDD_fashion_boutique[[#This Row],[product_id]],A696:A2871,1,FALSE),0),1,0)</f>
        <v>0</v>
      </c>
    </row>
    <row r="696" spans="1:25" x14ac:dyDescent="0.3">
      <c r="A696" t="s">
        <v>755</v>
      </c>
      <c r="B696" t="s">
        <v>26</v>
      </c>
      <c r="C696" t="s">
        <v>54</v>
      </c>
      <c r="D696" t="s">
        <v>68</v>
      </c>
      <c r="F696" t="str">
        <f>IF(BBDD_fashion_boutique[[#This Row],[category]]="Accessories","Accesorio",IF(BBDD_fashion_boutique[[#This Row],[size]]="","Desconocido",BBDD_fashion_boutique[[#This Row],[size]]))</f>
        <v>Desconocido</v>
      </c>
      <c r="G696" t="s">
        <v>62</v>
      </c>
      <c r="H696" s="2">
        <v>59.58</v>
      </c>
      <c r="I696">
        <v>0</v>
      </c>
      <c r="J696" s="5">
        <f>BBDD_fashion_boutique[[#This Row],[markdown_percentage]]/100</f>
        <v>0</v>
      </c>
      <c r="K696" s="2">
        <v>59.58</v>
      </c>
      <c r="L696" s="2">
        <f>BBDD_fashion_boutique[[#This Row],[original_price]]-BBDD_fashion_boutique[[#This Row],[current_price]]</f>
        <v>0</v>
      </c>
      <c r="M696" s="1">
        <v>45875</v>
      </c>
      <c r="N696" s="1" t="str">
        <f>PROPER(TEXT(BBDD_fashion_boutique[[#This Row],[purchase_date]],"dddd"))</f>
        <v>Miércoles</v>
      </c>
      <c r="O696" s="1" t="str">
        <f>PROPER(TEXT(BBDD_fashion_boutique[[#This Row],[purchase_date]],"mmmm"))</f>
        <v>Agosto</v>
      </c>
      <c r="P696" s="4">
        <v>27</v>
      </c>
      <c r="Q696" s="2">
        <v>3.3</v>
      </c>
      <c r="R696" t="str">
        <f>IF(BBDD_fashion_boutique[[#This Row],[stock_quantity]]&gt;9,"Ok",IF(BBDD_fashion_boutique[[#This Row],[stock_quantity]]=0,"Agotado","Pocas Unidades"))</f>
        <v>Ok</v>
      </c>
      <c r="S696" s="3">
        <f>IF(BBDD_fashion_boutique[[#This Row],[customer_rating]]="","No valorado",BBDD_fashion_boutique[[#This Row],[customer_rating]])</f>
        <v>3.3</v>
      </c>
      <c r="T696" t="s">
        <v>24</v>
      </c>
      <c r="V696">
        <f>IF(BBDD_fashion_boutique[[#This Row],[is_returned]]="False",0,1)</f>
        <v>0</v>
      </c>
      <c r="W696">
        <f>IF(BBDD_fashion_boutique[[#This Row],[is_returned]]="True",0,BBDD_fashion_boutique[[#This Row],[current_price]])</f>
        <v>59.58</v>
      </c>
      <c r="X696" t="str">
        <f>IF(BBDD_fashion_boutique[[#This Row],[return_reason]]="","No return",BBDD_fashion_boutique[[#This Row],[return_reason]])</f>
        <v>No return</v>
      </c>
      <c r="Y696">
        <f>IF(IFERROR(VLOOKUP(BBDD_fashion_boutique[[#This Row],[product_id]],A697:A2872,1,FALSE),0),1,0)</f>
        <v>0</v>
      </c>
    </row>
    <row r="697" spans="1:25" x14ac:dyDescent="0.3">
      <c r="A697" t="s">
        <v>756</v>
      </c>
      <c r="B697" t="s">
        <v>35</v>
      </c>
      <c r="C697" t="s">
        <v>27</v>
      </c>
      <c r="D697" t="s">
        <v>21</v>
      </c>
      <c r="E697" t="s">
        <v>64</v>
      </c>
      <c r="F697" t="str">
        <f>IF(BBDD_fashion_boutique[[#This Row],[category]]="Accessories","Accesorio",IF(BBDD_fashion_boutique[[#This Row],[size]]="","Desconocido",BBDD_fashion_boutique[[#This Row],[size]]))</f>
        <v>M</v>
      </c>
      <c r="G697" t="s">
        <v>72</v>
      </c>
      <c r="H697" s="2">
        <v>169.89</v>
      </c>
      <c r="I697">
        <v>0</v>
      </c>
      <c r="J697" s="5">
        <f>BBDD_fashion_boutique[[#This Row],[markdown_percentage]]/100</f>
        <v>0</v>
      </c>
      <c r="K697" s="2">
        <v>169.89</v>
      </c>
      <c r="L697" s="2">
        <f>BBDD_fashion_boutique[[#This Row],[original_price]]-BBDD_fashion_boutique[[#This Row],[current_price]]</f>
        <v>0</v>
      </c>
      <c r="M697" s="1">
        <v>45852</v>
      </c>
      <c r="N697" s="1" t="str">
        <f>PROPER(TEXT(BBDD_fashion_boutique[[#This Row],[purchase_date]],"dddd"))</f>
        <v>Lunes</v>
      </c>
      <c r="O697" s="1" t="str">
        <f>PROPER(TEXT(BBDD_fashion_boutique[[#This Row],[purchase_date]],"mmmm"))</f>
        <v>Julio</v>
      </c>
      <c r="P697" s="4">
        <v>12</v>
      </c>
      <c r="Q697" s="2">
        <v>1.2</v>
      </c>
      <c r="R697" t="str">
        <f>IF(BBDD_fashion_boutique[[#This Row],[stock_quantity]]&gt;9,"Ok",IF(BBDD_fashion_boutique[[#This Row],[stock_quantity]]=0,"Agotado","Pocas Unidades"))</f>
        <v>Ok</v>
      </c>
      <c r="S697" s="3">
        <f>IF(BBDD_fashion_boutique[[#This Row],[customer_rating]]="","No valorado",BBDD_fashion_boutique[[#This Row],[customer_rating]])</f>
        <v>1.2</v>
      </c>
      <c r="T697" t="s">
        <v>24</v>
      </c>
      <c r="V697">
        <f>IF(BBDD_fashion_boutique[[#This Row],[is_returned]]="False",0,1)</f>
        <v>0</v>
      </c>
      <c r="W697">
        <f>IF(BBDD_fashion_boutique[[#This Row],[is_returned]]="True",0,BBDD_fashion_boutique[[#This Row],[current_price]])</f>
        <v>169.89</v>
      </c>
      <c r="X697" t="str">
        <f>IF(BBDD_fashion_boutique[[#This Row],[return_reason]]="","No return",BBDD_fashion_boutique[[#This Row],[return_reason]])</f>
        <v>No return</v>
      </c>
      <c r="Y697">
        <f>IF(IFERROR(VLOOKUP(BBDD_fashion_boutique[[#This Row],[product_id]],A698:A2873,1,FALSE),0),1,0)</f>
        <v>0</v>
      </c>
    </row>
    <row r="698" spans="1:25" x14ac:dyDescent="0.3">
      <c r="A698" t="s">
        <v>757</v>
      </c>
      <c r="B698" t="s">
        <v>35</v>
      </c>
      <c r="C698" t="s">
        <v>49</v>
      </c>
      <c r="D698" t="s">
        <v>28</v>
      </c>
      <c r="E698" t="s">
        <v>45</v>
      </c>
      <c r="F698" t="str">
        <f>IF(BBDD_fashion_boutique[[#This Row],[category]]="Accessories","Accesorio",IF(BBDD_fashion_boutique[[#This Row],[size]]="","Desconocido",BBDD_fashion_boutique[[#This Row],[size]]))</f>
        <v>S</v>
      </c>
      <c r="G698" t="s">
        <v>33</v>
      </c>
      <c r="H698" s="2">
        <v>117.38</v>
      </c>
      <c r="I698">
        <v>22.5</v>
      </c>
      <c r="J698" s="5">
        <f>BBDD_fashion_boutique[[#This Row],[markdown_percentage]]/100</f>
        <v>0.22500000000000001</v>
      </c>
      <c r="K698" s="2">
        <v>90.97</v>
      </c>
      <c r="L698" s="2">
        <f>BBDD_fashion_boutique[[#This Row],[original_price]]-BBDD_fashion_boutique[[#This Row],[current_price]]</f>
        <v>26.409999999999997</v>
      </c>
      <c r="M698" s="1">
        <v>45875</v>
      </c>
      <c r="N698" s="1" t="str">
        <f>PROPER(TEXT(BBDD_fashion_boutique[[#This Row],[purchase_date]],"dddd"))</f>
        <v>Miércoles</v>
      </c>
      <c r="O698" s="1" t="str">
        <f>PROPER(TEXT(BBDD_fashion_boutique[[#This Row],[purchase_date]],"mmmm"))</f>
        <v>Agosto</v>
      </c>
      <c r="P698" s="4">
        <v>42</v>
      </c>
      <c r="Q698" s="2">
        <v>2.8</v>
      </c>
      <c r="R698" t="str">
        <f>IF(BBDD_fashion_boutique[[#This Row],[stock_quantity]]&gt;9,"Ok",IF(BBDD_fashion_boutique[[#This Row],[stock_quantity]]=0,"Agotado","Pocas Unidades"))</f>
        <v>Ok</v>
      </c>
      <c r="S698" s="3">
        <f>IF(BBDD_fashion_boutique[[#This Row],[customer_rating]]="","No valorado",BBDD_fashion_boutique[[#This Row],[customer_rating]])</f>
        <v>2.8</v>
      </c>
      <c r="T698" t="s">
        <v>41</v>
      </c>
      <c r="U698" t="s">
        <v>42</v>
      </c>
      <c r="V698">
        <f>IF(BBDD_fashion_boutique[[#This Row],[is_returned]]="False",0,1)</f>
        <v>1</v>
      </c>
      <c r="W698">
        <f>IF(BBDD_fashion_boutique[[#This Row],[is_returned]]="True",0,BBDD_fashion_boutique[[#This Row],[current_price]])</f>
        <v>0</v>
      </c>
      <c r="X698" t="str">
        <f>IF(BBDD_fashion_boutique[[#This Row],[return_reason]]="","No return",BBDD_fashion_boutique[[#This Row],[return_reason]])</f>
        <v>Color Mismatch</v>
      </c>
      <c r="Y698">
        <f>IF(IFERROR(VLOOKUP(BBDD_fashion_boutique[[#This Row],[product_id]],A699:A2874,1,FALSE),0),1,0)</f>
        <v>0</v>
      </c>
    </row>
    <row r="699" spans="1:25" x14ac:dyDescent="0.3">
      <c r="A699" t="s">
        <v>758</v>
      </c>
      <c r="B699" t="s">
        <v>26</v>
      </c>
      <c r="C699" t="s">
        <v>49</v>
      </c>
      <c r="D699" t="s">
        <v>28</v>
      </c>
      <c r="E699" t="s">
        <v>45</v>
      </c>
      <c r="F699" t="str">
        <f>IF(BBDD_fashion_boutique[[#This Row],[category]]="Accessories","Accesorio",IF(BBDD_fashion_boutique[[#This Row],[size]]="","Desconocido",BBDD_fashion_boutique[[#This Row],[size]]))</f>
        <v>S</v>
      </c>
      <c r="G699" t="s">
        <v>30</v>
      </c>
      <c r="H699" s="2">
        <v>118.95</v>
      </c>
      <c r="I699">
        <v>0</v>
      </c>
      <c r="J699" s="5">
        <f>BBDD_fashion_boutique[[#This Row],[markdown_percentage]]/100</f>
        <v>0</v>
      </c>
      <c r="K699" s="2">
        <v>118.95</v>
      </c>
      <c r="L699" s="2">
        <f>BBDD_fashion_boutique[[#This Row],[original_price]]-BBDD_fashion_boutique[[#This Row],[current_price]]</f>
        <v>0</v>
      </c>
      <c r="M699" s="1">
        <v>45875</v>
      </c>
      <c r="N699" s="1" t="str">
        <f>PROPER(TEXT(BBDD_fashion_boutique[[#This Row],[purchase_date]],"dddd"))</f>
        <v>Miércoles</v>
      </c>
      <c r="O699" s="1" t="str">
        <f>PROPER(TEXT(BBDD_fashion_boutique[[#This Row],[purchase_date]],"mmmm"))</f>
        <v>Agosto</v>
      </c>
      <c r="P699" s="4">
        <v>18</v>
      </c>
      <c r="Q699" s="2">
        <v>1.9</v>
      </c>
      <c r="R699" t="str">
        <f>IF(BBDD_fashion_boutique[[#This Row],[stock_quantity]]&gt;9,"Ok",IF(BBDD_fashion_boutique[[#This Row],[stock_quantity]]=0,"Agotado","Pocas Unidades"))</f>
        <v>Ok</v>
      </c>
      <c r="S699" s="3">
        <f>IF(BBDD_fashion_boutique[[#This Row],[customer_rating]]="","No valorado",BBDD_fashion_boutique[[#This Row],[customer_rating]])</f>
        <v>1.9</v>
      </c>
      <c r="T699" t="s">
        <v>41</v>
      </c>
      <c r="U699" t="s">
        <v>89</v>
      </c>
      <c r="V699">
        <f>IF(BBDD_fashion_boutique[[#This Row],[is_returned]]="False",0,1)</f>
        <v>1</v>
      </c>
      <c r="W699">
        <f>IF(BBDD_fashion_boutique[[#This Row],[is_returned]]="True",0,BBDD_fashion_boutique[[#This Row],[current_price]])</f>
        <v>0</v>
      </c>
      <c r="X699" t="str">
        <f>IF(BBDD_fashion_boutique[[#This Row],[return_reason]]="","No return",BBDD_fashion_boutique[[#This Row],[return_reason]])</f>
        <v>Quality Issue</v>
      </c>
      <c r="Y699">
        <f>IF(IFERROR(VLOOKUP(BBDD_fashion_boutique[[#This Row],[product_id]],A700:A2875,1,FALSE),0),1,0)</f>
        <v>0</v>
      </c>
    </row>
    <row r="700" spans="1:25" x14ac:dyDescent="0.3">
      <c r="A700" t="s">
        <v>759</v>
      </c>
      <c r="B700" t="s">
        <v>32</v>
      </c>
      <c r="C700" t="s">
        <v>27</v>
      </c>
      <c r="D700" t="s">
        <v>39</v>
      </c>
      <c r="F700" t="str">
        <f>IF(BBDD_fashion_boutique[[#This Row],[category]]="Accessories","Accesorio",IF(BBDD_fashion_boutique[[#This Row],[size]]="","Desconocido",BBDD_fashion_boutique[[#This Row],[size]]))</f>
        <v>Accesorio</v>
      </c>
      <c r="G700" t="s">
        <v>23</v>
      </c>
      <c r="H700" s="2">
        <v>39.299999999999997</v>
      </c>
      <c r="I700">
        <v>0</v>
      </c>
      <c r="J700" s="5">
        <f>BBDD_fashion_boutique[[#This Row],[markdown_percentage]]/100</f>
        <v>0</v>
      </c>
      <c r="K700" s="2">
        <v>39.299999999999997</v>
      </c>
      <c r="L700" s="2">
        <f>BBDD_fashion_boutique[[#This Row],[original_price]]-BBDD_fashion_boutique[[#This Row],[current_price]]</f>
        <v>0</v>
      </c>
      <c r="M700" s="1">
        <v>45875</v>
      </c>
      <c r="N700" s="1" t="str">
        <f>PROPER(TEXT(BBDD_fashion_boutique[[#This Row],[purchase_date]],"dddd"))</f>
        <v>Miércoles</v>
      </c>
      <c r="O700" s="1" t="str">
        <f>PROPER(TEXT(BBDD_fashion_boutique[[#This Row],[purchase_date]],"mmmm"))</f>
        <v>Agosto</v>
      </c>
      <c r="P700" s="4">
        <v>39</v>
      </c>
      <c r="R700" t="str">
        <f>IF(BBDD_fashion_boutique[[#This Row],[stock_quantity]]&gt;9,"Ok",IF(BBDD_fashion_boutique[[#This Row],[stock_quantity]]=0,"Agotado","Pocas Unidades"))</f>
        <v>Ok</v>
      </c>
      <c r="S700" s="3" t="str">
        <f>IF(BBDD_fashion_boutique[[#This Row],[customer_rating]]="","No valorado",BBDD_fashion_boutique[[#This Row],[customer_rating]])</f>
        <v>No valorado</v>
      </c>
      <c r="T700" t="s">
        <v>24</v>
      </c>
      <c r="V700">
        <f>IF(BBDD_fashion_boutique[[#This Row],[is_returned]]="False",0,1)</f>
        <v>0</v>
      </c>
      <c r="W700">
        <f>IF(BBDD_fashion_boutique[[#This Row],[is_returned]]="True",0,BBDD_fashion_boutique[[#This Row],[current_price]])</f>
        <v>39.299999999999997</v>
      </c>
      <c r="X700" t="str">
        <f>IF(BBDD_fashion_boutique[[#This Row],[return_reason]]="","No return",BBDD_fashion_boutique[[#This Row],[return_reason]])</f>
        <v>No return</v>
      </c>
      <c r="Y700">
        <f>IF(IFERROR(VLOOKUP(BBDD_fashion_boutique[[#This Row],[product_id]],A701:A2876,1,FALSE),0),1,0)</f>
        <v>0</v>
      </c>
    </row>
    <row r="701" spans="1:25" x14ac:dyDescent="0.3">
      <c r="A701" t="s">
        <v>760</v>
      </c>
      <c r="B701" t="s">
        <v>26</v>
      </c>
      <c r="C701" t="s">
        <v>54</v>
      </c>
      <c r="D701" t="s">
        <v>28</v>
      </c>
      <c r="E701" t="s">
        <v>29</v>
      </c>
      <c r="F701" t="str">
        <f>IF(BBDD_fashion_boutique[[#This Row],[category]]="Accessories","Accesorio",IF(BBDD_fashion_boutique[[#This Row],[size]]="","Desconocido",BBDD_fashion_boutique[[#This Row],[size]]))</f>
        <v>L</v>
      </c>
      <c r="G701" t="s">
        <v>62</v>
      </c>
      <c r="H701" s="2">
        <v>74.3</v>
      </c>
      <c r="I701">
        <v>0</v>
      </c>
      <c r="J701" s="5">
        <f>BBDD_fashion_boutique[[#This Row],[markdown_percentage]]/100</f>
        <v>0</v>
      </c>
      <c r="K701" s="2">
        <v>74.3</v>
      </c>
      <c r="L701" s="2">
        <f>BBDD_fashion_boutique[[#This Row],[original_price]]-BBDD_fashion_boutique[[#This Row],[current_price]]</f>
        <v>0</v>
      </c>
      <c r="M701" s="1">
        <v>45875</v>
      </c>
      <c r="N701" s="1" t="str">
        <f>PROPER(TEXT(BBDD_fashion_boutique[[#This Row],[purchase_date]],"dddd"))</f>
        <v>Miércoles</v>
      </c>
      <c r="O701" s="1" t="str">
        <f>PROPER(TEXT(BBDD_fashion_boutique[[#This Row],[purchase_date]],"mmmm"))</f>
        <v>Agosto</v>
      </c>
      <c r="P701" s="4">
        <v>31</v>
      </c>
      <c r="Q701" s="2">
        <v>3.8</v>
      </c>
      <c r="R701" t="str">
        <f>IF(BBDD_fashion_boutique[[#This Row],[stock_quantity]]&gt;9,"Ok",IF(BBDD_fashion_boutique[[#This Row],[stock_quantity]]=0,"Agotado","Pocas Unidades"))</f>
        <v>Ok</v>
      </c>
      <c r="S701" s="3">
        <f>IF(BBDD_fashion_boutique[[#This Row],[customer_rating]]="","No valorado",BBDD_fashion_boutique[[#This Row],[customer_rating]])</f>
        <v>3.8</v>
      </c>
      <c r="T701" t="s">
        <v>41</v>
      </c>
      <c r="U701" t="s">
        <v>131</v>
      </c>
      <c r="V701">
        <f>IF(BBDD_fashion_boutique[[#This Row],[is_returned]]="False",0,1)</f>
        <v>1</v>
      </c>
      <c r="W701">
        <f>IF(BBDD_fashion_boutique[[#This Row],[is_returned]]="True",0,BBDD_fashion_boutique[[#This Row],[current_price]])</f>
        <v>0</v>
      </c>
      <c r="X701" t="str">
        <f>IF(BBDD_fashion_boutique[[#This Row],[return_reason]]="","No return",BBDD_fashion_boutique[[#This Row],[return_reason]])</f>
        <v>Wrong Item</v>
      </c>
      <c r="Y701">
        <f>IF(IFERROR(VLOOKUP(BBDD_fashion_boutique[[#This Row],[product_id]],A702:A2877,1,FALSE),0),1,0)</f>
        <v>0</v>
      </c>
    </row>
    <row r="702" spans="1:25" x14ac:dyDescent="0.3">
      <c r="A702" t="s">
        <v>761</v>
      </c>
      <c r="B702" t="s">
        <v>44</v>
      </c>
      <c r="C702" t="s">
        <v>54</v>
      </c>
      <c r="D702" t="s">
        <v>21</v>
      </c>
      <c r="E702" t="s">
        <v>61</v>
      </c>
      <c r="F702" t="str">
        <f>IF(BBDD_fashion_boutique[[#This Row],[category]]="Accessories","Accesorio",IF(BBDD_fashion_boutique[[#This Row],[size]]="","Desconocido",BBDD_fashion_boutique[[#This Row],[size]]))</f>
        <v>XS</v>
      </c>
      <c r="G702" t="s">
        <v>76</v>
      </c>
      <c r="H702" s="2">
        <v>62.97</v>
      </c>
      <c r="I702">
        <v>0</v>
      </c>
      <c r="J702" s="5">
        <f>BBDD_fashion_boutique[[#This Row],[markdown_percentage]]/100</f>
        <v>0</v>
      </c>
      <c r="K702" s="2">
        <v>62.97</v>
      </c>
      <c r="L702" s="2">
        <f>BBDD_fashion_boutique[[#This Row],[original_price]]-BBDD_fashion_boutique[[#This Row],[current_price]]</f>
        <v>0</v>
      </c>
      <c r="M702" s="1">
        <v>45803</v>
      </c>
      <c r="N702" s="1" t="str">
        <f>PROPER(TEXT(BBDD_fashion_boutique[[#This Row],[purchase_date]],"dddd"))</f>
        <v>Lunes</v>
      </c>
      <c r="O702" s="1" t="str">
        <f>PROPER(TEXT(BBDD_fashion_boutique[[#This Row],[purchase_date]],"mmmm"))</f>
        <v>Mayo</v>
      </c>
      <c r="P702" s="4">
        <v>5</v>
      </c>
      <c r="Q702" s="2">
        <v>3.5</v>
      </c>
      <c r="R702" t="str">
        <f>IF(BBDD_fashion_boutique[[#This Row],[stock_quantity]]&gt;9,"Ok",IF(BBDD_fashion_boutique[[#This Row],[stock_quantity]]=0,"Agotado","Pocas Unidades"))</f>
        <v>Pocas Unidades</v>
      </c>
      <c r="S702" s="3">
        <f>IF(BBDD_fashion_boutique[[#This Row],[customer_rating]]="","No valorado",BBDD_fashion_boutique[[#This Row],[customer_rating]])</f>
        <v>3.5</v>
      </c>
      <c r="T702" t="s">
        <v>24</v>
      </c>
      <c r="V702">
        <f>IF(BBDD_fashion_boutique[[#This Row],[is_returned]]="False",0,1)</f>
        <v>0</v>
      </c>
      <c r="W702">
        <f>IF(BBDD_fashion_boutique[[#This Row],[is_returned]]="True",0,BBDD_fashion_boutique[[#This Row],[current_price]])</f>
        <v>62.97</v>
      </c>
      <c r="X702" t="str">
        <f>IF(BBDD_fashion_boutique[[#This Row],[return_reason]]="","No return",BBDD_fashion_boutique[[#This Row],[return_reason]])</f>
        <v>No return</v>
      </c>
      <c r="Y702">
        <f>IF(IFERROR(VLOOKUP(BBDD_fashion_boutique[[#This Row],[product_id]],A703:A2878,1,FALSE),0),1,0)</f>
        <v>0</v>
      </c>
    </row>
    <row r="703" spans="1:25" x14ac:dyDescent="0.3">
      <c r="A703" t="s">
        <v>762</v>
      </c>
      <c r="B703" t="s">
        <v>32</v>
      </c>
      <c r="C703" t="s">
        <v>54</v>
      </c>
      <c r="D703" t="s">
        <v>68</v>
      </c>
      <c r="F703" t="str">
        <f>IF(BBDD_fashion_boutique[[#This Row],[category]]="Accessories","Accesorio",IF(BBDD_fashion_boutique[[#This Row],[size]]="","Desconocido",BBDD_fashion_boutique[[#This Row],[size]]))</f>
        <v>Accesorio</v>
      </c>
      <c r="G703" t="s">
        <v>46</v>
      </c>
      <c r="H703" s="2">
        <v>73.599999999999994</v>
      </c>
      <c r="I703">
        <v>0</v>
      </c>
      <c r="J703" s="5">
        <f>BBDD_fashion_boutique[[#This Row],[markdown_percentage]]/100</f>
        <v>0</v>
      </c>
      <c r="K703" s="2">
        <v>73.599999999999994</v>
      </c>
      <c r="L703" s="2">
        <f>BBDD_fashion_boutique[[#This Row],[original_price]]-BBDD_fashion_boutique[[#This Row],[current_price]]</f>
        <v>0</v>
      </c>
      <c r="M703" s="1">
        <v>45875</v>
      </c>
      <c r="N703" s="1" t="str">
        <f>PROPER(TEXT(BBDD_fashion_boutique[[#This Row],[purchase_date]],"dddd"))</f>
        <v>Miércoles</v>
      </c>
      <c r="O703" s="1" t="str">
        <f>PROPER(TEXT(BBDD_fashion_boutique[[#This Row],[purchase_date]],"mmmm"))</f>
        <v>Agosto</v>
      </c>
      <c r="P703" s="4">
        <v>1</v>
      </c>
      <c r="Q703" s="2">
        <v>1.8</v>
      </c>
      <c r="R703" t="str">
        <f>IF(BBDD_fashion_boutique[[#This Row],[stock_quantity]]&gt;9,"Ok",IF(BBDD_fashion_boutique[[#This Row],[stock_quantity]]=0,"Agotado","Pocas Unidades"))</f>
        <v>Pocas Unidades</v>
      </c>
      <c r="S703" s="3">
        <f>IF(BBDD_fashion_boutique[[#This Row],[customer_rating]]="","No valorado",BBDD_fashion_boutique[[#This Row],[customer_rating]])</f>
        <v>1.8</v>
      </c>
      <c r="T703" t="s">
        <v>24</v>
      </c>
      <c r="V703">
        <f>IF(BBDD_fashion_boutique[[#This Row],[is_returned]]="False",0,1)</f>
        <v>0</v>
      </c>
      <c r="W703">
        <f>IF(BBDD_fashion_boutique[[#This Row],[is_returned]]="True",0,BBDD_fashion_boutique[[#This Row],[current_price]])</f>
        <v>73.599999999999994</v>
      </c>
      <c r="X703" t="str">
        <f>IF(BBDD_fashion_boutique[[#This Row],[return_reason]]="","No return",BBDD_fashion_boutique[[#This Row],[return_reason]])</f>
        <v>No return</v>
      </c>
      <c r="Y703">
        <f>IF(IFERROR(VLOOKUP(BBDD_fashion_boutique[[#This Row],[product_id]],A704:A2879,1,FALSE),0),1,0)</f>
        <v>0</v>
      </c>
    </row>
    <row r="704" spans="1:25" x14ac:dyDescent="0.3">
      <c r="A704" t="s">
        <v>763</v>
      </c>
      <c r="B704" t="s">
        <v>32</v>
      </c>
      <c r="C704" t="s">
        <v>49</v>
      </c>
      <c r="D704" t="s">
        <v>21</v>
      </c>
      <c r="F704" t="str">
        <f>IF(BBDD_fashion_boutique[[#This Row],[category]]="Accessories","Accesorio",IF(BBDD_fashion_boutique[[#This Row],[size]]="","Desconocido",BBDD_fashion_boutique[[#This Row],[size]]))</f>
        <v>Accesorio</v>
      </c>
      <c r="G704" t="s">
        <v>33</v>
      </c>
      <c r="H704" s="2">
        <v>77.849999999999994</v>
      </c>
      <c r="I704">
        <v>34.9</v>
      </c>
      <c r="J704" s="5">
        <f>BBDD_fashion_boutique[[#This Row],[markdown_percentage]]/100</f>
        <v>0.34899999999999998</v>
      </c>
      <c r="K704" s="2">
        <v>50.68</v>
      </c>
      <c r="L704" s="2">
        <f>BBDD_fashion_boutique[[#This Row],[original_price]]-BBDD_fashion_boutique[[#This Row],[current_price]]</f>
        <v>27.169999999999995</v>
      </c>
      <c r="M704" s="1">
        <v>45874</v>
      </c>
      <c r="N704" s="1" t="str">
        <f>PROPER(TEXT(BBDD_fashion_boutique[[#This Row],[purchase_date]],"dddd"))</f>
        <v>Martes</v>
      </c>
      <c r="O704" s="1" t="str">
        <f>PROPER(TEXT(BBDD_fashion_boutique[[#This Row],[purchase_date]],"mmmm"))</f>
        <v>Agosto</v>
      </c>
      <c r="P704" s="4">
        <v>11</v>
      </c>
      <c r="R704" t="str">
        <f>IF(BBDD_fashion_boutique[[#This Row],[stock_quantity]]&gt;9,"Ok",IF(BBDD_fashion_boutique[[#This Row],[stock_quantity]]=0,"Agotado","Pocas Unidades"))</f>
        <v>Ok</v>
      </c>
      <c r="S704" s="3" t="str">
        <f>IF(BBDD_fashion_boutique[[#This Row],[customer_rating]]="","No valorado",BBDD_fashion_boutique[[#This Row],[customer_rating]])</f>
        <v>No valorado</v>
      </c>
      <c r="T704" t="s">
        <v>24</v>
      </c>
      <c r="V704">
        <f>IF(BBDD_fashion_boutique[[#This Row],[is_returned]]="False",0,1)</f>
        <v>0</v>
      </c>
      <c r="W704">
        <f>IF(BBDD_fashion_boutique[[#This Row],[is_returned]]="True",0,BBDD_fashion_boutique[[#This Row],[current_price]])</f>
        <v>50.68</v>
      </c>
      <c r="X704" t="str">
        <f>IF(BBDD_fashion_boutique[[#This Row],[return_reason]]="","No return",BBDD_fashion_boutique[[#This Row],[return_reason]])</f>
        <v>No return</v>
      </c>
      <c r="Y704">
        <f>IF(IFERROR(VLOOKUP(BBDD_fashion_boutique[[#This Row],[product_id]],A705:A2880,1,FALSE),0),1,0)</f>
        <v>0</v>
      </c>
    </row>
    <row r="705" spans="1:25" x14ac:dyDescent="0.3">
      <c r="A705" t="s">
        <v>764</v>
      </c>
      <c r="B705" t="s">
        <v>26</v>
      </c>
      <c r="C705" t="s">
        <v>81</v>
      </c>
      <c r="D705" t="s">
        <v>68</v>
      </c>
      <c r="F705" t="str">
        <f>IF(BBDD_fashion_boutique[[#This Row],[category]]="Accessories","Accesorio",IF(BBDD_fashion_boutique[[#This Row],[size]]="","Desconocido",BBDD_fashion_boutique[[#This Row],[size]]))</f>
        <v>Desconocido</v>
      </c>
      <c r="G705" t="s">
        <v>23</v>
      </c>
      <c r="H705" s="2">
        <v>94.31</v>
      </c>
      <c r="I705">
        <v>0</v>
      </c>
      <c r="J705" s="5">
        <f>BBDD_fashion_boutique[[#This Row],[markdown_percentage]]/100</f>
        <v>0</v>
      </c>
      <c r="K705" s="2">
        <v>94.31</v>
      </c>
      <c r="L705" s="2">
        <f>BBDD_fashion_boutique[[#This Row],[original_price]]-BBDD_fashion_boutique[[#This Row],[current_price]]</f>
        <v>0</v>
      </c>
      <c r="M705" s="1">
        <v>45875</v>
      </c>
      <c r="N705" s="1" t="str">
        <f>PROPER(TEXT(BBDD_fashion_boutique[[#This Row],[purchase_date]],"dddd"))</f>
        <v>Miércoles</v>
      </c>
      <c r="O705" s="1" t="str">
        <f>PROPER(TEXT(BBDD_fashion_boutique[[#This Row],[purchase_date]],"mmmm"))</f>
        <v>Agosto</v>
      </c>
      <c r="P705" s="4">
        <v>20</v>
      </c>
      <c r="Q705" s="2">
        <v>3</v>
      </c>
      <c r="R705" t="str">
        <f>IF(BBDD_fashion_boutique[[#This Row],[stock_quantity]]&gt;9,"Ok",IF(BBDD_fashion_boutique[[#This Row],[stock_quantity]]=0,"Agotado","Pocas Unidades"))</f>
        <v>Ok</v>
      </c>
      <c r="S705" s="3">
        <f>IF(BBDD_fashion_boutique[[#This Row],[customer_rating]]="","No valorado",BBDD_fashion_boutique[[#This Row],[customer_rating]])</f>
        <v>3</v>
      </c>
      <c r="T705" t="s">
        <v>24</v>
      </c>
      <c r="V705">
        <f>IF(BBDD_fashion_boutique[[#This Row],[is_returned]]="False",0,1)</f>
        <v>0</v>
      </c>
      <c r="W705">
        <f>IF(BBDD_fashion_boutique[[#This Row],[is_returned]]="True",0,BBDD_fashion_boutique[[#This Row],[current_price]])</f>
        <v>94.31</v>
      </c>
      <c r="X705" t="str">
        <f>IF(BBDD_fashion_boutique[[#This Row],[return_reason]]="","No return",BBDD_fashion_boutique[[#This Row],[return_reason]])</f>
        <v>No return</v>
      </c>
      <c r="Y705">
        <f>IF(IFERROR(VLOOKUP(BBDD_fashion_boutique[[#This Row],[product_id]],A706:A2881,1,FALSE),0),1,0)</f>
        <v>0</v>
      </c>
    </row>
    <row r="706" spans="1:25" x14ac:dyDescent="0.3">
      <c r="A706" t="s">
        <v>765</v>
      </c>
      <c r="B706" t="s">
        <v>44</v>
      </c>
      <c r="C706" t="s">
        <v>59</v>
      </c>
      <c r="D706" t="s">
        <v>21</v>
      </c>
      <c r="F706" t="str">
        <f>IF(BBDD_fashion_boutique[[#This Row],[category]]="Accessories","Accesorio",IF(BBDD_fashion_boutique[[#This Row],[size]]="","Desconocido",BBDD_fashion_boutique[[#This Row],[size]]))</f>
        <v>Desconocido</v>
      </c>
      <c r="G706" t="s">
        <v>70</v>
      </c>
      <c r="H706" s="2">
        <v>60.36</v>
      </c>
      <c r="I706">
        <v>0</v>
      </c>
      <c r="J706" s="5">
        <f>BBDD_fashion_boutique[[#This Row],[markdown_percentage]]/100</f>
        <v>0</v>
      </c>
      <c r="K706" s="2">
        <v>60.36</v>
      </c>
      <c r="L706" s="2">
        <f>BBDD_fashion_boutique[[#This Row],[original_price]]-BBDD_fashion_boutique[[#This Row],[current_price]]</f>
        <v>0</v>
      </c>
      <c r="M706" s="1">
        <v>45536</v>
      </c>
      <c r="N706" s="1" t="str">
        <f>PROPER(TEXT(BBDD_fashion_boutique[[#This Row],[purchase_date]],"dddd"))</f>
        <v>Domingo</v>
      </c>
      <c r="O706" s="1" t="str">
        <f>PROPER(TEXT(BBDD_fashion_boutique[[#This Row],[purchase_date]],"mmmm"))</f>
        <v>Septiembre</v>
      </c>
      <c r="P706" s="4">
        <v>35</v>
      </c>
      <c r="Q706" s="2">
        <v>3.3</v>
      </c>
      <c r="R706" t="str">
        <f>IF(BBDD_fashion_boutique[[#This Row],[stock_quantity]]&gt;9,"Ok",IF(BBDD_fashion_boutique[[#This Row],[stock_quantity]]=0,"Agotado","Pocas Unidades"))</f>
        <v>Ok</v>
      </c>
      <c r="S706" s="3">
        <f>IF(BBDD_fashion_boutique[[#This Row],[customer_rating]]="","No valorado",BBDD_fashion_boutique[[#This Row],[customer_rating]])</f>
        <v>3.3</v>
      </c>
      <c r="T706" t="s">
        <v>24</v>
      </c>
      <c r="V706">
        <f>IF(BBDD_fashion_boutique[[#This Row],[is_returned]]="False",0,1)</f>
        <v>0</v>
      </c>
      <c r="W706">
        <f>IF(BBDD_fashion_boutique[[#This Row],[is_returned]]="True",0,BBDD_fashion_boutique[[#This Row],[current_price]])</f>
        <v>60.36</v>
      </c>
      <c r="X706" t="str">
        <f>IF(BBDD_fashion_boutique[[#This Row],[return_reason]]="","No return",BBDD_fashion_boutique[[#This Row],[return_reason]])</f>
        <v>No return</v>
      </c>
      <c r="Y706">
        <f>IF(IFERROR(VLOOKUP(BBDD_fashion_boutique[[#This Row],[product_id]],A707:A2882,1,FALSE),0),1,0)</f>
        <v>0</v>
      </c>
    </row>
    <row r="707" spans="1:25" x14ac:dyDescent="0.3">
      <c r="A707" t="s">
        <v>766</v>
      </c>
      <c r="B707" t="s">
        <v>44</v>
      </c>
      <c r="C707" t="s">
        <v>49</v>
      </c>
      <c r="D707" t="s">
        <v>68</v>
      </c>
      <c r="E707" t="s">
        <v>55</v>
      </c>
      <c r="F707" t="str">
        <f>IF(BBDD_fashion_boutique[[#This Row],[category]]="Accessories","Accesorio",IF(BBDD_fashion_boutique[[#This Row],[size]]="","Desconocido",BBDD_fashion_boutique[[#This Row],[size]]))</f>
        <v>XXL</v>
      </c>
      <c r="G707" t="s">
        <v>76</v>
      </c>
      <c r="H707" s="2">
        <v>94.85</v>
      </c>
      <c r="I707">
        <v>0</v>
      </c>
      <c r="J707" s="5">
        <f>BBDD_fashion_boutique[[#This Row],[markdown_percentage]]/100</f>
        <v>0</v>
      </c>
      <c r="K707" s="2">
        <v>94.85</v>
      </c>
      <c r="L707" s="2">
        <f>BBDD_fashion_boutique[[#This Row],[original_price]]-BBDD_fashion_boutique[[#This Row],[current_price]]</f>
        <v>0</v>
      </c>
      <c r="M707" s="1">
        <v>45875</v>
      </c>
      <c r="N707" s="1" t="str">
        <f>PROPER(TEXT(BBDD_fashion_boutique[[#This Row],[purchase_date]],"dddd"))</f>
        <v>Miércoles</v>
      </c>
      <c r="O707" s="1" t="str">
        <f>PROPER(TEXT(BBDD_fashion_boutique[[#This Row],[purchase_date]],"mmmm"))</f>
        <v>Agosto</v>
      </c>
      <c r="P707" s="4">
        <v>28</v>
      </c>
      <c r="Q707" s="2">
        <v>1.5</v>
      </c>
      <c r="R707" t="str">
        <f>IF(BBDD_fashion_boutique[[#This Row],[stock_quantity]]&gt;9,"Ok",IF(BBDD_fashion_boutique[[#This Row],[stock_quantity]]=0,"Agotado","Pocas Unidades"))</f>
        <v>Ok</v>
      </c>
      <c r="S707" s="3">
        <f>IF(BBDD_fashion_boutique[[#This Row],[customer_rating]]="","No valorado",BBDD_fashion_boutique[[#This Row],[customer_rating]])</f>
        <v>1.5</v>
      </c>
      <c r="T707" t="s">
        <v>24</v>
      </c>
      <c r="V707">
        <f>IF(BBDD_fashion_boutique[[#This Row],[is_returned]]="False",0,1)</f>
        <v>0</v>
      </c>
      <c r="W707">
        <f>IF(BBDD_fashion_boutique[[#This Row],[is_returned]]="True",0,BBDD_fashion_boutique[[#This Row],[current_price]])</f>
        <v>94.85</v>
      </c>
      <c r="X707" t="str">
        <f>IF(BBDD_fashion_boutique[[#This Row],[return_reason]]="","No return",BBDD_fashion_boutique[[#This Row],[return_reason]])</f>
        <v>No return</v>
      </c>
      <c r="Y707">
        <f>IF(IFERROR(VLOOKUP(BBDD_fashion_boutique[[#This Row],[product_id]],A708:A2883,1,FALSE),0),1,0)</f>
        <v>0</v>
      </c>
    </row>
    <row r="708" spans="1:25" x14ac:dyDescent="0.3">
      <c r="A708" t="s">
        <v>767</v>
      </c>
      <c r="B708" t="s">
        <v>32</v>
      </c>
      <c r="C708" t="s">
        <v>27</v>
      </c>
      <c r="D708" t="s">
        <v>28</v>
      </c>
      <c r="F708" t="str">
        <f>IF(BBDD_fashion_boutique[[#This Row],[category]]="Accessories","Accesorio",IF(BBDD_fashion_boutique[[#This Row],[size]]="","Desconocido",BBDD_fashion_boutique[[#This Row],[size]]))</f>
        <v>Accesorio</v>
      </c>
      <c r="G708" t="s">
        <v>50</v>
      </c>
      <c r="H708" s="2">
        <v>30.52</v>
      </c>
      <c r="I708">
        <v>7.9</v>
      </c>
      <c r="J708" s="5">
        <f>BBDD_fashion_boutique[[#This Row],[markdown_percentage]]/100</f>
        <v>7.9000000000000001E-2</v>
      </c>
      <c r="K708" s="2">
        <v>28.11</v>
      </c>
      <c r="L708" s="2">
        <f>BBDD_fashion_boutique[[#This Row],[original_price]]-BBDD_fashion_boutique[[#This Row],[current_price]]</f>
        <v>2.41</v>
      </c>
      <c r="M708" s="1">
        <v>45875</v>
      </c>
      <c r="N708" s="1" t="str">
        <f>PROPER(TEXT(BBDD_fashion_boutique[[#This Row],[purchase_date]],"dddd"))</f>
        <v>Miércoles</v>
      </c>
      <c r="O708" s="1" t="str">
        <f>PROPER(TEXT(BBDD_fashion_boutique[[#This Row],[purchase_date]],"mmmm"))</f>
        <v>Agosto</v>
      </c>
      <c r="P708" s="4">
        <v>43</v>
      </c>
      <c r="Q708" s="2">
        <v>4.7</v>
      </c>
      <c r="R708" t="str">
        <f>IF(BBDD_fashion_boutique[[#This Row],[stock_quantity]]&gt;9,"Ok",IF(BBDD_fashion_boutique[[#This Row],[stock_quantity]]=0,"Agotado","Pocas Unidades"))</f>
        <v>Ok</v>
      </c>
      <c r="S708" s="3">
        <f>IF(BBDD_fashion_boutique[[#This Row],[customer_rating]]="","No valorado",BBDD_fashion_boutique[[#This Row],[customer_rating]])</f>
        <v>4.7</v>
      </c>
      <c r="T708" t="s">
        <v>24</v>
      </c>
      <c r="V708">
        <f>IF(BBDD_fashion_boutique[[#This Row],[is_returned]]="False",0,1)</f>
        <v>0</v>
      </c>
      <c r="W708">
        <f>IF(BBDD_fashion_boutique[[#This Row],[is_returned]]="True",0,BBDD_fashion_boutique[[#This Row],[current_price]])</f>
        <v>28.11</v>
      </c>
      <c r="X708" t="str">
        <f>IF(BBDD_fashion_boutique[[#This Row],[return_reason]]="","No return",BBDD_fashion_boutique[[#This Row],[return_reason]])</f>
        <v>No return</v>
      </c>
      <c r="Y708">
        <f>IF(IFERROR(VLOOKUP(BBDD_fashion_boutique[[#This Row],[product_id]],A709:A2884,1,FALSE),0),1,0)</f>
        <v>0</v>
      </c>
    </row>
    <row r="709" spans="1:25" x14ac:dyDescent="0.3">
      <c r="A709" t="s">
        <v>768</v>
      </c>
      <c r="B709" t="s">
        <v>48</v>
      </c>
      <c r="C709" t="s">
        <v>49</v>
      </c>
      <c r="D709" t="s">
        <v>68</v>
      </c>
      <c r="E709" t="s">
        <v>61</v>
      </c>
      <c r="F709" t="str">
        <f>IF(BBDD_fashion_boutique[[#This Row],[category]]="Accessories","Accesorio",IF(BBDD_fashion_boutique[[#This Row],[size]]="","Desconocido",BBDD_fashion_boutique[[#This Row],[size]]))</f>
        <v>XS</v>
      </c>
      <c r="G709" t="s">
        <v>70</v>
      </c>
      <c r="H709" s="2">
        <v>97.06</v>
      </c>
      <c r="I709">
        <v>0</v>
      </c>
      <c r="J709" s="5">
        <f>BBDD_fashion_boutique[[#This Row],[markdown_percentage]]/100</f>
        <v>0</v>
      </c>
      <c r="K709" s="2">
        <v>97.06</v>
      </c>
      <c r="L709" s="2">
        <f>BBDD_fashion_boutique[[#This Row],[original_price]]-BBDD_fashion_boutique[[#This Row],[current_price]]</f>
        <v>0</v>
      </c>
      <c r="M709" s="1">
        <v>45875</v>
      </c>
      <c r="N709" s="1" t="str">
        <f>PROPER(TEXT(BBDD_fashion_boutique[[#This Row],[purchase_date]],"dddd"))</f>
        <v>Miércoles</v>
      </c>
      <c r="O709" s="1" t="str">
        <f>PROPER(TEXT(BBDD_fashion_boutique[[#This Row],[purchase_date]],"mmmm"))</f>
        <v>Agosto</v>
      </c>
      <c r="P709" s="4">
        <v>24</v>
      </c>
      <c r="Q709" s="2">
        <v>3.9</v>
      </c>
      <c r="R709" t="str">
        <f>IF(BBDD_fashion_boutique[[#This Row],[stock_quantity]]&gt;9,"Ok",IF(BBDD_fashion_boutique[[#This Row],[stock_quantity]]=0,"Agotado","Pocas Unidades"))</f>
        <v>Ok</v>
      </c>
      <c r="S709" s="3">
        <f>IF(BBDD_fashion_boutique[[#This Row],[customer_rating]]="","No valorado",BBDD_fashion_boutique[[#This Row],[customer_rating]])</f>
        <v>3.9</v>
      </c>
      <c r="T709" t="s">
        <v>24</v>
      </c>
      <c r="V709">
        <f>IF(BBDD_fashion_boutique[[#This Row],[is_returned]]="False",0,1)</f>
        <v>0</v>
      </c>
      <c r="W709">
        <f>IF(BBDD_fashion_boutique[[#This Row],[is_returned]]="True",0,BBDD_fashion_boutique[[#This Row],[current_price]])</f>
        <v>97.06</v>
      </c>
      <c r="X709" t="str">
        <f>IF(BBDD_fashion_boutique[[#This Row],[return_reason]]="","No return",BBDD_fashion_boutique[[#This Row],[return_reason]])</f>
        <v>No return</v>
      </c>
      <c r="Y709">
        <f>IF(IFERROR(VLOOKUP(BBDD_fashion_boutique[[#This Row],[product_id]],A710:A2885,1,FALSE),0),1,0)</f>
        <v>0</v>
      </c>
    </row>
    <row r="710" spans="1:25" x14ac:dyDescent="0.3">
      <c r="A710" t="s">
        <v>769</v>
      </c>
      <c r="B710" t="s">
        <v>44</v>
      </c>
      <c r="C710" t="s">
        <v>81</v>
      </c>
      <c r="D710" t="s">
        <v>68</v>
      </c>
      <c r="E710" t="s">
        <v>64</v>
      </c>
      <c r="F710" t="str">
        <f>IF(BBDD_fashion_boutique[[#This Row],[category]]="Accessories","Accesorio",IF(BBDD_fashion_boutique[[#This Row],[size]]="","Desconocido",BBDD_fashion_boutique[[#This Row],[size]]))</f>
        <v>M</v>
      </c>
      <c r="G710" t="s">
        <v>72</v>
      </c>
      <c r="H710" s="2">
        <v>57.85</v>
      </c>
      <c r="I710">
        <v>35.4</v>
      </c>
      <c r="J710" s="5">
        <f>BBDD_fashion_boutique[[#This Row],[markdown_percentage]]/100</f>
        <v>0.35399999999999998</v>
      </c>
      <c r="K710" s="2">
        <v>37.369999999999997</v>
      </c>
      <c r="L710" s="2">
        <f>BBDD_fashion_boutique[[#This Row],[original_price]]-BBDD_fashion_boutique[[#This Row],[current_price]]</f>
        <v>20.480000000000004</v>
      </c>
      <c r="M710" s="1">
        <v>45875</v>
      </c>
      <c r="N710" s="1" t="str">
        <f>PROPER(TEXT(BBDD_fashion_boutique[[#This Row],[purchase_date]],"dddd"))</f>
        <v>Miércoles</v>
      </c>
      <c r="O710" s="1" t="str">
        <f>PROPER(TEXT(BBDD_fashion_boutique[[#This Row],[purchase_date]],"mmmm"))</f>
        <v>Agosto</v>
      </c>
      <c r="P710" s="4">
        <v>17</v>
      </c>
      <c r="R710" t="str">
        <f>IF(BBDD_fashion_boutique[[#This Row],[stock_quantity]]&gt;9,"Ok",IF(BBDD_fashion_boutique[[#This Row],[stock_quantity]]=0,"Agotado","Pocas Unidades"))</f>
        <v>Ok</v>
      </c>
      <c r="S710" s="3" t="str">
        <f>IF(BBDD_fashion_boutique[[#This Row],[customer_rating]]="","No valorado",BBDD_fashion_boutique[[#This Row],[customer_rating]])</f>
        <v>No valorado</v>
      </c>
      <c r="T710" t="s">
        <v>24</v>
      </c>
      <c r="V710">
        <f>IF(BBDD_fashion_boutique[[#This Row],[is_returned]]="False",0,1)</f>
        <v>0</v>
      </c>
      <c r="W710">
        <f>IF(BBDD_fashion_boutique[[#This Row],[is_returned]]="True",0,BBDD_fashion_boutique[[#This Row],[current_price]])</f>
        <v>37.369999999999997</v>
      </c>
      <c r="X710" t="str">
        <f>IF(BBDD_fashion_boutique[[#This Row],[return_reason]]="","No return",BBDD_fashion_boutique[[#This Row],[return_reason]])</f>
        <v>No return</v>
      </c>
      <c r="Y710">
        <f>IF(IFERROR(VLOOKUP(BBDD_fashion_boutique[[#This Row],[product_id]],A711:A2886,1,FALSE),0),1,0)</f>
        <v>0</v>
      </c>
    </row>
    <row r="711" spans="1:25" x14ac:dyDescent="0.3">
      <c r="A711" t="s">
        <v>770</v>
      </c>
      <c r="B711" t="s">
        <v>26</v>
      </c>
      <c r="C711" t="s">
        <v>20</v>
      </c>
      <c r="D711" t="s">
        <v>39</v>
      </c>
      <c r="E711" t="s">
        <v>64</v>
      </c>
      <c r="F711" t="str">
        <f>IF(BBDD_fashion_boutique[[#This Row],[category]]="Accessories","Accesorio",IF(BBDD_fashion_boutique[[#This Row],[size]]="","Desconocido",BBDD_fashion_boutique[[#This Row],[size]]))</f>
        <v>M</v>
      </c>
      <c r="G711" t="s">
        <v>40</v>
      </c>
      <c r="H711" s="2">
        <v>51.35</v>
      </c>
      <c r="I711">
        <v>19.7</v>
      </c>
      <c r="J711" s="5">
        <f>BBDD_fashion_boutique[[#This Row],[markdown_percentage]]/100</f>
        <v>0.19699999999999998</v>
      </c>
      <c r="K711" s="2">
        <v>41.23</v>
      </c>
      <c r="L711" s="2">
        <f>BBDD_fashion_boutique[[#This Row],[original_price]]-BBDD_fashion_boutique[[#This Row],[current_price]]</f>
        <v>10.120000000000005</v>
      </c>
      <c r="M711" s="1">
        <v>45875</v>
      </c>
      <c r="N711" s="1" t="str">
        <f>PROPER(TEXT(BBDD_fashion_boutique[[#This Row],[purchase_date]],"dddd"))</f>
        <v>Miércoles</v>
      </c>
      <c r="O711" s="1" t="str">
        <f>PROPER(TEXT(BBDD_fashion_boutique[[#This Row],[purchase_date]],"mmmm"))</f>
        <v>Agosto</v>
      </c>
      <c r="P711" s="4">
        <v>39</v>
      </c>
      <c r="Q711" s="2">
        <v>1.3</v>
      </c>
      <c r="R711" t="str">
        <f>IF(BBDD_fashion_boutique[[#This Row],[stock_quantity]]&gt;9,"Ok",IF(BBDD_fashion_boutique[[#This Row],[stock_quantity]]=0,"Agotado","Pocas Unidades"))</f>
        <v>Ok</v>
      </c>
      <c r="S711" s="3">
        <f>IF(BBDD_fashion_boutique[[#This Row],[customer_rating]]="","No valorado",BBDD_fashion_boutique[[#This Row],[customer_rating]])</f>
        <v>1.3</v>
      </c>
      <c r="T711" t="s">
        <v>24</v>
      </c>
      <c r="V711">
        <f>IF(BBDD_fashion_boutique[[#This Row],[is_returned]]="False",0,1)</f>
        <v>0</v>
      </c>
      <c r="W711">
        <f>IF(BBDD_fashion_boutique[[#This Row],[is_returned]]="True",0,BBDD_fashion_boutique[[#This Row],[current_price]])</f>
        <v>41.23</v>
      </c>
      <c r="X711" t="str">
        <f>IF(BBDD_fashion_boutique[[#This Row],[return_reason]]="","No return",BBDD_fashion_boutique[[#This Row],[return_reason]])</f>
        <v>No return</v>
      </c>
      <c r="Y711">
        <f>IF(IFERROR(VLOOKUP(BBDD_fashion_boutique[[#This Row],[product_id]],A712:A2887,1,FALSE),0),1,0)</f>
        <v>0</v>
      </c>
    </row>
    <row r="712" spans="1:25" x14ac:dyDescent="0.3">
      <c r="A712" t="s">
        <v>771</v>
      </c>
      <c r="B712" t="s">
        <v>32</v>
      </c>
      <c r="C712" t="s">
        <v>59</v>
      </c>
      <c r="D712" t="s">
        <v>21</v>
      </c>
      <c r="F712" t="str">
        <f>IF(BBDD_fashion_boutique[[#This Row],[category]]="Accessories","Accesorio",IF(BBDD_fashion_boutique[[#This Row],[size]]="","Desconocido",BBDD_fashion_boutique[[#This Row],[size]]))</f>
        <v>Accesorio</v>
      </c>
      <c r="G712" t="s">
        <v>33</v>
      </c>
      <c r="H712" s="2">
        <v>61.34</v>
      </c>
      <c r="I712">
        <v>45.4</v>
      </c>
      <c r="J712" s="5">
        <f>BBDD_fashion_boutique[[#This Row],[markdown_percentage]]/100</f>
        <v>0.45399999999999996</v>
      </c>
      <c r="K712" s="2">
        <v>33.49</v>
      </c>
      <c r="L712" s="2">
        <f>BBDD_fashion_boutique[[#This Row],[original_price]]-BBDD_fashion_boutique[[#This Row],[current_price]]</f>
        <v>27.85</v>
      </c>
      <c r="M712" s="1">
        <v>45691</v>
      </c>
      <c r="N712" s="1" t="str">
        <f>PROPER(TEXT(BBDD_fashion_boutique[[#This Row],[purchase_date]],"dddd"))</f>
        <v>Lunes</v>
      </c>
      <c r="O712" s="1" t="str">
        <f>PROPER(TEXT(BBDD_fashion_boutique[[#This Row],[purchase_date]],"mmmm"))</f>
        <v>Febrero</v>
      </c>
      <c r="P712" s="4">
        <v>46</v>
      </c>
      <c r="R712" t="str">
        <f>IF(BBDD_fashion_boutique[[#This Row],[stock_quantity]]&gt;9,"Ok",IF(BBDD_fashion_boutique[[#This Row],[stock_quantity]]=0,"Agotado","Pocas Unidades"))</f>
        <v>Ok</v>
      </c>
      <c r="S712" s="3" t="str">
        <f>IF(BBDD_fashion_boutique[[#This Row],[customer_rating]]="","No valorado",BBDD_fashion_boutique[[#This Row],[customer_rating]])</f>
        <v>No valorado</v>
      </c>
      <c r="T712" t="s">
        <v>24</v>
      </c>
      <c r="V712">
        <f>IF(BBDD_fashion_boutique[[#This Row],[is_returned]]="False",0,1)</f>
        <v>0</v>
      </c>
      <c r="W712">
        <f>IF(BBDD_fashion_boutique[[#This Row],[is_returned]]="True",0,BBDD_fashion_boutique[[#This Row],[current_price]])</f>
        <v>33.49</v>
      </c>
      <c r="X712" t="str">
        <f>IF(BBDD_fashion_boutique[[#This Row],[return_reason]]="","No return",BBDD_fashion_boutique[[#This Row],[return_reason]])</f>
        <v>No return</v>
      </c>
      <c r="Y712">
        <f>IF(IFERROR(VLOOKUP(BBDD_fashion_boutique[[#This Row],[product_id]],A713:A2888,1,FALSE),0),1,0)</f>
        <v>0</v>
      </c>
    </row>
    <row r="713" spans="1:25" x14ac:dyDescent="0.3">
      <c r="A713" t="s">
        <v>772</v>
      </c>
      <c r="B713" t="s">
        <v>19</v>
      </c>
      <c r="C713" t="s">
        <v>37</v>
      </c>
      <c r="D713" t="s">
        <v>68</v>
      </c>
      <c r="E713" t="s">
        <v>29</v>
      </c>
      <c r="F713" t="str">
        <f>IF(BBDD_fashion_boutique[[#This Row],[category]]="Accessories","Accesorio",IF(BBDD_fashion_boutique[[#This Row],[size]]="","Desconocido",BBDD_fashion_boutique[[#This Row],[size]]))</f>
        <v>L</v>
      </c>
      <c r="G713" t="s">
        <v>72</v>
      </c>
      <c r="H713" s="2">
        <v>189.28</v>
      </c>
      <c r="I713">
        <v>0</v>
      </c>
      <c r="J713" s="5">
        <f>BBDD_fashion_boutique[[#This Row],[markdown_percentage]]/100</f>
        <v>0</v>
      </c>
      <c r="K713" s="2">
        <v>189.28</v>
      </c>
      <c r="L713" s="2">
        <f>BBDD_fashion_boutique[[#This Row],[original_price]]-BBDD_fashion_boutique[[#This Row],[current_price]]</f>
        <v>0</v>
      </c>
      <c r="M713" s="1">
        <v>45875</v>
      </c>
      <c r="N713" s="1" t="str">
        <f>PROPER(TEXT(BBDD_fashion_boutique[[#This Row],[purchase_date]],"dddd"))</f>
        <v>Miércoles</v>
      </c>
      <c r="O713" s="1" t="str">
        <f>PROPER(TEXT(BBDD_fashion_boutique[[#This Row],[purchase_date]],"mmmm"))</f>
        <v>Agosto</v>
      </c>
      <c r="P713" s="4">
        <v>41</v>
      </c>
      <c r="Q713" s="2">
        <v>2.7</v>
      </c>
      <c r="R713" t="str">
        <f>IF(BBDD_fashion_boutique[[#This Row],[stock_quantity]]&gt;9,"Ok",IF(BBDD_fashion_boutique[[#This Row],[stock_quantity]]=0,"Agotado","Pocas Unidades"))</f>
        <v>Ok</v>
      </c>
      <c r="S713" s="3">
        <f>IF(BBDD_fashion_boutique[[#This Row],[customer_rating]]="","No valorado",BBDD_fashion_boutique[[#This Row],[customer_rating]])</f>
        <v>2.7</v>
      </c>
      <c r="T713" t="s">
        <v>41</v>
      </c>
      <c r="U713" t="s">
        <v>131</v>
      </c>
      <c r="V713">
        <f>IF(BBDD_fashion_boutique[[#This Row],[is_returned]]="False",0,1)</f>
        <v>1</v>
      </c>
      <c r="W713">
        <f>IF(BBDD_fashion_boutique[[#This Row],[is_returned]]="True",0,BBDD_fashion_boutique[[#This Row],[current_price]])</f>
        <v>0</v>
      </c>
      <c r="X713" t="str">
        <f>IF(BBDD_fashion_boutique[[#This Row],[return_reason]]="","No return",BBDD_fashion_boutique[[#This Row],[return_reason]])</f>
        <v>Wrong Item</v>
      </c>
      <c r="Y713">
        <f>IF(IFERROR(VLOOKUP(BBDD_fashion_boutique[[#This Row],[product_id]],A714:A2889,1,FALSE),0),1,0)</f>
        <v>0</v>
      </c>
    </row>
    <row r="714" spans="1:25" x14ac:dyDescent="0.3">
      <c r="A714" t="s">
        <v>773</v>
      </c>
      <c r="B714" t="s">
        <v>26</v>
      </c>
      <c r="C714" t="s">
        <v>37</v>
      </c>
      <c r="D714" t="s">
        <v>68</v>
      </c>
      <c r="E714" t="s">
        <v>55</v>
      </c>
      <c r="F714" t="str">
        <f>IF(BBDD_fashion_boutique[[#This Row],[category]]="Accessories","Accesorio",IF(BBDD_fashion_boutique[[#This Row],[size]]="","Desconocido",BBDD_fashion_boutique[[#This Row],[size]]))</f>
        <v>XXL</v>
      </c>
      <c r="G714" t="s">
        <v>72</v>
      </c>
      <c r="H714" s="2">
        <v>86.67</v>
      </c>
      <c r="I714">
        <v>35.799999999999997</v>
      </c>
      <c r="J714" s="5">
        <f>BBDD_fashion_boutique[[#This Row],[markdown_percentage]]/100</f>
        <v>0.35799999999999998</v>
      </c>
      <c r="K714" s="2">
        <v>55.64</v>
      </c>
      <c r="L714" s="2">
        <f>BBDD_fashion_boutique[[#This Row],[original_price]]-BBDD_fashion_boutique[[#This Row],[current_price]]</f>
        <v>31.03</v>
      </c>
      <c r="M714" s="1">
        <v>45875</v>
      </c>
      <c r="N714" s="1" t="str">
        <f>PROPER(TEXT(BBDD_fashion_boutique[[#This Row],[purchase_date]],"dddd"))</f>
        <v>Miércoles</v>
      </c>
      <c r="O714" s="1" t="str">
        <f>PROPER(TEXT(BBDD_fashion_boutique[[#This Row],[purchase_date]],"mmmm"))</f>
        <v>Agosto</v>
      </c>
      <c r="P714" s="4">
        <v>2</v>
      </c>
      <c r="Q714" s="2">
        <v>4.9000000000000004</v>
      </c>
      <c r="R714" t="str">
        <f>IF(BBDD_fashion_boutique[[#This Row],[stock_quantity]]&gt;9,"Ok",IF(BBDD_fashion_boutique[[#This Row],[stock_quantity]]=0,"Agotado","Pocas Unidades"))</f>
        <v>Pocas Unidades</v>
      </c>
      <c r="S714" s="3">
        <f>IF(BBDD_fashion_boutique[[#This Row],[customer_rating]]="","No valorado",BBDD_fashion_boutique[[#This Row],[customer_rating]])</f>
        <v>4.9000000000000004</v>
      </c>
      <c r="T714" t="s">
        <v>24</v>
      </c>
      <c r="V714">
        <f>IF(BBDD_fashion_boutique[[#This Row],[is_returned]]="False",0,1)</f>
        <v>0</v>
      </c>
      <c r="W714">
        <f>IF(BBDD_fashion_boutique[[#This Row],[is_returned]]="True",0,BBDD_fashion_boutique[[#This Row],[current_price]])</f>
        <v>55.64</v>
      </c>
      <c r="X714" t="str">
        <f>IF(BBDD_fashion_boutique[[#This Row],[return_reason]]="","No return",BBDD_fashion_boutique[[#This Row],[return_reason]])</f>
        <v>No return</v>
      </c>
      <c r="Y714">
        <f>IF(IFERROR(VLOOKUP(BBDD_fashion_boutique[[#This Row],[product_id]],A715:A2890,1,FALSE),0),1,0)</f>
        <v>0</v>
      </c>
    </row>
    <row r="715" spans="1:25" x14ac:dyDescent="0.3">
      <c r="A715" t="s">
        <v>774</v>
      </c>
      <c r="B715" t="s">
        <v>44</v>
      </c>
      <c r="C715" t="s">
        <v>59</v>
      </c>
      <c r="D715" t="s">
        <v>21</v>
      </c>
      <c r="E715" t="s">
        <v>45</v>
      </c>
      <c r="F715" t="str">
        <f>IF(BBDD_fashion_boutique[[#This Row],[category]]="Accessories","Accesorio",IF(BBDD_fashion_boutique[[#This Row],[size]]="","Desconocido",BBDD_fashion_boutique[[#This Row],[size]]))</f>
        <v>S</v>
      </c>
      <c r="G715" t="s">
        <v>70</v>
      </c>
      <c r="H715" s="2">
        <v>102.84</v>
      </c>
      <c r="I715">
        <v>0</v>
      </c>
      <c r="J715" s="5">
        <f>BBDD_fashion_boutique[[#This Row],[markdown_percentage]]/100</f>
        <v>0</v>
      </c>
      <c r="K715" s="2">
        <v>102.84</v>
      </c>
      <c r="L715" s="2">
        <f>BBDD_fashion_boutique[[#This Row],[original_price]]-BBDD_fashion_boutique[[#This Row],[current_price]]</f>
        <v>0</v>
      </c>
      <c r="M715" s="1">
        <v>45545</v>
      </c>
      <c r="N715" s="1" t="str">
        <f>PROPER(TEXT(BBDD_fashion_boutique[[#This Row],[purchase_date]],"dddd"))</f>
        <v>Martes</v>
      </c>
      <c r="O715" s="1" t="str">
        <f>PROPER(TEXT(BBDD_fashion_boutique[[#This Row],[purchase_date]],"mmmm"))</f>
        <v>Septiembre</v>
      </c>
      <c r="P715" s="4">
        <v>27</v>
      </c>
      <c r="Q715" s="2">
        <v>1.8</v>
      </c>
      <c r="R715" t="str">
        <f>IF(BBDD_fashion_boutique[[#This Row],[stock_quantity]]&gt;9,"Ok",IF(BBDD_fashion_boutique[[#This Row],[stock_quantity]]=0,"Agotado","Pocas Unidades"))</f>
        <v>Ok</v>
      </c>
      <c r="S715" s="3">
        <f>IF(BBDD_fashion_boutique[[#This Row],[customer_rating]]="","No valorado",BBDD_fashion_boutique[[#This Row],[customer_rating]])</f>
        <v>1.8</v>
      </c>
      <c r="T715" t="s">
        <v>24</v>
      </c>
      <c r="V715">
        <f>IF(BBDD_fashion_boutique[[#This Row],[is_returned]]="False",0,1)</f>
        <v>0</v>
      </c>
      <c r="W715">
        <f>IF(BBDD_fashion_boutique[[#This Row],[is_returned]]="True",0,BBDD_fashion_boutique[[#This Row],[current_price]])</f>
        <v>102.84</v>
      </c>
      <c r="X715" t="str">
        <f>IF(BBDD_fashion_boutique[[#This Row],[return_reason]]="","No return",BBDD_fashion_boutique[[#This Row],[return_reason]])</f>
        <v>No return</v>
      </c>
      <c r="Y715">
        <f>IF(IFERROR(VLOOKUP(BBDD_fashion_boutique[[#This Row],[product_id]],A716:A2891,1,FALSE),0),1,0)</f>
        <v>0</v>
      </c>
    </row>
    <row r="716" spans="1:25" x14ac:dyDescent="0.3">
      <c r="A716" t="s">
        <v>775</v>
      </c>
      <c r="B716" t="s">
        <v>19</v>
      </c>
      <c r="C716" t="s">
        <v>20</v>
      </c>
      <c r="D716" t="s">
        <v>39</v>
      </c>
      <c r="E716" t="s">
        <v>55</v>
      </c>
      <c r="F716" t="str">
        <f>IF(BBDD_fashion_boutique[[#This Row],[category]]="Accessories","Accesorio",IF(BBDD_fashion_boutique[[#This Row],[size]]="","Desconocido",BBDD_fashion_boutique[[#This Row],[size]]))</f>
        <v>XXL</v>
      </c>
      <c r="G716" t="s">
        <v>52</v>
      </c>
      <c r="H716" s="2">
        <v>225.21</v>
      </c>
      <c r="I716">
        <v>0</v>
      </c>
      <c r="J716" s="5">
        <f>BBDD_fashion_boutique[[#This Row],[markdown_percentage]]/100</f>
        <v>0</v>
      </c>
      <c r="K716" s="2">
        <v>225.21</v>
      </c>
      <c r="L716" s="2">
        <f>BBDD_fashion_boutique[[#This Row],[original_price]]-BBDD_fashion_boutique[[#This Row],[current_price]]</f>
        <v>0</v>
      </c>
      <c r="M716" s="1">
        <v>45875</v>
      </c>
      <c r="N716" s="1" t="str">
        <f>PROPER(TEXT(BBDD_fashion_boutique[[#This Row],[purchase_date]],"dddd"))</f>
        <v>Miércoles</v>
      </c>
      <c r="O716" s="1" t="str">
        <f>PROPER(TEXT(BBDD_fashion_boutique[[#This Row],[purchase_date]],"mmmm"))</f>
        <v>Agosto</v>
      </c>
      <c r="P716" s="4">
        <v>27</v>
      </c>
      <c r="Q716" s="2">
        <v>3.1</v>
      </c>
      <c r="R716" t="str">
        <f>IF(BBDD_fashion_boutique[[#This Row],[stock_quantity]]&gt;9,"Ok",IF(BBDD_fashion_boutique[[#This Row],[stock_quantity]]=0,"Agotado","Pocas Unidades"))</f>
        <v>Ok</v>
      </c>
      <c r="S716" s="3">
        <f>IF(BBDD_fashion_boutique[[#This Row],[customer_rating]]="","No valorado",BBDD_fashion_boutique[[#This Row],[customer_rating]])</f>
        <v>3.1</v>
      </c>
      <c r="T716" t="s">
        <v>41</v>
      </c>
      <c r="U716" t="s">
        <v>121</v>
      </c>
      <c r="V716">
        <f>IF(BBDD_fashion_boutique[[#This Row],[is_returned]]="False",0,1)</f>
        <v>1</v>
      </c>
      <c r="W716">
        <f>IF(BBDD_fashion_boutique[[#This Row],[is_returned]]="True",0,BBDD_fashion_boutique[[#This Row],[current_price]])</f>
        <v>0</v>
      </c>
      <c r="X716" t="str">
        <f>IF(BBDD_fashion_boutique[[#This Row],[return_reason]]="","No return",BBDD_fashion_boutique[[#This Row],[return_reason]])</f>
        <v>Changed Mind</v>
      </c>
      <c r="Y716">
        <f>IF(IFERROR(VLOOKUP(BBDD_fashion_boutique[[#This Row],[product_id]],A717:A2892,1,FALSE),0),1,0)</f>
        <v>0</v>
      </c>
    </row>
    <row r="717" spans="1:25" x14ac:dyDescent="0.3">
      <c r="A717" t="s">
        <v>776</v>
      </c>
      <c r="B717" t="s">
        <v>48</v>
      </c>
      <c r="C717" t="s">
        <v>27</v>
      </c>
      <c r="D717" t="s">
        <v>28</v>
      </c>
      <c r="E717" t="s">
        <v>22</v>
      </c>
      <c r="F717" t="str">
        <f>IF(BBDD_fashion_boutique[[#This Row],[category]]="Accessories","Accesorio",IF(BBDD_fashion_boutique[[#This Row],[size]]="","Desconocido",BBDD_fashion_boutique[[#This Row],[size]]))</f>
        <v>XL</v>
      </c>
      <c r="G717" t="s">
        <v>46</v>
      </c>
      <c r="H717" s="2">
        <v>48.91</v>
      </c>
      <c r="I717">
        <v>27.8</v>
      </c>
      <c r="J717" s="5">
        <f>BBDD_fashion_boutique[[#This Row],[markdown_percentage]]/100</f>
        <v>0.27800000000000002</v>
      </c>
      <c r="K717" s="2">
        <v>35.31</v>
      </c>
      <c r="L717" s="2">
        <f>BBDD_fashion_boutique[[#This Row],[original_price]]-BBDD_fashion_boutique[[#This Row],[current_price]]</f>
        <v>13.599999999999994</v>
      </c>
      <c r="M717" s="1">
        <v>45875</v>
      </c>
      <c r="N717" s="1" t="str">
        <f>PROPER(TEXT(BBDD_fashion_boutique[[#This Row],[purchase_date]],"dddd"))</f>
        <v>Miércoles</v>
      </c>
      <c r="O717" s="1" t="str">
        <f>PROPER(TEXT(BBDD_fashion_boutique[[#This Row],[purchase_date]],"mmmm"))</f>
        <v>Agosto</v>
      </c>
      <c r="P717" s="4">
        <v>0</v>
      </c>
      <c r="Q717" s="2">
        <v>4.0999999999999996</v>
      </c>
      <c r="R717" t="str">
        <f>IF(BBDD_fashion_boutique[[#This Row],[stock_quantity]]&gt;9,"Ok",IF(BBDD_fashion_boutique[[#This Row],[stock_quantity]]=0,"Agotado","Pocas Unidades"))</f>
        <v>Agotado</v>
      </c>
      <c r="S717" s="3">
        <f>IF(BBDD_fashion_boutique[[#This Row],[customer_rating]]="","No valorado",BBDD_fashion_boutique[[#This Row],[customer_rating]])</f>
        <v>4.0999999999999996</v>
      </c>
      <c r="T717" t="s">
        <v>24</v>
      </c>
      <c r="V717">
        <f>IF(BBDD_fashion_boutique[[#This Row],[is_returned]]="False",0,1)</f>
        <v>0</v>
      </c>
      <c r="W717">
        <f>IF(BBDD_fashion_boutique[[#This Row],[is_returned]]="True",0,BBDD_fashion_boutique[[#This Row],[current_price]])</f>
        <v>35.31</v>
      </c>
      <c r="X717" t="str">
        <f>IF(BBDD_fashion_boutique[[#This Row],[return_reason]]="","No return",BBDD_fashion_boutique[[#This Row],[return_reason]])</f>
        <v>No return</v>
      </c>
      <c r="Y717">
        <f>IF(IFERROR(VLOOKUP(BBDD_fashion_boutique[[#This Row],[product_id]],A718:A2893,1,FALSE),0),1,0)</f>
        <v>0</v>
      </c>
    </row>
    <row r="718" spans="1:25" x14ac:dyDescent="0.3">
      <c r="A718" t="s">
        <v>777</v>
      </c>
      <c r="B718" t="s">
        <v>19</v>
      </c>
      <c r="C718" t="s">
        <v>81</v>
      </c>
      <c r="D718" t="s">
        <v>39</v>
      </c>
      <c r="E718" t="s">
        <v>29</v>
      </c>
      <c r="F718" t="str">
        <f>IF(BBDD_fashion_boutique[[#This Row],[category]]="Accessories","Accesorio",IF(BBDD_fashion_boutique[[#This Row],[size]]="","Desconocido",BBDD_fashion_boutique[[#This Row],[size]]))</f>
        <v>L</v>
      </c>
      <c r="G718" t="s">
        <v>30</v>
      </c>
      <c r="H718" s="2">
        <v>145.93</v>
      </c>
      <c r="I718">
        <v>0</v>
      </c>
      <c r="J718" s="5">
        <f>BBDD_fashion_boutique[[#This Row],[markdown_percentage]]/100</f>
        <v>0</v>
      </c>
      <c r="K718" s="2">
        <v>145.93</v>
      </c>
      <c r="L718" s="2">
        <f>BBDD_fashion_boutique[[#This Row],[original_price]]-BBDD_fashion_boutique[[#This Row],[current_price]]</f>
        <v>0</v>
      </c>
      <c r="M718" s="1">
        <v>45875</v>
      </c>
      <c r="N718" s="1" t="str">
        <f>PROPER(TEXT(BBDD_fashion_boutique[[#This Row],[purchase_date]],"dddd"))</f>
        <v>Miércoles</v>
      </c>
      <c r="O718" s="1" t="str">
        <f>PROPER(TEXT(BBDD_fashion_boutique[[#This Row],[purchase_date]],"mmmm"))</f>
        <v>Agosto</v>
      </c>
      <c r="P718" s="4">
        <v>19</v>
      </c>
      <c r="Q718" s="2">
        <v>1.5</v>
      </c>
      <c r="R718" t="str">
        <f>IF(BBDD_fashion_boutique[[#This Row],[stock_quantity]]&gt;9,"Ok",IF(BBDD_fashion_boutique[[#This Row],[stock_quantity]]=0,"Agotado","Pocas Unidades"))</f>
        <v>Ok</v>
      </c>
      <c r="S718" s="3">
        <f>IF(BBDD_fashion_boutique[[#This Row],[customer_rating]]="","No valorado",BBDD_fashion_boutique[[#This Row],[customer_rating]])</f>
        <v>1.5</v>
      </c>
      <c r="T718" t="s">
        <v>24</v>
      </c>
      <c r="V718">
        <f>IF(BBDD_fashion_boutique[[#This Row],[is_returned]]="False",0,1)</f>
        <v>0</v>
      </c>
      <c r="W718">
        <f>IF(BBDD_fashion_boutique[[#This Row],[is_returned]]="True",0,BBDD_fashion_boutique[[#This Row],[current_price]])</f>
        <v>145.93</v>
      </c>
      <c r="X718" t="str">
        <f>IF(BBDD_fashion_boutique[[#This Row],[return_reason]]="","No return",BBDD_fashion_boutique[[#This Row],[return_reason]])</f>
        <v>No return</v>
      </c>
      <c r="Y718">
        <f>IF(IFERROR(VLOOKUP(BBDD_fashion_boutique[[#This Row],[product_id]],A719:A2894,1,FALSE),0),1,0)</f>
        <v>0</v>
      </c>
    </row>
    <row r="719" spans="1:25" x14ac:dyDescent="0.3">
      <c r="A719" t="s">
        <v>778</v>
      </c>
      <c r="B719" t="s">
        <v>19</v>
      </c>
      <c r="C719" t="s">
        <v>37</v>
      </c>
      <c r="D719" t="s">
        <v>28</v>
      </c>
      <c r="F719" t="str">
        <f>IF(BBDD_fashion_boutique[[#This Row],[category]]="Accessories","Accesorio",IF(BBDD_fashion_boutique[[#This Row],[size]]="","Desconocido",BBDD_fashion_boutique[[#This Row],[size]]))</f>
        <v>Desconocido</v>
      </c>
      <c r="G719" t="s">
        <v>52</v>
      </c>
      <c r="H719" s="2">
        <v>225.92</v>
      </c>
      <c r="I719">
        <v>43.7</v>
      </c>
      <c r="J719" s="5">
        <f>BBDD_fashion_boutique[[#This Row],[markdown_percentage]]/100</f>
        <v>0.43700000000000006</v>
      </c>
      <c r="K719" s="2">
        <v>127.19</v>
      </c>
      <c r="L719" s="2">
        <f>BBDD_fashion_boutique[[#This Row],[original_price]]-BBDD_fashion_boutique[[#This Row],[current_price]]</f>
        <v>98.72999999999999</v>
      </c>
      <c r="M719" s="1">
        <v>45875</v>
      </c>
      <c r="N719" s="1" t="str">
        <f>PROPER(TEXT(BBDD_fashion_boutique[[#This Row],[purchase_date]],"dddd"))</f>
        <v>Miércoles</v>
      </c>
      <c r="O719" s="1" t="str">
        <f>PROPER(TEXT(BBDD_fashion_boutique[[#This Row],[purchase_date]],"mmmm"))</f>
        <v>Agosto</v>
      </c>
      <c r="P719" s="4">
        <v>30</v>
      </c>
      <c r="Q719" s="2">
        <v>3.2</v>
      </c>
      <c r="R719" t="str">
        <f>IF(BBDD_fashion_boutique[[#This Row],[stock_quantity]]&gt;9,"Ok",IF(BBDD_fashion_boutique[[#This Row],[stock_quantity]]=0,"Agotado","Pocas Unidades"))</f>
        <v>Ok</v>
      </c>
      <c r="S719" s="3">
        <f>IF(BBDD_fashion_boutique[[#This Row],[customer_rating]]="","No valorado",BBDD_fashion_boutique[[#This Row],[customer_rating]])</f>
        <v>3.2</v>
      </c>
      <c r="T719" t="s">
        <v>24</v>
      </c>
      <c r="V719">
        <f>IF(BBDD_fashion_boutique[[#This Row],[is_returned]]="False",0,1)</f>
        <v>0</v>
      </c>
      <c r="W719">
        <f>IF(BBDD_fashion_boutique[[#This Row],[is_returned]]="True",0,BBDD_fashion_boutique[[#This Row],[current_price]])</f>
        <v>127.19</v>
      </c>
      <c r="X719" t="str">
        <f>IF(BBDD_fashion_boutique[[#This Row],[return_reason]]="","No return",BBDD_fashion_boutique[[#This Row],[return_reason]])</f>
        <v>No return</v>
      </c>
      <c r="Y719">
        <f>IF(IFERROR(VLOOKUP(BBDD_fashion_boutique[[#This Row],[product_id]],A720:A2895,1,FALSE),0),1,0)</f>
        <v>0</v>
      </c>
    </row>
    <row r="720" spans="1:25" x14ac:dyDescent="0.3">
      <c r="A720" t="s">
        <v>779</v>
      </c>
      <c r="B720" t="s">
        <v>19</v>
      </c>
      <c r="C720" t="s">
        <v>27</v>
      </c>
      <c r="D720" t="s">
        <v>68</v>
      </c>
      <c r="E720" t="s">
        <v>22</v>
      </c>
      <c r="F720" t="str">
        <f>IF(BBDD_fashion_boutique[[#This Row],[category]]="Accessories","Accesorio",IF(BBDD_fashion_boutique[[#This Row],[size]]="","Desconocido",BBDD_fashion_boutique[[#This Row],[size]]))</f>
        <v>XL</v>
      </c>
      <c r="G720" t="s">
        <v>52</v>
      </c>
      <c r="H720" s="2">
        <v>202.18</v>
      </c>
      <c r="I720">
        <v>39.700000000000003</v>
      </c>
      <c r="J720" s="5">
        <f>BBDD_fashion_boutique[[#This Row],[markdown_percentage]]/100</f>
        <v>0.39700000000000002</v>
      </c>
      <c r="K720" s="2">
        <v>121.91</v>
      </c>
      <c r="L720" s="2">
        <f>BBDD_fashion_boutique[[#This Row],[original_price]]-BBDD_fashion_boutique[[#This Row],[current_price]]</f>
        <v>80.27000000000001</v>
      </c>
      <c r="M720" s="1">
        <v>45875</v>
      </c>
      <c r="N720" s="1" t="str">
        <f>PROPER(TEXT(BBDD_fashion_boutique[[#This Row],[purchase_date]],"dddd"))</f>
        <v>Miércoles</v>
      </c>
      <c r="O720" s="1" t="str">
        <f>PROPER(TEXT(BBDD_fashion_boutique[[#This Row],[purchase_date]],"mmmm"))</f>
        <v>Agosto</v>
      </c>
      <c r="P720" s="4">
        <v>20</v>
      </c>
      <c r="Q720" s="2">
        <v>4.0999999999999996</v>
      </c>
      <c r="R720" t="str">
        <f>IF(BBDD_fashion_boutique[[#This Row],[stock_quantity]]&gt;9,"Ok",IF(BBDD_fashion_boutique[[#This Row],[stock_quantity]]=0,"Agotado","Pocas Unidades"))</f>
        <v>Ok</v>
      </c>
      <c r="S720" s="3">
        <f>IF(BBDD_fashion_boutique[[#This Row],[customer_rating]]="","No valorado",BBDD_fashion_boutique[[#This Row],[customer_rating]])</f>
        <v>4.0999999999999996</v>
      </c>
      <c r="T720" t="s">
        <v>24</v>
      </c>
      <c r="V720">
        <f>IF(BBDD_fashion_boutique[[#This Row],[is_returned]]="False",0,1)</f>
        <v>0</v>
      </c>
      <c r="W720">
        <f>IF(BBDD_fashion_boutique[[#This Row],[is_returned]]="True",0,BBDD_fashion_boutique[[#This Row],[current_price]])</f>
        <v>121.91</v>
      </c>
      <c r="X720" t="str">
        <f>IF(BBDD_fashion_boutique[[#This Row],[return_reason]]="","No return",BBDD_fashion_boutique[[#This Row],[return_reason]])</f>
        <v>No return</v>
      </c>
      <c r="Y720">
        <f>IF(IFERROR(VLOOKUP(BBDD_fashion_boutique[[#This Row],[product_id]],A721:A2896,1,FALSE),0),1,0)</f>
        <v>0</v>
      </c>
    </row>
    <row r="721" spans="1:25" x14ac:dyDescent="0.3">
      <c r="A721" t="s">
        <v>780</v>
      </c>
      <c r="B721" t="s">
        <v>26</v>
      </c>
      <c r="C721" t="s">
        <v>27</v>
      </c>
      <c r="D721" t="s">
        <v>39</v>
      </c>
      <c r="E721" t="s">
        <v>22</v>
      </c>
      <c r="F721" t="str">
        <f>IF(BBDD_fashion_boutique[[#This Row],[category]]="Accessories","Accesorio",IF(BBDD_fashion_boutique[[#This Row],[size]]="","Desconocido",BBDD_fashion_boutique[[#This Row],[size]]))</f>
        <v>XL</v>
      </c>
      <c r="G721" t="s">
        <v>50</v>
      </c>
      <c r="H721" s="2">
        <v>51.85</v>
      </c>
      <c r="I721">
        <v>0</v>
      </c>
      <c r="J721" s="5">
        <f>BBDD_fashion_boutique[[#This Row],[markdown_percentage]]/100</f>
        <v>0</v>
      </c>
      <c r="K721" s="2">
        <v>51.85</v>
      </c>
      <c r="L721" s="2">
        <f>BBDD_fashion_boutique[[#This Row],[original_price]]-BBDD_fashion_boutique[[#This Row],[current_price]]</f>
        <v>0</v>
      </c>
      <c r="M721" s="1">
        <v>45875</v>
      </c>
      <c r="N721" s="1" t="str">
        <f>PROPER(TEXT(BBDD_fashion_boutique[[#This Row],[purchase_date]],"dddd"))</f>
        <v>Miércoles</v>
      </c>
      <c r="O721" s="1" t="str">
        <f>PROPER(TEXT(BBDD_fashion_boutique[[#This Row],[purchase_date]],"mmmm"))</f>
        <v>Agosto</v>
      </c>
      <c r="P721" s="4">
        <v>28</v>
      </c>
      <c r="R721" t="str">
        <f>IF(BBDD_fashion_boutique[[#This Row],[stock_quantity]]&gt;9,"Ok",IF(BBDD_fashion_boutique[[#This Row],[stock_quantity]]=0,"Agotado","Pocas Unidades"))</f>
        <v>Ok</v>
      </c>
      <c r="S721" s="3" t="str">
        <f>IF(BBDD_fashion_boutique[[#This Row],[customer_rating]]="","No valorado",BBDD_fashion_boutique[[#This Row],[customer_rating]])</f>
        <v>No valorado</v>
      </c>
      <c r="T721" t="s">
        <v>24</v>
      </c>
      <c r="V721">
        <f>IF(BBDD_fashion_boutique[[#This Row],[is_returned]]="False",0,1)</f>
        <v>0</v>
      </c>
      <c r="W721">
        <f>IF(BBDD_fashion_boutique[[#This Row],[is_returned]]="True",0,BBDD_fashion_boutique[[#This Row],[current_price]])</f>
        <v>51.85</v>
      </c>
      <c r="X721" t="str">
        <f>IF(BBDD_fashion_boutique[[#This Row],[return_reason]]="","No return",BBDD_fashion_boutique[[#This Row],[return_reason]])</f>
        <v>No return</v>
      </c>
      <c r="Y721">
        <f>IF(IFERROR(VLOOKUP(BBDD_fashion_boutique[[#This Row],[product_id]],A722:A2897,1,FALSE),0),1,0)</f>
        <v>0</v>
      </c>
    </row>
    <row r="722" spans="1:25" x14ac:dyDescent="0.3">
      <c r="A722" t="s">
        <v>781</v>
      </c>
      <c r="B722" t="s">
        <v>26</v>
      </c>
      <c r="C722" t="s">
        <v>27</v>
      </c>
      <c r="D722" t="s">
        <v>68</v>
      </c>
      <c r="E722" t="s">
        <v>29</v>
      </c>
      <c r="F722" t="str">
        <f>IF(BBDD_fashion_boutique[[#This Row],[category]]="Accessories","Accesorio",IF(BBDD_fashion_boutique[[#This Row],[size]]="","Desconocido",BBDD_fashion_boutique[[#This Row],[size]]))</f>
        <v>L</v>
      </c>
      <c r="G722" t="s">
        <v>46</v>
      </c>
      <c r="H722" s="2">
        <v>75.34</v>
      </c>
      <c r="I722">
        <v>0</v>
      </c>
      <c r="J722" s="5">
        <f>BBDD_fashion_boutique[[#This Row],[markdown_percentage]]/100</f>
        <v>0</v>
      </c>
      <c r="K722" s="2">
        <v>75.34</v>
      </c>
      <c r="L722" s="2">
        <f>BBDD_fashion_boutique[[#This Row],[original_price]]-BBDD_fashion_boutique[[#This Row],[current_price]]</f>
        <v>0</v>
      </c>
      <c r="M722" s="1">
        <v>45875</v>
      </c>
      <c r="N722" s="1" t="str">
        <f>PROPER(TEXT(BBDD_fashion_boutique[[#This Row],[purchase_date]],"dddd"))</f>
        <v>Miércoles</v>
      </c>
      <c r="O722" s="1" t="str">
        <f>PROPER(TEXT(BBDD_fashion_boutique[[#This Row],[purchase_date]],"mmmm"))</f>
        <v>Agosto</v>
      </c>
      <c r="P722" s="4">
        <v>21</v>
      </c>
      <c r="R722" t="str">
        <f>IF(BBDD_fashion_boutique[[#This Row],[stock_quantity]]&gt;9,"Ok",IF(BBDD_fashion_boutique[[#This Row],[stock_quantity]]=0,"Agotado","Pocas Unidades"))</f>
        <v>Ok</v>
      </c>
      <c r="S722" s="3" t="str">
        <f>IF(BBDD_fashion_boutique[[#This Row],[customer_rating]]="","No valorado",BBDD_fashion_boutique[[#This Row],[customer_rating]])</f>
        <v>No valorado</v>
      </c>
      <c r="T722" t="s">
        <v>24</v>
      </c>
      <c r="V722">
        <f>IF(BBDD_fashion_boutique[[#This Row],[is_returned]]="False",0,1)</f>
        <v>0</v>
      </c>
      <c r="W722">
        <f>IF(BBDD_fashion_boutique[[#This Row],[is_returned]]="True",0,BBDD_fashion_boutique[[#This Row],[current_price]])</f>
        <v>75.34</v>
      </c>
      <c r="X722" t="str">
        <f>IF(BBDD_fashion_boutique[[#This Row],[return_reason]]="","No return",BBDD_fashion_boutique[[#This Row],[return_reason]])</f>
        <v>No return</v>
      </c>
      <c r="Y722">
        <f>IF(IFERROR(VLOOKUP(BBDD_fashion_boutique[[#This Row],[product_id]],A723:A2898,1,FALSE),0),1,0)</f>
        <v>0</v>
      </c>
    </row>
    <row r="723" spans="1:25" x14ac:dyDescent="0.3">
      <c r="A723" t="s">
        <v>782</v>
      </c>
      <c r="B723" t="s">
        <v>35</v>
      </c>
      <c r="C723" t="s">
        <v>67</v>
      </c>
      <c r="D723" t="s">
        <v>21</v>
      </c>
      <c r="E723" t="s">
        <v>45</v>
      </c>
      <c r="F723" t="str">
        <f>IF(BBDD_fashion_boutique[[#This Row],[category]]="Accessories","Accesorio",IF(BBDD_fashion_boutique[[#This Row],[size]]="","Desconocido",BBDD_fashion_boutique[[#This Row],[size]]))</f>
        <v>S</v>
      </c>
      <c r="G723" t="s">
        <v>30</v>
      </c>
      <c r="H723" s="2">
        <v>92.09</v>
      </c>
      <c r="I723">
        <v>54.9</v>
      </c>
      <c r="J723" s="5">
        <f>BBDD_fashion_boutique[[#This Row],[markdown_percentage]]/100</f>
        <v>0.54899999999999993</v>
      </c>
      <c r="K723" s="2">
        <v>41.53</v>
      </c>
      <c r="L723" s="2">
        <f>BBDD_fashion_boutique[[#This Row],[original_price]]-BBDD_fashion_boutique[[#This Row],[current_price]]</f>
        <v>50.56</v>
      </c>
      <c r="M723" s="1">
        <v>45676</v>
      </c>
      <c r="N723" s="1" t="str">
        <f>PROPER(TEXT(BBDD_fashion_boutique[[#This Row],[purchase_date]],"dddd"))</f>
        <v>Domingo</v>
      </c>
      <c r="O723" s="1" t="str">
        <f>PROPER(TEXT(BBDD_fashion_boutique[[#This Row],[purchase_date]],"mmmm"))</f>
        <v>Enero</v>
      </c>
      <c r="P723" s="4">
        <v>44</v>
      </c>
      <c r="Q723" s="2">
        <v>2.2000000000000002</v>
      </c>
      <c r="R723" t="str">
        <f>IF(BBDD_fashion_boutique[[#This Row],[stock_quantity]]&gt;9,"Ok",IF(BBDD_fashion_boutique[[#This Row],[stock_quantity]]=0,"Agotado","Pocas Unidades"))</f>
        <v>Ok</v>
      </c>
      <c r="S723" s="3">
        <f>IF(BBDD_fashion_boutique[[#This Row],[customer_rating]]="","No valorado",BBDD_fashion_boutique[[#This Row],[customer_rating]])</f>
        <v>2.2000000000000002</v>
      </c>
      <c r="T723" t="s">
        <v>24</v>
      </c>
      <c r="V723">
        <f>IF(BBDD_fashion_boutique[[#This Row],[is_returned]]="False",0,1)</f>
        <v>0</v>
      </c>
      <c r="W723">
        <f>IF(BBDD_fashion_boutique[[#This Row],[is_returned]]="True",0,BBDD_fashion_boutique[[#This Row],[current_price]])</f>
        <v>41.53</v>
      </c>
      <c r="X723" t="str">
        <f>IF(BBDD_fashion_boutique[[#This Row],[return_reason]]="","No return",BBDD_fashion_boutique[[#This Row],[return_reason]])</f>
        <v>No return</v>
      </c>
      <c r="Y723">
        <f>IF(IFERROR(VLOOKUP(BBDD_fashion_boutique[[#This Row],[product_id]],A724:A2899,1,FALSE),0),1,0)</f>
        <v>0</v>
      </c>
    </row>
    <row r="724" spans="1:25" x14ac:dyDescent="0.3">
      <c r="A724" t="s">
        <v>783</v>
      </c>
      <c r="B724" t="s">
        <v>32</v>
      </c>
      <c r="C724" t="s">
        <v>20</v>
      </c>
      <c r="D724" t="s">
        <v>39</v>
      </c>
      <c r="F724" t="str">
        <f>IF(BBDD_fashion_boutique[[#This Row],[category]]="Accessories","Accesorio",IF(BBDD_fashion_boutique[[#This Row],[size]]="","Desconocido",BBDD_fashion_boutique[[#This Row],[size]]))</f>
        <v>Accesorio</v>
      </c>
      <c r="G724" t="s">
        <v>50</v>
      </c>
      <c r="H724" s="2">
        <v>56.39</v>
      </c>
      <c r="I724">
        <v>0</v>
      </c>
      <c r="J724" s="5">
        <f>BBDD_fashion_boutique[[#This Row],[markdown_percentage]]/100</f>
        <v>0</v>
      </c>
      <c r="K724" s="2">
        <v>56.39</v>
      </c>
      <c r="L724" s="2">
        <f>BBDD_fashion_boutique[[#This Row],[original_price]]-BBDD_fashion_boutique[[#This Row],[current_price]]</f>
        <v>0</v>
      </c>
      <c r="M724" s="1">
        <v>45875</v>
      </c>
      <c r="N724" s="1" t="str">
        <f>PROPER(TEXT(BBDD_fashion_boutique[[#This Row],[purchase_date]],"dddd"))</f>
        <v>Miércoles</v>
      </c>
      <c r="O724" s="1" t="str">
        <f>PROPER(TEXT(BBDD_fashion_boutique[[#This Row],[purchase_date]],"mmmm"))</f>
        <v>Agosto</v>
      </c>
      <c r="P724" s="4">
        <v>49</v>
      </c>
      <c r="Q724" s="2">
        <v>4.2</v>
      </c>
      <c r="R724" t="str">
        <f>IF(BBDD_fashion_boutique[[#This Row],[stock_quantity]]&gt;9,"Ok",IF(BBDD_fashion_boutique[[#This Row],[stock_quantity]]=0,"Agotado","Pocas Unidades"))</f>
        <v>Ok</v>
      </c>
      <c r="S724" s="3">
        <f>IF(BBDD_fashion_boutique[[#This Row],[customer_rating]]="","No valorado",BBDD_fashion_boutique[[#This Row],[customer_rating]])</f>
        <v>4.2</v>
      </c>
      <c r="T724" t="s">
        <v>24</v>
      </c>
      <c r="V724">
        <f>IF(BBDD_fashion_boutique[[#This Row],[is_returned]]="False",0,1)</f>
        <v>0</v>
      </c>
      <c r="W724">
        <f>IF(BBDD_fashion_boutique[[#This Row],[is_returned]]="True",0,BBDD_fashion_boutique[[#This Row],[current_price]])</f>
        <v>56.39</v>
      </c>
      <c r="X724" t="str">
        <f>IF(BBDD_fashion_boutique[[#This Row],[return_reason]]="","No return",BBDD_fashion_boutique[[#This Row],[return_reason]])</f>
        <v>No return</v>
      </c>
      <c r="Y724">
        <f>IF(IFERROR(VLOOKUP(BBDD_fashion_boutique[[#This Row],[product_id]],A725:A2900,1,FALSE),0),1,0)</f>
        <v>0</v>
      </c>
    </row>
    <row r="725" spans="1:25" x14ac:dyDescent="0.3">
      <c r="A725" t="s">
        <v>784</v>
      </c>
      <c r="B725" t="s">
        <v>26</v>
      </c>
      <c r="C725" t="s">
        <v>49</v>
      </c>
      <c r="D725" t="s">
        <v>39</v>
      </c>
      <c r="E725" t="s">
        <v>29</v>
      </c>
      <c r="F725" t="str">
        <f>IF(BBDD_fashion_boutique[[#This Row],[category]]="Accessories","Accesorio",IF(BBDD_fashion_boutique[[#This Row],[size]]="","Desconocido",BBDD_fashion_boutique[[#This Row],[size]]))</f>
        <v>L</v>
      </c>
      <c r="G725" t="s">
        <v>30</v>
      </c>
      <c r="H725" s="2">
        <v>108.75</v>
      </c>
      <c r="I725">
        <v>0</v>
      </c>
      <c r="J725" s="5">
        <f>BBDD_fashion_boutique[[#This Row],[markdown_percentage]]/100</f>
        <v>0</v>
      </c>
      <c r="K725" s="2">
        <v>108.75</v>
      </c>
      <c r="L725" s="2">
        <f>BBDD_fashion_boutique[[#This Row],[original_price]]-BBDD_fashion_boutique[[#This Row],[current_price]]</f>
        <v>0</v>
      </c>
      <c r="M725" s="1">
        <v>45875</v>
      </c>
      <c r="N725" s="1" t="str">
        <f>PROPER(TEXT(BBDD_fashion_boutique[[#This Row],[purchase_date]],"dddd"))</f>
        <v>Miércoles</v>
      </c>
      <c r="O725" s="1" t="str">
        <f>PROPER(TEXT(BBDD_fashion_boutique[[#This Row],[purchase_date]],"mmmm"))</f>
        <v>Agosto</v>
      </c>
      <c r="P725" s="4">
        <v>38</v>
      </c>
      <c r="Q725" s="2">
        <v>3.8</v>
      </c>
      <c r="R725" t="str">
        <f>IF(BBDD_fashion_boutique[[#This Row],[stock_quantity]]&gt;9,"Ok",IF(BBDD_fashion_boutique[[#This Row],[stock_quantity]]=0,"Agotado","Pocas Unidades"))</f>
        <v>Ok</v>
      </c>
      <c r="S725" s="3">
        <f>IF(BBDD_fashion_boutique[[#This Row],[customer_rating]]="","No valorado",BBDD_fashion_boutique[[#This Row],[customer_rating]])</f>
        <v>3.8</v>
      </c>
      <c r="T725" t="s">
        <v>24</v>
      </c>
      <c r="V725">
        <f>IF(BBDD_fashion_boutique[[#This Row],[is_returned]]="False",0,1)</f>
        <v>0</v>
      </c>
      <c r="W725">
        <f>IF(BBDD_fashion_boutique[[#This Row],[is_returned]]="True",0,BBDD_fashion_boutique[[#This Row],[current_price]])</f>
        <v>108.75</v>
      </c>
      <c r="X725" t="str">
        <f>IF(BBDD_fashion_boutique[[#This Row],[return_reason]]="","No return",BBDD_fashion_boutique[[#This Row],[return_reason]])</f>
        <v>No return</v>
      </c>
      <c r="Y725">
        <f>IF(IFERROR(VLOOKUP(BBDD_fashion_boutique[[#This Row],[product_id]],A726:A2901,1,FALSE),0),1,0)</f>
        <v>0</v>
      </c>
    </row>
    <row r="726" spans="1:25" x14ac:dyDescent="0.3">
      <c r="A726" t="s">
        <v>785</v>
      </c>
      <c r="B726" t="s">
        <v>48</v>
      </c>
      <c r="C726" t="s">
        <v>27</v>
      </c>
      <c r="D726" t="s">
        <v>21</v>
      </c>
      <c r="E726" t="s">
        <v>45</v>
      </c>
      <c r="F726" t="str">
        <f>IF(BBDD_fashion_boutique[[#This Row],[category]]="Accessories","Accesorio",IF(BBDD_fashion_boutique[[#This Row],[size]]="","Desconocido",BBDD_fashion_boutique[[#This Row],[size]]))</f>
        <v>S</v>
      </c>
      <c r="G726" t="s">
        <v>23</v>
      </c>
      <c r="H726" s="2">
        <v>156.85</v>
      </c>
      <c r="I726">
        <v>0</v>
      </c>
      <c r="J726" s="5">
        <f>BBDD_fashion_boutique[[#This Row],[markdown_percentage]]/100</f>
        <v>0</v>
      </c>
      <c r="K726" s="2">
        <v>156.85</v>
      </c>
      <c r="L726" s="2">
        <f>BBDD_fashion_boutique[[#This Row],[original_price]]-BBDD_fashion_boutique[[#This Row],[current_price]]</f>
        <v>0</v>
      </c>
      <c r="M726" s="1">
        <v>45748</v>
      </c>
      <c r="N726" s="1" t="str">
        <f>PROPER(TEXT(BBDD_fashion_boutique[[#This Row],[purchase_date]],"dddd"))</f>
        <v>Martes</v>
      </c>
      <c r="O726" s="1" t="str">
        <f>PROPER(TEXT(BBDD_fashion_boutique[[#This Row],[purchase_date]],"mmmm"))</f>
        <v>Abril</v>
      </c>
      <c r="P726" s="4">
        <v>48</v>
      </c>
      <c r="Q726" s="2">
        <v>3.4</v>
      </c>
      <c r="R726" t="str">
        <f>IF(BBDD_fashion_boutique[[#This Row],[stock_quantity]]&gt;9,"Ok",IF(BBDD_fashion_boutique[[#This Row],[stock_quantity]]=0,"Agotado","Pocas Unidades"))</f>
        <v>Ok</v>
      </c>
      <c r="S726" s="3">
        <f>IF(BBDD_fashion_boutique[[#This Row],[customer_rating]]="","No valorado",BBDD_fashion_boutique[[#This Row],[customer_rating]])</f>
        <v>3.4</v>
      </c>
      <c r="T726" t="s">
        <v>24</v>
      </c>
      <c r="V726">
        <f>IF(BBDD_fashion_boutique[[#This Row],[is_returned]]="False",0,1)</f>
        <v>0</v>
      </c>
      <c r="W726">
        <f>IF(BBDD_fashion_boutique[[#This Row],[is_returned]]="True",0,BBDD_fashion_boutique[[#This Row],[current_price]])</f>
        <v>156.85</v>
      </c>
      <c r="X726" t="str">
        <f>IF(BBDD_fashion_boutique[[#This Row],[return_reason]]="","No return",BBDD_fashion_boutique[[#This Row],[return_reason]])</f>
        <v>No return</v>
      </c>
      <c r="Y726">
        <f>IF(IFERROR(VLOOKUP(BBDD_fashion_boutique[[#This Row],[product_id]],A727:A2902,1,FALSE),0),1,0)</f>
        <v>0</v>
      </c>
    </row>
    <row r="727" spans="1:25" x14ac:dyDescent="0.3">
      <c r="A727" t="s">
        <v>786</v>
      </c>
      <c r="B727" t="s">
        <v>19</v>
      </c>
      <c r="C727" t="s">
        <v>27</v>
      </c>
      <c r="D727" t="s">
        <v>21</v>
      </c>
      <c r="E727" t="s">
        <v>61</v>
      </c>
      <c r="F727" t="str">
        <f>IF(BBDD_fashion_boutique[[#This Row],[category]]="Accessories","Accesorio",IF(BBDD_fashion_boutique[[#This Row],[size]]="","Desconocido",BBDD_fashion_boutique[[#This Row],[size]]))</f>
        <v>XS</v>
      </c>
      <c r="G727" t="s">
        <v>76</v>
      </c>
      <c r="H727" s="2">
        <v>168.13</v>
      </c>
      <c r="I727">
        <v>0</v>
      </c>
      <c r="J727" s="5">
        <f>BBDD_fashion_boutique[[#This Row],[markdown_percentage]]/100</f>
        <v>0</v>
      </c>
      <c r="K727" s="2">
        <v>168.13</v>
      </c>
      <c r="L727" s="2">
        <f>BBDD_fashion_boutique[[#This Row],[original_price]]-BBDD_fashion_boutique[[#This Row],[current_price]]</f>
        <v>0</v>
      </c>
      <c r="M727" s="1">
        <v>45765</v>
      </c>
      <c r="N727" s="1" t="str">
        <f>PROPER(TEXT(BBDD_fashion_boutique[[#This Row],[purchase_date]],"dddd"))</f>
        <v>Viernes</v>
      </c>
      <c r="O727" s="1" t="str">
        <f>PROPER(TEXT(BBDD_fashion_boutique[[#This Row],[purchase_date]],"mmmm"))</f>
        <v>Abril</v>
      </c>
      <c r="P727" s="4">
        <v>42</v>
      </c>
      <c r="Q727" s="2">
        <v>2.5</v>
      </c>
      <c r="R727" t="str">
        <f>IF(BBDD_fashion_boutique[[#This Row],[stock_quantity]]&gt;9,"Ok",IF(BBDD_fashion_boutique[[#This Row],[stock_quantity]]=0,"Agotado","Pocas Unidades"))</f>
        <v>Ok</v>
      </c>
      <c r="S727" s="3">
        <f>IF(BBDD_fashion_boutique[[#This Row],[customer_rating]]="","No valorado",BBDD_fashion_boutique[[#This Row],[customer_rating]])</f>
        <v>2.5</v>
      </c>
      <c r="T727" t="s">
        <v>24</v>
      </c>
      <c r="V727">
        <f>IF(BBDD_fashion_boutique[[#This Row],[is_returned]]="False",0,1)</f>
        <v>0</v>
      </c>
      <c r="W727">
        <f>IF(BBDD_fashion_boutique[[#This Row],[is_returned]]="True",0,BBDD_fashion_boutique[[#This Row],[current_price]])</f>
        <v>168.13</v>
      </c>
      <c r="X727" t="str">
        <f>IF(BBDD_fashion_boutique[[#This Row],[return_reason]]="","No return",BBDD_fashion_boutique[[#This Row],[return_reason]])</f>
        <v>No return</v>
      </c>
      <c r="Y727">
        <f>IF(IFERROR(VLOOKUP(BBDD_fashion_boutique[[#This Row],[product_id]],A728:A2903,1,FALSE),0),1,0)</f>
        <v>0</v>
      </c>
    </row>
    <row r="728" spans="1:25" x14ac:dyDescent="0.3">
      <c r="A728" t="s">
        <v>787</v>
      </c>
      <c r="B728" t="s">
        <v>35</v>
      </c>
      <c r="C728" t="s">
        <v>81</v>
      </c>
      <c r="D728" t="s">
        <v>68</v>
      </c>
      <c r="E728" t="s">
        <v>45</v>
      </c>
      <c r="F728" t="str">
        <f>IF(BBDD_fashion_boutique[[#This Row],[category]]="Accessories","Accesorio",IF(BBDD_fashion_boutique[[#This Row],[size]]="","Desconocido",BBDD_fashion_boutique[[#This Row],[size]]))</f>
        <v>S</v>
      </c>
      <c r="G728" t="s">
        <v>52</v>
      </c>
      <c r="H728" s="2">
        <v>145.79</v>
      </c>
      <c r="I728">
        <v>57</v>
      </c>
      <c r="J728" s="5">
        <f>BBDD_fashion_boutique[[#This Row],[markdown_percentage]]/100</f>
        <v>0.56999999999999995</v>
      </c>
      <c r="K728" s="2">
        <v>62.69</v>
      </c>
      <c r="L728" s="2">
        <f>BBDD_fashion_boutique[[#This Row],[original_price]]-BBDD_fashion_boutique[[#This Row],[current_price]]</f>
        <v>83.1</v>
      </c>
      <c r="M728" s="1">
        <v>45875</v>
      </c>
      <c r="N728" s="1" t="str">
        <f>PROPER(TEXT(BBDD_fashion_boutique[[#This Row],[purchase_date]],"dddd"))</f>
        <v>Miércoles</v>
      </c>
      <c r="O728" s="1" t="str">
        <f>PROPER(TEXT(BBDD_fashion_boutique[[#This Row],[purchase_date]],"mmmm"))</f>
        <v>Agosto</v>
      </c>
      <c r="P728" s="4">
        <v>46</v>
      </c>
      <c r="R728" t="str">
        <f>IF(BBDD_fashion_boutique[[#This Row],[stock_quantity]]&gt;9,"Ok",IF(BBDD_fashion_boutique[[#This Row],[stock_quantity]]=0,"Agotado","Pocas Unidades"))</f>
        <v>Ok</v>
      </c>
      <c r="S728" s="3" t="str">
        <f>IF(BBDD_fashion_boutique[[#This Row],[customer_rating]]="","No valorado",BBDD_fashion_boutique[[#This Row],[customer_rating]])</f>
        <v>No valorado</v>
      </c>
      <c r="T728" t="s">
        <v>24</v>
      </c>
      <c r="V728">
        <f>IF(BBDD_fashion_boutique[[#This Row],[is_returned]]="False",0,1)</f>
        <v>0</v>
      </c>
      <c r="W728">
        <f>IF(BBDD_fashion_boutique[[#This Row],[is_returned]]="True",0,BBDD_fashion_boutique[[#This Row],[current_price]])</f>
        <v>62.69</v>
      </c>
      <c r="X728" t="str">
        <f>IF(BBDD_fashion_boutique[[#This Row],[return_reason]]="","No return",BBDD_fashion_boutique[[#This Row],[return_reason]])</f>
        <v>No return</v>
      </c>
      <c r="Y728">
        <f>IF(IFERROR(VLOOKUP(BBDD_fashion_boutique[[#This Row],[product_id]],A729:A2904,1,FALSE),0),1,0)</f>
        <v>0</v>
      </c>
    </row>
    <row r="729" spans="1:25" x14ac:dyDescent="0.3">
      <c r="A729" t="s">
        <v>788</v>
      </c>
      <c r="B729" t="s">
        <v>44</v>
      </c>
      <c r="C729" t="s">
        <v>67</v>
      </c>
      <c r="D729" t="s">
        <v>28</v>
      </c>
      <c r="E729" t="s">
        <v>45</v>
      </c>
      <c r="F729" t="str">
        <f>IF(BBDD_fashion_boutique[[#This Row],[category]]="Accessories","Accesorio",IF(BBDD_fashion_boutique[[#This Row],[size]]="","Desconocido",BBDD_fashion_boutique[[#This Row],[size]]))</f>
        <v>S</v>
      </c>
      <c r="G729" t="s">
        <v>40</v>
      </c>
      <c r="H729" s="2">
        <v>54.14</v>
      </c>
      <c r="I729">
        <v>0</v>
      </c>
      <c r="J729" s="5">
        <f>BBDD_fashion_boutique[[#This Row],[markdown_percentage]]/100</f>
        <v>0</v>
      </c>
      <c r="K729" s="2">
        <v>54.14</v>
      </c>
      <c r="L729" s="2">
        <f>BBDD_fashion_boutique[[#This Row],[original_price]]-BBDD_fashion_boutique[[#This Row],[current_price]]</f>
        <v>0</v>
      </c>
      <c r="M729" s="1">
        <v>45875</v>
      </c>
      <c r="N729" s="1" t="str">
        <f>PROPER(TEXT(BBDD_fashion_boutique[[#This Row],[purchase_date]],"dddd"))</f>
        <v>Miércoles</v>
      </c>
      <c r="O729" s="1" t="str">
        <f>PROPER(TEXT(BBDD_fashion_boutique[[#This Row],[purchase_date]],"mmmm"))</f>
        <v>Agosto</v>
      </c>
      <c r="P729" s="4">
        <v>32</v>
      </c>
      <c r="R729" t="str">
        <f>IF(BBDD_fashion_boutique[[#This Row],[stock_quantity]]&gt;9,"Ok",IF(BBDD_fashion_boutique[[#This Row],[stock_quantity]]=0,"Agotado","Pocas Unidades"))</f>
        <v>Ok</v>
      </c>
      <c r="S729" s="3" t="str">
        <f>IF(BBDD_fashion_boutique[[#This Row],[customer_rating]]="","No valorado",BBDD_fashion_boutique[[#This Row],[customer_rating]])</f>
        <v>No valorado</v>
      </c>
      <c r="T729" t="s">
        <v>24</v>
      </c>
      <c r="V729">
        <f>IF(BBDD_fashion_boutique[[#This Row],[is_returned]]="False",0,1)</f>
        <v>0</v>
      </c>
      <c r="W729">
        <f>IF(BBDD_fashion_boutique[[#This Row],[is_returned]]="True",0,BBDD_fashion_boutique[[#This Row],[current_price]])</f>
        <v>54.14</v>
      </c>
      <c r="X729" t="str">
        <f>IF(BBDD_fashion_boutique[[#This Row],[return_reason]]="","No return",BBDD_fashion_boutique[[#This Row],[return_reason]])</f>
        <v>No return</v>
      </c>
      <c r="Y729">
        <f>IF(IFERROR(VLOOKUP(BBDD_fashion_boutique[[#This Row],[product_id]],A730:A2905,1,FALSE),0),1,0)</f>
        <v>0</v>
      </c>
    </row>
    <row r="730" spans="1:25" x14ac:dyDescent="0.3">
      <c r="A730" t="s">
        <v>789</v>
      </c>
      <c r="B730" t="s">
        <v>32</v>
      </c>
      <c r="C730" t="s">
        <v>20</v>
      </c>
      <c r="D730" t="s">
        <v>39</v>
      </c>
      <c r="F730" t="str">
        <f>IF(BBDD_fashion_boutique[[#This Row],[category]]="Accessories","Accesorio",IF(BBDD_fashion_boutique[[#This Row],[size]]="","Desconocido",BBDD_fashion_boutique[[#This Row],[size]]))</f>
        <v>Accesorio</v>
      </c>
      <c r="G730" t="s">
        <v>70</v>
      </c>
      <c r="H730" s="2">
        <v>45.64</v>
      </c>
      <c r="I730">
        <v>0</v>
      </c>
      <c r="J730" s="5">
        <f>BBDD_fashion_boutique[[#This Row],[markdown_percentage]]/100</f>
        <v>0</v>
      </c>
      <c r="K730" s="2">
        <v>45.64</v>
      </c>
      <c r="L730" s="2">
        <f>BBDD_fashion_boutique[[#This Row],[original_price]]-BBDD_fashion_boutique[[#This Row],[current_price]]</f>
        <v>0</v>
      </c>
      <c r="M730" s="1">
        <v>45875</v>
      </c>
      <c r="N730" s="1" t="str">
        <f>PROPER(TEXT(BBDD_fashion_boutique[[#This Row],[purchase_date]],"dddd"))</f>
        <v>Miércoles</v>
      </c>
      <c r="O730" s="1" t="str">
        <f>PROPER(TEXT(BBDD_fashion_boutique[[#This Row],[purchase_date]],"mmmm"))</f>
        <v>Agosto</v>
      </c>
      <c r="P730" s="4">
        <v>36</v>
      </c>
      <c r="Q730" s="2">
        <v>3.6</v>
      </c>
      <c r="R730" t="str">
        <f>IF(BBDD_fashion_boutique[[#This Row],[stock_quantity]]&gt;9,"Ok",IF(BBDD_fashion_boutique[[#This Row],[stock_quantity]]=0,"Agotado","Pocas Unidades"))</f>
        <v>Ok</v>
      </c>
      <c r="S730" s="3">
        <f>IF(BBDD_fashion_boutique[[#This Row],[customer_rating]]="","No valorado",BBDD_fashion_boutique[[#This Row],[customer_rating]])</f>
        <v>3.6</v>
      </c>
      <c r="T730" t="s">
        <v>41</v>
      </c>
      <c r="U730" t="s">
        <v>79</v>
      </c>
      <c r="V730">
        <f>IF(BBDD_fashion_boutique[[#This Row],[is_returned]]="False",0,1)</f>
        <v>1</v>
      </c>
      <c r="W730">
        <f>IF(BBDD_fashion_boutique[[#This Row],[is_returned]]="True",0,BBDD_fashion_boutique[[#This Row],[current_price]])</f>
        <v>0</v>
      </c>
      <c r="X730" t="str">
        <f>IF(BBDD_fashion_boutique[[#This Row],[return_reason]]="","No return",BBDD_fashion_boutique[[#This Row],[return_reason]])</f>
        <v>Size Issue</v>
      </c>
      <c r="Y730">
        <f>IF(IFERROR(VLOOKUP(BBDD_fashion_boutique[[#This Row],[product_id]],A731:A2906,1,FALSE),0),1,0)</f>
        <v>0</v>
      </c>
    </row>
    <row r="731" spans="1:25" x14ac:dyDescent="0.3">
      <c r="A731" t="s">
        <v>790</v>
      </c>
      <c r="B731" t="s">
        <v>44</v>
      </c>
      <c r="C731" t="s">
        <v>49</v>
      </c>
      <c r="D731" t="s">
        <v>39</v>
      </c>
      <c r="E731" t="s">
        <v>45</v>
      </c>
      <c r="F731" t="str">
        <f>IF(BBDD_fashion_boutique[[#This Row],[category]]="Accessories","Accesorio",IF(BBDD_fashion_boutique[[#This Row],[size]]="","Desconocido",BBDD_fashion_boutique[[#This Row],[size]]))</f>
        <v>S</v>
      </c>
      <c r="G731" t="s">
        <v>23</v>
      </c>
      <c r="H731" s="2">
        <v>46.76</v>
      </c>
      <c r="I731">
        <v>0</v>
      </c>
      <c r="J731" s="5">
        <f>BBDD_fashion_boutique[[#This Row],[markdown_percentage]]/100</f>
        <v>0</v>
      </c>
      <c r="K731" s="2">
        <v>46.76</v>
      </c>
      <c r="L731" s="2">
        <f>BBDD_fashion_boutique[[#This Row],[original_price]]-BBDD_fashion_boutique[[#This Row],[current_price]]</f>
        <v>0</v>
      </c>
      <c r="M731" s="1">
        <v>45875</v>
      </c>
      <c r="N731" s="1" t="str">
        <f>PROPER(TEXT(BBDD_fashion_boutique[[#This Row],[purchase_date]],"dddd"))</f>
        <v>Miércoles</v>
      </c>
      <c r="O731" s="1" t="str">
        <f>PROPER(TEXT(BBDD_fashion_boutique[[#This Row],[purchase_date]],"mmmm"))</f>
        <v>Agosto</v>
      </c>
      <c r="P731" s="4">
        <v>38</v>
      </c>
      <c r="Q731" s="2">
        <v>2.7</v>
      </c>
      <c r="R731" t="str">
        <f>IF(BBDD_fashion_boutique[[#This Row],[stock_quantity]]&gt;9,"Ok",IF(BBDD_fashion_boutique[[#This Row],[stock_quantity]]=0,"Agotado","Pocas Unidades"))</f>
        <v>Ok</v>
      </c>
      <c r="S731" s="3">
        <f>IF(BBDD_fashion_boutique[[#This Row],[customer_rating]]="","No valorado",BBDD_fashion_boutique[[#This Row],[customer_rating]])</f>
        <v>2.7</v>
      </c>
      <c r="T731" t="s">
        <v>24</v>
      </c>
      <c r="V731">
        <f>IF(BBDD_fashion_boutique[[#This Row],[is_returned]]="False",0,1)</f>
        <v>0</v>
      </c>
      <c r="W731">
        <f>IF(BBDD_fashion_boutique[[#This Row],[is_returned]]="True",0,BBDD_fashion_boutique[[#This Row],[current_price]])</f>
        <v>46.76</v>
      </c>
      <c r="X731" t="str">
        <f>IF(BBDD_fashion_boutique[[#This Row],[return_reason]]="","No return",BBDD_fashion_boutique[[#This Row],[return_reason]])</f>
        <v>No return</v>
      </c>
      <c r="Y731">
        <f>IF(IFERROR(VLOOKUP(BBDD_fashion_boutique[[#This Row],[product_id]],A732:A2907,1,FALSE),0),1,0)</f>
        <v>0</v>
      </c>
    </row>
    <row r="732" spans="1:25" x14ac:dyDescent="0.3">
      <c r="A732" t="s">
        <v>791</v>
      </c>
      <c r="B732" t="s">
        <v>48</v>
      </c>
      <c r="C732" t="s">
        <v>37</v>
      </c>
      <c r="D732" t="s">
        <v>28</v>
      </c>
      <c r="F732" t="str">
        <f>IF(BBDD_fashion_boutique[[#This Row],[category]]="Accessories","Accesorio",IF(BBDD_fashion_boutique[[#This Row],[size]]="","Desconocido",BBDD_fashion_boutique[[#This Row],[size]]))</f>
        <v>Desconocido</v>
      </c>
      <c r="G732" t="s">
        <v>46</v>
      </c>
      <c r="H732" s="2">
        <v>75.23</v>
      </c>
      <c r="I732">
        <v>0</v>
      </c>
      <c r="J732" s="5">
        <f>BBDD_fashion_boutique[[#This Row],[markdown_percentage]]/100</f>
        <v>0</v>
      </c>
      <c r="K732" s="2">
        <v>75.23</v>
      </c>
      <c r="L732" s="2">
        <f>BBDD_fashion_boutique[[#This Row],[original_price]]-BBDD_fashion_boutique[[#This Row],[current_price]]</f>
        <v>0</v>
      </c>
      <c r="M732" s="1">
        <v>45875</v>
      </c>
      <c r="N732" s="1" t="str">
        <f>PROPER(TEXT(BBDD_fashion_boutique[[#This Row],[purchase_date]],"dddd"))</f>
        <v>Miércoles</v>
      </c>
      <c r="O732" s="1" t="str">
        <f>PROPER(TEXT(BBDD_fashion_boutique[[#This Row],[purchase_date]],"mmmm"))</f>
        <v>Agosto</v>
      </c>
      <c r="P732" s="4">
        <v>42</v>
      </c>
      <c r="Q732" s="2">
        <v>1.7</v>
      </c>
      <c r="R732" t="str">
        <f>IF(BBDD_fashion_boutique[[#This Row],[stock_quantity]]&gt;9,"Ok",IF(BBDD_fashion_boutique[[#This Row],[stock_quantity]]=0,"Agotado","Pocas Unidades"))</f>
        <v>Ok</v>
      </c>
      <c r="S732" s="3">
        <f>IF(BBDD_fashion_boutique[[#This Row],[customer_rating]]="","No valorado",BBDD_fashion_boutique[[#This Row],[customer_rating]])</f>
        <v>1.7</v>
      </c>
      <c r="T732" t="s">
        <v>41</v>
      </c>
      <c r="U732" t="s">
        <v>89</v>
      </c>
      <c r="V732">
        <f>IF(BBDD_fashion_boutique[[#This Row],[is_returned]]="False",0,1)</f>
        <v>1</v>
      </c>
      <c r="W732">
        <f>IF(BBDD_fashion_boutique[[#This Row],[is_returned]]="True",0,BBDD_fashion_boutique[[#This Row],[current_price]])</f>
        <v>0</v>
      </c>
      <c r="X732" t="str">
        <f>IF(BBDD_fashion_boutique[[#This Row],[return_reason]]="","No return",BBDD_fashion_boutique[[#This Row],[return_reason]])</f>
        <v>Quality Issue</v>
      </c>
      <c r="Y732">
        <f>IF(IFERROR(VLOOKUP(BBDD_fashion_boutique[[#This Row],[product_id]],A733:A2908,1,FALSE),0),1,0)</f>
        <v>0</v>
      </c>
    </row>
    <row r="733" spans="1:25" x14ac:dyDescent="0.3">
      <c r="A733" t="s">
        <v>792</v>
      </c>
      <c r="B733" t="s">
        <v>48</v>
      </c>
      <c r="C733" t="s">
        <v>49</v>
      </c>
      <c r="D733" t="s">
        <v>68</v>
      </c>
      <c r="E733" t="s">
        <v>22</v>
      </c>
      <c r="F733" t="str">
        <f>IF(BBDD_fashion_boutique[[#This Row],[category]]="Accessories","Accesorio",IF(BBDD_fashion_boutique[[#This Row],[size]]="","Desconocido",BBDD_fashion_boutique[[#This Row],[size]]))</f>
        <v>XL</v>
      </c>
      <c r="G733" t="s">
        <v>40</v>
      </c>
      <c r="H733" s="2">
        <v>70.38</v>
      </c>
      <c r="I733">
        <v>0</v>
      </c>
      <c r="J733" s="5">
        <f>BBDD_fashion_boutique[[#This Row],[markdown_percentage]]/100</f>
        <v>0</v>
      </c>
      <c r="K733" s="2">
        <v>70.38</v>
      </c>
      <c r="L733" s="2">
        <f>BBDD_fashion_boutique[[#This Row],[original_price]]-BBDD_fashion_boutique[[#This Row],[current_price]]</f>
        <v>0</v>
      </c>
      <c r="M733" s="1">
        <v>45875</v>
      </c>
      <c r="N733" s="1" t="str">
        <f>PROPER(TEXT(BBDD_fashion_boutique[[#This Row],[purchase_date]],"dddd"))</f>
        <v>Miércoles</v>
      </c>
      <c r="O733" s="1" t="str">
        <f>PROPER(TEXT(BBDD_fashion_boutique[[#This Row],[purchase_date]],"mmmm"))</f>
        <v>Agosto</v>
      </c>
      <c r="P733" s="4">
        <v>37</v>
      </c>
      <c r="Q733" s="2">
        <v>2</v>
      </c>
      <c r="R733" t="str">
        <f>IF(BBDD_fashion_boutique[[#This Row],[stock_quantity]]&gt;9,"Ok",IF(BBDD_fashion_boutique[[#This Row],[stock_quantity]]=0,"Agotado","Pocas Unidades"))</f>
        <v>Ok</v>
      </c>
      <c r="S733" s="3">
        <f>IF(BBDD_fashion_boutique[[#This Row],[customer_rating]]="","No valorado",BBDD_fashion_boutique[[#This Row],[customer_rating]])</f>
        <v>2</v>
      </c>
      <c r="T733" t="s">
        <v>24</v>
      </c>
      <c r="V733">
        <f>IF(BBDD_fashion_boutique[[#This Row],[is_returned]]="False",0,1)</f>
        <v>0</v>
      </c>
      <c r="W733">
        <f>IF(BBDD_fashion_boutique[[#This Row],[is_returned]]="True",0,BBDD_fashion_boutique[[#This Row],[current_price]])</f>
        <v>70.38</v>
      </c>
      <c r="X733" t="str">
        <f>IF(BBDD_fashion_boutique[[#This Row],[return_reason]]="","No return",BBDD_fashion_boutique[[#This Row],[return_reason]])</f>
        <v>No return</v>
      </c>
      <c r="Y733">
        <f>IF(IFERROR(VLOOKUP(BBDD_fashion_boutique[[#This Row],[product_id]],A734:A2909,1,FALSE),0),1,0)</f>
        <v>0</v>
      </c>
    </row>
    <row r="734" spans="1:25" x14ac:dyDescent="0.3">
      <c r="A734" t="s">
        <v>793</v>
      </c>
      <c r="B734" t="s">
        <v>44</v>
      </c>
      <c r="C734" t="s">
        <v>54</v>
      </c>
      <c r="D734" t="s">
        <v>68</v>
      </c>
      <c r="E734" t="s">
        <v>64</v>
      </c>
      <c r="F734" t="str">
        <f>IF(BBDD_fashion_boutique[[#This Row],[category]]="Accessories","Accesorio",IF(BBDD_fashion_boutique[[#This Row],[size]]="","Desconocido",BBDD_fashion_boutique[[#This Row],[size]]))</f>
        <v>M</v>
      </c>
      <c r="G734" t="s">
        <v>30</v>
      </c>
      <c r="H734" s="2">
        <v>76.040000000000006</v>
      </c>
      <c r="I734">
        <v>0</v>
      </c>
      <c r="J734" s="5">
        <f>BBDD_fashion_boutique[[#This Row],[markdown_percentage]]/100</f>
        <v>0</v>
      </c>
      <c r="K734" s="2">
        <v>76.040000000000006</v>
      </c>
      <c r="L734" s="2">
        <f>BBDD_fashion_boutique[[#This Row],[original_price]]-BBDD_fashion_boutique[[#This Row],[current_price]]</f>
        <v>0</v>
      </c>
      <c r="M734" s="1">
        <v>45875</v>
      </c>
      <c r="N734" s="1" t="str">
        <f>PROPER(TEXT(BBDD_fashion_boutique[[#This Row],[purchase_date]],"dddd"))</f>
        <v>Miércoles</v>
      </c>
      <c r="O734" s="1" t="str">
        <f>PROPER(TEXT(BBDD_fashion_boutique[[#This Row],[purchase_date]],"mmmm"))</f>
        <v>Agosto</v>
      </c>
      <c r="P734" s="4">
        <v>13</v>
      </c>
      <c r="Q734" s="2">
        <v>4.4000000000000004</v>
      </c>
      <c r="R734" t="str">
        <f>IF(BBDD_fashion_boutique[[#This Row],[stock_quantity]]&gt;9,"Ok",IF(BBDD_fashion_boutique[[#This Row],[stock_quantity]]=0,"Agotado","Pocas Unidades"))</f>
        <v>Ok</v>
      </c>
      <c r="S734" s="3">
        <f>IF(BBDD_fashion_boutique[[#This Row],[customer_rating]]="","No valorado",BBDD_fashion_boutique[[#This Row],[customer_rating]])</f>
        <v>4.4000000000000004</v>
      </c>
      <c r="T734" t="s">
        <v>24</v>
      </c>
      <c r="V734">
        <f>IF(BBDD_fashion_boutique[[#This Row],[is_returned]]="False",0,1)</f>
        <v>0</v>
      </c>
      <c r="W734">
        <f>IF(BBDD_fashion_boutique[[#This Row],[is_returned]]="True",0,BBDD_fashion_boutique[[#This Row],[current_price]])</f>
        <v>76.040000000000006</v>
      </c>
      <c r="X734" t="str">
        <f>IF(BBDD_fashion_boutique[[#This Row],[return_reason]]="","No return",BBDD_fashion_boutique[[#This Row],[return_reason]])</f>
        <v>No return</v>
      </c>
      <c r="Y734">
        <f>IF(IFERROR(VLOOKUP(BBDD_fashion_boutique[[#This Row],[product_id]],A735:A2910,1,FALSE),0),1,0)</f>
        <v>0</v>
      </c>
    </row>
    <row r="735" spans="1:25" x14ac:dyDescent="0.3">
      <c r="A735" t="s">
        <v>794</v>
      </c>
      <c r="B735" t="s">
        <v>35</v>
      </c>
      <c r="C735" t="s">
        <v>27</v>
      </c>
      <c r="D735" t="s">
        <v>68</v>
      </c>
      <c r="E735" t="s">
        <v>61</v>
      </c>
      <c r="F735" t="str">
        <f>IF(BBDD_fashion_boutique[[#This Row],[category]]="Accessories","Accesorio",IF(BBDD_fashion_boutique[[#This Row],[size]]="","Desconocido",BBDD_fashion_boutique[[#This Row],[size]]))</f>
        <v>XS</v>
      </c>
      <c r="G735" t="s">
        <v>33</v>
      </c>
      <c r="H735" s="2">
        <v>110.82</v>
      </c>
      <c r="I735">
        <v>15.7</v>
      </c>
      <c r="J735" s="5">
        <f>BBDD_fashion_boutique[[#This Row],[markdown_percentage]]/100</f>
        <v>0.157</v>
      </c>
      <c r="K735" s="2">
        <v>93.42</v>
      </c>
      <c r="L735" s="2">
        <f>BBDD_fashion_boutique[[#This Row],[original_price]]-BBDD_fashion_boutique[[#This Row],[current_price]]</f>
        <v>17.399999999999991</v>
      </c>
      <c r="M735" s="1">
        <v>45875</v>
      </c>
      <c r="N735" s="1" t="str">
        <f>PROPER(TEXT(BBDD_fashion_boutique[[#This Row],[purchase_date]],"dddd"))</f>
        <v>Miércoles</v>
      </c>
      <c r="O735" s="1" t="str">
        <f>PROPER(TEXT(BBDD_fashion_boutique[[#This Row],[purchase_date]],"mmmm"))</f>
        <v>Agosto</v>
      </c>
      <c r="P735" s="4">
        <v>43</v>
      </c>
      <c r="R735" t="str">
        <f>IF(BBDD_fashion_boutique[[#This Row],[stock_quantity]]&gt;9,"Ok",IF(BBDD_fashion_boutique[[#This Row],[stock_quantity]]=0,"Agotado","Pocas Unidades"))</f>
        <v>Ok</v>
      </c>
      <c r="S735" s="3" t="str">
        <f>IF(BBDD_fashion_boutique[[#This Row],[customer_rating]]="","No valorado",BBDD_fashion_boutique[[#This Row],[customer_rating]])</f>
        <v>No valorado</v>
      </c>
      <c r="T735" t="s">
        <v>41</v>
      </c>
      <c r="U735" t="s">
        <v>79</v>
      </c>
      <c r="V735">
        <f>IF(BBDD_fashion_boutique[[#This Row],[is_returned]]="False",0,1)</f>
        <v>1</v>
      </c>
      <c r="W735">
        <f>IF(BBDD_fashion_boutique[[#This Row],[is_returned]]="True",0,BBDD_fashion_boutique[[#This Row],[current_price]])</f>
        <v>0</v>
      </c>
      <c r="X735" t="str">
        <f>IF(BBDD_fashion_boutique[[#This Row],[return_reason]]="","No return",BBDD_fashion_boutique[[#This Row],[return_reason]])</f>
        <v>Size Issue</v>
      </c>
      <c r="Y735">
        <f>IF(IFERROR(VLOOKUP(BBDD_fashion_boutique[[#This Row],[product_id]],A736:A2911,1,FALSE),0),1,0)</f>
        <v>0</v>
      </c>
    </row>
    <row r="736" spans="1:25" x14ac:dyDescent="0.3">
      <c r="A736" t="s">
        <v>795</v>
      </c>
      <c r="B736" t="s">
        <v>32</v>
      </c>
      <c r="C736" t="s">
        <v>81</v>
      </c>
      <c r="D736" t="s">
        <v>39</v>
      </c>
      <c r="F736" t="str">
        <f>IF(BBDD_fashion_boutique[[#This Row],[category]]="Accessories","Accesorio",IF(BBDD_fashion_boutique[[#This Row],[size]]="","Desconocido",BBDD_fashion_boutique[[#This Row],[size]]))</f>
        <v>Accesorio</v>
      </c>
      <c r="G736" t="s">
        <v>70</v>
      </c>
      <c r="H736" s="2">
        <v>47.47</v>
      </c>
      <c r="I736">
        <v>0</v>
      </c>
      <c r="J736" s="5">
        <f>BBDD_fashion_boutique[[#This Row],[markdown_percentage]]/100</f>
        <v>0</v>
      </c>
      <c r="K736" s="2">
        <v>47.47</v>
      </c>
      <c r="L736" s="2">
        <f>BBDD_fashion_boutique[[#This Row],[original_price]]-BBDD_fashion_boutique[[#This Row],[current_price]]</f>
        <v>0</v>
      </c>
      <c r="M736" s="1">
        <v>45875</v>
      </c>
      <c r="N736" s="1" t="str">
        <f>PROPER(TEXT(BBDD_fashion_boutique[[#This Row],[purchase_date]],"dddd"))</f>
        <v>Miércoles</v>
      </c>
      <c r="O736" s="1" t="str">
        <f>PROPER(TEXT(BBDD_fashion_boutique[[#This Row],[purchase_date]],"mmmm"))</f>
        <v>Agosto</v>
      </c>
      <c r="P736" s="4">
        <v>42</v>
      </c>
      <c r="Q736" s="2">
        <v>4.7</v>
      </c>
      <c r="R736" t="str">
        <f>IF(BBDD_fashion_boutique[[#This Row],[stock_quantity]]&gt;9,"Ok",IF(BBDD_fashion_boutique[[#This Row],[stock_quantity]]=0,"Agotado","Pocas Unidades"))</f>
        <v>Ok</v>
      </c>
      <c r="S736" s="3">
        <f>IF(BBDD_fashion_boutique[[#This Row],[customer_rating]]="","No valorado",BBDD_fashion_boutique[[#This Row],[customer_rating]])</f>
        <v>4.7</v>
      </c>
      <c r="T736" t="s">
        <v>24</v>
      </c>
      <c r="V736">
        <f>IF(BBDD_fashion_boutique[[#This Row],[is_returned]]="False",0,1)</f>
        <v>0</v>
      </c>
      <c r="W736">
        <f>IF(BBDD_fashion_boutique[[#This Row],[is_returned]]="True",0,BBDD_fashion_boutique[[#This Row],[current_price]])</f>
        <v>47.47</v>
      </c>
      <c r="X736" t="str">
        <f>IF(BBDD_fashion_boutique[[#This Row],[return_reason]]="","No return",BBDD_fashion_boutique[[#This Row],[return_reason]])</f>
        <v>No return</v>
      </c>
      <c r="Y736">
        <f>IF(IFERROR(VLOOKUP(BBDD_fashion_boutique[[#This Row],[product_id]],A737:A2912,1,FALSE),0),1,0)</f>
        <v>0</v>
      </c>
    </row>
    <row r="737" spans="1:25" x14ac:dyDescent="0.3">
      <c r="A737" t="s">
        <v>796</v>
      </c>
      <c r="B737" t="s">
        <v>32</v>
      </c>
      <c r="C737" t="s">
        <v>67</v>
      </c>
      <c r="D737" t="s">
        <v>21</v>
      </c>
      <c r="F737" t="str">
        <f>IF(BBDD_fashion_boutique[[#This Row],[category]]="Accessories","Accesorio",IF(BBDD_fashion_boutique[[#This Row],[size]]="","Desconocido",BBDD_fashion_boutique[[#This Row],[size]]))</f>
        <v>Accesorio</v>
      </c>
      <c r="G737" t="s">
        <v>23</v>
      </c>
      <c r="H737" s="2">
        <v>79.94</v>
      </c>
      <c r="I737">
        <v>0</v>
      </c>
      <c r="J737" s="5">
        <f>BBDD_fashion_boutique[[#This Row],[markdown_percentage]]/100</f>
        <v>0</v>
      </c>
      <c r="K737" s="2">
        <v>79.94</v>
      </c>
      <c r="L737" s="2">
        <f>BBDD_fashion_boutique[[#This Row],[original_price]]-BBDD_fashion_boutique[[#This Row],[current_price]]</f>
        <v>0</v>
      </c>
      <c r="M737" s="1">
        <v>45869</v>
      </c>
      <c r="N737" s="1" t="str">
        <f>PROPER(TEXT(BBDD_fashion_boutique[[#This Row],[purchase_date]],"dddd"))</f>
        <v>Jueves</v>
      </c>
      <c r="O737" s="1" t="str">
        <f>PROPER(TEXT(BBDD_fashion_boutique[[#This Row],[purchase_date]],"mmmm"))</f>
        <v>Julio</v>
      </c>
      <c r="P737" s="4">
        <v>26</v>
      </c>
      <c r="Q737" s="2">
        <v>3.8</v>
      </c>
      <c r="R737" t="str">
        <f>IF(BBDD_fashion_boutique[[#This Row],[stock_quantity]]&gt;9,"Ok",IF(BBDD_fashion_boutique[[#This Row],[stock_quantity]]=0,"Agotado","Pocas Unidades"))</f>
        <v>Ok</v>
      </c>
      <c r="S737" s="3">
        <f>IF(BBDD_fashion_boutique[[#This Row],[customer_rating]]="","No valorado",BBDD_fashion_boutique[[#This Row],[customer_rating]])</f>
        <v>3.8</v>
      </c>
      <c r="T737" t="s">
        <v>24</v>
      </c>
      <c r="V737">
        <f>IF(BBDD_fashion_boutique[[#This Row],[is_returned]]="False",0,1)</f>
        <v>0</v>
      </c>
      <c r="W737">
        <f>IF(BBDD_fashion_boutique[[#This Row],[is_returned]]="True",0,BBDD_fashion_boutique[[#This Row],[current_price]])</f>
        <v>79.94</v>
      </c>
      <c r="X737" t="str">
        <f>IF(BBDD_fashion_boutique[[#This Row],[return_reason]]="","No return",BBDD_fashion_boutique[[#This Row],[return_reason]])</f>
        <v>No return</v>
      </c>
      <c r="Y737">
        <f>IF(IFERROR(VLOOKUP(BBDD_fashion_boutique[[#This Row],[product_id]],A738:A2913,1,FALSE),0),1,0)</f>
        <v>0</v>
      </c>
    </row>
    <row r="738" spans="1:25" x14ac:dyDescent="0.3">
      <c r="A738" t="s">
        <v>797</v>
      </c>
      <c r="B738" t="s">
        <v>44</v>
      </c>
      <c r="C738" t="s">
        <v>37</v>
      </c>
      <c r="D738" t="s">
        <v>39</v>
      </c>
      <c r="E738" t="s">
        <v>55</v>
      </c>
      <c r="F738" t="str">
        <f>IF(BBDD_fashion_boutique[[#This Row],[category]]="Accessories","Accesorio",IF(BBDD_fashion_boutique[[#This Row],[size]]="","Desconocido",BBDD_fashion_boutique[[#This Row],[size]]))</f>
        <v>XXL</v>
      </c>
      <c r="G738" t="s">
        <v>70</v>
      </c>
      <c r="H738" s="2">
        <v>74.67</v>
      </c>
      <c r="I738">
        <v>0</v>
      </c>
      <c r="J738" s="5">
        <f>BBDD_fashion_boutique[[#This Row],[markdown_percentage]]/100</f>
        <v>0</v>
      </c>
      <c r="K738" s="2">
        <v>74.67</v>
      </c>
      <c r="L738" s="2">
        <f>BBDD_fashion_boutique[[#This Row],[original_price]]-BBDD_fashion_boutique[[#This Row],[current_price]]</f>
        <v>0</v>
      </c>
      <c r="M738" s="1">
        <v>45875</v>
      </c>
      <c r="N738" s="1" t="str">
        <f>PROPER(TEXT(BBDD_fashion_boutique[[#This Row],[purchase_date]],"dddd"))</f>
        <v>Miércoles</v>
      </c>
      <c r="O738" s="1" t="str">
        <f>PROPER(TEXT(BBDD_fashion_boutique[[#This Row],[purchase_date]],"mmmm"))</f>
        <v>Agosto</v>
      </c>
      <c r="P738" s="4">
        <v>15</v>
      </c>
      <c r="Q738" s="2">
        <v>4.5999999999999996</v>
      </c>
      <c r="R738" t="str">
        <f>IF(BBDD_fashion_boutique[[#This Row],[stock_quantity]]&gt;9,"Ok",IF(BBDD_fashion_boutique[[#This Row],[stock_quantity]]=0,"Agotado","Pocas Unidades"))</f>
        <v>Ok</v>
      </c>
      <c r="S738" s="3">
        <f>IF(BBDD_fashion_boutique[[#This Row],[customer_rating]]="","No valorado",BBDD_fashion_boutique[[#This Row],[customer_rating]])</f>
        <v>4.5999999999999996</v>
      </c>
      <c r="T738" t="s">
        <v>24</v>
      </c>
      <c r="V738">
        <f>IF(BBDD_fashion_boutique[[#This Row],[is_returned]]="False",0,1)</f>
        <v>0</v>
      </c>
      <c r="W738">
        <f>IF(BBDD_fashion_boutique[[#This Row],[is_returned]]="True",0,BBDD_fashion_boutique[[#This Row],[current_price]])</f>
        <v>74.67</v>
      </c>
      <c r="X738" t="str">
        <f>IF(BBDD_fashion_boutique[[#This Row],[return_reason]]="","No return",BBDD_fashion_boutique[[#This Row],[return_reason]])</f>
        <v>No return</v>
      </c>
      <c r="Y738">
        <f>IF(IFERROR(VLOOKUP(BBDD_fashion_boutique[[#This Row],[product_id]],A739:A2914,1,FALSE),0),1,0)</f>
        <v>0</v>
      </c>
    </row>
    <row r="739" spans="1:25" x14ac:dyDescent="0.3">
      <c r="A739" t="s">
        <v>798</v>
      </c>
      <c r="B739" t="s">
        <v>48</v>
      </c>
      <c r="C739" t="s">
        <v>81</v>
      </c>
      <c r="D739" t="s">
        <v>39</v>
      </c>
      <c r="E739" t="s">
        <v>55</v>
      </c>
      <c r="F739" t="str">
        <f>IF(BBDD_fashion_boutique[[#This Row],[category]]="Accessories","Accesorio",IF(BBDD_fashion_boutique[[#This Row],[size]]="","Desconocido",BBDD_fashion_boutique[[#This Row],[size]]))</f>
        <v>XXL</v>
      </c>
      <c r="G739" t="s">
        <v>76</v>
      </c>
      <c r="H739" s="2">
        <v>63.79</v>
      </c>
      <c r="I739">
        <v>35.5</v>
      </c>
      <c r="J739" s="5">
        <f>BBDD_fashion_boutique[[#This Row],[markdown_percentage]]/100</f>
        <v>0.35499999999999998</v>
      </c>
      <c r="K739" s="2">
        <v>41.14</v>
      </c>
      <c r="L739" s="2">
        <f>BBDD_fashion_boutique[[#This Row],[original_price]]-BBDD_fashion_boutique[[#This Row],[current_price]]</f>
        <v>22.65</v>
      </c>
      <c r="M739" s="1">
        <v>45875</v>
      </c>
      <c r="N739" s="1" t="str">
        <f>PROPER(TEXT(BBDD_fashion_boutique[[#This Row],[purchase_date]],"dddd"))</f>
        <v>Miércoles</v>
      </c>
      <c r="O739" s="1" t="str">
        <f>PROPER(TEXT(BBDD_fashion_boutique[[#This Row],[purchase_date]],"mmmm"))</f>
        <v>Agosto</v>
      </c>
      <c r="P739" s="4">
        <v>15</v>
      </c>
      <c r="Q739" s="2">
        <v>3.1</v>
      </c>
      <c r="R739" t="str">
        <f>IF(BBDD_fashion_boutique[[#This Row],[stock_quantity]]&gt;9,"Ok",IF(BBDD_fashion_boutique[[#This Row],[stock_quantity]]=0,"Agotado","Pocas Unidades"))</f>
        <v>Ok</v>
      </c>
      <c r="S739" s="3">
        <f>IF(BBDD_fashion_boutique[[#This Row],[customer_rating]]="","No valorado",BBDD_fashion_boutique[[#This Row],[customer_rating]])</f>
        <v>3.1</v>
      </c>
      <c r="T739" t="s">
        <v>41</v>
      </c>
      <c r="U739" t="s">
        <v>89</v>
      </c>
      <c r="V739">
        <f>IF(BBDD_fashion_boutique[[#This Row],[is_returned]]="False",0,1)</f>
        <v>1</v>
      </c>
      <c r="W739">
        <f>IF(BBDD_fashion_boutique[[#This Row],[is_returned]]="True",0,BBDD_fashion_boutique[[#This Row],[current_price]])</f>
        <v>0</v>
      </c>
      <c r="X739" t="str">
        <f>IF(BBDD_fashion_boutique[[#This Row],[return_reason]]="","No return",BBDD_fashion_boutique[[#This Row],[return_reason]])</f>
        <v>Quality Issue</v>
      </c>
      <c r="Y739">
        <f>IF(IFERROR(VLOOKUP(BBDD_fashion_boutique[[#This Row],[product_id]],A740:A2915,1,FALSE),0),1,0)</f>
        <v>0</v>
      </c>
    </row>
    <row r="740" spans="1:25" x14ac:dyDescent="0.3">
      <c r="A740" t="s">
        <v>799</v>
      </c>
      <c r="B740" t="s">
        <v>44</v>
      </c>
      <c r="C740" t="s">
        <v>59</v>
      </c>
      <c r="D740" t="s">
        <v>39</v>
      </c>
      <c r="E740" t="s">
        <v>55</v>
      </c>
      <c r="F740" t="str">
        <f>IF(BBDD_fashion_boutique[[#This Row],[category]]="Accessories","Accesorio",IF(BBDD_fashion_boutique[[#This Row],[size]]="","Desconocido",BBDD_fashion_boutique[[#This Row],[size]]))</f>
        <v>XXL</v>
      </c>
      <c r="G740" t="s">
        <v>76</v>
      </c>
      <c r="H740" s="2">
        <v>49.6</v>
      </c>
      <c r="I740">
        <v>0</v>
      </c>
      <c r="J740" s="5">
        <f>BBDD_fashion_boutique[[#This Row],[markdown_percentage]]/100</f>
        <v>0</v>
      </c>
      <c r="K740" s="2">
        <v>49.6</v>
      </c>
      <c r="L740" s="2">
        <f>BBDD_fashion_boutique[[#This Row],[original_price]]-BBDD_fashion_boutique[[#This Row],[current_price]]</f>
        <v>0</v>
      </c>
      <c r="M740" s="1">
        <v>45875</v>
      </c>
      <c r="N740" s="1" t="str">
        <f>PROPER(TEXT(BBDD_fashion_boutique[[#This Row],[purchase_date]],"dddd"))</f>
        <v>Miércoles</v>
      </c>
      <c r="O740" s="1" t="str">
        <f>PROPER(TEXT(BBDD_fashion_boutique[[#This Row],[purchase_date]],"mmmm"))</f>
        <v>Agosto</v>
      </c>
      <c r="P740" s="4">
        <v>32</v>
      </c>
      <c r="Q740" s="2">
        <v>4.7</v>
      </c>
      <c r="R740" t="str">
        <f>IF(BBDD_fashion_boutique[[#This Row],[stock_quantity]]&gt;9,"Ok",IF(BBDD_fashion_boutique[[#This Row],[stock_quantity]]=0,"Agotado","Pocas Unidades"))</f>
        <v>Ok</v>
      </c>
      <c r="S740" s="3">
        <f>IF(BBDD_fashion_boutique[[#This Row],[customer_rating]]="","No valorado",BBDD_fashion_boutique[[#This Row],[customer_rating]])</f>
        <v>4.7</v>
      </c>
      <c r="T740" t="s">
        <v>24</v>
      </c>
      <c r="V740">
        <f>IF(BBDD_fashion_boutique[[#This Row],[is_returned]]="False",0,1)</f>
        <v>0</v>
      </c>
      <c r="W740">
        <f>IF(BBDD_fashion_boutique[[#This Row],[is_returned]]="True",0,BBDD_fashion_boutique[[#This Row],[current_price]])</f>
        <v>49.6</v>
      </c>
      <c r="X740" t="str">
        <f>IF(BBDD_fashion_boutique[[#This Row],[return_reason]]="","No return",BBDD_fashion_boutique[[#This Row],[return_reason]])</f>
        <v>No return</v>
      </c>
      <c r="Y740">
        <f>IF(IFERROR(VLOOKUP(BBDD_fashion_boutique[[#This Row],[product_id]],A741:A2916,1,FALSE),0),1,0)</f>
        <v>0</v>
      </c>
    </row>
    <row r="741" spans="1:25" x14ac:dyDescent="0.3">
      <c r="A741" t="s">
        <v>800</v>
      </c>
      <c r="B741" t="s">
        <v>26</v>
      </c>
      <c r="C741" t="s">
        <v>20</v>
      </c>
      <c r="D741" t="s">
        <v>21</v>
      </c>
      <c r="E741" t="s">
        <v>22</v>
      </c>
      <c r="F741" t="str">
        <f>IF(BBDD_fashion_boutique[[#This Row],[category]]="Accessories","Accesorio",IF(BBDD_fashion_boutique[[#This Row],[size]]="","Desconocido",BBDD_fashion_boutique[[#This Row],[size]]))</f>
        <v>XL</v>
      </c>
      <c r="G741" t="s">
        <v>23</v>
      </c>
      <c r="H741" s="2">
        <v>57.91</v>
      </c>
      <c r="I741">
        <v>0</v>
      </c>
      <c r="J741" s="5">
        <f>BBDD_fashion_boutique[[#This Row],[markdown_percentage]]/100</f>
        <v>0</v>
      </c>
      <c r="K741" s="2">
        <v>57.91</v>
      </c>
      <c r="L741" s="2">
        <f>BBDD_fashion_boutique[[#This Row],[original_price]]-BBDD_fashion_boutique[[#This Row],[current_price]]</f>
        <v>0</v>
      </c>
      <c r="M741" s="1">
        <v>45729</v>
      </c>
      <c r="N741" s="1" t="str">
        <f>PROPER(TEXT(BBDD_fashion_boutique[[#This Row],[purchase_date]],"dddd"))</f>
        <v>Jueves</v>
      </c>
      <c r="O741" s="1" t="str">
        <f>PROPER(TEXT(BBDD_fashion_boutique[[#This Row],[purchase_date]],"mmmm"))</f>
        <v>Marzo</v>
      </c>
      <c r="P741" s="4">
        <v>33</v>
      </c>
      <c r="Q741" s="2">
        <v>3.9</v>
      </c>
      <c r="R741" t="str">
        <f>IF(BBDD_fashion_boutique[[#This Row],[stock_quantity]]&gt;9,"Ok",IF(BBDD_fashion_boutique[[#This Row],[stock_quantity]]=0,"Agotado","Pocas Unidades"))</f>
        <v>Ok</v>
      </c>
      <c r="S741" s="3">
        <f>IF(BBDD_fashion_boutique[[#This Row],[customer_rating]]="","No valorado",BBDD_fashion_boutique[[#This Row],[customer_rating]])</f>
        <v>3.9</v>
      </c>
      <c r="T741" t="s">
        <v>24</v>
      </c>
      <c r="V741">
        <f>IF(BBDD_fashion_boutique[[#This Row],[is_returned]]="False",0,1)</f>
        <v>0</v>
      </c>
      <c r="W741">
        <f>IF(BBDD_fashion_boutique[[#This Row],[is_returned]]="True",0,BBDD_fashion_boutique[[#This Row],[current_price]])</f>
        <v>57.91</v>
      </c>
      <c r="X741" t="str">
        <f>IF(BBDD_fashion_boutique[[#This Row],[return_reason]]="","No return",BBDD_fashion_boutique[[#This Row],[return_reason]])</f>
        <v>No return</v>
      </c>
      <c r="Y741">
        <f>IF(IFERROR(VLOOKUP(BBDD_fashion_boutique[[#This Row],[product_id]],A742:A2917,1,FALSE),0),1,0)</f>
        <v>0</v>
      </c>
    </row>
    <row r="742" spans="1:25" x14ac:dyDescent="0.3">
      <c r="A742" t="s">
        <v>801</v>
      </c>
      <c r="B742" t="s">
        <v>48</v>
      </c>
      <c r="C742" t="s">
        <v>27</v>
      </c>
      <c r="D742" t="s">
        <v>68</v>
      </c>
      <c r="E742" t="s">
        <v>22</v>
      </c>
      <c r="F742" t="str">
        <f>IF(BBDD_fashion_boutique[[#This Row],[category]]="Accessories","Accesorio",IF(BBDD_fashion_boutique[[#This Row],[size]]="","Desconocido",BBDD_fashion_boutique[[#This Row],[size]]))</f>
        <v>XL</v>
      </c>
      <c r="G742" t="s">
        <v>30</v>
      </c>
      <c r="H742" s="2">
        <v>135.99</v>
      </c>
      <c r="I742">
        <v>0</v>
      </c>
      <c r="J742" s="5">
        <f>BBDD_fashion_boutique[[#This Row],[markdown_percentage]]/100</f>
        <v>0</v>
      </c>
      <c r="K742" s="2">
        <v>135.99</v>
      </c>
      <c r="L742" s="2">
        <f>BBDD_fashion_boutique[[#This Row],[original_price]]-BBDD_fashion_boutique[[#This Row],[current_price]]</f>
        <v>0</v>
      </c>
      <c r="M742" s="1">
        <v>45875</v>
      </c>
      <c r="N742" s="1" t="str">
        <f>PROPER(TEXT(BBDD_fashion_boutique[[#This Row],[purchase_date]],"dddd"))</f>
        <v>Miércoles</v>
      </c>
      <c r="O742" s="1" t="str">
        <f>PROPER(TEXT(BBDD_fashion_boutique[[#This Row],[purchase_date]],"mmmm"))</f>
        <v>Agosto</v>
      </c>
      <c r="P742" s="4">
        <v>34</v>
      </c>
      <c r="Q742" s="2">
        <v>3</v>
      </c>
      <c r="R742" t="str">
        <f>IF(BBDD_fashion_boutique[[#This Row],[stock_quantity]]&gt;9,"Ok",IF(BBDD_fashion_boutique[[#This Row],[stock_quantity]]=0,"Agotado","Pocas Unidades"))</f>
        <v>Ok</v>
      </c>
      <c r="S742" s="3">
        <f>IF(BBDD_fashion_boutique[[#This Row],[customer_rating]]="","No valorado",BBDD_fashion_boutique[[#This Row],[customer_rating]])</f>
        <v>3</v>
      </c>
      <c r="T742" t="s">
        <v>24</v>
      </c>
      <c r="V742">
        <f>IF(BBDD_fashion_boutique[[#This Row],[is_returned]]="False",0,1)</f>
        <v>0</v>
      </c>
      <c r="W742">
        <f>IF(BBDD_fashion_boutique[[#This Row],[is_returned]]="True",0,BBDD_fashion_boutique[[#This Row],[current_price]])</f>
        <v>135.99</v>
      </c>
      <c r="X742" t="str">
        <f>IF(BBDD_fashion_boutique[[#This Row],[return_reason]]="","No return",BBDD_fashion_boutique[[#This Row],[return_reason]])</f>
        <v>No return</v>
      </c>
      <c r="Y742">
        <f>IF(IFERROR(VLOOKUP(BBDD_fashion_boutique[[#This Row],[product_id]],A743:A2918,1,FALSE),0),1,0)</f>
        <v>0</v>
      </c>
    </row>
    <row r="743" spans="1:25" x14ac:dyDescent="0.3">
      <c r="A743" t="s">
        <v>802</v>
      </c>
      <c r="B743" t="s">
        <v>48</v>
      </c>
      <c r="C743" t="s">
        <v>49</v>
      </c>
      <c r="D743" t="s">
        <v>28</v>
      </c>
      <c r="E743" t="s">
        <v>45</v>
      </c>
      <c r="F743" t="str">
        <f>IF(BBDD_fashion_boutique[[#This Row],[category]]="Accessories","Accesorio",IF(BBDD_fashion_boutique[[#This Row],[size]]="","Desconocido",BBDD_fashion_boutique[[#This Row],[size]]))</f>
        <v>S</v>
      </c>
      <c r="G743" t="s">
        <v>72</v>
      </c>
      <c r="H743" s="2">
        <v>53.49</v>
      </c>
      <c r="I743">
        <v>21.8</v>
      </c>
      <c r="J743" s="5">
        <f>BBDD_fashion_boutique[[#This Row],[markdown_percentage]]/100</f>
        <v>0.218</v>
      </c>
      <c r="K743" s="2">
        <v>41.83</v>
      </c>
      <c r="L743" s="2">
        <f>BBDD_fashion_boutique[[#This Row],[original_price]]-BBDD_fashion_boutique[[#This Row],[current_price]]</f>
        <v>11.660000000000004</v>
      </c>
      <c r="M743" s="1">
        <v>45875</v>
      </c>
      <c r="N743" s="1" t="str">
        <f>PROPER(TEXT(BBDD_fashion_boutique[[#This Row],[purchase_date]],"dddd"))</f>
        <v>Miércoles</v>
      </c>
      <c r="O743" s="1" t="str">
        <f>PROPER(TEXT(BBDD_fashion_boutique[[#This Row],[purchase_date]],"mmmm"))</f>
        <v>Agosto</v>
      </c>
      <c r="P743" s="4">
        <v>41</v>
      </c>
      <c r="Q743" s="2">
        <v>2.1</v>
      </c>
      <c r="R743" t="str">
        <f>IF(BBDD_fashion_boutique[[#This Row],[stock_quantity]]&gt;9,"Ok",IF(BBDD_fashion_boutique[[#This Row],[stock_quantity]]=0,"Agotado","Pocas Unidades"))</f>
        <v>Ok</v>
      </c>
      <c r="S743" s="3">
        <f>IF(BBDD_fashion_boutique[[#This Row],[customer_rating]]="","No valorado",BBDD_fashion_boutique[[#This Row],[customer_rating]])</f>
        <v>2.1</v>
      </c>
      <c r="T743" t="s">
        <v>24</v>
      </c>
      <c r="V743">
        <f>IF(BBDD_fashion_boutique[[#This Row],[is_returned]]="False",0,1)</f>
        <v>0</v>
      </c>
      <c r="W743">
        <f>IF(BBDD_fashion_boutique[[#This Row],[is_returned]]="True",0,BBDD_fashion_boutique[[#This Row],[current_price]])</f>
        <v>41.83</v>
      </c>
      <c r="X743" t="str">
        <f>IF(BBDD_fashion_boutique[[#This Row],[return_reason]]="","No return",BBDD_fashion_boutique[[#This Row],[return_reason]])</f>
        <v>No return</v>
      </c>
      <c r="Y743">
        <f>IF(IFERROR(VLOOKUP(BBDD_fashion_boutique[[#This Row],[product_id]],A744:A2919,1,FALSE),0),1,0)</f>
        <v>0</v>
      </c>
    </row>
    <row r="744" spans="1:25" x14ac:dyDescent="0.3">
      <c r="A744" t="s">
        <v>803</v>
      </c>
      <c r="B744" t="s">
        <v>26</v>
      </c>
      <c r="C744" t="s">
        <v>81</v>
      </c>
      <c r="D744" t="s">
        <v>68</v>
      </c>
      <c r="E744" t="s">
        <v>45</v>
      </c>
      <c r="F744" t="str">
        <f>IF(BBDD_fashion_boutique[[#This Row],[category]]="Accessories","Accesorio",IF(BBDD_fashion_boutique[[#This Row],[size]]="","Desconocido",BBDD_fashion_boutique[[#This Row],[size]]))</f>
        <v>S</v>
      </c>
      <c r="G744" t="s">
        <v>30</v>
      </c>
      <c r="H744" s="2">
        <v>113.29</v>
      </c>
      <c r="I744">
        <v>34</v>
      </c>
      <c r="J744" s="5">
        <f>BBDD_fashion_boutique[[#This Row],[markdown_percentage]]/100</f>
        <v>0.34</v>
      </c>
      <c r="K744" s="2">
        <v>74.77</v>
      </c>
      <c r="L744" s="2">
        <f>BBDD_fashion_boutique[[#This Row],[original_price]]-BBDD_fashion_boutique[[#This Row],[current_price]]</f>
        <v>38.52000000000001</v>
      </c>
      <c r="M744" s="1">
        <v>45875</v>
      </c>
      <c r="N744" s="1" t="str">
        <f>PROPER(TEXT(BBDD_fashion_boutique[[#This Row],[purchase_date]],"dddd"))</f>
        <v>Miércoles</v>
      </c>
      <c r="O744" s="1" t="str">
        <f>PROPER(TEXT(BBDD_fashion_boutique[[#This Row],[purchase_date]],"mmmm"))</f>
        <v>Agosto</v>
      </c>
      <c r="P744" s="4">
        <v>10</v>
      </c>
      <c r="R744" t="str">
        <f>IF(BBDD_fashion_boutique[[#This Row],[stock_quantity]]&gt;9,"Ok",IF(BBDD_fashion_boutique[[#This Row],[stock_quantity]]=0,"Agotado","Pocas Unidades"))</f>
        <v>Ok</v>
      </c>
      <c r="S744" s="3" t="str">
        <f>IF(BBDD_fashion_boutique[[#This Row],[customer_rating]]="","No valorado",BBDD_fashion_boutique[[#This Row],[customer_rating]])</f>
        <v>No valorado</v>
      </c>
      <c r="T744" t="s">
        <v>24</v>
      </c>
      <c r="V744">
        <f>IF(BBDD_fashion_boutique[[#This Row],[is_returned]]="False",0,1)</f>
        <v>0</v>
      </c>
      <c r="W744">
        <f>IF(BBDD_fashion_boutique[[#This Row],[is_returned]]="True",0,BBDD_fashion_boutique[[#This Row],[current_price]])</f>
        <v>74.77</v>
      </c>
      <c r="X744" t="str">
        <f>IF(BBDD_fashion_boutique[[#This Row],[return_reason]]="","No return",BBDD_fashion_boutique[[#This Row],[return_reason]])</f>
        <v>No return</v>
      </c>
      <c r="Y744">
        <f>IF(IFERROR(VLOOKUP(BBDD_fashion_boutique[[#This Row],[product_id]],A745:A2920,1,FALSE),0),1,0)</f>
        <v>0</v>
      </c>
    </row>
    <row r="745" spans="1:25" x14ac:dyDescent="0.3">
      <c r="A745" t="s">
        <v>804</v>
      </c>
      <c r="B745" t="s">
        <v>26</v>
      </c>
      <c r="C745" t="s">
        <v>54</v>
      </c>
      <c r="D745" t="s">
        <v>28</v>
      </c>
      <c r="E745" t="s">
        <v>29</v>
      </c>
      <c r="F745" t="str">
        <f>IF(BBDD_fashion_boutique[[#This Row],[category]]="Accessories","Accesorio",IF(BBDD_fashion_boutique[[#This Row],[size]]="","Desconocido",BBDD_fashion_boutique[[#This Row],[size]]))</f>
        <v>L</v>
      </c>
      <c r="G745" t="s">
        <v>40</v>
      </c>
      <c r="H745" s="2">
        <v>110.87</v>
      </c>
      <c r="I745">
        <v>6</v>
      </c>
      <c r="J745" s="5">
        <f>BBDD_fashion_boutique[[#This Row],[markdown_percentage]]/100</f>
        <v>0.06</v>
      </c>
      <c r="K745" s="2">
        <v>104.22</v>
      </c>
      <c r="L745" s="2">
        <f>BBDD_fashion_boutique[[#This Row],[original_price]]-BBDD_fashion_boutique[[#This Row],[current_price]]</f>
        <v>6.6500000000000057</v>
      </c>
      <c r="M745" s="1">
        <v>45875</v>
      </c>
      <c r="N745" s="1" t="str">
        <f>PROPER(TEXT(BBDD_fashion_boutique[[#This Row],[purchase_date]],"dddd"))</f>
        <v>Miércoles</v>
      </c>
      <c r="O745" s="1" t="str">
        <f>PROPER(TEXT(BBDD_fashion_boutique[[#This Row],[purchase_date]],"mmmm"))</f>
        <v>Agosto</v>
      </c>
      <c r="P745" s="4">
        <v>15</v>
      </c>
      <c r="R745" t="str">
        <f>IF(BBDD_fashion_boutique[[#This Row],[stock_quantity]]&gt;9,"Ok",IF(BBDD_fashion_boutique[[#This Row],[stock_quantity]]=0,"Agotado","Pocas Unidades"))</f>
        <v>Ok</v>
      </c>
      <c r="S745" s="3" t="str">
        <f>IF(BBDD_fashion_boutique[[#This Row],[customer_rating]]="","No valorado",BBDD_fashion_boutique[[#This Row],[customer_rating]])</f>
        <v>No valorado</v>
      </c>
      <c r="T745" t="s">
        <v>24</v>
      </c>
      <c r="V745">
        <f>IF(BBDD_fashion_boutique[[#This Row],[is_returned]]="False",0,1)</f>
        <v>0</v>
      </c>
      <c r="W745">
        <f>IF(BBDD_fashion_boutique[[#This Row],[is_returned]]="True",0,BBDD_fashion_boutique[[#This Row],[current_price]])</f>
        <v>104.22</v>
      </c>
      <c r="X745" t="str">
        <f>IF(BBDD_fashion_boutique[[#This Row],[return_reason]]="","No return",BBDD_fashion_boutique[[#This Row],[return_reason]])</f>
        <v>No return</v>
      </c>
      <c r="Y745">
        <f>IF(IFERROR(VLOOKUP(BBDD_fashion_boutique[[#This Row],[product_id]],A746:A2921,1,FALSE),0),1,0)</f>
        <v>0</v>
      </c>
    </row>
    <row r="746" spans="1:25" x14ac:dyDescent="0.3">
      <c r="A746" t="s">
        <v>805</v>
      </c>
      <c r="B746" t="s">
        <v>26</v>
      </c>
      <c r="C746" t="s">
        <v>59</v>
      </c>
      <c r="D746" t="s">
        <v>39</v>
      </c>
      <c r="F746" t="str">
        <f>IF(BBDD_fashion_boutique[[#This Row],[category]]="Accessories","Accesorio",IF(BBDD_fashion_boutique[[#This Row],[size]]="","Desconocido",BBDD_fashion_boutique[[#This Row],[size]]))</f>
        <v>Desconocido</v>
      </c>
      <c r="G746" t="s">
        <v>70</v>
      </c>
      <c r="H746" s="2">
        <v>94.3</v>
      </c>
      <c r="I746">
        <v>0</v>
      </c>
      <c r="J746" s="5">
        <f>BBDD_fashion_boutique[[#This Row],[markdown_percentage]]/100</f>
        <v>0</v>
      </c>
      <c r="K746" s="2">
        <v>94.3</v>
      </c>
      <c r="L746" s="2">
        <f>BBDD_fashion_boutique[[#This Row],[original_price]]-BBDD_fashion_boutique[[#This Row],[current_price]]</f>
        <v>0</v>
      </c>
      <c r="M746" s="1">
        <v>45875</v>
      </c>
      <c r="N746" s="1" t="str">
        <f>PROPER(TEXT(BBDD_fashion_boutique[[#This Row],[purchase_date]],"dddd"))</f>
        <v>Miércoles</v>
      </c>
      <c r="O746" s="1" t="str">
        <f>PROPER(TEXT(BBDD_fashion_boutique[[#This Row],[purchase_date]],"mmmm"))</f>
        <v>Agosto</v>
      </c>
      <c r="P746" s="4">
        <v>16</v>
      </c>
      <c r="R746" t="str">
        <f>IF(BBDD_fashion_boutique[[#This Row],[stock_quantity]]&gt;9,"Ok",IF(BBDD_fashion_boutique[[#This Row],[stock_quantity]]=0,"Agotado","Pocas Unidades"))</f>
        <v>Ok</v>
      </c>
      <c r="S746" s="3" t="str">
        <f>IF(BBDD_fashion_boutique[[#This Row],[customer_rating]]="","No valorado",BBDD_fashion_boutique[[#This Row],[customer_rating]])</f>
        <v>No valorado</v>
      </c>
      <c r="T746" t="s">
        <v>24</v>
      </c>
      <c r="V746">
        <f>IF(BBDD_fashion_boutique[[#This Row],[is_returned]]="False",0,1)</f>
        <v>0</v>
      </c>
      <c r="W746">
        <f>IF(BBDD_fashion_boutique[[#This Row],[is_returned]]="True",0,BBDD_fashion_boutique[[#This Row],[current_price]])</f>
        <v>94.3</v>
      </c>
      <c r="X746" t="str">
        <f>IF(BBDD_fashion_boutique[[#This Row],[return_reason]]="","No return",BBDD_fashion_boutique[[#This Row],[return_reason]])</f>
        <v>No return</v>
      </c>
      <c r="Y746">
        <f>IF(IFERROR(VLOOKUP(BBDD_fashion_boutique[[#This Row],[product_id]],A747:A2922,1,FALSE),0),1,0)</f>
        <v>0</v>
      </c>
    </row>
    <row r="747" spans="1:25" x14ac:dyDescent="0.3">
      <c r="A747" t="s">
        <v>806</v>
      </c>
      <c r="B747" t="s">
        <v>32</v>
      </c>
      <c r="C747" t="s">
        <v>81</v>
      </c>
      <c r="D747" t="s">
        <v>21</v>
      </c>
      <c r="F747" t="str">
        <f>IF(BBDD_fashion_boutique[[#This Row],[category]]="Accessories","Accesorio",IF(BBDD_fashion_boutique[[#This Row],[size]]="","Desconocido",BBDD_fashion_boutique[[#This Row],[size]]))</f>
        <v>Accesorio</v>
      </c>
      <c r="G747" t="s">
        <v>23</v>
      </c>
      <c r="H747" s="2">
        <v>37.94</v>
      </c>
      <c r="I747">
        <v>0</v>
      </c>
      <c r="J747" s="5">
        <f>BBDD_fashion_boutique[[#This Row],[markdown_percentage]]/100</f>
        <v>0</v>
      </c>
      <c r="K747" s="2">
        <v>37.94</v>
      </c>
      <c r="L747" s="2">
        <f>BBDD_fashion_boutique[[#This Row],[original_price]]-BBDD_fashion_boutique[[#This Row],[current_price]]</f>
        <v>0</v>
      </c>
      <c r="M747" s="1">
        <v>45573</v>
      </c>
      <c r="N747" s="1" t="str">
        <f>PROPER(TEXT(BBDD_fashion_boutique[[#This Row],[purchase_date]],"dddd"))</f>
        <v>Martes</v>
      </c>
      <c r="O747" s="1" t="str">
        <f>PROPER(TEXT(BBDD_fashion_boutique[[#This Row],[purchase_date]],"mmmm"))</f>
        <v>Octubre</v>
      </c>
      <c r="P747" s="4">
        <v>9</v>
      </c>
      <c r="Q747" s="2">
        <v>4.5999999999999996</v>
      </c>
      <c r="R747" t="str">
        <f>IF(BBDD_fashion_boutique[[#This Row],[stock_quantity]]&gt;9,"Ok",IF(BBDD_fashion_boutique[[#This Row],[stock_quantity]]=0,"Agotado","Pocas Unidades"))</f>
        <v>Pocas Unidades</v>
      </c>
      <c r="S747" s="3">
        <f>IF(BBDD_fashion_boutique[[#This Row],[customer_rating]]="","No valorado",BBDD_fashion_boutique[[#This Row],[customer_rating]])</f>
        <v>4.5999999999999996</v>
      </c>
      <c r="T747" t="s">
        <v>24</v>
      </c>
      <c r="V747">
        <f>IF(BBDD_fashion_boutique[[#This Row],[is_returned]]="False",0,1)</f>
        <v>0</v>
      </c>
      <c r="W747">
        <f>IF(BBDD_fashion_boutique[[#This Row],[is_returned]]="True",0,BBDD_fashion_boutique[[#This Row],[current_price]])</f>
        <v>37.94</v>
      </c>
      <c r="X747" t="str">
        <f>IF(BBDD_fashion_boutique[[#This Row],[return_reason]]="","No return",BBDD_fashion_boutique[[#This Row],[return_reason]])</f>
        <v>No return</v>
      </c>
      <c r="Y747">
        <f>IF(IFERROR(VLOOKUP(BBDD_fashion_boutique[[#This Row],[product_id]],A748:A2923,1,FALSE),0),1,0)</f>
        <v>0</v>
      </c>
    </row>
    <row r="748" spans="1:25" x14ac:dyDescent="0.3">
      <c r="A748" t="s">
        <v>807</v>
      </c>
      <c r="B748" t="s">
        <v>19</v>
      </c>
      <c r="C748" t="s">
        <v>59</v>
      </c>
      <c r="D748" t="s">
        <v>28</v>
      </c>
      <c r="E748" t="s">
        <v>55</v>
      </c>
      <c r="F748" t="str">
        <f>IF(BBDD_fashion_boutique[[#This Row],[category]]="Accessories","Accesorio",IF(BBDD_fashion_boutique[[#This Row],[size]]="","Desconocido",BBDD_fashion_boutique[[#This Row],[size]]))</f>
        <v>XXL</v>
      </c>
      <c r="G748" t="s">
        <v>46</v>
      </c>
      <c r="H748" s="2">
        <v>200.24</v>
      </c>
      <c r="I748">
        <v>23</v>
      </c>
      <c r="J748" s="5">
        <f>BBDD_fashion_boutique[[#This Row],[markdown_percentage]]/100</f>
        <v>0.23</v>
      </c>
      <c r="K748" s="2">
        <v>154.18</v>
      </c>
      <c r="L748" s="2">
        <f>BBDD_fashion_boutique[[#This Row],[original_price]]-BBDD_fashion_boutique[[#This Row],[current_price]]</f>
        <v>46.06</v>
      </c>
      <c r="M748" s="1">
        <v>45875</v>
      </c>
      <c r="N748" s="1" t="str">
        <f>PROPER(TEXT(BBDD_fashion_boutique[[#This Row],[purchase_date]],"dddd"))</f>
        <v>Miércoles</v>
      </c>
      <c r="O748" s="1" t="str">
        <f>PROPER(TEXT(BBDD_fashion_boutique[[#This Row],[purchase_date]],"mmmm"))</f>
        <v>Agosto</v>
      </c>
      <c r="P748" s="4">
        <v>38</v>
      </c>
      <c r="R748" t="str">
        <f>IF(BBDD_fashion_boutique[[#This Row],[stock_quantity]]&gt;9,"Ok",IF(BBDD_fashion_boutique[[#This Row],[stock_quantity]]=0,"Agotado","Pocas Unidades"))</f>
        <v>Ok</v>
      </c>
      <c r="S748" s="3" t="str">
        <f>IF(BBDD_fashion_boutique[[#This Row],[customer_rating]]="","No valorado",BBDD_fashion_boutique[[#This Row],[customer_rating]])</f>
        <v>No valorado</v>
      </c>
      <c r="T748" t="s">
        <v>24</v>
      </c>
      <c r="V748">
        <f>IF(BBDD_fashion_boutique[[#This Row],[is_returned]]="False",0,1)</f>
        <v>0</v>
      </c>
      <c r="W748">
        <f>IF(BBDD_fashion_boutique[[#This Row],[is_returned]]="True",0,BBDD_fashion_boutique[[#This Row],[current_price]])</f>
        <v>154.18</v>
      </c>
      <c r="X748" t="str">
        <f>IF(BBDD_fashion_boutique[[#This Row],[return_reason]]="","No return",BBDD_fashion_boutique[[#This Row],[return_reason]])</f>
        <v>No return</v>
      </c>
      <c r="Y748">
        <f>IF(IFERROR(VLOOKUP(BBDD_fashion_boutique[[#This Row],[product_id]],A749:A2924,1,FALSE),0),1,0)</f>
        <v>0</v>
      </c>
    </row>
    <row r="749" spans="1:25" x14ac:dyDescent="0.3">
      <c r="A749" t="s">
        <v>808</v>
      </c>
      <c r="B749" t="s">
        <v>32</v>
      </c>
      <c r="C749" t="s">
        <v>81</v>
      </c>
      <c r="D749" t="s">
        <v>28</v>
      </c>
      <c r="F749" t="str">
        <f>IF(BBDD_fashion_boutique[[#This Row],[category]]="Accessories","Accesorio",IF(BBDD_fashion_boutique[[#This Row],[size]]="","Desconocido",BBDD_fashion_boutique[[#This Row],[size]]))</f>
        <v>Accesorio</v>
      </c>
      <c r="G749" t="s">
        <v>72</v>
      </c>
      <c r="H749" s="2">
        <v>43.45</v>
      </c>
      <c r="I749">
        <v>0</v>
      </c>
      <c r="J749" s="5">
        <f>BBDD_fashion_boutique[[#This Row],[markdown_percentage]]/100</f>
        <v>0</v>
      </c>
      <c r="K749" s="2">
        <v>43.45</v>
      </c>
      <c r="L749" s="2">
        <f>BBDD_fashion_boutique[[#This Row],[original_price]]-BBDD_fashion_boutique[[#This Row],[current_price]]</f>
        <v>0</v>
      </c>
      <c r="M749" s="1">
        <v>45875</v>
      </c>
      <c r="N749" s="1" t="str">
        <f>PROPER(TEXT(BBDD_fashion_boutique[[#This Row],[purchase_date]],"dddd"))</f>
        <v>Miércoles</v>
      </c>
      <c r="O749" s="1" t="str">
        <f>PROPER(TEXT(BBDD_fashion_boutique[[#This Row],[purchase_date]],"mmmm"))</f>
        <v>Agosto</v>
      </c>
      <c r="P749" s="4">
        <v>50</v>
      </c>
      <c r="Q749" s="2">
        <v>4</v>
      </c>
      <c r="R749" t="str">
        <f>IF(BBDD_fashion_boutique[[#This Row],[stock_quantity]]&gt;9,"Ok",IF(BBDD_fashion_boutique[[#This Row],[stock_quantity]]=0,"Agotado","Pocas Unidades"))</f>
        <v>Ok</v>
      </c>
      <c r="S749" s="3">
        <f>IF(BBDD_fashion_boutique[[#This Row],[customer_rating]]="","No valorado",BBDD_fashion_boutique[[#This Row],[customer_rating]])</f>
        <v>4</v>
      </c>
      <c r="T749" t="s">
        <v>24</v>
      </c>
      <c r="V749">
        <f>IF(BBDD_fashion_boutique[[#This Row],[is_returned]]="False",0,1)</f>
        <v>0</v>
      </c>
      <c r="W749">
        <f>IF(BBDD_fashion_boutique[[#This Row],[is_returned]]="True",0,BBDD_fashion_boutique[[#This Row],[current_price]])</f>
        <v>43.45</v>
      </c>
      <c r="X749" t="str">
        <f>IF(BBDD_fashion_boutique[[#This Row],[return_reason]]="","No return",BBDD_fashion_boutique[[#This Row],[return_reason]])</f>
        <v>No return</v>
      </c>
      <c r="Y749">
        <f>IF(IFERROR(VLOOKUP(BBDD_fashion_boutique[[#This Row],[product_id]],A750:A2925,1,FALSE),0),1,0)</f>
        <v>0</v>
      </c>
    </row>
    <row r="750" spans="1:25" x14ac:dyDescent="0.3">
      <c r="A750" t="s">
        <v>809</v>
      </c>
      <c r="B750" t="s">
        <v>44</v>
      </c>
      <c r="C750" t="s">
        <v>81</v>
      </c>
      <c r="D750" t="s">
        <v>68</v>
      </c>
      <c r="E750" t="s">
        <v>29</v>
      </c>
      <c r="F750" t="str">
        <f>IF(BBDD_fashion_boutique[[#This Row],[category]]="Accessories","Accesorio",IF(BBDD_fashion_boutique[[#This Row],[size]]="","Desconocido",BBDD_fashion_boutique[[#This Row],[size]]))</f>
        <v>L</v>
      </c>
      <c r="G750" t="s">
        <v>23</v>
      </c>
      <c r="H750" s="2">
        <v>76.92</v>
      </c>
      <c r="I750">
        <v>9.6</v>
      </c>
      <c r="J750" s="5">
        <f>BBDD_fashion_boutique[[#This Row],[markdown_percentage]]/100</f>
        <v>9.6000000000000002E-2</v>
      </c>
      <c r="K750" s="2">
        <v>69.540000000000006</v>
      </c>
      <c r="L750" s="2">
        <f>BBDD_fashion_boutique[[#This Row],[original_price]]-BBDD_fashion_boutique[[#This Row],[current_price]]</f>
        <v>7.3799999999999955</v>
      </c>
      <c r="M750" s="1">
        <v>45875</v>
      </c>
      <c r="N750" s="1" t="str">
        <f>PROPER(TEXT(BBDD_fashion_boutique[[#This Row],[purchase_date]],"dddd"))</f>
        <v>Miércoles</v>
      </c>
      <c r="O750" s="1" t="str">
        <f>PROPER(TEXT(BBDD_fashion_boutique[[#This Row],[purchase_date]],"mmmm"))</f>
        <v>Agosto</v>
      </c>
      <c r="P750" s="4">
        <v>20</v>
      </c>
      <c r="Q750" s="2">
        <v>2</v>
      </c>
      <c r="R750" t="str">
        <f>IF(BBDD_fashion_boutique[[#This Row],[stock_quantity]]&gt;9,"Ok",IF(BBDD_fashion_boutique[[#This Row],[stock_quantity]]=0,"Agotado","Pocas Unidades"))</f>
        <v>Ok</v>
      </c>
      <c r="S750" s="3">
        <f>IF(BBDD_fashion_boutique[[#This Row],[customer_rating]]="","No valorado",BBDD_fashion_boutique[[#This Row],[customer_rating]])</f>
        <v>2</v>
      </c>
      <c r="T750" t="s">
        <v>24</v>
      </c>
      <c r="V750">
        <f>IF(BBDD_fashion_boutique[[#This Row],[is_returned]]="False",0,1)</f>
        <v>0</v>
      </c>
      <c r="W750">
        <f>IF(BBDD_fashion_boutique[[#This Row],[is_returned]]="True",0,BBDD_fashion_boutique[[#This Row],[current_price]])</f>
        <v>69.540000000000006</v>
      </c>
      <c r="X750" t="str">
        <f>IF(BBDD_fashion_boutique[[#This Row],[return_reason]]="","No return",BBDD_fashion_boutique[[#This Row],[return_reason]])</f>
        <v>No return</v>
      </c>
      <c r="Y750">
        <f>IF(IFERROR(VLOOKUP(BBDD_fashion_boutique[[#This Row],[product_id]],A751:A2926,1,FALSE),0),1,0)</f>
        <v>0</v>
      </c>
    </row>
    <row r="751" spans="1:25" x14ac:dyDescent="0.3">
      <c r="A751" t="s">
        <v>810</v>
      </c>
      <c r="B751" t="s">
        <v>32</v>
      </c>
      <c r="C751" t="s">
        <v>81</v>
      </c>
      <c r="D751" t="s">
        <v>39</v>
      </c>
      <c r="F751" t="str">
        <f>IF(BBDD_fashion_boutique[[#This Row],[category]]="Accessories","Accesorio",IF(BBDD_fashion_boutique[[#This Row],[size]]="","Desconocido",BBDD_fashion_boutique[[#This Row],[size]]))</f>
        <v>Accesorio</v>
      </c>
      <c r="G751" t="s">
        <v>40</v>
      </c>
      <c r="H751" s="2">
        <v>21.09</v>
      </c>
      <c r="I751">
        <v>0</v>
      </c>
      <c r="J751" s="5">
        <f>BBDD_fashion_boutique[[#This Row],[markdown_percentage]]/100</f>
        <v>0</v>
      </c>
      <c r="K751" s="2">
        <v>21.09</v>
      </c>
      <c r="L751" s="2">
        <f>BBDD_fashion_boutique[[#This Row],[original_price]]-BBDD_fashion_boutique[[#This Row],[current_price]]</f>
        <v>0</v>
      </c>
      <c r="M751" s="1">
        <v>45875</v>
      </c>
      <c r="N751" s="1" t="str">
        <f>PROPER(TEXT(BBDD_fashion_boutique[[#This Row],[purchase_date]],"dddd"))</f>
        <v>Miércoles</v>
      </c>
      <c r="O751" s="1" t="str">
        <f>PROPER(TEXT(BBDD_fashion_boutique[[#This Row],[purchase_date]],"mmmm"))</f>
        <v>Agosto</v>
      </c>
      <c r="P751" s="4">
        <v>33</v>
      </c>
      <c r="Q751" s="2">
        <v>4.0999999999999996</v>
      </c>
      <c r="R751" t="str">
        <f>IF(BBDD_fashion_boutique[[#This Row],[stock_quantity]]&gt;9,"Ok",IF(BBDD_fashion_boutique[[#This Row],[stock_quantity]]=0,"Agotado","Pocas Unidades"))</f>
        <v>Ok</v>
      </c>
      <c r="S751" s="3">
        <f>IF(BBDD_fashion_boutique[[#This Row],[customer_rating]]="","No valorado",BBDD_fashion_boutique[[#This Row],[customer_rating]])</f>
        <v>4.0999999999999996</v>
      </c>
      <c r="T751" t="s">
        <v>41</v>
      </c>
      <c r="U751" t="s">
        <v>79</v>
      </c>
      <c r="V751">
        <f>IF(BBDD_fashion_boutique[[#This Row],[is_returned]]="False",0,1)</f>
        <v>1</v>
      </c>
      <c r="W751">
        <f>IF(BBDD_fashion_boutique[[#This Row],[is_returned]]="True",0,BBDD_fashion_boutique[[#This Row],[current_price]])</f>
        <v>0</v>
      </c>
      <c r="X751" t="str">
        <f>IF(BBDD_fashion_boutique[[#This Row],[return_reason]]="","No return",BBDD_fashion_boutique[[#This Row],[return_reason]])</f>
        <v>Size Issue</v>
      </c>
      <c r="Y751">
        <f>IF(IFERROR(VLOOKUP(BBDD_fashion_boutique[[#This Row],[product_id]],A752:A2927,1,FALSE),0),1,0)</f>
        <v>0</v>
      </c>
    </row>
    <row r="752" spans="1:25" x14ac:dyDescent="0.3">
      <c r="A752" t="s">
        <v>811</v>
      </c>
      <c r="B752" t="s">
        <v>48</v>
      </c>
      <c r="C752" t="s">
        <v>37</v>
      </c>
      <c r="D752" t="s">
        <v>28</v>
      </c>
      <c r="E752" t="s">
        <v>22</v>
      </c>
      <c r="F752" t="str">
        <f>IF(BBDD_fashion_boutique[[#This Row],[category]]="Accessories","Accesorio",IF(BBDD_fashion_boutique[[#This Row],[size]]="","Desconocido",BBDD_fashion_boutique[[#This Row],[size]]))</f>
        <v>XL</v>
      </c>
      <c r="G752" t="s">
        <v>52</v>
      </c>
      <c r="H752" s="2">
        <v>55.47</v>
      </c>
      <c r="I752">
        <v>0</v>
      </c>
      <c r="J752" s="5">
        <f>BBDD_fashion_boutique[[#This Row],[markdown_percentage]]/100</f>
        <v>0</v>
      </c>
      <c r="K752" s="2">
        <v>55.47</v>
      </c>
      <c r="L752" s="2">
        <f>BBDD_fashion_boutique[[#This Row],[original_price]]-BBDD_fashion_boutique[[#This Row],[current_price]]</f>
        <v>0</v>
      </c>
      <c r="M752" s="1">
        <v>45875</v>
      </c>
      <c r="N752" s="1" t="str">
        <f>PROPER(TEXT(BBDD_fashion_boutique[[#This Row],[purchase_date]],"dddd"))</f>
        <v>Miércoles</v>
      </c>
      <c r="O752" s="1" t="str">
        <f>PROPER(TEXT(BBDD_fashion_boutique[[#This Row],[purchase_date]],"mmmm"))</f>
        <v>Agosto</v>
      </c>
      <c r="P752" s="4">
        <v>18</v>
      </c>
      <c r="R752" t="str">
        <f>IF(BBDD_fashion_boutique[[#This Row],[stock_quantity]]&gt;9,"Ok",IF(BBDD_fashion_boutique[[#This Row],[stock_quantity]]=0,"Agotado","Pocas Unidades"))</f>
        <v>Ok</v>
      </c>
      <c r="S752" s="3" t="str">
        <f>IF(BBDD_fashion_boutique[[#This Row],[customer_rating]]="","No valorado",BBDD_fashion_boutique[[#This Row],[customer_rating]])</f>
        <v>No valorado</v>
      </c>
      <c r="T752" t="s">
        <v>24</v>
      </c>
      <c r="V752">
        <f>IF(BBDD_fashion_boutique[[#This Row],[is_returned]]="False",0,1)</f>
        <v>0</v>
      </c>
      <c r="W752">
        <f>IF(BBDD_fashion_boutique[[#This Row],[is_returned]]="True",0,BBDD_fashion_boutique[[#This Row],[current_price]])</f>
        <v>55.47</v>
      </c>
      <c r="X752" t="str">
        <f>IF(BBDD_fashion_boutique[[#This Row],[return_reason]]="","No return",BBDD_fashion_boutique[[#This Row],[return_reason]])</f>
        <v>No return</v>
      </c>
      <c r="Y752">
        <f>IF(IFERROR(VLOOKUP(BBDD_fashion_boutique[[#This Row],[product_id]],A753:A2928,1,FALSE),0),1,0)</f>
        <v>0</v>
      </c>
    </row>
    <row r="753" spans="1:25" x14ac:dyDescent="0.3">
      <c r="A753" t="s">
        <v>812</v>
      </c>
      <c r="B753" t="s">
        <v>19</v>
      </c>
      <c r="C753" t="s">
        <v>54</v>
      </c>
      <c r="D753" t="s">
        <v>21</v>
      </c>
      <c r="E753" t="s">
        <v>55</v>
      </c>
      <c r="F753" t="str">
        <f>IF(BBDD_fashion_boutique[[#This Row],[category]]="Accessories","Accesorio",IF(BBDD_fashion_boutique[[#This Row],[size]]="","Desconocido",BBDD_fashion_boutique[[#This Row],[size]]))</f>
        <v>XXL</v>
      </c>
      <c r="G753" t="s">
        <v>40</v>
      </c>
      <c r="H753" s="2">
        <v>122.53</v>
      </c>
      <c r="I753">
        <v>0</v>
      </c>
      <c r="J753" s="5">
        <f>BBDD_fashion_boutique[[#This Row],[markdown_percentage]]/100</f>
        <v>0</v>
      </c>
      <c r="K753" s="2">
        <v>122.53</v>
      </c>
      <c r="L753" s="2">
        <f>BBDD_fashion_boutique[[#This Row],[original_price]]-BBDD_fashion_boutique[[#This Row],[current_price]]</f>
        <v>0</v>
      </c>
      <c r="M753" s="1">
        <v>45556</v>
      </c>
      <c r="N753" s="1" t="str">
        <f>PROPER(TEXT(BBDD_fashion_boutique[[#This Row],[purchase_date]],"dddd"))</f>
        <v>Sábado</v>
      </c>
      <c r="O753" s="1" t="str">
        <f>PROPER(TEXT(BBDD_fashion_boutique[[#This Row],[purchase_date]],"mmmm"))</f>
        <v>Septiembre</v>
      </c>
      <c r="P753" s="4">
        <v>25</v>
      </c>
      <c r="R753" t="str">
        <f>IF(BBDD_fashion_boutique[[#This Row],[stock_quantity]]&gt;9,"Ok",IF(BBDD_fashion_boutique[[#This Row],[stock_quantity]]=0,"Agotado","Pocas Unidades"))</f>
        <v>Ok</v>
      </c>
      <c r="S753" s="3" t="str">
        <f>IF(BBDD_fashion_boutique[[#This Row],[customer_rating]]="","No valorado",BBDD_fashion_boutique[[#This Row],[customer_rating]])</f>
        <v>No valorado</v>
      </c>
      <c r="T753" t="s">
        <v>24</v>
      </c>
      <c r="V753">
        <f>IF(BBDD_fashion_boutique[[#This Row],[is_returned]]="False",0,1)</f>
        <v>0</v>
      </c>
      <c r="W753">
        <f>IF(BBDD_fashion_boutique[[#This Row],[is_returned]]="True",0,BBDD_fashion_boutique[[#This Row],[current_price]])</f>
        <v>122.53</v>
      </c>
      <c r="X753" t="str">
        <f>IF(BBDD_fashion_boutique[[#This Row],[return_reason]]="","No return",BBDD_fashion_boutique[[#This Row],[return_reason]])</f>
        <v>No return</v>
      </c>
      <c r="Y753">
        <f>IF(IFERROR(VLOOKUP(BBDD_fashion_boutique[[#This Row],[product_id]],A754:A2929,1,FALSE),0),1,0)</f>
        <v>0</v>
      </c>
    </row>
    <row r="754" spans="1:25" x14ac:dyDescent="0.3">
      <c r="A754" t="s">
        <v>813</v>
      </c>
      <c r="B754" t="s">
        <v>32</v>
      </c>
      <c r="C754" t="s">
        <v>27</v>
      </c>
      <c r="D754" t="s">
        <v>68</v>
      </c>
      <c r="F754" t="str">
        <f>IF(BBDD_fashion_boutique[[#This Row],[category]]="Accessories","Accesorio",IF(BBDD_fashion_boutique[[#This Row],[size]]="","Desconocido",BBDD_fashion_boutique[[#This Row],[size]]))</f>
        <v>Accesorio</v>
      </c>
      <c r="G754" t="s">
        <v>62</v>
      </c>
      <c r="H754" s="2">
        <v>61.13</v>
      </c>
      <c r="I754">
        <v>0</v>
      </c>
      <c r="J754" s="5">
        <f>BBDD_fashion_boutique[[#This Row],[markdown_percentage]]/100</f>
        <v>0</v>
      </c>
      <c r="K754" s="2">
        <v>61.13</v>
      </c>
      <c r="L754" s="2">
        <f>BBDD_fashion_boutique[[#This Row],[original_price]]-BBDD_fashion_boutique[[#This Row],[current_price]]</f>
        <v>0</v>
      </c>
      <c r="M754" s="1">
        <v>45875</v>
      </c>
      <c r="N754" s="1" t="str">
        <f>PROPER(TEXT(BBDD_fashion_boutique[[#This Row],[purchase_date]],"dddd"))</f>
        <v>Miércoles</v>
      </c>
      <c r="O754" s="1" t="str">
        <f>PROPER(TEXT(BBDD_fashion_boutique[[#This Row],[purchase_date]],"mmmm"))</f>
        <v>Agosto</v>
      </c>
      <c r="P754" s="4">
        <v>34</v>
      </c>
      <c r="Q754" s="2">
        <v>2.6</v>
      </c>
      <c r="R754" t="str">
        <f>IF(BBDD_fashion_boutique[[#This Row],[stock_quantity]]&gt;9,"Ok",IF(BBDD_fashion_boutique[[#This Row],[stock_quantity]]=0,"Agotado","Pocas Unidades"))</f>
        <v>Ok</v>
      </c>
      <c r="S754" s="3">
        <f>IF(BBDD_fashion_boutique[[#This Row],[customer_rating]]="","No valorado",BBDD_fashion_boutique[[#This Row],[customer_rating]])</f>
        <v>2.6</v>
      </c>
      <c r="T754" t="s">
        <v>24</v>
      </c>
      <c r="V754">
        <f>IF(BBDD_fashion_boutique[[#This Row],[is_returned]]="False",0,1)</f>
        <v>0</v>
      </c>
      <c r="W754">
        <f>IF(BBDD_fashion_boutique[[#This Row],[is_returned]]="True",0,BBDD_fashion_boutique[[#This Row],[current_price]])</f>
        <v>61.13</v>
      </c>
      <c r="X754" t="str">
        <f>IF(BBDD_fashion_boutique[[#This Row],[return_reason]]="","No return",BBDD_fashion_boutique[[#This Row],[return_reason]])</f>
        <v>No return</v>
      </c>
      <c r="Y754">
        <f>IF(IFERROR(VLOOKUP(BBDD_fashion_boutique[[#This Row],[product_id]],A755:A2930,1,FALSE),0),1,0)</f>
        <v>0</v>
      </c>
    </row>
    <row r="755" spans="1:25" x14ac:dyDescent="0.3">
      <c r="A755" t="s">
        <v>814</v>
      </c>
      <c r="B755" t="s">
        <v>19</v>
      </c>
      <c r="C755" t="s">
        <v>27</v>
      </c>
      <c r="D755" t="s">
        <v>21</v>
      </c>
      <c r="E755" t="s">
        <v>61</v>
      </c>
      <c r="F755" t="str">
        <f>IF(BBDD_fashion_boutique[[#This Row],[category]]="Accessories","Accesorio",IF(BBDD_fashion_boutique[[#This Row],[size]]="","Desconocido",BBDD_fashion_boutique[[#This Row],[size]]))</f>
        <v>XS</v>
      </c>
      <c r="G755" t="s">
        <v>76</v>
      </c>
      <c r="H755" s="2">
        <v>127.59</v>
      </c>
      <c r="I755">
        <v>0</v>
      </c>
      <c r="J755" s="5">
        <f>BBDD_fashion_boutique[[#This Row],[markdown_percentage]]/100</f>
        <v>0</v>
      </c>
      <c r="K755" s="2">
        <v>127.59</v>
      </c>
      <c r="L755" s="2">
        <f>BBDD_fashion_boutique[[#This Row],[original_price]]-BBDD_fashion_boutique[[#This Row],[current_price]]</f>
        <v>0</v>
      </c>
      <c r="M755" s="1">
        <v>45785</v>
      </c>
      <c r="N755" s="1" t="str">
        <f>PROPER(TEXT(BBDD_fashion_boutique[[#This Row],[purchase_date]],"dddd"))</f>
        <v>Jueves</v>
      </c>
      <c r="O755" s="1" t="str">
        <f>PROPER(TEXT(BBDD_fashion_boutique[[#This Row],[purchase_date]],"mmmm"))</f>
        <v>Mayo</v>
      </c>
      <c r="P755" s="4">
        <v>1</v>
      </c>
      <c r="Q755" s="2">
        <v>4.9000000000000004</v>
      </c>
      <c r="R755" t="str">
        <f>IF(BBDD_fashion_boutique[[#This Row],[stock_quantity]]&gt;9,"Ok",IF(BBDD_fashion_boutique[[#This Row],[stock_quantity]]=0,"Agotado","Pocas Unidades"))</f>
        <v>Pocas Unidades</v>
      </c>
      <c r="S755" s="3">
        <f>IF(BBDD_fashion_boutique[[#This Row],[customer_rating]]="","No valorado",BBDD_fashion_boutique[[#This Row],[customer_rating]])</f>
        <v>4.9000000000000004</v>
      </c>
      <c r="T755" t="s">
        <v>24</v>
      </c>
      <c r="V755">
        <f>IF(BBDD_fashion_boutique[[#This Row],[is_returned]]="False",0,1)</f>
        <v>0</v>
      </c>
      <c r="W755">
        <f>IF(BBDD_fashion_boutique[[#This Row],[is_returned]]="True",0,BBDD_fashion_boutique[[#This Row],[current_price]])</f>
        <v>127.59</v>
      </c>
      <c r="X755" t="str">
        <f>IF(BBDD_fashion_boutique[[#This Row],[return_reason]]="","No return",BBDD_fashion_boutique[[#This Row],[return_reason]])</f>
        <v>No return</v>
      </c>
      <c r="Y755">
        <f>IF(IFERROR(VLOOKUP(BBDD_fashion_boutique[[#This Row],[product_id]],A756:A2931,1,FALSE),0),1,0)</f>
        <v>0</v>
      </c>
    </row>
    <row r="756" spans="1:25" x14ac:dyDescent="0.3">
      <c r="A756" t="s">
        <v>815</v>
      </c>
      <c r="B756" t="s">
        <v>32</v>
      </c>
      <c r="C756" t="s">
        <v>59</v>
      </c>
      <c r="D756" t="s">
        <v>68</v>
      </c>
      <c r="F756" t="str">
        <f>IF(BBDD_fashion_boutique[[#This Row],[category]]="Accessories","Accesorio",IF(BBDD_fashion_boutique[[#This Row],[size]]="","Desconocido",BBDD_fashion_boutique[[#This Row],[size]]))</f>
        <v>Accesorio</v>
      </c>
      <c r="G756" t="s">
        <v>70</v>
      </c>
      <c r="H756" s="2">
        <v>73.040000000000006</v>
      </c>
      <c r="I756">
        <v>0</v>
      </c>
      <c r="J756" s="5">
        <f>BBDD_fashion_boutique[[#This Row],[markdown_percentage]]/100</f>
        <v>0</v>
      </c>
      <c r="K756" s="2">
        <v>73.040000000000006</v>
      </c>
      <c r="L756" s="2">
        <f>BBDD_fashion_boutique[[#This Row],[original_price]]-BBDD_fashion_boutique[[#This Row],[current_price]]</f>
        <v>0</v>
      </c>
      <c r="M756" s="1">
        <v>45875</v>
      </c>
      <c r="N756" s="1" t="str">
        <f>PROPER(TEXT(BBDD_fashion_boutique[[#This Row],[purchase_date]],"dddd"))</f>
        <v>Miércoles</v>
      </c>
      <c r="O756" s="1" t="str">
        <f>PROPER(TEXT(BBDD_fashion_boutique[[#This Row],[purchase_date]],"mmmm"))</f>
        <v>Agosto</v>
      </c>
      <c r="P756" s="4">
        <v>44</v>
      </c>
      <c r="Q756" s="2">
        <v>4.2</v>
      </c>
      <c r="R756" t="str">
        <f>IF(BBDD_fashion_boutique[[#This Row],[stock_quantity]]&gt;9,"Ok",IF(BBDD_fashion_boutique[[#This Row],[stock_quantity]]=0,"Agotado","Pocas Unidades"))</f>
        <v>Ok</v>
      </c>
      <c r="S756" s="3">
        <f>IF(BBDD_fashion_boutique[[#This Row],[customer_rating]]="","No valorado",BBDD_fashion_boutique[[#This Row],[customer_rating]])</f>
        <v>4.2</v>
      </c>
      <c r="T756" t="s">
        <v>24</v>
      </c>
      <c r="V756">
        <f>IF(BBDD_fashion_boutique[[#This Row],[is_returned]]="False",0,1)</f>
        <v>0</v>
      </c>
      <c r="W756">
        <f>IF(BBDD_fashion_boutique[[#This Row],[is_returned]]="True",0,BBDD_fashion_boutique[[#This Row],[current_price]])</f>
        <v>73.040000000000006</v>
      </c>
      <c r="X756" t="str">
        <f>IF(BBDD_fashion_boutique[[#This Row],[return_reason]]="","No return",BBDD_fashion_boutique[[#This Row],[return_reason]])</f>
        <v>No return</v>
      </c>
      <c r="Y756">
        <f>IF(IFERROR(VLOOKUP(BBDD_fashion_boutique[[#This Row],[product_id]],A757:A2932,1,FALSE),0),1,0)</f>
        <v>0</v>
      </c>
    </row>
    <row r="757" spans="1:25" x14ac:dyDescent="0.3">
      <c r="A757" t="s">
        <v>816</v>
      </c>
      <c r="B757" t="s">
        <v>19</v>
      </c>
      <c r="C757" t="s">
        <v>27</v>
      </c>
      <c r="D757" t="s">
        <v>28</v>
      </c>
      <c r="E757" t="s">
        <v>22</v>
      </c>
      <c r="F757" t="str">
        <f>IF(BBDD_fashion_boutique[[#This Row],[category]]="Accessories","Accesorio",IF(BBDD_fashion_boutique[[#This Row],[size]]="","Desconocido",BBDD_fashion_boutique[[#This Row],[size]]))</f>
        <v>XL</v>
      </c>
      <c r="G757" t="s">
        <v>62</v>
      </c>
      <c r="H757" s="2">
        <v>129.46</v>
      </c>
      <c r="I757">
        <v>0</v>
      </c>
      <c r="J757" s="5">
        <f>BBDD_fashion_boutique[[#This Row],[markdown_percentage]]/100</f>
        <v>0</v>
      </c>
      <c r="K757" s="2">
        <v>129.46</v>
      </c>
      <c r="L757" s="2">
        <f>BBDD_fashion_boutique[[#This Row],[original_price]]-BBDD_fashion_boutique[[#This Row],[current_price]]</f>
        <v>0</v>
      </c>
      <c r="M757" s="1">
        <v>45875</v>
      </c>
      <c r="N757" s="1" t="str">
        <f>PROPER(TEXT(BBDD_fashion_boutique[[#This Row],[purchase_date]],"dddd"))</f>
        <v>Miércoles</v>
      </c>
      <c r="O757" s="1" t="str">
        <f>PROPER(TEXT(BBDD_fashion_boutique[[#This Row],[purchase_date]],"mmmm"))</f>
        <v>Agosto</v>
      </c>
      <c r="P757" s="4">
        <v>32</v>
      </c>
      <c r="Q757" s="2">
        <v>4</v>
      </c>
      <c r="R757" t="str">
        <f>IF(BBDD_fashion_boutique[[#This Row],[stock_quantity]]&gt;9,"Ok",IF(BBDD_fashion_boutique[[#This Row],[stock_quantity]]=0,"Agotado","Pocas Unidades"))</f>
        <v>Ok</v>
      </c>
      <c r="S757" s="3">
        <f>IF(BBDD_fashion_boutique[[#This Row],[customer_rating]]="","No valorado",BBDD_fashion_boutique[[#This Row],[customer_rating]])</f>
        <v>4</v>
      </c>
      <c r="T757" t="s">
        <v>24</v>
      </c>
      <c r="V757">
        <f>IF(BBDD_fashion_boutique[[#This Row],[is_returned]]="False",0,1)</f>
        <v>0</v>
      </c>
      <c r="W757">
        <f>IF(BBDD_fashion_boutique[[#This Row],[is_returned]]="True",0,BBDD_fashion_boutique[[#This Row],[current_price]])</f>
        <v>129.46</v>
      </c>
      <c r="X757" t="str">
        <f>IF(BBDD_fashion_boutique[[#This Row],[return_reason]]="","No return",BBDD_fashion_boutique[[#This Row],[return_reason]])</f>
        <v>No return</v>
      </c>
      <c r="Y757">
        <f>IF(IFERROR(VLOOKUP(BBDD_fashion_boutique[[#This Row],[product_id]],A758:A2933,1,FALSE),0),1,0)</f>
        <v>0</v>
      </c>
    </row>
    <row r="758" spans="1:25" x14ac:dyDescent="0.3">
      <c r="A758" t="s">
        <v>817</v>
      </c>
      <c r="B758" t="s">
        <v>32</v>
      </c>
      <c r="C758" t="s">
        <v>37</v>
      </c>
      <c r="D758" t="s">
        <v>28</v>
      </c>
      <c r="F758" t="str">
        <f>IF(BBDD_fashion_boutique[[#This Row],[category]]="Accessories","Accesorio",IF(BBDD_fashion_boutique[[#This Row],[size]]="","Desconocido",BBDD_fashion_boutique[[#This Row],[size]]))</f>
        <v>Accesorio</v>
      </c>
      <c r="G758" t="s">
        <v>40</v>
      </c>
      <c r="H758" s="2">
        <v>51.3</v>
      </c>
      <c r="I758">
        <v>0</v>
      </c>
      <c r="J758" s="5">
        <f>BBDD_fashion_boutique[[#This Row],[markdown_percentage]]/100</f>
        <v>0</v>
      </c>
      <c r="K758" s="2">
        <v>51.3</v>
      </c>
      <c r="L758" s="2">
        <f>BBDD_fashion_boutique[[#This Row],[original_price]]-BBDD_fashion_boutique[[#This Row],[current_price]]</f>
        <v>0</v>
      </c>
      <c r="M758" s="1">
        <v>45875</v>
      </c>
      <c r="N758" s="1" t="str">
        <f>PROPER(TEXT(BBDD_fashion_boutique[[#This Row],[purchase_date]],"dddd"))</f>
        <v>Miércoles</v>
      </c>
      <c r="O758" s="1" t="str">
        <f>PROPER(TEXT(BBDD_fashion_boutique[[#This Row],[purchase_date]],"mmmm"))</f>
        <v>Agosto</v>
      </c>
      <c r="P758" s="4">
        <v>33</v>
      </c>
      <c r="R758" t="str">
        <f>IF(BBDD_fashion_boutique[[#This Row],[stock_quantity]]&gt;9,"Ok",IF(BBDD_fashion_boutique[[#This Row],[stock_quantity]]=0,"Agotado","Pocas Unidades"))</f>
        <v>Ok</v>
      </c>
      <c r="S758" s="3" t="str">
        <f>IF(BBDD_fashion_boutique[[#This Row],[customer_rating]]="","No valorado",BBDD_fashion_boutique[[#This Row],[customer_rating]])</f>
        <v>No valorado</v>
      </c>
      <c r="T758" t="s">
        <v>24</v>
      </c>
      <c r="V758">
        <f>IF(BBDD_fashion_boutique[[#This Row],[is_returned]]="False",0,1)</f>
        <v>0</v>
      </c>
      <c r="W758">
        <f>IF(BBDD_fashion_boutique[[#This Row],[is_returned]]="True",0,BBDD_fashion_boutique[[#This Row],[current_price]])</f>
        <v>51.3</v>
      </c>
      <c r="X758" t="str">
        <f>IF(BBDD_fashion_boutique[[#This Row],[return_reason]]="","No return",BBDD_fashion_boutique[[#This Row],[return_reason]])</f>
        <v>No return</v>
      </c>
      <c r="Y758">
        <f>IF(IFERROR(VLOOKUP(BBDD_fashion_boutique[[#This Row],[product_id]],A759:A2934,1,FALSE),0),1,0)</f>
        <v>0</v>
      </c>
    </row>
    <row r="759" spans="1:25" x14ac:dyDescent="0.3">
      <c r="A759" t="s">
        <v>818</v>
      </c>
      <c r="B759" t="s">
        <v>48</v>
      </c>
      <c r="C759" t="s">
        <v>54</v>
      </c>
      <c r="D759" t="s">
        <v>21</v>
      </c>
      <c r="E759" t="s">
        <v>29</v>
      </c>
      <c r="F759" t="str">
        <f>IF(BBDD_fashion_boutique[[#This Row],[category]]="Accessories","Accesorio",IF(BBDD_fashion_boutique[[#This Row],[size]]="","Desconocido",BBDD_fashion_boutique[[#This Row],[size]]))</f>
        <v>L</v>
      </c>
      <c r="G759" t="s">
        <v>46</v>
      </c>
      <c r="H759" s="2">
        <v>173</v>
      </c>
      <c r="I759">
        <v>0</v>
      </c>
      <c r="J759" s="5">
        <f>BBDD_fashion_boutique[[#This Row],[markdown_percentage]]/100</f>
        <v>0</v>
      </c>
      <c r="K759" s="2">
        <v>173</v>
      </c>
      <c r="L759" s="2">
        <f>BBDD_fashion_boutique[[#This Row],[original_price]]-BBDD_fashion_boutique[[#This Row],[current_price]]</f>
        <v>0</v>
      </c>
      <c r="M759" s="1">
        <v>45759</v>
      </c>
      <c r="N759" s="1" t="str">
        <f>PROPER(TEXT(BBDD_fashion_boutique[[#This Row],[purchase_date]],"dddd"))</f>
        <v>Sábado</v>
      </c>
      <c r="O759" s="1" t="str">
        <f>PROPER(TEXT(BBDD_fashion_boutique[[#This Row],[purchase_date]],"mmmm"))</f>
        <v>Abril</v>
      </c>
      <c r="P759" s="4">
        <v>13</v>
      </c>
      <c r="Q759" s="2">
        <v>3.9</v>
      </c>
      <c r="R759" t="str">
        <f>IF(BBDD_fashion_boutique[[#This Row],[stock_quantity]]&gt;9,"Ok",IF(BBDD_fashion_boutique[[#This Row],[stock_quantity]]=0,"Agotado","Pocas Unidades"))</f>
        <v>Ok</v>
      </c>
      <c r="S759" s="3">
        <f>IF(BBDD_fashion_boutique[[#This Row],[customer_rating]]="","No valorado",BBDD_fashion_boutique[[#This Row],[customer_rating]])</f>
        <v>3.9</v>
      </c>
      <c r="T759" t="s">
        <v>24</v>
      </c>
      <c r="V759">
        <f>IF(BBDD_fashion_boutique[[#This Row],[is_returned]]="False",0,1)</f>
        <v>0</v>
      </c>
      <c r="W759">
        <f>IF(BBDD_fashion_boutique[[#This Row],[is_returned]]="True",0,BBDD_fashion_boutique[[#This Row],[current_price]])</f>
        <v>173</v>
      </c>
      <c r="X759" t="str">
        <f>IF(BBDD_fashion_boutique[[#This Row],[return_reason]]="","No return",BBDD_fashion_boutique[[#This Row],[return_reason]])</f>
        <v>No return</v>
      </c>
      <c r="Y759">
        <f>IF(IFERROR(VLOOKUP(BBDD_fashion_boutique[[#This Row],[product_id]],A760:A2935,1,FALSE),0),1,0)</f>
        <v>0</v>
      </c>
    </row>
    <row r="760" spans="1:25" x14ac:dyDescent="0.3">
      <c r="A760" t="s">
        <v>819</v>
      </c>
      <c r="B760" t="s">
        <v>32</v>
      </c>
      <c r="C760" t="s">
        <v>27</v>
      </c>
      <c r="D760" t="s">
        <v>68</v>
      </c>
      <c r="F760" t="str">
        <f>IF(BBDD_fashion_boutique[[#This Row],[category]]="Accessories","Accesorio",IF(BBDD_fashion_boutique[[#This Row],[size]]="","Desconocido",BBDD_fashion_boutique[[#This Row],[size]]))</f>
        <v>Accesorio</v>
      </c>
      <c r="G760" t="s">
        <v>52</v>
      </c>
      <c r="H760" s="2">
        <v>70.72</v>
      </c>
      <c r="I760">
        <v>0</v>
      </c>
      <c r="J760" s="5">
        <f>BBDD_fashion_boutique[[#This Row],[markdown_percentage]]/100</f>
        <v>0</v>
      </c>
      <c r="K760" s="2">
        <v>70.72</v>
      </c>
      <c r="L760" s="2">
        <f>BBDD_fashion_boutique[[#This Row],[original_price]]-BBDD_fashion_boutique[[#This Row],[current_price]]</f>
        <v>0</v>
      </c>
      <c r="M760" s="1">
        <v>45875</v>
      </c>
      <c r="N760" s="1" t="str">
        <f>PROPER(TEXT(BBDD_fashion_boutique[[#This Row],[purchase_date]],"dddd"))</f>
        <v>Miércoles</v>
      </c>
      <c r="O760" s="1" t="str">
        <f>PROPER(TEXT(BBDD_fashion_boutique[[#This Row],[purchase_date]],"mmmm"))</f>
        <v>Agosto</v>
      </c>
      <c r="P760" s="4">
        <v>18</v>
      </c>
      <c r="Q760" s="2">
        <v>2.8</v>
      </c>
      <c r="R760" t="str">
        <f>IF(BBDD_fashion_boutique[[#This Row],[stock_quantity]]&gt;9,"Ok",IF(BBDD_fashion_boutique[[#This Row],[stock_quantity]]=0,"Agotado","Pocas Unidades"))</f>
        <v>Ok</v>
      </c>
      <c r="S760" s="3">
        <f>IF(BBDD_fashion_boutique[[#This Row],[customer_rating]]="","No valorado",BBDD_fashion_boutique[[#This Row],[customer_rating]])</f>
        <v>2.8</v>
      </c>
      <c r="T760" t="s">
        <v>24</v>
      </c>
      <c r="V760">
        <f>IF(BBDD_fashion_boutique[[#This Row],[is_returned]]="False",0,1)</f>
        <v>0</v>
      </c>
      <c r="W760">
        <f>IF(BBDD_fashion_boutique[[#This Row],[is_returned]]="True",0,BBDD_fashion_boutique[[#This Row],[current_price]])</f>
        <v>70.72</v>
      </c>
      <c r="X760" t="str">
        <f>IF(BBDD_fashion_boutique[[#This Row],[return_reason]]="","No return",BBDD_fashion_boutique[[#This Row],[return_reason]])</f>
        <v>No return</v>
      </c>
      <c r="Y760">
        <f>IF(IFERROR(VLOOKUP(BBDD_fashion_boutique[[#This Row],[product_id]],A761:A2936,1,FALSE),0),1,0)</f>
        <v>0</v>
      </c>
    </row>
    <row r="761" spans="1:25" x14ac:dyDescent="0.3">
      <c r="A761" t="s">
        <v>820</v>
      </c>
      <c r="B761" t="s">
        <v>48</v>
      </c>
      <c r="C761" t="s">
        <v>81</v>
      </c>
      <c r="D761" t="s">
        <v>68</v>
      </c>
      <c r="E761" t="s">
        <v>45</v>
      </c>
      <c r="F761" t="str">
        <f>IF(BBDD_fashion_boutique[[#This Row],[category]]="Accessories","Accesorio",IF(BBDD_fashion_boutique[[#This Row],[size]]="","Desconocido",BBDD_fashion_boutique[[#This Row],[size]]))</f>
        <v>S</v>
      </c>
      <c r="G761" t="s">
        <v>33</v>
      </c>
      <c r="H761" s="2">
        <v>126.37</v>
      </c>
      <c r="I761">
        <v>0</v>
      </c>
      <c r="J761" s="5">
        <f>BBDD_fashion_boutique[[#This Row],[markdown_percentage]]/100</f>
        <v>0</v>
      </c>
      <c r="K761" s="2">
        <v>126.37</v>
      </c>
      <c r="L761" s="2">
        <f>BBDD_fashion_boutique[[#This Row],[original_price]]-BBDD_fashion_boutique[[#This Row],[current_price]]</f>
        <v>0</v>
      </c>
      <c r="M761" s="1">
        <v>45875</v>
      </c>
      <c r="N761" s="1" t="str">
        <f>PROPER(TEXT(BBDD_fashion_boutique[[#This Row],[purchase_date]],"dddd"))</f>
        <v>Miércoles</v>
      </c>
      <c r="O761" s="1" t="str">
        <f>PROPER(TEXT(BBDD_fashion_boutique[[#This Row],[purchase_date]],"mmmm"))</f>
        <v>Agosto</v>
      </c>
      <c r="P761" s="4">
        <v>42</v>
      </c>
      <c r="Q761" s="2">
        <v>2</v>
      </c>
      <c r="R761" t="str">
        <f>IF(BBDD_fashion_boutique[[#This Row],[stock_quantity]]&gt;9,"Ok",IF(BBDD_fashion_boutique[[#This Row],[stock_quantity]]=0,"Agotado","Pocas Unidades"))</f>
        <v>Ok</v>
      </c>
      <c r="S761" s="3">
        <f>IF(BBDD_fashion_boutique[[#This Row],[customer_rating]]="","No valorado",BBDD_fashion_boutique[[#This Row],[customer_rating]])</f>
        <v>2</v>
      </c>
      <c r="T761" t="s">
        <v>24</v>
      </c>
      <c r="V761">
        <f>IF(BBDD_fashion_boutique[[#This Row],[is_returned]]="False",0,1)</f>
        <v>0</v>
      </c>
      <c r="W761">
        <f>IF(BBDD_fashion_boutique[[#This Row],[is_returned]]="True",0,BBDD_fashion_boutique[[#This Row],[current_price]])</f>
        <v>126.37</v>
      </c>
      <c r="X761" t="str">
        <f>IF(BBDD_fashion_boutique[[#This Row],[return_reason]]="","No return",BBDD_fashion_boutique[[#This Row],[return_reason]])</f>
        <v>No return</v>
      </c>
      <c r="Y761">
        <f>IF(IFERROR(VLOOKUP(BBDD_fashion_boutique[[#This Row],[product_id]],A762:A2937,1,FALSE),0),1,0)</f>
        <v>0</v>
      </c>
    </row>
    <row r="762" spans="1:25" x14ac:dyDescent="0.3">
      <c r="A762" t="s">
        <v>821</v>
      </c>
      <c r="B762" t="s">
        <v>44</v>
      </c>
      <c r="C762" t="s">
        <v>20</v>
      </c>
      <c r="D762" t="s">
        <v>28</v>
      </c>
      <c r="E762" t="s">
        <v>55</v>
      </c>
      <c r="F762" t="str">
        <f>IF(BBDD_fashion_boutique[[#This Row],[category]]="Accessories","Accesorio",IF(BBDD_fashion_boutique[[#This Row],[size]]="","Desconocido",BBDD_fashion_boutique[[#This Row],[size]]))</f>
        <v>XXL</v>
      </c>
      <c r="G762" t="s">
        <v>50</v>
      </c>
      <c r="H762" s="2">
        <v>84.19</v>
      </c>
      <c r="I762">
        <v>9.6</v>
      </c>
      <c r="J762" s="5">
        <f>BBDD_fashion_boutique[[#This Row],[markdown_percentage]]/100</f>
        <v>9.6000000000000002E-2</v>
      </c>
      <c r="K762" s="2">
        <v>76.11</v>
      </c>
      <c r="L762" s="2">
        <f>BBDD_fashion_boutique[[#This Row],[original_price]]-BBDD_fashion_boutique[[#This Row],[current_price]]</f>
        <v>8.0799999999999983</v>
      </c>
      <c r="M762" s="1">
        <v>45875</v>
      </c>
      <c r="N762" s="1" t="str">
        <f>PROPER(TEXT(BBDD_fashion_boutique[[#This Row],[purchase_date]],"dddd"))</f>
        <v>Miércoles</v>
      </c>
      <c r="O762" s="1" t="str">
        <f>PROPER(TEXT(BBDD_fashion_boutique[[#This Row],[purchase_date]],"mmmm"))</f>
        <v>Agosto</v>
      </c>
      <c r="P762" s="4">
        <v>45</v>
      </c>
      <c r="Q762" s="2">
        <v>2.1</v>
      </c>
      <c r="R762" t="str">
        <f>IF(BBDD_fashion_boutique[[#This Row],[stock_quantity]]&gt;9,"Ok",IF(BBDD_fashion_boutique[[#This Row],[stock_quantity]]=0,"Agotado","Pocas Unidades"))</f>
        <v>Ok</v>
      </c>
      <c r="S762" s="3">
        <f>IF(BBDD_fashion_boutique[[#This Row],[customer_rating]]="","No valorado",BBDD_fashion_boutique[[#This Row],[customer_rating]])</f>
        <v>2.1</v>
      </c>
      <c r="T762" t="s">
        <v>24</v>
      </c>
      <c r="V762">
        <f>IF(BBDD_fashion_boutique[[#This Row],[is_returned]]="False",0,1)</f>
        <v>0</v>
      </c>
      <c r="W762">
        <f>IF(BBDD_fashion_boutique[[#This Row],[is_returned]]="True",0,BBDD_fashion_boutique[[#This Row],[current_price]])</f>
        <v>76.11</v>
      </c>
      <c r="X762" t="str">
        <f>IF(BBDD_fashion_boutique[[#This Row],[return_reason]]="","No return",BBDD_fashion_boutique[[#This Row],[return_reason]])</f>
        <v>No return</v>
      </c>
      <c r="Y762">
        <f>IF(IFERROR(VLOOKUP(BBDD_fashion_boutique[[#This Row],[product_id]],A763:A2938,1,FALSE),0),1,0)</f>
        <v>0</v>
      </c>
    </row>
    <row r="763" spans="1:25" x14ac:dyDescent="0.3">
      <c r="A763" t="s">
        <v>822</v>
      </c>
      <c r="B763" t="s">
        <v>32</v>
      </c>
      <c r="C763" t="s">
        <v>81</v>
      </c>
      <c r="D763" t="s">
        <v>68</v>
      </c>
      <c r="F763" t="str">
        <f>IF(BBDD_fashion_boutique[[#This Row],[category]]="Accessories","Accesorio",IF(BBDD_fashion_boutique[[#This Row],[size]]="","Desconocido",BBDD_fashion_boutique[[#This Row],[size]]))</f>
        <v>Accesorio</v>
      </c>
      <c r="G763" t="s">
        <v>30</v>
      </c>
      <c r="H763" s="2">
        <v>59.39</v>
      </c>
      <c r="I763">
        <v>44.6</v>
      </c>
      <c r="J763" s="5">
        <f>BBDD_fashion_boutique[[#This Row],[markdown_percentage]]/100</f>
        <v>0.44600000000000001</v>
      </c>
      <c r="K763" s="2">
        <v>32.9</v>
      </c>
      <c r="L763" s="2">
        <f>BBDD_fashion_boutique[[#This Row],[original_price]]-BBDD_fashion_boutique[[#This Row],[current_price]]</f>
        <v>26.490000000000002</v>
      </c>
      <c r="M763" s="1">
        <v>45875</v>
      </c>
      <c r="N763" s="1" t="str">
        <f>PROPER(TEXT(BBDD_fashion_boutique[[#This Row],[purchase_date]],"dddd"))</f>
        <v>Miércoles</v>
      </c>
      <c r="O763" s="1" t="str">
        <f>PROPER(TEXT(BBDD_fashion_boutique[[#This Row],[purchase_date]],"mmmm"))</f>
        <v>Agosto</v>
      </c>
      <c r="P763" s="4">
        <v>41</v>
      </c>
      <c r="Q763" s="2">
        <v>2.2999999999999998</v>
      </c>
      <c r="R763" t="str">
        <f>IF(BBDD_fashion_boutique[[#This Row],[stock_quantity]]&gt;9,"Ok",IF(BBDD_fashion_boutique[[#This Row],[stock_quantity]]=0,"Agotado","Pocas Unidades"))</f>
        <v>Ok</v>
      </c>
      <c r="S763" s="3">
        <f>IF(BBDD_fashion_boutique[[#This Row],[customer_rating]]="","No valorado",BBDD_fashion_boutique[[#This Row],[customer_rating]])</f>
        <v>2.2999999999999998</v>
      </c>
      <c r="T763" t="s">
        <v>41</v>
      </c>
      <c r="U763" t="s">
        <v>42</v>
      </c>
      <c r="V763">
        <f>IF(BBDD_fashion_boutique[[#This Row],[is_returned]]="False",0,1)</f>
        <v>1</v>
      </c>
      <c r="W763">
        <f>IF(BBDD_fashion_boutique[[#This Row],[is_returned]]="True",0,BBDD_fashion_boutique[[#This Row],[current_price]])</f>
        <v>0</v>
      </c>
      <c r="X763" t="str">
        <f>IF(BBDD_fashion_boutique[[#This Row],[return_reason]]="","No return",BBDD_fashion_boutique[[#This Row],[return_reason]])</f>
        <v>Color Mismatch</v>
      </c>
      <c r="Y763">
        <f>IF(IFERROR(VLOOKUP(BBDD_fashion_boutique[[#This Row],[product_id]],A764:A2939,1,FALSE),0),1,0)</f>
        <v>0</v>
      </c>
    </row>
    <row r="764" spans="1:25" x14ac:dyDescent="0.3">
      <c r="A764" t="s">
        <v>823</v>
      </c>
      <c r="B764" t="s">
        <v>19</v>
      </c>
      <c r="C764" t="s">
        <v>49</v>
      </c>
      <c r="D764" t="s">
        <v>39</v>
      </c>
      <c r="E764" t="s">
        <v>64</v>
      </c>
      <c r="F764" t="str">
        <f>IF(BBDD_fashion_boutique[[#This Row],[category]]="Accessories","Accesorio",IF(BBDD_fashion_boutique[[#This Row],[size]]="","Desconocido",BBDD_fashion_boutique[[#This Row],[size]]))</f>
        <v>M</v>
      </c>
      <c r="G764" t="s">
        <v>52</v>
      </c>
      <c r="H764" s="2">
        <v>195.38</v>
      </c>
      <c r="I764">
        <v>0.3</v>
      </c>
      <c r="J764" s="5">
        <f>BBDD_fashion_boutique[[#This Row],[markdown_percentage]]/100</f>
        <v>3.0000000000000001E-3</v>
      </c>
      <c r="K764" s="2">
        <v>194.79</v>
      </c>
      <c r="L764" s="2">
        <f>BBDD_fashion_boutique[[#This Row],[original_price]]-BBDD_fashion_boutique[[#This Row],[current_price]]</f>
        <v>0.59000000000000341</v>
      </c>
      <c r="M764" s="1">
        <v>45875</v>
      </c>
      <c r="N764" s="1" t="str">
        <f>PROPER(TEXT(BBDD_fashion_boutique[[#This Row],[purchase_date]],"dddd"))</f>
        <v>Miércoles</v>
      </c>
      <c r="O764" s="1" t="str">
        <f>PROPER(TEXT(BBDD_fashion_boutique[[#This Row],[purchase_date]],"mmmm"))</f>
        <v>Agosto</v>
      </c>
      <c r="P764" s="4">
        <v>30</v>
      </c>
      <c r="Q764" s="2">
        <v>2.9</v>
      </c>
      <c r="R764" t="str">
        <f>IF(BBDD_fashion_boutique[[#This Row],[stock_quantity]]&gt;9,"Ok",IF(BBDD_fashion_boutique[[#This Row],[stock_quantity]]=0,"Agotado","Pocas Unidades"))</f>
        <v>Ok</v>
      </c>
      <c r="S764" s="3">
        <f>IF(BBDD_fashion_boutique[[#This Row],[customer_rating]]="","No valorado",BBDD_fashion_boutique[[#This Row],[customer_rating]])</f>
        <v>2.9</v>
      </c>
      <c r="T764" t="s">
        <v>24</v>
      </c>
      <c r="V764">
        <f>IF(BBDD_fashion_boutique[[#This Row],[is_returned]]="False",0,1)</f>
        <v>0</v>
      </c>
      <c r="W764">
        <f>IF(BBDD_fashion_boutique[[#This Row],[is_returned]]="True",0,BBDD_fashion_boutique[[#This Row],[current_price]])</f>
        <v>194.79</v>
      </c>
      <c r="X764" t="str">
        <f>IF(BBDD_fashion_boutique[[#This Row],[return_reason]]="","No return",BBDD_fashion_boutique[[#This Row],[return_reason]])</f>
        <v>No return</v>
      </c>
      <c r="Y764">
        <f>IF(IFERROR(VLOOKUP(BBDD_fashion_boutique[[#This Row],[product_id]],A765:A2940,1,FALSE),0),1,0)</f>
        <v>0</v>
      </c>
    </row>
    <row r="765" spans="1:25" x14ac:dyDescent="0.3">
      <c r="A765" t="s">
        <v>824</v>
      </c>
      <c r="B765" t="s">
        <v>48</v>
      </c>
      <c r="C765" t="s">
        <v>67</v>
      </c>
      <c r="D765" t="s">
        <v>21</v>
      </c>
      <c r="E765" t="s">
        <v>45</v>
      </c>
      <c r="F765" t="str">
        <f>IF(BBDD_fashion_boutique[[#This Row],[category]]="Accessories","Accesorio",IF(BBDD_fashion_boutique[[#This Row],[size]]="","Desconocido",BBDD_fashion_boutique[[#This Row],[size]]))</f>
        <v>S</v>
      </c>
      <c r="G765" t="s">
        <v>40</v>
      </c>
      <c r="H765" s="2">
        <v>107.64</v>
      </c>
      <c r="I765">
        <v>7.5</v>
      </c>
      <c r="J765" s="5">
        <f>BBDD_fashion_boutique[[#This Row],[markdown_percentage]]/100</f>
        <v>7.4999999999999997E-2</v>
      </c>
      <c r="K765" s="2">
        <v>99.57</v>
      </c>
      <c r="L765" s="2">
        <f>BBDD_fashion_boutique[[#This Row],[original_price]]-BBDD_fashion_boutique[[#This Row],[current_price]]</f>
        <v>8.0700000000000074</v>
      </c>
      <c r="M765" s="1">
        <v>45545</v>
      </c>
      <c r="N765" s="1" t="str">
        <f>PROPER(TEXT(BBDD_fashion_boutique[[#This Row],[purchase_date]],"dddd"))</f>
        <v>Martes</v>
      </c>
      <c r="O765" s="1" t="str">
        <f>PROPER(TEXT(BBDD_fashion_boutique[[#This Row],[purchase_date]],"mmmm"))</f>
        <v>Septiembre</v>
      </c>
      <c r="P765" s="4">
        <v>21</v>
      </c>
      <c r="Q765" s="2">
        <v>4.5999999999999996</v>
      </c>
      <c r="R765" t="str">
        <f>IF(BBDD_fashion_boutique[[#This Row],[stock_quantity]]&gt;9,"Ok",IF(BBDD_fashion_boutique[[#This Row],[stock_quantity]]=0,"Agotado","Pocas Unidades"))</f>
        <v>Ok</v>
      </c>
      <c r="S765" s="3">
        <f>IF(BBDD_fashion_boutique[[#This Row],[customer_rating]]="","No valorado",BBDD_fashion_boutique[[#This Row],[customer_rating]])</f>
        <v>4.5999999999999996</v>
      </c>
      <c r="T765" t="s">
        <v>24</v>
      </c>
      <c r="V765">
        <f>IF(BBDD_fashion_boutique[[#This Row],[is_returned]]="False",0,1)</f>
        <v>0</v>
      </c>
      <c r="W765">
        <f>IF(BBDD_fashion_boutique[[#This Row],[is_returned]]="True",0,BBDD_fashion_boutique[[#This Row],[current_price]])</f>
        <v>99.57</v>
      </c>
      <c r="X765" t="str">
        <f>IF(BBDD_fashion_boutique[[#This Row],[return_reason]]="","No return",BBDD_fashion_boutique[[#This Row],[return_reason]])</f>
        <v>No return</v>
      </c>
      <c r="Y765">
        <f>IF(IFERROR(VLOOKUP(BBDD_fashion_boutique[[#This Row],[product_id]],A766:A2941,1,FALSE),0),1,0)</f>
        <v>0</v>
      </c>
    </row>
    <row r="766" spans="1:25" x14ac:dyDescent="0.3">
      <c r="A766" t="s">
        <v>825</v>
      </c>
      <c r="B766" t="s">
        <v>35</v>
      </c>
      <c r="C766" t="s">
        <v>54</v>
      </c>
      <c r="D766" t="s">
        <v>21</v>
      </c>
      <c r="E766" t="s">
        <v>29</v>
      </c>
      <c r="F766" t="str">
        <f>IF(BBDD_fashion_boutique[[#This Row],[category]]="Accessories","Accesorio",IF(BBDD_fashion_boutique[[#This Row],[size]]="","Desconocido",BBDD_fashion_boutique[[#This Row],[size]]))</f>
        <v>L</v>
      </c>
      <c r="G766" t="s">
        <v>50</v>
      </c>
      <c r="H766" s="2">
        <v>63.12</v>
      </c>
      <c r="I766">
        <v>0</v>
      </c>
      <c r="J766" s="5">
        <f>BBDD_fashion_boutique[[#This Row],[markdown_percentage]]/100</f>
        <v>0</v>
      </c>
      <c r="K766" s="2">
        <v>63.12</v>
      </c>
      <c r="L766" s="2">
        <f>BBDD_fashion_boutique[[#This Row],[original_price]]-BBDD_fashion_boutique[[#This Row],[current_price]]</f>
        <v>0</v>
      </c>
      <c r="M766" s="1">
        <v>45604</v>
      </c>
      <c r="N766" s="1" t="str">
        <f>PROPER(TEXT(BBDD_fashion_boutique[[#This Row],[purchase_date]],"dddd"))</f>
        <v>Viernes</v>
      </c>
      <c r="O766" s="1" t="str">
        <f>PROPER(TEXT(BBDD_fashion_boutique[[#This Row],[purchase_date]],"mmmm"))</f>
        <v>Noviembre</v>
      </c>
      <c r="P766" s="4">
        <v>35</v>
      </c>
      <c r="Q766" s="2">
        <v>2.9</v>
      </c>
      <c r="R766" t="str">
        <f>IF(BBDD_fashion_boutique[[#This Row],[stock_quantity]]&gt;9,"Ok",IF(BBDD_fashion_boutique[[#This Row],[stock_quantity]]=0,"Agotado","Pocas Unidades"))</f>
        <v>Ok</v>
      </c>
      <c r="S766" s="3">
        <f>IF(BBDD_fashion_boutique[[#This Row],[customer_rating]]="","No valorado",BBDD_fashion_boutique[[#This Row],[customer_rating]])</f>
        <v>2.9</v>
      </c>
      <c r="T766" t="s">
        <v>24</v>
      </c>
      <c r="V766">
        <f>IF(BBDD_fashion_boutique[[#This Row],[is_returned]]="False",0,1)</f>
        <v>0</v>
      </c>
      <c r="W766">
        <f>IF(BBDD_fashion_boutique[[#This Row],[is_returned]]="True",0,BBDD_fashion_boutique[[#This Row],[current_price]])</f>
        <v>63.12</v>
      </c>
      <c r="X766" t="str">
        <f>IF(BBDD_fashion_boutique[[#This Row],[return_reason]]="","No return",BBDD_fashion_boutique[[#This Row],[return_reason]])</f>
        <v>No return</v>
      </c>
      <c r="Y766">
        <f>IF(IFERROR(VLOOKUP(BBDD_fashion_boutique[[#This Row],[product_id]],A767:A2942,1,FALSE),0),1,0)</f>
        <v>0</v>
      </c>
    </row>
    <row r="767" spans="1:25" x14ac:dyDescent="0.3">
      <c r="A767" t="s">
        <v>826</v>
      </c>
      <c r="B767" t="s">
        <v>44</v>
      </c>
      <c r="C767" t="s">
        <v>67</v>
      </c>
      <c r="D767" t="s">
        <v>39</v>
      </c>
      <c r="E767" t="s">
        <v>29</v>
      </c>
      <c r="F767" t="str">
        <f>IF(BBDD_fashion_boutique[[#This Row],[category]]="Accessories","Accesorio",IF(BBDD_fashion_boutique[[#This Row],[size]]="","Desconocido",BBDD_fashion_boutique[[#This Row],[size]]))</f>
        <v>L</v>
      </c>
      <c r="G767" t="s">
        <v>50</v>
      </c>
      <c r="H767" s="2">
        <v>58.91</v>
      </c>
      <c r="I767">
        <v>0</v>
      </c>
      <c r="J767" s="5">
        <f>BBDD_fashion_boutique[[#This Row],[markdown_percentage]]/100</f>
        <v>0</v>
      </c>
      <c r="K767" s="2">
        <v>58.91</v>
      </c>
      <c r="L767" s="2">
        <f>BBDD_fashion_boutique[[#This Row],[original_price]]-BBDD_fashion_boutique[[#This Row],[current_price]]</f>
        <v>0</v>
      </c>
      <c r="M767" s="1">
        <v>45875</v>
      </c>
      <c r="N767" s="1" t="str">
        <f>PROPER(TEXT(BBDD_fashion_boutique[[#This Row],[purchase_date]],"dddd"))</f>
        <v>Miércoles</v>
      </c>
      <c r="O767" s="1" t="str">
        <f>PROPER(TEXT(BBDD_fashion_boutique[[#This Row],[purchase_date]],"mmmm"))</f>
        <v>Agosto</v>
      </c>
      <c r="P767" s="4">
        <v>17</v>
      </c>
      <c r="Q767" s="2">
        <v>2</v>
      </c>
      <c r="R767" t="str">
        <f>IF(BBDD_fashion_boutique[[#This Row],[stock_quantity]]&gt;9,"Ok",IF(BBDD_fashion_boutique[[#This Row],[stock_quantity]]=0,"Agotado","Pocas Unidades"))</f>
        <v>Ok</v>
      </c>
      <c r="S767" s="3">
        <f>IF(BBDD_fashion_boutique[[#This Row],[customer_rating]]="","No valorado",BBDD_fashion_boutique[[#This Row],[customer_rating]])</f>
        <v>2</v>
      </c>
      <c r="T767" t="s">
        <v>24</v>
      </c>
      <c r="V767">
        <f>IF(BBDD_fashion_boutique[[#This Row],[is_returned]]="False",0,1)</f>
        <v>0</v>
      </c>
      <c r="W767">
        <f>IF(BBDD_fashion_boutique[[#This Row],[is_returned]]="True",0,BBDD_fashion_boutique[[#This Row],[current_price]])</f>
        <v>58.91</v>
      </c>
      <c r="X767" t="str">
        <f>IF(BBDD_fashion_boutique[[#This Row],[return_reason]]="","No return",BBDD_fashion_boutique[[#This Row],[return_reason]])</f>
        <v>No return</v>
      </c>
      <c r="Y767">
        <f>IF(IFERROR(VLOOKUP(BBDD_fashion_boutique[[#This Row],[product_id]],A768:A2943,1,FALSE),0),1,0)</f>
        <v>0</v>
      </c>
    </row>
    <row r="768" spans="1:25" x14ac:dyDescent="0.3">
      <c r="A768" t="s">
        <v>827</v>
      </c>
      <c r="B768" t="s">
        <v>44</v>
      </c>
      <c r="C768" t="s">
        <v>54</v>
      </c>
      <c r="D768" t="s">
        <v>68</v>
      </c>
      <c r="E768" t="s">
        <v>29</v>
      </c>
      <c r="F768" t="str">
        <f>IF(BBDD_fashion_boutique[[#This Row],[category]]="Accessories","Accesorio",IF(BBDD_fashion_boutique[[#This Row],[size]]="","Desconocido",BBDD_fashion_boutique[[#This Row],[size]]))</f>
        <v>L</v>
      </c>
      <c r="G768" t="s">
        <v>52</v>
      </c>
      <c r="H768" s="2">
        <v>93.27</v>
      </c>
      <c r="I768">
        <v>0</v>
      </c>
      <c r="J768" s="5">
        <f>BBDD_fashion_boutique[[#This Row],[markdown_percentage]]/100</f>
        <v>0</v>
      </c>
      <c r="K768" s="2">
        <v>93.27</v>
      </c>
      <c r="L768" s="2">
        <f>BBDD_fashion_boutique[[#This Row],[original_price]]-BBDD_fashion_boutique[[#This Row],[current_price]]</f>
        <v>0</v>
      </c>
      <c r="M768" s="1">
        <v>45875</v>
      </c>
      <c r="N768" s="1" t="str">
        <f>PROPER(TEXT(BBDD_fashion_boutique[[#This Row],[purchase_date]],"dddd"))</f>
        <v>Miércoles</v>
      </c>
      <c r="O768" s="1" t="str">
        <f>PROPER(TEXT(BBDD_fashion_boutique[[#This Row],[purchase_date]],"mmmm"))</f>
        <v>Agosto</v>
      </c>
      <c r="P768" s="4">
        <v>18</v>
      </c>
      <c r="Q768" s="2">
        <v>3.7</v>
      </c>
      <c r="R768" t="str">
        <f>IF(BBDD_fashion_boutique[[#This Row],[stock_quantity]]&gt;9,"Ok",IF(BBDD_fashion_boutique[[#This Row],[stock_quantity]]=0,"Agotado","Pocas Unidades"))</f>
        <v>Ok</v>
      </c>
      <c r="S768" s="3">
        <f>IF(BBDD_fashion_boutique[[#This Row],[customer_rating]]="","No valorado",BBDD_fashion_boutique[[#This Row],[customer_rating]])</f>
        <v>3.7</v>
      </c>
      <c r="T768" t="s">
        <v>24</v>
      </c>
      <c r="V768">
        <f>IF(BBDD_fashion_boutique[[#This Row],[is_returned]]="False",0,1)</f>
        <v>0</v>
      </c>
      <c r="W768">
        <f>IF(BBDD_fashion_boutique[[#This Row],[is_returned]]="True",0,BBDD_fashion_boutique[[#This Row],[current_price]])</f>
        <v>93.27</v>
      </c>
      <c r="X768" t="str">
        <f>IF(BBDD_fashion_boutique[[#This Row],[return_reason]]="","No return",BBDD_fashion_boutique[[#This Row],[return_reason]])</f>
        <v>No return</v>
      </c>
      <c r="Y768">
        <f>IF(IFERROR(VLOOKUP(BBDD_fashion_boutique[[#This Row],[product_id]],A769:A2944,1,FALSE),0),1,0)</f>
        <v>0</v>
      </c>
    </row>
    <row r="769" spans="1:25" x14ac:dyDescent="0.3">
      <c r="A769" t="s">
        <v>828</v>
      </c>
      <c r="B769" t="s">
        <v>48</v>
      </c>
      <c r="C769" t="s">
        <v>81</v>
      </c>
      <c r="D769" t="s">
        <v>21</v>
      </c>
      <c r="E769" t="s">
        <v>22</v>
      </c>
      <c r="F769" t="str">
        <f>IF(BBDD_fashion_boutique[[#This Row],[category]]="Accessories","Accesorio",IF(BBDD_fashion_boutique[[#This Row],[size]]="","Desconocido",BBDD_fashion_boutique[[#This Row],[size]]))</f>
        <v>XL</v>
      </c>
      <c r="G769" t="s">
        <v>52</v>
      </c>
      <c r="H769" s="2">
        <v>147.88</v>
      </c>
      <c r="I769">
        <v>36.799999999999997</v>
      </c>
      <c r="J769" s="5">
        <f>BBDD_fashion_boutique[[#This Row],[markdown_percentage]]/100</f>
        <v>0.36799999999999999</v>
      </c>
      <c r="K769" s="2">
        <v>93.46</v>
      </c>
      <c r="L769" s="2">
        <f>BBDD_fashion_boutique[[#This Row],[original_price]]-BBDD_fashion_boutique[[#This Row],[current_price]]</f>
        <v>54.42</v>
      </c>
      <c r="M769" s="1">
        <v>45543</v>
      </c>
      <c r="N769" s="1" t="str">
        <f>PROPER(TEXT(BBDD_fashion_boutique[[#This Row],[purchase_date]],"dddd"))</f>
        <v>Domingo</v>
      </c>
      <c r="O769" s="1" t="str">
        <f>PROPER(TEXT(BBDD_fashion_boutique[[#This Row],[purchase_date]],"mmmm"))</f>
        <v>Septiembre</v>
      </c>
      <c r="P769" s="4">
        <v>37</v>
      </c>
      <c r="Q769" s="2">
        <v>3.3</v>
      </c>
      <c r="R769" t="str">
        <f>IF(BBDD_fashion_boutique[[#This Row],[stock_quantity]]&gt;9,"Ok",IF(BBDD_fashion_boutique[[#This Row],[stock_quantity]]=0,"Agotado","Pocas Unidades"))</f>
        <v>Ok</v>
      </c>
      <c r="S769" s="3">
        <f>IF(BBDD_fashion_boutique[[#This Row],[customer_rating]]="","No valorado",BBDD_fashion_boutique[[#This Row],[customer_rating]])</f>
        <v>3.3</v>
      </c>
      <c r="T769" t="s">
        <v>24</v>
      </c>
      <c r="V769">
        <f>IF(BBDD_fashion_boutique[[#This Row],[is_returned]]="False",0,1)</f>
        <v>0</v>
      </c>
      <c r="W769">
        <f>IF(BBDD_fashion_boutique[[#This Row],[is_returned]]="True",0,BBDD_fashion_boutique[[#This Row],[current_price]])</f>
        <v>93.46</v>
      </c>
      <c r="X769" t="str">
        <f>IF(BBDD_fashion_boutique[[#This Row],[return_reason]]="","No return",BBDD_fashion_boutique[[#This Row],[return_reason]])</f>
        <v>No return</v>
      </c>
      <c r="Y769">
        <f>IF(IFERROR(VLOOKUP(BBDD_fashion_boutique[[#This Row],[product_id]],A770:A2945,1,FALSE),0),1,0)</f>
        <v>0</v>
      </c>
    </row>
    <row r="770" spans="1:25" x14ac:dyDescent="0.3">
      <c r="A770" t="s">
        <v>829</v>
      </c>
      <c r="B770" t="s">
        <v>26</v>
      </c>
      <c r="C770" t="s">
        <v>27</v>
      </c>
      <c r="D770" t="s">
        <v>39</v>
      </c>
      <c r="E770" t="s">
        <v>29</v>
      </c>
      <c r="F770" t="str">
        <f>IF(BBDD_fashion_boutique[[#This Row],[category]]="Accessories","Accesorio",IF(BBDD_fashion_boutique[[#This Row],[size]]="","Desconocido",BBDD_fashion_boutique[[#This Row],[size]]))</f>
        <v>L</v>
      </c>
      <c r="G770" t="s">
        <v>46</v>
      </c>
      <c r="H770" s="2">
        <v>30.53</v>
      </c>
      <c r="I770">
        <v>0</v>
      </c>
      <c r="J770" s="5">
        <f>BBDD_fashion_boutique[[#This Row],[markdown_percentage]]/100</f>
        <v>0</v>
      </c>
      <c r="K770" s="2">
        <v>30.53</v>
      </c>
      <c r="L770" s="2">
        <f>BBDD_fashion_boutique[[#This Row],[original_price]]-BBDD_fashion_boutique[[#This Row],[current_price]]</f>
        <v>0</v>
      </c>
      <c r="M770" s="1">
        <v>45875</v>
      </c>
      <c r="N770" s="1" t="str">
        <f>PROPER(TEXT(BBDD_fashion_boutique[[#This Row],[purchase_date]],"dddd"))</f>
        <v>Miércoles</v>
      </c>
      <c r="O770" s="1" t="str">
        <f>PROPER(TEXT(BBDD_fashion_boutique[[#This Row],[purchase_date]],"mmmm"))</f>
        <v>Agosto</v>
      </c>
      <c r="P770" s="4">
        <v>25</v>
      </c>
      <c r="Q770" s="2">
        <v>2.5</v>
      </c>
      <c r="R770" t="str">
        <f>IF(BBDD_fashion_boutique[[#This Row],[stock_quantity]]&gt;9,"Ok",IF(BBDD_fashion_boutique[[#This Row],[stock_quantity]]=0,"Agotado","Pocas Unidades"))</f>
        <v>Ok</v>
      </c>
      <c r="S770" s="3">
        <f>IF(BBDD_fashion_boutique[[#This Row],[customer_rating]]="","No valorado",BBDD_fashion_boutique[[#This Row],[customer_rating]])</f>
        <v>2.5</v>
      </c>
      <c r="T770" t="s">
        <v>24</v>
      </c>
      <c r="V770">
        <f>IF(BBDD_fashion_boutique[[#This Row],[is_returned]]="False",0,1)</f>
        <v>0</v>
      </c>
      <c r="W770">
        <f>IF(BBDD_fashion_boutique[[#This Row],[is_returned]]="True",0,BBDD_fashion_boutique[[#This Row],[current_price]])</f>
        <v>30.53</v>
      </c>
      <c r="X770" t="str">
        <f>IF(BBDD_fashion_boutique[[#This Row],[return_reason]]="","No return",BBDD_fashion_boutique[[#This Row],[return_reason]])</f>
        <v>No return</v>
      </c>
      <c r="Y770">
        <f>IF(IFERROR(VLOOKUP(BBDD_fashion_boutique[[#This Row],[product_id]],A771:A2946,1,FALSE),0),1,0)</f>
        <v>0</v>
      </c>
    </row>
    <row r="771" spans="1:25" x14ac:dyDescent="0.3">
      <c r="A771" t="s">
        <v>830</v>
      </c>
      <c r="B771" t="s">
        <v>26</v>
      </c>
      <c r="C771" t="s">
        <v>20</v>
      </c>
      <c r="D771" t="s">
        <v>39</v>
      </c>
      <c r="E771" t="s">
        <v>45</v>
      </c>
      <c r="F771" t="str">
        <f>IF(BBDD_fashion_boutique[[#This Row],[category]]="Accessories","Accesorio",IF(BBDD_fashion_boutique[[#This Row],[size]]="","Desconocido",BBDD_fashion_boutique[[#This Row],[size]]))</f>
        <v>S</v>
      </c>
      <c r="G771" t="s">
        <v>40</v>
      </c>
      <c r="H771" s="2">
        <v>104.96</v>
      </c>
      <c r="I771">
        <v>1.6</v>
      </c>
      <c r="J771" s="5">
        <f>BBDD_fashion_boutique[[#This Row],[markdown_percentage]]/100</f>
        <v>1.6E-2</v>
      </c>
      <c r="K771" s="2">
        <v>103.28</v>
      </c>
      <c r="L771" s="2">
        <f>BBDD_fashion_boutique[[#This Row],[original_price]]-BBDD_fashion_boutique[[#This Row],[current_price]]</f>
        <v>1.6799999999999926</v>
      </c>
      <c r="M771" s="1">
        <v>45875</v>
      </c>
      <c r="N771" s="1" t="str">
        <f>PROPER(TEXT(BBDD_fashion_boutique[[#This Row],[purchase_date]],"dddd"))</f>
        <v>Miércoles</v>
      </c>
      <c r="O771" s="1" t="str">
        <f>PROPER(TEXT(BBDD_fashion_boutique[[#This Row],[purchase_date]],"mmmm"))</f>
        <v>Agosto</v>
      </c>
      <c r="P771" s="4">
        <v>33</v>
      </c>
      <c r="Q771" s="2">
        <v>2</v>
      </c>
      <c r="R771" t="str">
        <f>IF(BBDD_fashion_boutique[[#This Row],[stock_quantity]]&gt;9,"Ok",IF(BBDD_fashion_boutique[[#This Row],[stock_quantity]]=0,"Agotado","Pocas Unidades"))</f>
        <v>Ok</v>
      </c>
      <c r="S771" s="3">
        <f>IF(BBDD_fashion_boutique[[#This Row],[customer_rating]]="","No valorado",BBDD_fashion_boutique[[#This Row],[customer_rating]])</f>
        <v>2</v>
      </c>
      <c r="T771" t="s">
        <v>24</v>
      </c>
      <c r="V771">
        <f>IF(BBDD_fashion_boutique[[#This Row],[is_returned]]="False",0,1)</f>
        <v>0</v>
      </c>
      <c r="W771">
        <f>IF(BBDD_fashion_boutique[[#This Row],[is_returned]]="True",0,BBDD_fashion_boutique[[#This Row],[current_price]])</f>
        <v>103.28</v>
      </c>
      <c r="X771" t="str">
        <f>IF(BBDD_fashion_boutique[[#This Row],[return_reason]]="","No return",BBDD_fashion_boutique[[#This Row],[return_reason]])</f>
        <v>No return</v>
      </c>
      <c r="Y771">
        <f>IF(IFERROR(VLOOKUP(BBDD_fashion_boutique[[#This Row],[product_id]],A772:A2947,1,FALSE),0),1,0)</f>
        <v>0</v>
      </c>
    </row>
    <row r="772" spans="1:25" x14ac:dyDescent="0.3">
      <c r="A772" t="s">
        <v>831</v>
      </c>
      <c r="B772" t="s">
        <v>48</v>
      </c>
      <c r="C772" t="s">
        <v>54</v>
      </c>
      <c r="D772" t="s">
        <v>28</v>
      </c>
      <c r="E772" t="s">
        <v>61</v>
      </c>
      <c r="F772" t="str">
        <f>IF(BBDD_fashion_boutique[[#This Row],[category]]="Accessories","Accesorio",IF(BBDD_fashion_boutique[[#This Row],[size]]="","Desconocido",BBDD_fashion_boutique[[#This Row],[size]]))</f>
        <v>XS</v>
      </c>
      <c r="G772" t="s">
        <v>50</v>
      </c>
      <c r="H772" s="2">
        <v>75.52</v>
      </c>
      <c r="I772">
        <v>0</v>
      </c>
      <c r="J772" s="5">
        <f>BBDD_fashion_boutique[[#This Row],[markdown_percentage]]/100</f>
        <v>0</v>
      </c>
      <c r="K772" s="2">
        <v>75.52</v>
      </c>
      <c r="L772" s="2">
        <f>BBDD_fashion_boutique[[#This Row],[original_price]]-BBDD_fashion_boutique[[#This Row],[current_price]]</f>
        <v>0</v>
      </c>
      <c r="M772" s="1">
        <v>45875</v>
      </c>
      <c r="N772" s="1" t="str">
        <f>PROPER(TEXT(BBDD_fashion_boutique[[#This Row],[purchase_date]],"dddd"))</f>
        <v>Miércoles</v>
      </c>
      <c r="O772" s="1" t="str">
        <f>PROPER(TEXT(BBDD_fashion_boutique[[#This Row],[purchase_date]],"mmmm"))</f>
        <v>Agosto</v>
      </c>
      <c r="P772" s="4">
        <v>2</v>
      </c>
      <c r="Q772" s="2">
        <v>2.8</v>
      </c>
      <c r="R772" t="str">
        <f>IF(BBDD_fashion_boutique[[#This Row],[stock_quantity]]&gt;9,"Ok",IF(BBDD_fashion_boutique[[#This Row],[stock_quantity]]=0,"Agotado","Pocas Unidades"))</f>
        <v>Pocas Unidades</v>
      </c>
      <c r="S772" s="3">
        <f>IF(BBDD_fashion_boutique[[#This Row],[customer_rating]]="","No valorado",BBDD_fashion_boutique[[#This Row],[customer_rating]])</f>
        <v>2.8</v>
      </c>
      <c r="T772" t="s">
        <v>24</v>
      </c>
      <c r="V772">
        <f>IF(BBDD_fashion_boutique[[#This Row],[is_returned]]="False",0,1)</f>
        <v>0</v>
      </c>
      <c r="W772">
        <f>IF(BBDD_fashion_boutique[[#This Row],[is_returned]]="True",0,BBDD_fashion_boutique[[#This Row],[current_price]])</f>
        <v>75.52</v>
      </c>
      <c r="X772" t="str">
        <f>IF(BBDD_fashion_boutique[[#This Row],[return_reason]]="","No return",BBDD_fashion_boutique[[#This Row],[return_reason]])</f>
        <v>No return</v>
      </c>
      <c r="Y772">
        <f>IF(IFERROR(VLOOKUP(BBDD_fashion_boutique[[#This Row],[product_id]],A773:A2948,1,FALSE),0),1,0)</f>
        <v>0</v>
      </c>
    </row>
    <row r="773" spans="1:25" x14ac:dyDescent="0.3">
      <c r="A773" t="s">
        <v>832</v>
      </c>
      <c r="B773" t="s">
        <v>44</v>
      </c>
      <c r="C773" t="s">
        <v>67</v>
      </c>
      <c r="D773" t="s">
        <v>28</v>
      </c>
      <c r="E773" t="s">
        <v>64</v>
      </c>
      <c r="F773" t="str">
        <f>IF(BBDD_fashion_boutique[[#This Row],[category]]="Accessories","Accesorio",IF(BBDD_fashion_boutique[[#This Row],[size]]="","Desconocido",BBDD_fashion_boutique[[#This Row],[size]]))</f>
        <v>M</v>
      </c>
      <c r="G773" t="s">
        <v>23</v>
      </c>
      <c r="H773" s="2">
        <v>54.7</v>
      </c>
      <c r="I773">
        <v>0</v>
      </c>
      <c r="J773" s="5">
        <f>BBDD_fashion_boutique[[#This Row],[markdown_percentage]]/100</f>
        <v>0</v>
      </c>
      <c r="K773" s="2">
        <v>54.7</v>
      </c>
      <c r="L773" s="2">
        <f>BBDD_fashion_boutique[[#This Row],[original_price]]-BBDD_fashion_boutique[[#This Row],[current_price]]</f>
        <v>0</v>
      </c>
      <c r="M773" s="1">
        <v>45875</v>
      </c>
      <c r="N773" s="1" t="str">
        <f>PROPER(TEXT(BBDD_fashion_boutique[[#This Row],[purchase_date]],"dddd"))</f>
        <v>Miércoles</v>
      </c>
      <c r="O773" s="1" t="str">
        <f>PROPER(TEXT(BBDD_fashion_boutique[[#This Row],[purchase_date]],"mmmm"))</f>
        <v>Agosto</v>
      </c>
      <c r="P773" s="4">
        <v>18</v>
      </c>
      <c r="Q773" s="2">
        <v>4.2</v>
      </c>
      <c r="R773" t="str">
        <f>IF(BBDD_fashion_boutique[[#This Row],[stock_quantity]]&gt;9,"Ok",IF(BBDD_fashion_boutique[[#This Row],[stock_quantity]]=0,"Agotado","Pocas Unidades"))</f>
        <v>Ok</v>
      </c>
      <c r="S773" s="3">
        <f>IF(BBDD_fashion_boutique[[#This Row],[customer_rating]]="","No valorado",BBDD_fashion_boutique[[#This Row],[customer_rating]])</f>
        <v>4.2</v>
      </c>
      <c r="T773" t="s">
        <v>24</v>
      </c>
      <c r="V773">
        <f>IF(BBDD_fashion_boutique[[#This Row],[is_returned]]="False",0,1)</f>
        <v>0</v>
      </c>
      <c r="W773">
        <f>IF(BBDD_fashion_boutique[[#This Row],[is_returned]]="True",0,BBDD_fashion_boutique[[#This Row],[current_price]])</f>
        <v>54.7</v>
      </c>
      <c r="X773" t="str">
        <f>IF(BBDD_fashion_boutique[[#This Row],[return_reason]]="","No return",BBDD_fashion_boutique[[#This Row],[return_reason]])</f>
        <v>No return</v>
      </c>
      <c r="Y773">
        <f>IF(IFERROR(VLOOKUP(BBDD_fashion_boutique[[#This Row],[product_id]],A774:A2949,1,FALSE),0),1,0)</f>
        <v>0</v>
      </c>
    </row>
    <row r="774" spans="1:25" x14ac:dyDescent="0.3">
      <c r="A774" t="s">
        <v>833</v>
      </c>
      <c r="B774" t="s">
        <v>35</v>
      </c>
      <c r="C774" t="s">
        <v>59</v>
      </c>
      <c r="D774" t="s">
        <v>68</v>
      </c>
      <c r="E774" t="s">
        <v>61</v>
      </c>
      <c r="F774" t="str">
        <f>IF(BBDD_fashion_boutique[[#This Row],[category]]="Accessories","Accesorio",IF(BBDD_fashion_boutique[[#This Row],[size]]="","Desconocido",BBDD_fashion_boutique[[#This Row],[size]]))</f>
        <v>XS</v>
      </c>
      <c r="G774" t="s">
        <v>33</v>
      </c>
      <c r="H774" s="2">
        <v>126.25</v>
      </c>
      <c r="I774">
        <v>25.9</v>
      </c>
      <c r="J774" s="5">
        <f>BBDD_fashion_boutique[[#This Row],[markdown_percentage]]/100</f>
        <v>0.25900000000000001</v>
      </c>
      <c r="K774" s="2">
        <v>93.55</v>
      </c>
      <c r="L774" s="2">
        <f>BBDD_fashion_boutique[[#This Row],[original_price]]-BBDD_fashion_boutique[[#This Row],[current_price]]</f>
        <v>32.700000000000003</v>
      </c>
      <c r="M774" s="1">
        <v>45875</v>
      </c>
      <c r="N774" s="1" t="str">
        <f>PROPER(TEXT(BBDD_fashion_boutique[[#This Row],[purchase_date]],"dddd"))</f>
        <v>Miércoles</v>
      </c>
      <c r="O774" s="1" t="str">
        <f>PROPER(TEXT(BBDD_fashion_boutique[[#This Row],[purchase_date]],"mmmm"))</f>
        <v>Agosto</v>
      </c>
      <c r="P774" s="4">
        <v>40</v>
      </c>
      <c r="Q774" s="2">
        <v>1.5</v>
      </c>
      <c r="R774" t="str">
        <f>IF(BBDD_fashion_boutique[[#This Row],[stock_quantity]]&gt;9,"Ok",IF(BBDD_fashion_boutique[[#This Row],[stock_quantity]]=0,"Agotado","Pocas Unidades"))</f>
        <v>Ok</v>
      </c>
      <c r="S774" s="3">
        <f>IF(BBDD_fashion_boutique[[#This Row],[customer_rating]]="","No valorado",BBDD_fashion_boutique[[#This Row],[customer_rating]])</f>
        <v>1.5</v>
      </c>
      <c r="T774" t="s">
        <v>41</v>
      </c>
      <c r="U774" t="s">
        <v>79</v>
      </c>
      <c r="V774">
        <f>IF(BBDD_fashion_boutique[[#This Row],[is_returned]]="False",0,1)</f>
        <v>1</v>
      </c>
      <c r="W774">
        <f>IF(BBDD_fashion_boutique[[#This Row],[is_returned]]="True",0,BBDD_fashion_boutique[[#This Row],[current_price]])</f>
        <v>0</v>
      </c>
      <c r="X774" t="str">
        <f>IF(BBDD_fashion_boutique[[#This Row],[return_reason]]="","No return",BBDD_fashion_boutique[[#This Row],[return_reason]])</f>
        <v>Size Issue</v>
      </c>
      <c r="Y774">
        <f>IF(IFERROR(VLOOKUP(BBDD_fashion_boutique[[#This Row],[product_id]],A775:A2950,1,FALSE),0),1,0)</f>
        <v>0</v>
      </c>
    </row>
    <row r="775" spans="1:25" x14ac:dyDescent="0.3">
      <c r="A775" t="s">
        <v>834</v>
      </c>
      <c r="B775" t="s">
        <v>35</v>
      </c>
      <c r="C775" t="s">
        <v>37</v>
      </c>
      <c r="D775" t="s">
        <v>68</v>
      </c>
      <c r="E775" t="s">
        <v>61</v>
      </c>
      <c r="F775" t="str">
        <f>IF(BBDD_fashion_boutique[[#This Row],[category]]="Accessories","Accesorio",IF(BBDD_fashion_boutique[[#This Row],[size]]="","Desconocido",BBDD_fashion_boutique[[#This Row],[size]]))</f>
        <v>XS</v>
      </c>
      <c r="G775" t="s">
        <v>50</v>
      </c>
      <c r="H775" s="2">
        <v>63.86</v>
      </c>
      <c r="I775">
        <v>52.8</v>
      </c>
      <c r="J775" s="5">
        <f>BBDD_fashion_boutique[[#This Row],[markdown_percentage]]/100</f>
        <v>0.52800000000000002</v>
      </c>
      <c r="K775" s="2">
        <v>30.14</v>
      </c>
      <c r="L775" s="2">
        <f>BBDD_fashion_boutique[[#This Row],[original_price]]-BBDD_fashion_boutique[[#This Row],[current_price]]</f>
        <v>33.72</v>
      </c>
      <c r="M775" s="1">
        <v>45875</v>
      </c>
      <c r="N775" s="1" t="str">
        <f>PROPER(TEXT(BBDD_fashion_boutique[[#This Row],[purchase_date]],"dddd"))</f>
        <v>Miércoles</v>
      </c>
      <c r="O775" s="1" t="str">
        <f>PROPER(TEXT(BBDD_fashion_boutique[[#This Row],[purchase_date]],"mmmm"))</f>
        <v>Agosto</v>
      </c>
      <c r="P775" s="4">
        <v>23</v>
      </c>
      <c r="R775" t="str">
        <f>IF(BBDD_fashion_boutique[[#This Row],[stock_quantity]]&gt;9,"Ok",IF(BBDD_fashion_boutique[[#This Row],[stock_quantity]]=0,"Agotado","Pocas Unidades"))</f>
        <v>Ok</v>
      </c>
      <c r="S775" s="3" t="str">
        <f>IF(BBDD_fashion_boutique[[#This Row],[customer_rating]]="","No valorado",BBDD_fashion_boutique[[#This Row],[customer_rating]])</f>
        <v>No valorado</v>
      </c>
      <c r="T775" t="s">
        <v>24</v>
      </c>
      <c r="V775">
        <f>IF(BBDD_fashion_boutique[[#This Row],[is_returned]]="False",0,1)</f>
        <v>0</v>
      </c>
      <c r="W775">
        <f>IF(BBDD_fashion_boutique[[#This Row],[is_returned]]="True",0,BBDD_fashion_boutique[[#This Row],[current_price]])</f>
        <v>30.14</v>
      </c>
      <c r="X775" t="str">
        <f>IF(BBDD_fashion_boutique[[#This Row],[return_reason]]="","No return",BBDD_fashion_boutique[[#This Row],[return_reason]])</f>
        <v>No return</v>
      </c>
      <c r="Y775">
        <f>IF(IFERROR(VLOOKUP(BBDD_fashion_boutique[[#This Row],[product_id]],A776:A2951,1,FALSE),0),1,0)</f>
        <v>0</v>
      </c>
    </row>
    <row r="776" spans="1:25" x14ac:dyDescent="0.3">
      <c r="A776" t="s">
        <v>835</v>
      </c>
      <c r="B776" t="s">
        <v>32</v>
      </c>
      <c r="C776" t="s">
        <v>27</v>
      </c>
      <c r="D776" t="s">
        <v>28</v>
      </c>
      <c r="F776" t="str">
        <f>IF(BBDD_fashion_boutique[[#This Row],[category]]="Accessories","Accesorio",IF(BBDD_fashion_boutique[[#This Row],[size]]="","Desconocido",BBDD_fashion_boutique[[#This Row],[size]]))</f>
        <v>Accesorio</v>
      </c>
      <c r="G776" t="s">
        <v>23</v>
      </c>
      <c r="H776" s="2">
        <v>75.930000000000007</v>
      </c>
      <c r="I776">
        <v>0</v>
      </c>
      <c r="J776" s="5">
        <f>BBDD_fashion_boutique[[#This Row],[markdown_percentage]]/100</f>
        <v>0</v>
      </c>
      <c r="K776" s="2">
        <v>75.930000000000007</v>
      </c>
      <c r="L776" s="2">
        <f>BBDD_fashion_boutique[[#This Row],[original_price]]-BBDD_fashion_boutique[[#This Row],[current_price]]</f>
        <v>0</v>
      </c>
      <c r="M776" s="1">
        <v>45875</v>
      </c>
      <c r="N776" s="1" t="str">
        <f>PROPER(TEXT(BBDD_fashion_boutique[[#This Row],[purchase_date]],"dddd"))</f>
        <v>Miércoles</v>
      </c>
      <c r="O776" s="1" t="str">
        <f>PROPER(TEXT(BBDD_fashion_boutique[[#This Row],[purchase_date]],"mmmm"))</f>
        <v>Agosto</v>
      </c>
      <c r="P776" s="4">
        <v>32</v>
      </c>
      <c r="Q776" s="2">
        <v>3.1</v>
      </c>
      <c r="R776" t="str">
        <f>IF(BBDD_fashion_boutique[[#This Row],[stock_quantity]]&gt;9,"Ok",IF(BBDD_fashion_boutique[[#This Row],[stock_quantity]]=0,"Agotado","Pocas Unidades"))</f>
        <v>Ok</v>
      </c>
      <c r="S776" s="3">
        <f>IF(BBDD_fashion_boutique[[#This Row],[customer_rating]]="","No valorado",BBDD_fashion_boutique[[#This Row],[customer_rating]])</f>
        <v>3.1</v>
      </c>
      <c r="T776" t="s">
        <v>24</v>
      </c>
      <c r="V776">
        <f>IF(BBDD_fashion_boutique[[#This Row],[is_returned]]="False",0,1)</f>
        <v>0</v>
      </c>
      <c r="W776">
        <f>IF(BBDD_fashion_boutique[[#This Row],[is_returned]]="True",0,BBDD_fashion_boutique[[#This Row],[current_price]])</f>
        <v>75.930000000000007</v>
      </c>
      <c r="X776" t="str">
        <f>IF(BBDD_fashion_boutique[[#This Row],[return_reason]]="","No return",BBDD_fashion_boutique[[#This Row],[return_reason]])</f>
        <v>No return</v>
      </c>
      <c r="Y776">
        <f>IF(IFERROR(VLOOKUP(BBDD_fashion_boutique[[#This Row],[product_id]],A777:A2952,1,FALSE),0),1,0)</f>
        <v>0</v>
      </c>
    </row>
    <row r="777" spans="1:25" x14ac:dyDescent="0.3">
      <c r="A777" t="s">
        <v>836</v>
      </c>
      <c r="B777" t="s">
        <v>26</v>
      </c>
      <c r="C777" t="s">
        <v>20</v>
      </c>
      <c r="D777" t="s">
        <v>39</v>
      </c>
      <c r="E777" t="s">
        <v>64</v>
      </c>
      <c r="F777" t="str">
        <f>IF(BBDD_fashion_boutique[[#This Row],[category]]="Accessories","Accesorio",IF(BBDD_fashion_boutique[[#This Row],[size]]="","Desconocido",BBDD_fashion_boutique[[#This Row],[size]]))</f>
        <v>M</v>
      </c>
      <c r="G777" t="s">
        <v>76</v>
      </c>
      <c r="H777" s="2">
        <v>82.51</v>
      </c>
      <c r="I777">
        <v>27.3</v>
      </c>
      <c r="J777" s="5">
        <f>BBDD_fashion_boutique[[#This Row],[markdown_percentage]]/100</f>
        <v>0.27300000000000002</v>
      </c>
      <c r="K777" s="2">
        <v>59.98</v>
      </c>
      <c r="L777" s="2">
        <f>BBDD_fashion_boutique[[#This Row],[original_price]]-BBDD_fashion_boutique[[#This Row],[current_price]]</f>
        <v>22.530000000000008</v>
      </c>
      <c r="M777" s="1">
        <v>45875</v>
      </c>
      <c r="N777" s="1" t="str">
        <f>PROPER(TEXT(BBDD_fashion_boutique[[#This Row],[purchase_date]],"dddd"))</f>
        <v>Miércoles</v>
      </c>
      <c r="O777" s="1" t="str">
        <f>PROPER(TEXT(BBDD_fashion_boutique[[#This Row],[purchase_date]],"mmmm"))</f>
        <v>Agosto</v>
      </c>
      <c r="P777" s="4">
        <v>9</v>
      </c>
      <c r="Q777" s="2">
        <v>3.8</v>
      </c>
      <c r="R777" t="str">
        <f>IF(BBDD_fashion_boutique[[#This Row],[stock_quantity]]&gt;9,"Ok",IF(BBDD_fashion_boutique[[#This Row],[stock_quantity]]=0,"Agotado","Pocas Unidades"))</f>
        <v>Pocas Unidades</v>
      </c>
      <c r="S777" s="3">
        <f>IF(BBDD_fashion_boutique[[#This Row],[customer_rating]]="","No valorado",BBDD_fashion_boutique[[#This Row],[customer_rating]])</f>
        <v>3.8</v>
      </c>
      <c r="T777" t="s">
        <v>24</v>
      </c>
      <c r="V777">
        <f>IF(BBDD_fashion_boutique[[#This Row],[is_returned]]="False",0,1)</f>
        <v>0</v>
      </c>
      <c r="W777">
        <f>IF(BBDD_fashion_boutique[[#This Row],[is_returned]]="True",0,BBDD_fashion_boutique[[#This Row],[current_price]])</f>
        <v>59.98</v>
      </c>
      <c r="X777" t="str">
        <f>IF(BBDD_fashion_boutique[[#This Row],[return_reason]]="","No return",BBDD_fashion_boutique[[#This Row],[return_reason]])</f>
        <v>No return</v>
      </c>
      <c r="Y777">
        <f>IF(IFERROR(VLOOKUP(BBDD_fashion_boutique[[#This Row],[product_id]],A778:A2953,1,FALSE),0),1,0)</f>
        <v>0</v>
      </c>
    </row>
    <row r="778" spans="1:25" x14ac:dyDescent="0.3">
      <c r="A778" t="s">
        <v>837</v>
      </c>
      <c r="B778" t="s">
        <v>44</v>
      </c>
      <c r="C778" t="s">
        <v>37</v>
      </c>
      <c r="D778" t="s">
        <v>39</v>
      </c>
      <c r="E778" t="s">
        <v>55</v>
      </c>
      <c r="F778" t="str">
        <f>IF(BBDD_fashion_boutique[[#This Row],[category]]="Accessories","Accesorio",IF(BBDD_fashion_boutique[[#This Row],[size]]="","Desconocido",BBDD_fashion_boutique[[#This Row],[size]]))</f>
        <v>XXL</v>
      </c>
      <c r="G778" t="s">
        <v>52</v>
      </c>
      <c r="H778" s="2">
        <v>46.02</v>
      </c>
      <c r="I778">
        <v>0</v>
      </c>
      <c r="J778" s="5">
        <f>BBDD_fashion_boutique[[#This Row],[markdown_percentage]]/100</f>
        <v>0</v>
      </c>
      <c r="K778" s="2">
        <v>46.02</v>
      </c>
      <c r="L778" s="2">
        <f>BBDD_fashion_boutique[[#This Row],[original_price]]-BBDD_fashion_boutique[[#This Row],[current_price]]</f>
        <v>0</v>
      </c>
      <c r="M778" s="1">
        <v>45875</v>
      </c>
      <c r="N778" s="1" t="str">
        <f>PROPER(TEXT(BBDD_fashion_boutique[[#This Row],[purchase_date]],"dddd"))</f>
        <v>Miércoles</v>
      </c>
      <c r="O778" s="1" t="str">
        <f>PROPER(TEXT(BBDD_fashion_boutique[[#This Row],[purchase_date]],"mmmm"))</f>
        <v>Agosto</v>
      </c>
      <c r="P778" s="4">
        <v>21</v>
      </c>
      <c r="Q778" s="2">
        <v>1.1000000000000001</v>
      </c>
      <c r="R778" t="str">
        <f>IF(BBDD_fashion_boutique[[#This Row],[stock_quantity]]&gt;9,"Ok",IF(BBDD_fashion_boutique[[#This Row],[stock_quantity]]=0,"Agotado","Pocas Unidades"))</f>
        <v>Ok</v>
      </c>
      <c r="S778" s="3">
        <f>IF(BBDD_fashion_boutique[[#This Row],[customer_rating]]="","No valorado",BBDD_fashion_boutique[[#This Row],[customer_rating]])</f>
        <v>1.1000000000000001</v>
      </c>
      <c r="T778" t="s">
        <v>24</v>
      </c>
      <c r="V778">
        <f>IF(BBDD_fashion_boutique[[#This Row],[is_returned]]="False",0,1)</f>
        <v>0</v>
      </c>
      <c r="W778">
        <f>IF(BBDD_fashion_boutique[[#This Row],[is_returned]]="True",0,BBDD_fashion_boutique[[#This Row],[current_price]])</f>
        <v>46.02</v>
      </c>
      <c r="X778" t="str">
        <f>IF(BBDD_fashion_boutique[[#This Row],[return_reason]]="","No return",BBDD_fashion_boutique[[#This Row],[return_reason]])</f>
        <v>No return</v>
      </c>
      <c r="Y778">
        <f>IF(IFERROR(VLOOKUP(BBDD_fashion_boutique[[#This Row],[product_id]],A779:A2954,1,FALSE),0),1,0)</f>
        <v>0</v>
      </c>
    </row>
    <row r="779" spans="1:25" x14ac:dyDescent="0.3">
      <c r="A779" t="s">
        <v>838</v>
      </c>
      <c r="B779" t="s">
        <v>48</v>
      </c>
      <c r="C779" t="s">
        <v>49</v>
      </c>
      <c r="D779" t="s">
        <v>28</v>
      </c>
      <c r="E779" t="s">
        <v>55</v>
      </c>
      <c r="F779" t="str">
        <f>IF(BBDD_fashion_boutique[[#This Row],[category]]="Accessories","Accesorio",IF(BBDD_fashion_boutique[[#This Row],[size]]="","Desconocido",BBDD_fashion_boutique[[#This Row],[size]]))</f>
        <v>XXL</v>
      </c>
      <c r="G779" t="s">
        <v>76</v>
      </c>
      <c r="H779" s="2">
        <v>125.67</v>
      </c>
      <c r="I779">
        <v>45.5</v>
      </c>
      <c r="J779" s="5">
        <f>BBDD_fashion_boutique[[#This Row],[markdown_percentage]]/100</f>
        <v>0.45500000000000002</v>
      </c>
      <c r="K779" s="2">
        <v>68.489999999999995</v>
      </c>
      <c r="L779" s="2">
        <f>BBDD_fashion_boutique[[#This Row],[original_price]]-BBDD_fashion_boutique[[#This Row],[current_price]]</f>
        <v>57.180000000000007</v>
      </c>
      <c r="M779" s="1">
        <v>45875</v>
      </c>
      <c r="N779" s="1" t="str">
        <f>PROPER(TEXT(BBDD_fashion_boutique[[#This Row],[purchase_date]],"dddd"))</f>
        <v>Miércoles</v>
      </c>
      <c r="O779" s="1" t="str">
        <f>PROPER(TEXT(BBDD_fashion_boutique[[#This Row],[purchase_date]],"mmmm"))</f>
        <v>Agosto</v>
      </c>
      <c r="P779" s="4">
        <v>27</v>
      </c>
      <c r="Q779" s="2">
        <v>1.6</v>
      </c>
      <c r="R779" t="str">
        <f>IF(BBDD_fashion_boutique[[#This Row],[stock_quantity]]&gt;9,"Ok",IF(BBDD_fashion_boutique[[#This Row],[stock_quantity]]=0,"Agotado","Pocas Unidades"))</f>
        <v>Ok</v>
      </c>
      <c r="S779" s="3">
        <f>IF(BBDD_fashion_boutique[[#This Row],[customer_rating]]="","No valorado",BBDD_fashion_boutique[[#This Row],[customer_rating]])</f>
        <v>1.6</v>
      </c>
      <c r="T779" t="s">
        <v>24</v>
      </c>
      <c r="V779">
        <f>IF(BBDD_fashion_boutique[[#This Row],[is_returned]]="False",0,1)</f>
        <v>0</v>
      </c>
      <c r="W779">
        <f>IF(BBDD_fashion_boutique[[#This Row],[is_returned]]="True",0,BBDD_fashion_boutique[[#This Row],[current_price]])</f>
        <v>68.489999999999995</v>
      </c>
      <c r="X779" t="str">
        <f>IF(BBDD_fashion_boutique[[#This Row],[return_reason]]="","No return",BBDD_fashion_boutique[[#This Row],[return_reason]])</f>
        <v>No return</v>
      </c>
      <c r="Y779">
        <f>IF(IFERROR(VLOOKUP(BBDD_fashion_boutique[[#This Row],[product_id]],A780:A2955,1,FALSE),0),1,0)</f>
        <v>0</v>
      </c>
    </row>
    <row r="780" spans="1:25" x14ac:dyDescent="0.3">
      <c r="A780" t="s">
        <v>839</v>
      </c>
      <c r="B780" t="s">
        <v>35</v>
      </c>
      <c r="C780" t="s">
        <v>49</v>
      </c>
      <c r="D780" t="s">
        <v>28</v>
      </c>
      <c r="E780" t="s">
        <v>45</v>
      </c>
      <c r="F780" t="str">
        <f>IF(BBDD_fashion_boutique[[#This Row],[category]]="Accessories","Accesorio",IF(BBDD_fashion_boutique[[#This Row],[size]]="","Desconocido",BBDD_fashion_boutique[[#This Row],[size]]))</f>
        <v>S</v>
      </c>
      <c r="G780" t="s">
        <v>23</v>
      </c>
      <c r="H780" s="2">
        <v>65.61</v>
      </c>
      <c r="I780">
        <v>50.7</v>
      </c>
      <c r="J780" s="5">
        <f>BBDD_fashion_boutique[[#This Row],[markdown_percentage]]/100</f>
        <v>0.50700000000000001</v>
      </c>
      <c r="K780" s="2">
        <v>32.35</v>
      </c>
      <c r="L780" s="2">
        <f>BBDD_fashion_boutique[[#This Row],[original_price]]-BBDD_fashion_boutique[[#This Row],[current_price]]</f>
        <v>33.26</v>
      </c>
      <c r="M780" s="1">
        <v>45875</v>
      </c>
      <c r="N780" s="1" t="str">
        <f>PROPER(TEXT(BBDD_fashion_boutique[[#This Row],[purchase_date]],"dddd"))</f>
        <v>Miércoles</v>
      </c>
      <c r="O780" s="1" t="str">
        <f>PROPER(TEXT(BBDD_fashion_boutique[[#This Row],[purchase_date]],"mmmm"))</f>
        <v>Agosto</v>
      </c>
      <c r="P780" s="4">
        <v>23</v>
      </c>
      <c r="Q780" s="2">
        <v>1.1000000000000001</v>
      </c>
      <c r="R780" t="str">
        <f>IF(BBDD_fashion_boutique[[#This Row],[stock_quantity]]&gt;9,"Ok",IF(BBDD_fashion_boutique[[#This Row],[stock_quantity]]=0,"Agotado","Pocas Unidades"))</f>
        <v>Ok</v>
      </c>
      <c r="S780" s="3">
        <f>IF(BBDD_fashion_boutique[[#This Row],[customer_rating]]="","No valorado",BBDD_fashion_boutique[[#This Row],[customer_rating]])</f>
        <v>1.1000000000000001</v>
      </c>
      <c r="T780" t="s">
        <v>24</v>
      </c>
      <c r="V780">
        <f>IF(BBDD_fashion_boutique[[#This Row],[is_returned]]="False",0,1)</f>
        <v>0</v>
      </c>
      <c r="W780">
        <f>IF(BBDD_fashion_boutique[[#This Row],[is_returned]]="True",0,BBDD_fashion_boutique[[#This Row],[current_price]])</f>
        <v>32.35</v>
      </c>
      <c r="X780" t="str">
        <f>IF(BBDD_fashion_boutique[[#This Row],[return_reason]]="","No return",BBDD_fashion_boutique[[#This Row],[return_reason]])</f>
        <v>No return</v>
      </c>
      <c r="Y780">
        <f>IF(IFERROR(VLOOKUP(BBDD_fashion_boutique[[#This Row],[product_id]],A781:A2956,1,FALSE),0),1,0)</f>
        <v>0</v>
      </c>
    </row>
    <row r="781" spans="1:25" x14ac:dyDescent="0.3">
      <c r="A781" t="s">
        <v>840</v>
      </c>
      <c r="B781" t="s">
        <v>48</v>
      </c>
      <c r="C781" t="s">
        <v>37</v>
      </c>
      <c r="D781" t="s">
        <v>68</v>
      </c>
      <c r="E781" t="s">
        <v>61</v>
      </c>
      <c r="F781" t="str">
        <f>IF(BBDD_fashion_boutique[[#This Row],[category]]="Accessories","Accesorio",IF(BBDD_fashion_boutique[[#This Row],[size]]="","Desconocido",BBDD_fashion_boutique[[#This Row],[size]]))</f>
        <v>XS</v>
      </c>
      <c r="G781" t="s">
        <v>62</v>
      </c>
      <c r="H781" s="2">
        <v>91.61</v>
      </c>
      <c r="I781">
        <v>0</v>
      </c>
      <c r="J781" s="5">
        <f>BBDD_fashion_boutique[[#This Row],[markdown_percentage]]/100</f>
        <v>0</v>
      </c>
      <c r="K781" s="2">
        <v>91.61</v>
      </c>
      <c r="L781" s="2">
        <f>BBDD_fashion_boutique[[#This Row],[original_price]]-BBDD_fashion_boutique[[#This Row],[current_price]]</f>
        <v>0</v>
      </c>
      <c r="M781" s="1">
        <v>45875</v>
      </c>
      <c r="N781" s="1" t="str">
        <f>PROPER(TEXT(BBDD_fashion_boutique[[#This Row],[purchase_date]],"dddd"))</f>
        <v>Miércoles</v>
      </c>
      <c r="O781" s="1" t="str">
        <f>PROPER(TEXT(BBDD_fashion_boutique[[#This Row],[purchase_date]],"mmmm"))</f>
        <v>Agosto</v>
      </c>
      <c r="P781" s="4">
        <v>31</v>
      </c>
      <c r="Q781" s="2">
        <v>1.4</v>
      </c>
      <c r="R781" t="str">
        <f>IF(BBDD_fashion_boutique[[#This Row],[stock_quantity]]&gt;9,"Ok",IF(BBDD_fashion_boutique[[#This Row],[stock_quantity]]=0,"Agotado","Pocas Unidades"))</f>
        <v>Ok</v>
      </c>
      <c r="S781" s="3">
        <f>IF(BBDD_fashion_boutique[[#This Row],[customer_rating]]="","No valorado",BBDD_fashion_boutique[[#This Row],[customer_rating]])</f>
        <v>1.4</v>
      </c>
      <c r="T781" t="s">
        <v>24</v>
      </c>
      <c r="V781">
        <f>IF(BBDD_fashion_boutique[[#This Row],[is_returned]]="False",0,1)</f>
        <v>0</v>
      </c>
      <c r="W781">
        <f>IF(BBDD_fashion_boutique[[#This Row],[is_returned]]="True",0,BBDD_fashion_boutique[[#This Row],[current_price]])</f>
        <v>91.61</v>
      </c>
      <c r="X781" t="str">
        <f>IF(BBDD_fashion_boutique[[#This Row],[return_reason]]="","No return",BBDD_fashion_boutique[[#This Row],[return_reason]])</f>
        <v>No return</v>
      </c>
      <c r="Y781">
        <f>IF(IFERROR(VLOOKUP(BBDD_fashion_boutique[[#This Row],[product_id]],A782:A2957,1,FALSE),0),1,0)</f>
        <v>0</v>
      </c>
    </row>
    <row r="782" spans="1:25" x14ac:dyDescent="0.3">
      <c r="A782" t="s">
        <v>841</v>
      </c>
      <c r="B782" t="s">
        <v>19</v>
      </c>
      <c r="C782" t="s">
        <v>54</v>
      </c>
      <c r="D782" t="s">
        <v>68</v>
      </c>
      <c r="E782" t="s">
        <v>61</v>
      </c>
      <c r="F782" t="str">
        <f>IF(BBDD_fashion_boutique[[#This Row],[category]]="Accessories","Accesorio",IF(BBDD_fashion_boutique[[#This Row],[size]]="","Desconocido",BBDD_fashion_boutique[[#This Row],[size]]))</f>
        <v>XS</v>
      </c>
      <c r="G782" t="s">
        <v>30</v>
      </c>
      <c r="H782" s="2">
        <v>162.78</v>
      </c>
      <c r="I782">
        <v>0</v>
      </c>
      <c r="J782" s="5">
        <f>BBDD_fashion_boutique[[#This Row],[markdown_percentage]]/100</f>
        <v>0</v>
      </c>
      <c r="K782" s="2">
        <v>162.78</v>
      </c>
      <c r="L782" s="2">
        <f>BBDD_fashion_boutique[[#This Row],[original_price]]-BBDD_fashion_boutique[[#This Row],[current_price]]</f>
        <v>0</v>
      </c>
      <c r="M782" s="1">
        <v>45875</v>
      </c>
      <c r="N782" s="1" t="str">
        <f>PROPER(TEXT(BBDD_fashion_boutique[[#This Row],[purchase_date]],"dddd"))</f>
        <v>Miércoles</v>
      </c>
      <c r="O782" s="1" t="str">
        <f>PROPER(TEXT(BBDD_fashion_boutique[[#This Row],[purchase_date]],"mmmm"))</f>
        <v>Agosto</v>
      </c>
      <c r="P782" s="4">
        <v>0</v>
      </c>
      <c r="R782" t="str">
        <f>IF(BBDD_fashion_boutique[[#This Row],[stock_quantity]]&gt;9,"Ok",IF(BBDD_fashion_boutique[[#This Row],[stock_quantity]]=0,"Agotado","Pocas Unidades"))</f>
        <v>Agotado</v>
      </c>
      <c r="S782" s="3" t="str">
        <f>IF(BBDD_fashion_boutique[[#This Row],[customer_rating]]="","No valorado",BBDD_fashion_boutique[[#This Row],[customer_rating]])</f>
        <v>No valorado</v>
      </c>
      <c r="T782" t="s">
        <v>24</v>
      </c>
      <c r="V782">
        <f>IF(BBDD_fashion_boutique[[#This Row],[is_returned]]="False",0,1)</f>
        <v>0</v>
      </c>
      <c r="W782">
        <f>IF(BBDD_fashion_boutique[[#This Row],[is_returned]]="True",0,BBDD_fashion_boutique[[#This Row],[current_price]])</f>
        <v>162.78</v>
      </c>
      <c r="X782" t="str">
        <f>IF(BBDD_fashion_boutique[[#This Row],[return_reason]]="","No return",BBDD_fashion_boutique[[#This Row],[return_reason]])</f>
        <v>No return</v>
      </c>
      <c r="Y782">
        <f>IF(IFERROR(VLOOKUP(BBDD_fashion_boutique[[#This Row],[product_id]],A783:A2958,1,FALSE),0),1,0)</f>
        <v>0</v>
      </c>
    </row>
    <row r="783" spans="1:25" x14ac:dyDescent="0.3">
      <c r="A783" t="s">
        <v>842</v>
      </c>
      <c r="B783" t="s">
        <v>19</v>
      </c>
      <c r="C783" t="s">
        <v>49</v>
      </c>
      <c r="D783" t="s">
        <v>28</v>
      </c>
      <c r="E783" t="s">
        <v>64</v>
      </c>
      <c r="F783" t="str">
        <f>IF(BBDD_fashion_boutique[[#This Row],[category]]="Accessories","Accesorio",IF(BBDD_fashion_boutique[[#This Row],[size]]="","Desconocido",BBDD_fashion_boutique[[#This Row],[size]]))</f>
        <v>M</v>
      </c>
      <c r="G783" t="s">
        <v>46</v>
      </c>
      <c r="H783" s="2">
        <v>134.35</v>
      </c>
      <c r="I783">
        <v>35.299999999999997</v>
      </c>
      <c r="J783" s="5">
        <f>BBDD_fashion_boutique[[#This Row],[markdown_percentage]]/100</f>
        <v>0.35299999999999998</v>
      </c>
      <c r="K783" s="2">
        <v>86.92</v>
      </c>
      <c r="L783" s="2">
        <f>BBDD_fashion_boutique[[#This Row],[original_price]]-BBDD_fashion_boutique[[#This Row],[current_price]]</f>
        <v>47.429999999999993</v>
      </c>
      <c r="M783" s="1">
        <v>45875</v>
      </c>
      <c r="N783" s="1" t="str">
        <f>PROPER(TEXT(BBDD_fashion_boutique[[#This Row],[purchase_date]],"dddd"))</f>
        <v>Miércoles</v>
      </c>
      <c r="O783" s="1" t="str">
        <f>PROPER(TEXT(BBDD_fashion_boutique[[#This Row],[purchase_date]],"mmmm"))</f>
        <v>Agosto</v>
      </c>
      <c r="P783" s="4">
        <v>36</v>
      </c>
      <c r="R783" t="str">
        <f>IF(BBDD_fashion_boutique[[#This Row],[stock_quantity]]&gt;9,"Ok",IF(BBDD_fashion_boutique[[#This Row],[stock_quantity]]=0,"Agotado","Pocas Unidades"))</f>
        <v>Ok</v>
      </c>
      <c r="S783" s="3" t="str">
        <f>IF(BBDD_fashion_boutique[[#This Row],[customer_rating]]="","No valorado",BBDD_fashion_boutique[[#This Row],[customer_rating]])</f>
        <v>No valorado</v>
      </c>
      <c r="T783" t="s">
        <v>24</v>
      </c>
      <c r="V783">
        <f>IF(BBDD_fashion_boutique[[#This Row],[is_returned]]="False",0,1)</f>
        <v>0</v>
      </c>
      <c r="W783">
        <f>IF(BBDD_fashion_boutique[[#This Row],[is_returned]]="True",0,BBDD_fashion_boutique[[#This Row],[current_price]])</f>
        <v>86.92</v>
      </c>
      <c r="X783" t="str">
        <f>IF(BBDD_fashion_boutique[[#This Row],[return_reason]]="","No return",BBDD_fashion_boutique[[#This Row],[return_reason]])</f>
        <v>No return</v>
      </c>
      <c r="Y783">
        <f>IF(IFERROR(VLOOKUP(BBDD_fashion_boutique[[#This Row],[product_id]],A784:A2959,1,FALSE),0),1,0)</f>
        <v>0</v>
      </c>
    </row>
    <row r="784" spans="1:25" x14ac:dyDescent="0.3">
      <c r="A784" t="s">
        <v>843</v>
      </c>
      <c r="B784" t="s">
        <v>44</v>
      </c>
      <c r="C784" t="s">
        <v>49</v>
      </c>
      <c r="D784" t="s">
        <v>21</v>
      </c>
      <c r="F784" t="str">
        <f>IF(BBDD_fashion_boutique[[#This Row],[category]]="Accessories","Accesorio",IF(BBDD_fashion_boutique[[#This Row],[size]]="","Desconocido",BBDD_fashion_boutique[[#This Row],[size]]))</f>
        <v>Desconocido</v>
      </c>
      <c r="G784" t="s">
        <v>46</v>
      </c>
      <c r="H784" s="2">
        <v>77.739999999999995</v>
      </c>
      <c r="I784">
        <v>38.799999999999997</v>
      </c>
      <c r="J784" s="5">
        <f>BBDD_fashion_boutique[[#This Row],[markdown_percentage]]/100</f>
        <v>0.38799999999999996</v>
      </c>
      <c r="K784" s="2">
        <v>47.58</v>
      </c>
      <c r="L784" s="2">
        <f>BBDD_fashion_boutique[[#This Row],[original_price]]-BBDD_fashion_boutique[[#This Row],[current_price]]</f>
        <v>30.159999999999997</v>
      </c>
      <c r="M784" s="1">
        <v>45849</v>
      </c>
      <c r="N784" s="1" t="str">
        <f>PROPER(TEXT(BBDD_fashion_boutique[[#This Row],[purchase_date]],"dddd"))</f>
        <v>Viernes</v>
      </c>
      <c r="O784" s="1" t="str">
        <f>PROPER(TEXT(BBDD_fashion_boutique[[#This Row],[purchase_date]],"mmmm"))</f>
        <v>Julio</v>
      </c>
      <c r="P784" s="4">
        <v>23</v>
      </c>
      <c r="Q784" s="2">
        <v>4.3</v>
      </c>
      <c r="R784" t="str">
        <f>IF(BBDD_fashion_boutique[[#This Row],[stock_quantity]]&gt;9,"Ok",IF(BBDD_fashion_boutique[[#This Row],[stock_quantity]]=0,"Agotado","Pocas Unidades"))</f>
        <v>Ok</v>
      </c>
      <c r="S784" s="3">
        <f>IF(BBDD_fashion_boutique[[#This Row],[customer_rating]]="","No valorado",BBDD_fashion_boutique[[#This Row],[customer_rating]])</f>
        <v>4.3</v>
      </c>
      <c r="T784" t="s">
        <v>24</v>
      </c>
      <c r="V784">
        <f>IF(BBDD_fashion_boutique[[#This Row],[is_returned]]="False",0,1)</f>
        <v>0</v>
      </c>
      <c r="W784">
        <f>IF(BBDD_fashion_boutique[[#This Row],[is_returned]]="True",0,BBDD_fashion_boutique[[#This Row],[current_price]])</f>
        <v>47.58</v>
      </c>
      <c r="X784" t="str">
        <f>IF(BBDD_fashion_boutique[[#This Row],[return_reason]]="","No return",BBDD_fashion_boutique[[#This Row],[return_reason]])</f>
        <v>No return</v>
      </c>
      <c r="Y784">
        <f>IF(IFERROR(VLOOKUP(BBDD_fashion_boutique[[#This Row],[product_id]],A785:A2960,1,FALSE),0),1,0)</f>
        <v>0</v>
      </c>
    </row>
    <row r="785" spans="1:25" x14ac:dyDescent="0.3">
      <c r="A785" t="s">
        <v>844</v>
      </c>
      <c r="B785" t="s">
        <v>32</v>
      </c>
      <c r="C785" t="s">
        <v>67</v>
      </c>
      <c r="D785" t="s">
        <v>68</v>
      </c>
      <c r="F785" t="str">
        <f>IF(BBDD_fashion_boutique[[#This Row],[category]]="Accessories","Accesorio",IF(BBDD_fashion_boutique[[#This Row],[size]]="","Desconocido",BBDD_fashion_boutique[[#This Row],[size]]))</f>
        <v>Accesorio</v>
      </c>
      <c r="G785" t="s">
        <v>76</v>
      </c>
      <c r="H785" s="2">
        <v>49.33</v>
      </c>
      <c r="I785">
        <v>59.9</v>
      </c>
      <c r="J785" s="5">
        <f>BBDD_fashion_boutique[[#This Row],[markdown_percentage]]/100</f>
        <v>0.59899999999999998</v>
      </c>
      <c r="K785" s="2">
        <v>19.78</v>
      </c>
      <c r="L785" s="2">
        <f>BBDD_fashion_boutique[[#This Row],[original_price]]-BBDD_fashion_boutique[[#This Row],[current_price]]</f>
        <v>29.549999999999997</v>
      </c>
      <c r="M785" s="1">
        <v>45875</v>
      </c>
      <c r="N785" s="1" t="str">
        <f>PROPER(TEXT(BBDD_fashion_boutique[[#This Row],[purchase_date]],"dddd"))</f>
        <v>Miércoles</v>
      </c>
      <c r="O785" s="1" t="str">
        <f>PROPER(TEXT(BBDD_fashion_boutique[[#This Row],[purchase_date]],"mmmm"))</f>
        <v>Agosto</v>
      </c>
      <c r="P785" s="4">
        <v>47</v>
      </c>
      <c r="R785" t="str">
        <f>IF(BBDD_fashion_boutique[[#This Row],[stock_quantity]]&gt;9,"Ok",IF(BBDD_fashion_boutique[[#This Row],[stock_quantity]]=0,"Agotado","Pocas Unidades"))</f>
        <v>Ok</v>
      </c>
      <c r="S785" s="3" t="str">
        <f>IF(BBDD_fashion_boutique[[#This Row],[customer_rating]]="","No valorado",BBDD_fashion_boutique[[#This Row],[customer_rating]])</f>
        <v>No valorado</v>
      </c>
      <c r="T785" t="s">
        <v>24</v>
      </c>
      <c r="V785">
        <f>IF(BBDD_fashion_boutique[[#This Row],[is_returned]]="False",0,1)</f>
        <v>0</v>
      </c>
      <c r="W785">
        <f>IF(BBDD_fashion_boutique[[#This Row],[is_returned]]="True",0,BBDD_fashion_boutique[[#This Row],[current_price]])</f>
        <v>19.78</v>
      </c>
      <c r="X785" t="str">
        <f>IF(BBDD_fashion_boutique[[#This Row],[return_reason]]="","No return",BBDD_fashion_boutique[[#This Row],[return_reason]])</f>
        <v>No return</v>
      </c>
      <c r="Y785">
        <f>IF(IFERROR(VLOOKUP(BBDD_fashion_boutique[[#This Row],[product_id]],A786:A2961,1,FALSE),0),1,0)</f>
        <v>0</v>
      </c>
    </row>
    <row r="786" spans="1:25" x14ac:dyDescent="0.3">
      <c r="A786" t="s">
        <v>845</v>
      </c>
      <c r="B786" t="s">
        <v>19</v>
      </c>
      <c r="C786" t="s">
        <v>81</v>
      </c>
      <c r="D786" t="s">
        <v>68</v>
      </c>
      <c r="E786" t="s">
        <v>45</v>
      </c>
      <c r="F786" t="str">
        <f>IF(BBDD_fashion_boutique[[#This Row],[category]]="Accessories","Accesorio",IF(BBDD_fashion_boutique[[#This Row],[size]]="","Desconocido",BBDD_fashion_boutique[[#This Row],[size]]))</f>
        <v>S</v>
      </c>
      <c r="G786" t="s">
        <v>46</v>
      </c>
      <c r="H786" s="2">
        <v>231.52</v>
      </c>
      <c r="I786">
        <v>17.3</v>
      </c>
      <c r="J786" s="5">
        <f>BBDD_fashion_boutique[[#This Row],[markdown_percentage]]/100</f>
        <v>0.17300000000000001</v>
      </c>
      <c r="K786" s="2">
        <v>191.47</v>
      </c>
      <c r="L786" s="2">
        <f>BBDD_fashion_boutique[[#This Row],[original_price]]-BBDD_fashion_boutique[[#This Row],[current_price]]</f>
        <v>40.050000000000011</v>
      </c>
      <c r="M786" s="1">
        <v>45875</v>
      </c>
      <c r="N786" s="1" t="str">
        <f>PROPER(TEXT(BBDD_fashion_boutique[[#This Row],[purchase_date]],"dddd"))</f>
        <v>Miércoles</v>
      </c>
      <c r="O786" s="1" t="str">
        <f>PROPER(TEXT(BBDD_fashion_boutique[[#This Row],[purchase_date]],"mmmm"))</f>
        <v>Agosto</v>
      </c>
      <c r="P786" s="4">
        <v>49</v>
      </c>
      <c r="Q786" s="2">
        <v>2.1</v>
      </c>
      <c r="R786" t="str">
        <f>IF(BBDD_fashion_boutique[[#This Row],[stock_quantity]]&gt;9,"Ok",IF(BBDD_fashion_boutique[[#This Row],[stock_quantity]]=0,"Agotado","Pocas Unidades"))</f>
        <v>Ok</v>
      </c>
      <c r="S786" s="3">
        <f>IF(BBDD_fashion_boutique[[#This Row],[customer_rating]]="","No valorado",BBDD_fashion_boutique[[#This Row],[customer_rating]])</f>
        <v>2.1</v>
      </c>
      <c r="T786" t="s">
        <v>24</v>
      </c>
      <c r="V786">
        <f>IF(BBDD_fashion_boutique[[#This Row],[is_returned]]="False",0,1)</f>
        <v>0</v>
      </c>
      <c r="W786">
        <f>IF(BBDD_fashion_boutique[[#This Row],[is_returned]]="True",0,BBDD_fashion_boutique[[#This Row],[current_price]])</f>
        <v>191.47</v>
      </c>
      <c r="X786" t="str">
        <f>IF(BBDD_fashion_boutique[[#This Row],[return_reason]]="","No return",BBDD_fashion_boutique[[#This Row],[return_reason]])</f>
        <v>No return</v>
      </c>
      <c r="Y786">
        <f>IF(IFERROR(VLOOKUP(BBDD_fashion_boutique[[#This Row],[product_id]],A787:A2962,1,FALSE),0),1,0)</f>
        <v>0</v>
      </c>
    </row>
    <row r="787" spans="1:25" x14ac:dyDescent="0.3">
      <c r="A787" t="s">
        <v>846</v>
      </c>
      <c r="B787" t="s">
        <v>19</v>
      </c>
      <c r="C787" t="s">
        <v>67</v>
      </c>
      <c r="D787" t="s">
        <v>28</v>
      </c>
      <c r="E787" t="s">
        <v>22</v>
      </c>
      <c r="F787" t="str">
        <f>IF(BBDD_fashion_boutique[[#This Row],[category]]="Accessories","Accesorio",IF(BBDD_fashion_boutique[[#This Row],[size]]="","Desconocido",BBDD_fashion_boutique[[#This Row],[size]]))</f>
        <v>XL</v>
      </c>
      <c r="G787" t="s">
        <v>40</v>
      </c>
      <c r="H787" s="2">
        <v>140.1</v>
      </c>
      <c r="I787">
        <v>0</v>
      </c>
      <c r="J787" s="5">
        <f>BBDD_fashion_boutique[[#This Row],[markdown_percentage]]/100</f>
        <v>0</v>
      </c>
      <c r="K787" s="2">
        <v>140.1</v>
      </c>
      <c r="L787" s="2">
        <f>BBDD_fashion_boutique[[#This Row],[original_price]]-BBDD_fashion_boutique[[#This Row],[current_price]]</f>
        <v>0</v>
      </c>
      <c r="M787" s="1">
        <v>45875</v>
      </c>
      <c r="N787" s="1" t="str">
        <f>PROPER(TEXT(BBDD_fashion_boutique[[#This Row],[purchase_date]],"dddd"))</f>
        <v>Miércoles</v>
      </c>
      <c r="O787" s="1" t="str">
        <f>PROPER(TEXT(BBDD_fashion_boutique[[#This Row],[purchase_date]],"mmmm"))</f>
        <v>Agosto</v>
      </c>
      <c r="P787" s="4">
        <v>14</v>
      </c>
      <c r="Q787" s="2">
        <v>3.9</v>
      </c>
      <c r="R787" t="str">
        <f>IF(BBDD_fashion_boutique[[#This Row],[stock_quantity]]&gt;9,"Ok",IF(BBDD_fashion_boutique[[#This Row],[stock_quantity]]=0,"Agotado","Pocas Unidades"))</f>
        <v>Ok</v>
      </c>
      <c r="S787" s="3">
        <f>IF(BBDD_fashion_boutique[[#This Row],[customer_rating]]="","No valorado",BBDD_fashion_boutique[[#This Row],[customer_rating]])</f>
        <v>3.9</v>
      </c>
      <c r="T787" t="s">
        <v>24</v>
      </c>
      <c r="V787">
        <f>IF(BBDD_fashion_boutique[[#This Row],[is_returned]]="False",0,1)</f>
        <v>0</v>
      </c>
      <c r="W787">
        <f>IF(BBDD_fashion_boutique[[#This Row],[is_returned]]="True",0,BBDD_fashion_boutique[[#This Row],[current_price]])</f>
        <v>140.1</v>
      </c>
      <c r="X787" t="str">
        <f>IF(BBDD_fashion_boutique[[#This Row],[return_reason]]="","No return",BBDD_fashion_boutique[[#This Row],[return_reason]])</f>
        <v>No return</v>
      </c>
      <c r="Y787">
        <f>IF(IFERROR(VLOOKUP(BBDD_fashion_boutique[[#This Row],[product_id]],A788:A2963,1,FALSE),0),1,0)</f>
        <v>0</v>
      </c>
    </row>
    <row r="788" spans="1:25" x14ac:dyDescent="0.3">
      <c r="A788" t="s">
        <v>847</v>
      </c>
      <c r="B788" t="s">
        <v>48</v>
      </c>
      <c r="C788" t="s">
        <v>59</v>
      </c>
      <c r="D788" t="s">
        <v>68</v>
      </c>
      <c r="E788" t="s">
        <v>45</v>
      </c>
      <c r="F788" t="str">
        <f>IF(BBDD_fashion_boutique[[#This Row],[category]]="Accessories","Accesorio",IF(BBDD_fashion_boutique[[#This Row],[size]]="","Desconocido",BBDD_fashion_boutique[[#This Row],[size]]))</f>
        <v>S</v>
      </c>
      <c r="G788" t="s">
        <v>30</v>
      </c>
      <c r="H788" s="2">
        <v>117.38</v>
      </c>
      <c r="I788">
        <v>27.8</v>
      </c>
      <c r="J788" s="5">
        <f>BBDD_fashion_boutique[[#This Row],[markdown_percentage]]/100</f>
        <v>0.27800000000000002</v>
      </c>
      <c r="K788" s="2">
        <v>84.75</v>
      </c>
      <c r="L788" s="2">
        <f>BBDD_fashion_boutique[[#This Row],[original_price]]-BBDD_fashion_boutique[[#This Row],[current_price]]</f>
        <v>32.629999999999995</v>
      </c>
      <c r="M788" s="1">
        <v>45875</v>
      </c>
      <c r="N788" s="1" t="str">
        <f>PROPER(TEXT(BBDD_fashion_boutique[[#This Row],[purchase_date]],"dddd"))</f>
        <v>Miércoles</v>
      </c>
      <c r="O788" s="1" t="str">
        <f>PROPER(TEXT(BBDD_fashion_boutique[[#This Row],[purchase_date]],"mmmm"))</f>
        <v>Agosto</v>
      </c>
      <c r="P788" s="4">
        <v>34</v>
      </c>
      <c r="Q788" s="2">
        <v>2.8</v>
      </c>
      <c r="R788" t="str">
        <f>IF(BBDD_fashion_boutique[[#This Row],[stock_quantity]]&gt;9,"Ok",IF(BBDD_fashion_boutique[[#This Row],[stock_quantity]]=0,"Agotado","Pocas Unidades"))</f>
        <v>Ok</v>
      </c>
      <c r="S788" s="3">
        <f>IF(BBDD_fashion_boutique[[#This Row],[customer_rating]]="","No valorado",BBDD_fashion_boutique[[#This Row],[customer_rating]])</f>
        <v>2.8</v>
      </c>
      <c r="T788" t="s">
        <v>41</v>
      </c>
      <c r="U788" t="s">
        <v>89</v>
      </c>
      <c r="V788">
        <f>IF(BBDD_fashion_boutique[[#This Row],[is_returned]]="False",0,1)</f>
        <v>1</v>
      </c>
      <c r="W788">
        <f>IF(BBDD_fashion_boutique[[#This Row],[is_returned]]="True",0,BBDD_fashion_boutique[[#This Row],[current_price]])</f>
        <v>0</v>
      </c>
      <c r="X788" t="str">
        <f>IF(BBDD_fashion_boutique[[#This Row],[return_reason]]="","No return",BBDD_fashion_boutique[[#This Row],[return_reason]])</f>
        <v>Quality Issue</v>
      </c>
      <c r="Y788">
        <f>IF(IFERROR(VLOOKUP(BBDD_fashion_boutique[[#This Row],[product_id]],A789:A2964,1,FALSE),0),1,0)</f>
        <v>0</v>
      </c>
    </row>
    <row r="789" spans="1:25" x14ac:dyDescent="0.3">
      <c r="A789" t="s">
        <v>848</v>
      </c>
      <c r="B789" t="s">
        <v>26</v>
      </c>
      <c r="C789" t="s">
        <v>59</v>
      </c>
      <c r="D789" t="s">
        <v>21</v>
      </c>
      <c r="E789" t="s">
        <v>45</v>
      </c>
      <c r="F789" t="str">
        <f>IF(BBDD_fashion_boutique[[#This Row],[category]]="Accessories","Accesorio",IF(BBDD_fashion_boutique[[#This Row],[size]]="","Desconocido",BBDD_fashion_boutique[[#This Row],[size]]))</f>
        <v>S</v>
      </c>
      <c r="G789" t="s">
        <v>72</v>
      </c>
      <c r="H789" s="2">
        <v>83.98</v>
      </c>
      <c r="I789">
        <v>0</v>
      </c>
      <c r="J789" s="5">
        <f>BBDD_fashion_boutique[[#This Row],[markdown_percentage]]/100</f>
        <v>0</v>
      </c>
      <c r="K789" s="2">
        <v>83.98</v>
      </c>
      <c r="L789" s="2">
        <f>BBDD_fashion_boutique[[#This Row],[original_price]]-BBDD_fashion_boutique[[#This Row],[current_price]]</f>
        <v>0</v>
      </c>
      <c r="M789" s="1">
        <v>45533</v>
      </c>
      <c r="N789" s="1" t="str">
        <f>PROPER(TEXT(BBDD_fashion_boutique[[#This Row],[purchase_date]],"dddd"))</f>
        <v>Jueves</v>
      </c>
      <c r="O789" s="1" t="str">
        <f>PROPER(TEXT(BBDD_fashion_boutique[[#This Row],[purchase_date]],"mmmm"))</f>
        <v>Agosto</v>
      </c>
      <c r="P789" s="4">
        <v>23</v>
      </c>
      <c r="Q789" s="2">
        <v>1.9</v>
      </c>
      <c r="R789" t="str">
        <f>IF(BBDD_fashion_boutique[[#This Row],[stock_quantity]]&gt;9,"Ok",IF(BBDD_fashion_boutique[[#This Row],[stock_quantity]]=0,"Agotado","Pocas Unidades"))</f>
        <v>Ok</v>
      </c>
      <c r="S789" s="3">
        <f>IF(BBDD_fashion_boutique[[#This Row],[customer_rating]]="","No valorado",BBDD_fashion_boutique[[#This Row],[customer_rating]])</f>
        <v>1.9</v>
      </c>
      <c r="T789" t="s">
        <v>24</v>
      </c>
      <c r="V789">
        <f>IF(BBDD_fashion_boutique[[#This Row],[is_returned]]="False",0,1)</f>
        <v>0</v>
      </c>
      <c r="W789">
        <f>IF(BBDD_fashion_boutique[[#This Row],[is_returned]]="True",0,BBDD_fashion_boutique[[#This Row],[current_price]])</f>
        <v>83.98</v>
      </c>
      <c r="X789" t="str">
        <f>IF(BBDD_fashion_boutique[[#This Row],[return_reason]]="","No return",BBDD_fashion_boutique[[#This Row],[return_reason]])</f>
        <v>No return</v>
      </c>
      <c r="Y789">
        <f>IF(IFERROR(VLOOKUP(BBDD_fashion_boutique[[#This Row],[product_id]],A790:A2965,1,FALSE),0),1,0)</f>
        <v>0</v>
      </c>
    </row>
    <row r="790" spans="1:25" x14ac:dyDescent="0.3">
      <c r="A790" t="s">
        <v>849</v>
      </c>
      <c r="B790" t="s">
        <v>48</v>
      </c>
      <c r="C790" t="s">
        <v>54</v>
      </c>
      <c r="D790" t="s">
        <v>21</v>
      </c>
      <c r="E790" t="s">
        <v>22</v>
      </c>
      <c r="F790" t="str">
        <f>IF(BBDD_fashion_boutique[[#This Row],[category]]="Accessories","Accesorio",IF(BBDD_fashion_boutique[[#This Row],[size]]="","Desconocido",BBDD_fashion_boutique[[#This Row],[size]]))</f>
        <v>XL</v>
      </c>
      <c r="G790" t="s">
        <v>70</v>
      </c>
      <c r="H790" s="2">
        <v>111.67</v>
      </c>
      <c r="I790">
        <v>53.5</v>
      </c>
      <c r="J790" s="5">
        <f>BBDD_fashion_boutique[[#This Row],[markdown_percentage]]/100</f>
        <v>0.53500000000000003</v>
      </c>
      <c r="K790" s="2">
        <v>51.93</v>
      </c>
      <c r="L790" s="2">
        <f>BBDD_fashion_boutique[[#This Row],[original_price]]-BBDD_fashion_boutique[[#This Row],[current_price]]</f>
        <v>59.74</v>
      </c>
      <c r="M790" s="1">
        <v>45693</v>
      </c>
      <c r="N790" s="1" t="str">
        <f>PROPER(TEXT(BBDD_fashion_boutique[[#This Row],[purchase_date]],"dddd"))</f>
        <v>Miércoles</v>
      </c>
      <c r="O790" s="1" t="str">
        <f>PROPER(TEXT(BBDD_fashion_boutique[[#This Row],[purchase_date]],"mmmm"))</f>
        <v>Febrero</v>
      </c>
      <c r="P790" s="4">
        <v>19</v>
      </c>
      <c r="R790" t="str">
        <f>IF(BBDD_fashion_boutique[[#This Row],[stock_quantity]]&gt;9,"Ok",IF(BBDD_fashion_boutique[[#This Row],[stock_quantity]]=0,"Agotado","Pocas Unidades"))</f>
        <v>Ok</v>
      </c>
      <c r="S790" s="3" t="str">
        <f>IF(BBDD_fashion_boutique[[#This Row],[customer_rating]]="","No valorado",BBDD_fashion_boutique[[#This Row],[customer_rating]])</f>
        <v>No valorado</v>
      </c>
      <c r="T790" t="s">
        <v>24</v>
      </c>
      <c r="V790">
        <f>IF(BBDD_fashion_boutique[[#This Row],[is_returned]]="False",0,1)</f>
        <v>0</v>
      </c>
      <c r="W790">
        <f>IF(BBDD_fashion_boutique[[#This Row],[is_returned]]="True",0,BBDD_fashion_boutique[[#This Row],[current_price]])</f>
        <v>51.93</v>
      </c>
      <c r="X790" t="str">
        <f>IF(BBDD_fashion_boutique[[#This Row],[return_reason]]="","No return",BBDD_fashion_boutique[[#This Row],[return_reason]])</f>
        <v>No return</v>
      </c>
      <c r="Y790">
        <f>IF(IFERROR(VLOOKUP(BBDD_fashion_boutique[[#This Row],[product_id]],A791:A2966,1,FALSE),0),1,0)</f>
        <v>0</v>
      </c>
    </row>
    <row r="791" spans="1:25" x14ac:dyDescent="0.3">
      <c r="A791" t="s">
        <v>850</v>
      </c>
      <c r="B791" t="s">
        <v>44</v>
      </c>
      <c r="C791" t="s">
        <v>54</v>
      </c>
      <c r="D791" t="s">
        <v>68</v>
      </c>
      <c r="E791" t="s">
        <v>45</v>
      </c>
      <c r="F791" t="str">
        <f>IF(BBDD_fashion_boutique[[#This Row],[category]]="Accessories","Accesorio",IF(BBDD_fashion_boutique[[#This Row],[size]]="","Desconocido",BBDD_fashion_boutique[[#This Row],[size]]))</f>
        <v>S</v>
      </c>
      <c r="G791" t="s">
        <v>40</v>
      </c>
      <c r="H791" s="2">
        <v>25.16</v>
      </c>
      <c r="I791">
        <v>0</v>
      </c>
      <c r="J791" s="5">
        <f>BBDD_fashion_boutique[[#This Row],[markdown_percentage]]/100</f>
        <v>0</v>
      </c>
      <c r="K791" s="2">
        <v>25.16</v>
      </c>
      <c r="L791" s="2">
        <f>BBDD_fashion_boutique[[#This Row],[original_price]]-BBDD_fashion_boutique[[#This Row],[current_price]]</f>
        <v>0</v>
      </c>
      <c r="M791" s="1">
        <v>45875</v>
      </c>
      <c r="N791" s="1" t="str">
        <f>PROPER(TEXT(BBDD_fashion_boutique[[#This Row],[purchase_date]],"dddd"))</f>
        <v>Miércoles</v>
      </c>
      <c r="O791" s="1" t="str">
        <f>PROPER(TEXT(BBDD_fashion_boutique[[#This Row],[purchase_date]],"mmmm"))</f>
        <v>Agosto</v>
      </c>
      <c r="P791" s="4">
        <v>37</v>
      </c>
      <c r="Q791" s="2">
        <v>2.8</v>
      </c>
      <c r="R791" t="str">
        <f>IF(BBDD_fashion_boutique[[#This Row],[stock_quantity]]&gt;9,"Ok",IF(BBDD_fashion_boutique[[#This Row],[stock_quantity]]=0,"Agotado","Pocas Unidades"))</f>
        <v>Ok</v>
      </c>
      <c r="S791" s="3">
        <f>IF(BBDD_fashion_boutique[[#This Row],[customer_rating]]="","No valorado",BBDD_fashion_boutique[[#This Row],[customer_rating]])</f>
        <v>2.8</v>
      </c>
      <c r="T791" t="s">
        <v>24</v>
      </c>
      <c r="V791">
        <f>IF(BBDD_fashion_boutique[[#This Row],[is_returned]]="False",0,1)</f>
        <v>0</v>
      </c>
      <c r="W791">
        <f>IF(BBDD_fashion_boutique[[#This Row],[is_returned]]="True",0,BBDD_fashion_boutique[[#This Row],[current_price]])</f>
        <v>25.16</v>
      </c>
      <c r="X791" t="str">
        <f>IF(BBDD_fashion_boutique[[#This Row],[return_reason]]="","No return",BBDD_fashion_boutique[[#This Row],[return_reason]])</f>
        <v>No return</v>
      </c>
      <c r="Y791">
        <f>IF(IFERROR(VLOOKUP(BBDD_fashion_boutique[[#This Row],[product_id]],A792:A2967,1,FALSE),0),1,0)</f>
        <v>0</v>
      </c>
    </row>
    <row r="792" spans="1:25" x14ac:dyDescent="0.3">
      <c r="A792" t="s">
        <v>851</v>
      </c>
      <c r="B792" t="s">
        <v>19</v>
      </c>
      <c r="C792" t="s">
        <v>37</v>
      </c>
      <c r="D792" t="s">
        <v>39</v>
      </c>
      <c r="E792" t="s">
        <v>22</v>
      </c>
      <c r="F792" t="str">
        <f>IF(BBDD_fashion_boutique[[#This Row],[category]]="Accessories","Accesorio",IF(BBDD_fashion_boutique[[#This Row],[size]]="","Desconocido",BBDD_fashion_boutique[[#This Row],[size]]))</f>
        <v>XL</v>
      </c>
      <c r="G792" t="s">
        <v>50</v>
      </c>
      <c r="H792" s="2">
        <v>175.82</v>
      </c>
      <c r="I792">
        <v>23</v>
      </c>
      <c r="J792" s="5">
        <f>BBDD_fashion_boutique[[#This Row],[markdown_percentage]]/100</f>
        <v>0.23</v>
      </c>
      <c r="K792" s="2">
        <v>135.38</v>
      </c>
      <c r="L792" s="2">
        <f>BBDD_fashion_boutique[[#This Row],[original_price]]-BBDD_fashion_boutique[[#This Row],[current_price]]</f>
        <v>40.44</v>
      </c>
      <c r="M792" s="1">
        <v>45875</v>
      </c>
      <c r="N792" s="1" t="str">
        <f>PROPER(TEXT(BBDD_fashion_boutique[[#This Row],[purchase_date]],"dddd"))</f>
        <v>Miércoles</v>
      </c>
      <c r="O792" s="1" t="str">
        <f>PROPER(TEXT(BBDD_fashion_boutique[[#This Row],[purchase_date]],"mmmm"))</f>
        <v>Agosto</v>
      </c>
      <c r="P792" s="4">
        <v>1</v>
      </c>
      <c r="Q792" s="2">
        <v>3.7</v>
      </c>
      <c r="R792" t="str">
        <f>IF(BBDD_fashion_boutique[[#This Row],[stock_quantity]]&gt;9,"Ok",IF(BBDD_fashion_boutique[[#This Row],[stock_quantity]]=0,"Agotado","Pocas Unidades"))</f>
        <v>Pocas Unidades</v>
      </c>
      <c r="S792" s="3">
        <f>IF(BBDD_fashion_boutique[[#This Row],[customer_rating]]="","No valorado",BBDD_fashion_boutique[[#This Row],[customer_rating]])</f>
        <v>3.7</v>
      </c>
      <c r="T792" t="s">
        <v>24</v>
      </c>
      <c r="V792">
        <f>IF(BBDD_fashion_boutique[[#This Row],[is_returned]]="False",0,1)</f>
        <v>0</v>
      </c>
      <c r="W792">
        <f>IF(BBDD_fashion_boutique[[#This Row],[is_returned]]="True",0,BBDD_fashion_boutique[[#This Row],[current_price]])</f>
        <v>135.38</v>
      </c>
      <c r="X792" t="str">
        <f>IF(BBDD_fashion_boutique[[#This Row],[return_reason]]="","No return",BBDD_fashion_boutique[[#This Row],[return_reason]])</f>
        <v>No return</v>
      </c>
      <c r="Y792">
        <f>IF(IFERROR(VLOOKUP(BBDD_fashion_boutique[[#This Row],[product_id]],A793:A2968,1,FALSE),0),1,0)</f>
        <v>0</v>
      </c>
    </row>
    <row r="793" spans="1:25" x14ac:dyDescent="0.3">
      <c r="A793" t="s">
        <v>852</v>
      </c>
      <c r="B793" t="s">
        <v>26</v>
      </c>
      <c r="C793" t="s">
        <v>49</v>
      </c>
      <c r="D793" t="s">
        <v>68</v>
      </c>
      <c r="E793" t="s">
        <v>61</v>
      </c>
      <c r="F793" t="str">
        <f>IF(BBDD_fashion_boutique[[#This Row],[category]]="Accessories","Accesorio",IF(BBDD_fashion_boutique[[#This Row],[size]]="","Desconocido",BBDD_fashion_boutique[[#This Row],[size]]))</f>
        <v>XS</v>
      </c>
      <c r="G793" t="s">
        <v>52</v>
      </c>
      <c r="H793" s="2">
        <v>53.25</v>
      </c>
      <c r="I793">
        <v>37.5</v>
      </c>
      <c r="J793" s="5">
        <f>BBDD_fashion_boutique[[#This Row],[markdown_percentage]]/100</f>
        <v>0.375</v>
      </c>
      <c r="K793" s="2">
        <v>33.28</v>
      </c>
      <c r="L793" s="2">
        <f>BBDD_fashion_boutique[[#This Row],[original_price]]-BBDD_fashion_boutique[[#This Row],[current_price]]</f>
        <v>19.97</v>
      </c>
      <c r="M793" s="1">
        <v>45875</v>
      </c>
      <c r="N793" s="1" t="str">
        <f>PROPER(TEXT(BBDD_fashion_boutique[[#This Row],[purchase_date]],"dddd"))</f>
        <v>Miércoles</v>
      </c>
      <c r="O793" s="1" t="str">
        <f>PROPER(TEXT(BBDD_fashion_boutique[[#This Row],[purchase_date]],"mmmm"))</f>
        <v>Agosto</v>
      </c>
      <c r="P793" s="4">
        <v>33</v>
      </c>
      <c r="Q793" s="2">
        <v>4.3</v>
      </c>
      <c r="R793" t="str">
        <f>IF(BBDD_fashion_boutique[[#This Row],[stock_quantity]]&gt;9,"Ok",IF(BBDD_fashion_boutique[[#This Row],[stock_quantity]]=0,"Agotado","Pocas Unidades"))</f>
        <v>Ok</v>
      </c>
      <c r="S793" s="3">
        <f>IF(BBDD_fashion_boutique[[#This Row],[customer_rating]]="","No valorado",BBDD_fashion_boutique[[#This Row],[customer_rating]])</f>
        <v>4.3</v>
      </c>
      <c r="T793" t="s">
        <v>24</v>
      </c>
      <c r="V793">
        <f>IF(BBDD_fashion_boutique[[#This Row],[is_returned]]="False",0,1)</f>
        <v>0</v>
      </c>
      <c r="W793">
        <f>IF(BBDD_fashion_boutique[[#This Row],[is_returned]]="True",0,BBDD_fashion_boutique[[#This Row],[current_price]])</f>
        <v>33.28</v>
      </c>
      <c r="X793" t="str">
        <f>IF(BBDD_fashion_boutique[[#This Row],[return_reason]]="","No return",BBDD_fashion_boutique[[#This Row],[return_reason]])</f>
        <v>No return</v>
      </c>
      <c r="Y793">
        <f>IF(IFERROR(VLOOKUP(BBDD_fashion_boutique[[#This Row],[product_id]],A794:A2969,1,FALSE),0),1,0)</f>
        <v>0</v>
      </c>
    </row>
    <row r="794" spans="1:25" x14ac:dyDescent="0.3">
      <c r="A794" t="s">
        <v>853</v>
      </c>
      <c r="B794" t="s">
        <v>19</v>
      </c>
      <c r="C794" t="s">
        <v>37</v>
      </c>
      <c r="D794" t="s">
        <v>39</v>
      </c>
      <c r="E794" t="s">
        <v>64</v>
      </c>
      <c r="F794" t="str">
        <f>IF(BBDD_fashion_boutique[[#This Row],[category]]="Accessories","Accesorio",IF(BBDD_fashion_boutique[[#This Row],[size]]="","Desconocido",BBDD_fashion_boutique[[#This Row],[size]]))</f>
        <v>M</v>
      </c>
      <c r="G794" t="s">
        <v>72</v>
      </c>
      <c r="H794" s="2">
        <v>215.19</v>
      </c>
      <c r="I794">
        <v>43</v>
      </c>
      <c r="J794" s="5">
        <f>BBDD_fashion_boutique[[#This Row],[markdown_percentage]]/100</f>
        <v>0.43</v>
      </c>
      <c r="K794" s="2">
        <v>122.66</v>
      </c>
      <c r="L794" s="2">
        <f>BBDD_fashion_boutique[[#This Row],[original_price]]-BBDD_fashion_boutique[[#This Row],[current_price]]</f>
        <v>92.53</v>
      </c>
      <c r="M794" s="1">
        <v>45875</v>
      </c>
      <c r="N794" s="1" t="str">
        <f>PROPER(TEXT(BBDD_fashion_boutique[[#This Row],[purchase_date]],"dddd"))</f>
        <v>Miércoles</v>
      </c>
      <c r="O794" s="1" t="str">
        <f>PROPER(TEXT(BBDD_fashion_boutique[[#This Row],[purchase_date]],"mmmm"))</f>
        <v>Agosto</v>
      </c>
      <c r="P794" s="4">
        <v>48</v>
      </c>
      <c r="Q794" s="2">
        <v>2.5</v>
      </c>
      <c r="R794" t="str">
        <f>IF(BBDD_fashion_boutique[[#This Row],[stock_quantity]]&gt;9,"Ok",IF(BBDD_fashion_boutique[[#This Row],[stock_quantity]]=0,"Agotado","Pocas Unidades"))</f>
        <v>Ok</v>
      </c>
      <c r="S794" s="3">
        <f>IF(BBDD_fashion_boutique[[#This Row],[customer_rating]]="","No valorado",BBDD_fashion_boutique[[#This Row],[customer_rating]])</f>
        <v>2.5</v>
      </c>
      <c r="T794" t="s">
        <v>24</v>
      </c>
      <c r="V794">
        <f>IF(BBDD_fashion_boutique[[#This Row],[is_returned]]="False",0,1)</f>
        <v>0</v>
      </c>
      <c r="W794">
        <f>IF(BBDD_fashion_boutique[[#This Row],[is_returned]]="True",0,BBDD_fashion_boutique[[#This Row],[current_price]])</f>
        <v>122.66</v>
      </c>
      <c r="X794" t="str">
        <f>IF(BBDD_fashion_boutique[[#This Row],[return_reason]]="","No return",BBDD_fashion_boutique[[#This Row],[return_reason]])</f>
        <v>No return</v>
      </c>
      <c r="Y794">
        <f>IF(IFERROR(VLOOKUP(BBDD_fashion_boutique[[#This Row],[product_id]],A795:A2970,1,FALSE),0),1,0)</f>
        <v>0</v>
      </c>
    </row>
    <row r="795" spans="1:25" x14ac:dyDescent="0.3">
      <c r="A795" t="s">
        <v>854</v>
      </c>
      <c r="B795" t="s">
        <v>44</v>
      </c>
      <c r="C795" t="s">
        <v>20</v>
      </c>
      <c r="D795" t="s">
        <v>68</v>
      </c>
      <c r="E795" t="s">
        <v>45</v>
      </c>
      <c r="F795" t="str">
        <f>IF(BBDD_fashion_boutique[[#This Row],[category]]="Accessories","Accesorio",IF(BBDD_fashion_boutique[[#This Row],[size]]="","Desconocido",BBDD_fashion_boutique[[#This Row],[size]]))</f>
        <v>S</v>
      </c>
      <c r="G795" t="s">
        <v>30</v>
      </c>
      <c r="H795" s="2">
        <v>78.41</v>
      </c>
      <c r="I795">
        <v>20.7</v>
      </c>
      <c r="J795" s="5">
        <f>BBDD_fashion_boutique[[#This Row],[markdown_percentage]]/100</f>
        <v>0.20699999999999999</v>
      </c>
      <c r="K795" s="2">
        <v>62.18</v>
      </c>
      <c r="L795" s="2">
        <f>BBDD_fashion_boutique[[#This Row],[original_price]]-BBDD_fashion_boutique[[#This Row],[current_price]]</f>
        <v>16.229999999999997</v>
      </c>
      <c r="M795" s="1">
        <v>45875</v>
      </c>
      <c r="N795" s="1" t="str">
        <f>PROPER(TEXT(BBDD_fashion_boutique[[#This Row],[purchase_date]],"dddd"))</f>
        <v>Miércoles</v>
      </c>
      <c r="O795" s="1" t="str">
        <f>PROPER(TEXT(BBDD_fashion_boutique[[#This Row],[purchase_date]],"mmmm"))</f>
        <v>Agosto</v>
      </c>
      <c r="P795" s="4">
        <v>9</v>
      </c>
      <c r="Q795" s="2">
        <v>4.4000000000000004</v>
      </c>
      <c r="R795" t="str">
        <f>IF(BBDD_fashion_boutique[[#This Row],[stock_quantity]]&gt;9,"Ok",IF(BBDD_fashion_boutique[[#This Row],[stock_quantity]]=0,"Agotado","Pocas Unidades"))</f>
        <v>Pocas Unidades</v>
      </c>
      <c r="S795" s="3">
        <f>IF(BBDD_fashion_boutique[[#This Row],[customer_rating]]="","No valorado",BBDD_fashion_boutique[[#This Row],[customer_rating]])</f>
        <v>4.4000000000000004</v>
      </c>
      <c r="T795" t="s">
        <v>24</v>
      </c>
      <c r="V795">
        <f>IF(BBDD_fashion_boutique[[#This Row],[is_returned]]="False",0,1)</f>
        <v>0</v>
      </c>
      <c r="W795">
        <f>IF(BBDD_fashion_boutique[[#This Row],[is_returned]]="True",0,BBDD_fashion_boutique[[#This Row],[current_price]])</f>
        <v>62.18</v>
      </c>
      <c r="X795" t="str">
        <f>IF(BBDD_fashion_boutique[[#This Row],[return_reason]]="","No return",BBDD_fashion_boutique[[#This Row],[return_reason]])</f>
        <v>No return</v>
      </c>
      <c r="Y795">
        <f>IF(IFERROR(VLOOKUP(BBDD_fashion_boutique[[#This Row],[product_id]],A796:A2971,1,FALSE),0),1,0)</f>
        <v>0</v>
      </c>
    </row>
    <row r="796" spans="1:25" x14ac:dyDescent="0.3">
      <c r="A796" t="s">
        <v>855</v>
      </c>
      <c r="B796" t="s">
        <v>35</v>
      </c>
      <c r="C796" t="s">
        <v>20</v>
      </c>
      <c r="D796" t="s">
        <v>68</v>
      </c>
      <c r="E796" t="s">
        <v>55</v>
      </c>
      <c r="F796" t="str">
        <f>IF(BBDD_fashion_boutique[[#This Row],[category]]="Accessories","Accesorio",IF(BBDD_fashion_boutique[[#This Row],[size]]="","Desconocido",BBDD_fashion_boutique[[#This Row],[size]]))</f>
        <v>XXL</v>
      </c>
      <c r="G796" t="s">
        <v>30</v>
      </c>
      <c r="H796" s="2">
        <v>173.15</v>
      </c>
      <c r="I796">
        <v>0</v>
      </c>
      <c r="J796" s="5">
        <f>BBDD_fashion_boutique[[#This Row],[markdown_percentage]]/100</f>
        <v>0</v>
      </c>
      <c r="K796" s="2">
        <v>173.15</v>
      </c>
      <c r="L796" s="2">
        <f>BBDD_fashion_boutique[[#This Row],[original_price]]-BBDD_fashion_boutique[[#This Row],[current_price]]</f>
        <v>0</v>
      </c>
      <c r="M796" s="1">
        <v>45875</v>
      </c>
      <c r="N796" s="1" t="str">
        <f>PROPER(TEXT(BBDD_fashion_boutique[[#This Row],[purchase_date]],"dddd"))</f>
        <v>Miércoles</v>
      </c>
      <c r="O796" s="1" t="str">
        <f>PROPER(TEXT(BBDD_fashion_boutique[[#This Row],[purchase_date]],"mmmm"))</f>
        <v>Agosto</v>
      </c>
      <c r="P796" s="4">
        <v>45</v>
      </c>
      <c r="Q796" s="2">
        <v>2.2000000000000002</v>
      </c>
      <c r="R796" t="str">
        <f>IF(BBDD_fashion_boutique[[#This Row],[stock_quantity]]&gt;9,"Ok",IF(BBDD_fashion_boutique[[#This Row],[stock_quantity]]=0,"Agotado","Pocas Unidades"))</f>
        <v>Ok</v>
      </c>
      <c r="S796" s="3">
        <f>IF(BBDD_fashion_boutique[[#This Row],[customer_rating]]="","No valorado",BBDD_fashion_boutique[[#This Row],[customer_rating]])</f>
        <v>2.2000000000000002</v>
      </c>
      <c r="T796" t="s">
        <v>24</v>
      </c>
      <c r="V796">
        <f>IF(BBDD_fashion_boutique[[#This Row],[is_returned]]="False",0,1)</f>
        <v>0</v>
      </c>
      <c r="W796">
        <f>IF(BBDD_fashion_boutique[[#This Row],[is_returned]]="True",0,BBDD_fashion_boutique[[#This Row],[current_price]])</f>
        <v>173.15</v>
      </c>
      <c r="X796" t="str">
        <f>IF(BBDD_fashion_boutique[[#This Row],[return_reason]]="","No return",BBDD_fashion_boutique[[#This Row],[return_reason]])</f>
        <v>No return</v>
      </c>
      <c r="Y796">
        <f>IF(IFERROR(VLOOKUP(BBDD_fashion_boutique[[#This Row],[product_id]],A797:A2972,1,FALSE),0),1,0)</f>
        <v>0</v>
      </c>
    </row>
    <row r="797" spans="1:25" x14ac:dyDescent="0.3">
      <c r="A797" t="s">
        <v>856</v>
      </c>
      <c r="B797" t="s">
        <v>32</v>
      </c>
      <c r="C797" t="s">
        <v>20</v>
      </c>
      <c r="D797" t="s">
        <v>39</v>
      </c>
      <c r="F797" t="str">
        <f>IF(BBDD_fashion_boutique[[#This Row],[category]]="Accessories","Accesorio",IF(BBDD_fashion_boutique[[#This Row],[size]]="","Desconocido",BBDD_fashion_boutique[[#This Row],[size]]))</f>
        <v>Accesorio</v>
      </c>
      <c r="G797" t="s">
        <v>50</v>
      </c>
      <c r="H797" s="2">
        <v>16.84</v>
      </c>
      <c r="I797">
        <v>36.6</v>
      </c>
      <c r="J797" s="5">
        <f>BBDD_fashion_boutique[[#This Row],[markdown_percentage]]/100</f>
        <v>0.36599999999999999</v>
      </c>
      <c r="K797" s="2">
        <v>10.68</v>
      </c>
      <c r="L797" s="2">
        <f>BBDD_fashion_boutique[[#This Row],[original_price]]-BBDD_fashion_boutique[[#This Row],[current_price]]</f>
        <v>6.16</v>
      </c>
      <c r="M797" s="1">
        <v>45875</v>
      </c>
      <c r="N797" s="1" t="str">
        <f>PROPER(TEXT(BBDD_fashion_boutique[[#This Row],[purchase_date]],"dddd"))</f>
        <v>Miércoles</v>
      </c>
      <c r="O797" s="1" t="str">
        <f>PROPER(TEXT(BBDD_fashion_boutique[[#This Row],[purchase_date]],"mmmm"))</f>
        <v>Agosto</v>
      </c>
      <c r="P797" s="4">
        <v>34</v>
      </c>
      <c r="Q797" s="2">
        <v>1.7</v>
      </c>
      <c r="R797" t="str">
        <f>IF(BBDD_fashion_boutique[[#This Row],[stock_quantity]]&gt;9,"Ok",IF(BBDD_fashion_boutique[[#This Row],[stock_quantity]]=0,"Agotado","Pocas Unidades"))</f>
        <v>Ok</v>
      </c>
      <c r="S797" s="3">
        <f>IF(BBDD_fashion_boutique[[#This Row],[customer_rating]]="","No valorado",BBDD_fashion_boutique[[#This Row],[customer_rating]])</f>
        <v>1.7</v>
      </c>
      <c r="T797" t="s">
        <v>24</v>
      </c>
      <c r="V797">
        <f>IF(BBDD_fashion_boutique[[#This Row],[is_returned]]="False",0,1)</f>
        <v>0</v>
      </c>
      <c r="W797">
        <f>IF(BBDD_fashion_boutique[[#This Row],[is_returned]]="True",0,BBDD_fashion_boutique[[#This Row],[current_price]])</f>
        <v>10.68</v>
      </c>
      <c r="X797" t="str">
        <f>IF(BBDD_fashion_boutique[[#This Row],[return_reason]]="","No return",BBDD_fashion_boutique[[#This Row],[return_reason]])</f>
        <v>No return</v>
      </c>
      <c r="Y797">
        <f>IF(IFERROR(VLOOKUP(BBDD_fashion_boutique[[#This Row],[product_id]],A798:A2973,1,FALSE),0),1,0)</f>
        <v>0</v>
      </c>
    </row>
    <row r="798" spans="1:25" x14ac:dyDescent="0.3">
      <c r="A798" t="s">
        <v>857</v>
      </c>
      <c r="B798" t="s">
        <v>19</v>
      </c>
      <c r="C798" t="s">
        <v>81</v>
      </c>
      <c r="D798" t="s">
        <v>68</v>
      </c>
      <c r="E798" t="s">
        <v>45</v>
      </c>
      <c r="F798" t="str">
        <f>IF(BBDD_fashion_boutique[[#This Row],[category]]="Accessories","Accesorio",IF(BBDD_fashion_boutique[[#This Row],[size]]="","Desconocido",BBDD_fashion_boutique[[#This Row],[size]]))</f>
        <v>S</v>
      </c>
      <c r="G798" t="s">
        <v>72</v>
      </c>
      <c r="H798" s="2">
        <v>128.6</v>
      </c>
      <c r="I798">
        <v>0</v>
      </c>
      <c r="J798" s="5">
        <f>BBDD_fashion_boutique[[#This Row],[markdown_percentage]]/100</f>
        <v>0</v>
      </c>
      <c r="K798" s="2">
        <v>128.6</v>
      </c>
      <c r="L798" s="2">
        <f>BBDD_fashion_boutique[[#This Row],[original_price]]-BBDD_fashion_boutique[[#This Row],[current_price]]</f>
        <v>0</v>
      </c>
      <c r="M798" s="1">
        <v>45875</v>
      </c>
      <c r="N798" s="1" t="str">
        <f>PROPER(TEXT(BBDD_fashion_boutique[[#This Row],[purchase_date]],"dddd"))</f>
        <v>Miércoles</v>
      </c>
      <c r="O798" s="1" t="str">
        <f>PROPER(TEXT(BBDD_fashion_boutique[[#This Row],[purchase_date]],"mmmm"))</f>
        <v>Agosto</v>
      </c>
      <c r="P798" s="4">
        <v>11</v>
      </c>
      <c r="Q798" s="2">
        <v>2.2999999999999998</v>
      </c>
      <c r="R798" t="str">
        <f>IF(BBDD_fashion_boutique[[#This Row],[stock_quantity]]&gt;9,"Ok",IF(BBDD_fashion_boutique[[#This Row],[stock_quantity]]=0,"Agotado","Pocas Unidades"))</f>
        <v>Ok</v>
      </c>
      <c r="S798" s="3">
        <f>IF(BBDD_fashion_boutique[[#This Row],[customer_rating]]="","No valorado",BBDD_fashion_boutique[[#This Row],[customer_rating]])</f>
        <v>2.2999999999999998</v>
      </c>
      <c r="T798" t="s">
        <v>24</v>
      </c>
      <c r="V798">
        <f>IF(BBDD_fashion_boutique[[#This Row],[is_returned]]="False",0,1)</f>
        <v>0</v>
      </c>
      <c r="W798">
        <f>IF(BBDD_fashion_boutique[[#This Row],[is_returned]]="True",0,BBDD_fashion_boutique[[#This Row],[current_price]])</f>
        <v>128.6</v>
      </c>
      <c r="X798" t="str">
        <f>IF(BBDD_fashion_boutique[[#This Row],[return_reason]]="","No return",BBDD_fashion_boutique[[#This Row],[return_reason]])</f>
        <v>No return</v>
      </c>
      <c r="Y798">
        <f>IF(IFERROR(VLOOKUP(BBDD_fashion_boutique[[#This Row],[product_id]],A799:A2974,1,FALSE),0),1,0)</f>
        <v>0</v>
      </c>
    </row>
    <row r="799" spans="1:25" x14ac:dyDescent="0.3">
      <c r="A799" t="s">
        <v>858</v>
      </c>
      <c r="B799" t="s">
        <v>19</v>
      </c>
      <c r="C799" t="s">
        <v>59</v>
      </c>
      <c r="D799" t="s">
        <v>21</v>
      </c>
      <c r="E799" t="s">
        <v>55</v>
      </c>
      <c r="F799" t="str">
        <f>IF(BBDD_fashion_boutique[[#This Row],[category]]="Accessories","Accesorio",IF(BBDD_fashion_boutique[[#This Row],[size]]="","Desconocido",BBDD_fashion_boutique[[#This Row],[size]]))</f>
        <v>XXL</v>
      </c>
      <c r="G799" t="s">
        <v>52</v>
      </c>
      <c r="H799" s="2">
        <v>131.74</v>
      </c>
      <c r="I799">
        <v>0</v>
      </c>
      <c r="J799" s="5">
        <f>BBDD_fashion_boutique[[#This Row],[markdown_percentage]]/100</f>
        <v>0</v>
      </c>
      <c r="K799" s="2">
        <v>131.74</v>
      </c>
      <c r="L799" s="2">
        <f>BBDD_fashion_boutique[[#This Row],[original_price]]-BBDD_fashion_boutique[[#This Row],[current_price]]</f>
        <v>0</v>
      </c>
      <c r="M799" s="1">
        <v>45548</v>
      </c>
      <c r="N799" s="1" t="str">
        <f>PROPER(TEXT(BBDD_fashion_boutique[[#This Row],[purchase_date]],"dddd"))</f>
        <v>Viernes</v>
      </c>
      <c r="O799" s="1" t="str">
        <f>PROPER(TEXT(BBDD_fashion_boutique[[#This Row],[purchase_date]],"mmmm"))</f>
        <v>Septiembre</v>
      </c>
      <c r="P799" s="4">
        <v>46</v>
      </c>
      <c r="Q799" s="2">
        <v>4.5999999999999996</v>
      </c>
      <c r="R799" t="str">
        <f>IF(BBDD_fashion_boutique[[#This Row],[stock_quantity]]&gt;9,"Ok",IF(BBDD_fashion_boutique[[#This Row],[stock_quantity]]=0,"Agotado","Pocas Unidades"))</f>
        <v>Ok</v>
      </c>
      <c r="S799" s="3">
        <f>IF(BBDD_fashion_boutique[[#This Row],[customer_rating]]="","No valorado",BBDD_fashion_boutique[[#This Row],[customer_rating]])</f>
        <v>4.5999999999999996</v>
      </c>
      <c r="T799" t="s">
        <v>24</v>
      </c>
      <c r="V799">
        <f>IF(BBDD_fashion_boutique[[#This Row],[is_returned]]="False",0,1)</f>
        <v>0</v>
      </c>
      <c r="W799">
        <f>IF(BBDD_fashion_boutique[[#This Row],[is_returned]]="True",0,BBDD_fashion_boutique[[#This Row],[current_price]])</f>
        <v>131.74</v>
      </c>
      <c r="X799" t="str">
        <f>IF(BBDD_fashion_boutique[[#This Row],[return_reason]]="","No return",BBDD_fashion_boutique[[#This Row],[return_reason]])</f>
        <v>No return</v>
      </c>
      <c r="Y799">
        <f>IF(IFERROR(VLOOKUP(BBDD_fashion_boutique[[#This Row],[product_id]],A800:A2975,1,FALSE),0),1,0)</f>
        <v>0</v>
      </c>
    </row>
    <row r="800" spans="1:25" x14ac:dyDescent="0.3">
      <c r="A800" t="s">
        <v>859</v>
      </c>
      <c r="B800" t="s">
        <v>44</v>
      </c>
      <c r="C800" t="s">
        <v>81</v>
      </c>
      <c r="D800" t="s">
        <v>68</v>
      </c>
      <c r="E800" t="s">
        <v>55</v>
      </c>
      <c r="F800" t="str">
        <f>IF(BBDD_fashion_boutique[[#This Row],[category]]="Accessories","Accesorio",IF(BBDD_fashion_boutique[[#This Row],[size]]="","Desconocido",BBDD_fashion_boutique[[#This Row],[size]]))</f>
        <v>XXL</v>
      </c>
      <c r="G800" t="s">
        <v>40</v>
      </c>
      <c r="H800" s="2">
        <v>28.15</v>
      </c>
      <c r="I800">
        <v>12.7</v>
      </c>
      <c r="J800" s="5">
        <f>BBDD_fashion_boutique[[#This Row],[markdown_percentage]]/100</f>
        <v>0.127</v>
      </c>
      <c r="K800" s="2">
        <v>24.57</v>
      </c>
      <c r="L800" s="2">
        <f>BBDD_fashion_boutique[[#This Row],[original_price]]-BBDD_fashion_boutique[[#This Row],[current_price]]</f>
        <v>3.5799999999999983</v>
      </c>
      <c r="M800" s="1">
        <v>45875</v>
      </c>
      <c r="N800" s="1" t="str">
        <f>PROPER(TEXT(BBDD_fashion_boutique[[#This Row],[purchase_date]],"dddd"))</f>
        <v>Miércoles</v>
      </c>
      <c r="O800" s="1" t="str">
        <f>PROPER(TEXT(BBDD_fashion_boutique[[#This Row],[purchase_date]],"mmmm"))</f>
        <v>Agosto</v>
      </c>
      <c r="P800" s="4">
        <v>13</v>
      </c>
      <c r="Q800" s="2">
        <v>3.9</v>
      </c>
      <c r="R800" t="str">
        <f>IF(BBDD_fashion_boutique[[#This Row],[stock_quantity]]&gt;9,"Ok",IF(BBDD_fashion_boutique[[#This Row],[stock_quantity]]=0,"Agotado","Pocas Unidades"))</f>
        <v>Ok</v>
      </c>
      <c r="S800" s="3">
        <f>IF(BBDD_fashion_boutique[[#This Row],[customer_rating]]="","No valorado",BBDD_fashion_boutique[[#This Row],[customer_rating]])</f>
        <v>3.9</v>
      </c>
      <c r="T800" t="s">
        <v>24</v>
      </c>
      <c r="V800">
        <f>IF(BBDD_fashion_boutique[[#This Row],[is_returned]]="False",0,1)</f>
        <v>0</v>
      </c>
      <c r="W800">
        <f>IF(BBDD_fashion_boutique[[#This Row],[is_returned]]="True",0,BBDD_fashion_boutique[[#This Row],[current_price]])</f>
        <v>24.57</v>
      </c>
      <c r="X800" t="str">
        <f>IF(BBDD_fashion_boutique[[#This Row],[return_reason]]="","No return",BBDD_fashion_boutique[[#This Row],[return_reason]])</f>
        <v>No return</v>
      </c>
      <c r="Y800">
        <f>IF(IFERROR(VLOOKUP(BBDD_fashion_boutique[[#This Row],[product_id]],A801:A2976,1,FALSE),0),1,0)</f>
        <v>0</v>
      </c>
    </row>
    <row r="801" spans="1:25" x14ac:dyDescent="0.3">
      <c r="A801" t="s">
        <v>860</v>
      </c>
      <c r="B801" t="s">
        <v>19</v>
      </c>
      <c r="C801" t="s">
        <v>81</v>
      </c>
      <c r="D801" t="s">
        <v>28</v>
      </c>
      <c r="E801" t="s">
        <v>22</v>
      </c>
      <c r="F801" t="str">
        <f>IF(BBDD_fashion_boutique[[#This Row],[category]]="Accessories","Accesorio",IF(BBDD_fashion_boutique[[#This Row],[size]]="","Desconocido",BBDD_fashion_boutique[[#This Row],[size]]))</f>
        <v>XL</v>
      </c>
      <c r="G801" t="s">
        <v>23</v>
      </c>
      <c r="H801" s="2">
        <v>165.1</v>
      </c>
      <c r="I801">
        <v>58.4</v>
      </c>
      <c r="J801" s="5">
        <f>BBDD_fashion_boutique[[#This Row],[markdown_percentage]]/100</f>
        <v>0.58399999999999996</v>
      </c>
      <c r="K801" s="2">
        <v>68.680000000000007</v>
      </c>
      <c r="L801" s="2">
        <f>BBDD_fashion_boutique[[#This Row],[original_price]]-BBDD_fashion_boutique[[#This Row],[current_price]]</f>
        <v>96.419999999999987</v>
      </c>
      <c r="M801" s="1">
        <v>45875</v>
      </c>
      <c r="N801" s="1" t="str">
        <f>PROPER(TEXT(BBDD_fashion_boutique[[#This Row],[purchase_date]],"dddd"))</f>
        <v>Miércoles</v>
      </c>
      <c r="O801" s="1" t="str">
        <f>PROPER(TEXT(BBDD_fashion_boutique[[#This Row],[purchase_date]],"mmmm"))</f>
        <v>Agosto</v>
      </c>
      <c r="P801" s="4">
        <v>29</v>
      </c>
      <c r="Q801" s="2">
        <v>1.2</v>
      </c>
      <c r="R801" t="str">
        <f>IF(BBDD_fashion_boutique[[#This Row],[stock_quantity]]&gt;9,"Ok",IF(BBDD_fashion_boutique[[#This Row],[stock_quantity]]=0,"Agotado","Pocas Unidades"))</f>
        <v>Ok</v>
      </c>
      <c r="S801" s="3">
        <f>IF(BBDD_fashion_boutique[[#This Row],[customer_rating]]="","No valorado",BBDD_fashion_boutique[[#This Row],[customer_rating]])</f>
        <v>1.2</v>
      </c>
      <c r="T801" t="s">
        <v>24</v>
      </c>
      <c r="V801">
        <f>IF(BBDD_fashion_boutique[[#This Row],[is_returned]]="False",0,1)</f>
        <v>0</v>
      </c>
      <c r="W801">
        <f>IF(BBDD_fashion_boutique[[#This Row],[is_returned]]="True",0,BBDD_fashion_boutique[[#This Row],[current_price]])</f>
        <v>68.680000000000007</v>
      </c>
      <c r="X801" t="str">
        <f>IF(BBDD_fashion_boutique[[#This Row],[return_reason]]="","No return",BBDD_fashion_boutique[[#This Row],[return_reason]])</f>
        <v>No return</v>
      </c>
      <c r="Y801">
        <f>IF(IFERROR(VLOOKUP(BBDD_fashion_boutique[[#This Row],[product_id]],A802:A2977,1,FALSE),0),1,0)</f>
        <v>0</v>
      </c>
    </row>
    <row r="802" spans="1:25" x14ac:dyDescent="0.3">
      <c r="A802" t="s">
        <v>861</v>
      </c>
      <c r="B802" t="s">
        <v>26</v>
      </c>
      <c r="C802" t="s">
        <v>49</v>
      </c>
      <c r="D802" t="s">
        <v>21</v>
      </c>
      <c r="E802" t="s">
        <v>22</v>
      </c>
      <c r="F802" t="str">
        <f>IF(BBDD_fashion_boutique[[#This Row],[category]]="Accessories","Accesorio",IF(BBDD_fashion_boutique[[#This Row],[size]]="","Desconocido",BBDD_fashion_boutique[[#This Row],[size]]))</f>
        <v>XL</v>
      </c>
      <c r="G802" t="s">
        <v>46</v>
      </c>
      <c r="H802" s="2">
        <v>49.62</v>
      </c>
      <c r="I802">
        <v>0.8</v>
      </c>
      <c r="J802" s="5">
        <f>BBDD_fashion_boutique[[#This Row],[markdown_percentage]]/100</f>
        <v>8.0000000000000002E-3</v>
      </c>
      <c r="K802" s="2">
        <v>49.22</v>
      </c>
      <c r="L802" s="2">
        <f>BBDD_fashion_boutique[[#This Row],[original_price]]-BBDD_fashion_boutique[[#This Row],[current_price]]</f>
        <v>0.39999999999999858</v>
      </c>
      <c r="M802" s="1">
        <v>45613</v>
      </c>
      <c r="N802" s="1" t="str">
        <f>PROPER(TEXT(BBDD_fashion_boutique[[#This Row],[purchase_date]],"dddd"))</f>
        <v>Domingo</v>
      </c>
      <c r="O802" s="1" t="str">
        <f>PROPER(TEXT(BBDD_fashion_boutique[[#This Row],[purchase_date]],"mmmm"))</f>
        <v>Noviembre</v>
      </c>
      <c r="P802" s="4">
        <v>22</v>
      </c>
      <c r="Q802" s="2">
        <v>2.2999999999999998</v>
      </c>
      <c r="R802" t="str">
        <f>IF(BBDD_fashion_boutique[[#This Row],[stock_quantity]]&gt;9,"Ok",IF(BBDD_fashion_boutique[[#This Row],[stock_quantity]]=0,"Agotado","Pocas Unidades"))</f>
        <v>Ok</v>
      </c>
      <c r="S802" s="3">
        <f>IF(BBDD_fashion_boutique[[#This Row],[customer_rating]]="","No valorado",BBDD_fashion_boutique[[#This Row],[customer_rating]])</f>
        <v>2.2999999999999998</v>
      </c>
      <c r="T802" t="s">
        <v>24</v>
      </c>
      <c r="V802">
        <f>IF(BBDD_fashion_boutique[[#This Row],[is_returned]]="False",0,1)</f>
        <v>0</v>
      </c>
      <c r="W802">
        <f>IF(BBDD_fashion_boutique[[#This Row],[is_returned]]="True",0,BBDD_fashion_boutique[[#This Row],[current_price]])</f>
        <v>49.22</v>
      </c>
      <c r="X802" t="str">
        <f>IF(BBDD_fashion_boutique[[#This Row],[return_reason]]="","No return",BBDD_fashion_boutique[[#This Row],[return_reason]])</f>
        <v>No return</v>
      </c>
      <c r="Y802">
        <f>IF(IFERROR(VLOOKUP(BBDD_fashion_boutique[[#This Row],[product_id]],A803:A2978,1,FALSE),0),1,0)</f>
        <v>0</v>
      </c>
    </row>
    <row r="803" spans="1:25" x14ac:dyDescent="0.3">
      <c r="A803" t="s">
        <v>862</v>
      </c>
      <c r="B803" t="s">
        <v>26</v>
      </c>
      <c r="C803" t="s">
        <v>37</v>
      </c>
      <c r="D803" t="s">
        <v>39</v>
      </c>
      <c r="E803" t="s">
        <v>22</v>
      </c>
      <c r="F803" t="str">
        <f>IF(BBDD_fashion_boutique[[#This Row],[category]]="Accessories","Accesorio",IF(BBDD_fashion_boutique[[#This Row],[size]]="","Desconocido",BBDD_fashion_boutique[[#This Row],[size]]))</f>
        <v>XL</v>
      </c>
      <c r="G803" t="s">
        <v>33</v>
      </c>
      <c r="H803" s="2">
        <v>98.52</v>
      </c>
      <c r="I803">
        <v>18.899999999999999</v>
      </c>
      <c r="J803" s="5">
        <f>BBDD_fashion_boutique[[#This Row],[markdown_percentage]]/100</f>
        <v>0.18899999999999997</v>
      </c>
      <c r="K803" s="2">
        <v>79.900000000000006</v>
      </c>
      <c r="L803" s="2">
        <f>BBDD_fashion_boutique[[#This Row],[original_price]]-BBDD_fashion_boutique[[#This Row],[current_price]]</f>
        <v>18.61999999999999</v>
      </c>
      <c r="M803" s="1">
        <v>45875</v>
      </c>
      <c r="N803" s="1" t="str">
        <f>PROPER(TEXT(BBDD_fashion_boutique[[#This Row],[purchase_date]],"dddd"))</f>
        <v>Miércoles</v>
      </c>
      <c r="O803" s="1" t="str">
        <f>PROPER(TEXT(BBDD_fashion_boutique[[#This Row],[purchase_date]],"mmmm"))</f>
        <v>Agosto</v>
      </c>
      <c r="P803" s="4">
        <v>37</v>
      </c>
      <c r="Q803" s="2">
        <v>4.0999999999999996</v>
      </c>
      <c r="R803" t="str">
        <f>IF(BBDD_fashion_boutique[[#This Row],[stock_quantity]]&gt;9,"Ok",IF(BBDD_fashion_boutique[[#This Row],[stock_quantity]]=0,"Agotado","Pocas Unidades"))</f>
        <v>Ok</v>
      </c>
      <c r="S803" s="3">
        <f>IF(BBDD_fashion_boutique[[#This Row],[customer_rating]]="","No valorado",BBDD_fashion_boutique[[#This Row],[customer_rating]])</f>
        <v>4.0999999999999996</v>
      </c>
      <c r="T803" t="s">
        <v>41</v>
      </c>
      <c r="U803" t="s">
        <v>131</v>
      </c>
      <c r="V803">
        <f>IF(BBDD_fashion_boutique[[#This Row],[is_returned]]="False",0,1)</f>
        <v>1</v>
      </c>
      <c r="W803">
        <f>IF(BBDD_fashion_boutique[[#This Row],[is_returned]]="True",0,BBDD_fashion_boutique[[#This Row],[current_price]])</f>
        <v>0</v>
      </c>
      <c r="X803" t="str">
        <f>IF(BBDD_fashion_boutique[[#This Row],[return_reason]]="","No return",BBDD_fashion_boutique[[#This Row],[return_reason]])</f>
        <v>Wrong Item</v>
      </c>
      <c r="Y803">
        <f>IF(IFERROR(VLOOKUP(BBDD_fashion_boutique[[#This Row],[product_id]],A804:A2979,1,FALSE),0),1,0)</f>
        <v>0</v>
      </c>
    </row>
    <row r="804" spans="1:25" x14ac:dyDescent="0.3">
      <c r="A804" t="s">
        <v>863</v>
      </c>
      <c r="B804" t="s">
        <v>35</v>
      </c>
      <c r="C804" t="s">
        <v>49</v>
      </c>
      <c r="D804" t="s">
        <v>39</v>
      </c>
      <c r="E804" t="s">
        <v>45</v>
      </c>
      <c r="F804" t="str">
        <f>IF(BBDD_fashion_boutique[[#This Row],[category]]="Accessories","Accesorio",IF(BBDD_fashion_boutique[[#This Row],[size]]="","Desconocido",BBDD_fashion_boutique[[#This Row],[size]]))</f>
        <v>S</v>
      </c>
      <c r="G804" t="s">
        <v>52</v>
      </c>
      <c r="H804" s="2">
        <v>94.19</v>
      </c>
      <c r="I804">
        <v>30.8</v>
      </c>
      <c r="J804" s="5">
        <f>BBDD_fashion_boutique[[#This Row],[markdown_percentage]]/100</f>
        <v>0.308</v>
      </c>
      <c r="K804" s="2">
        <v>65.180000000000007</v>
      </c>
      <c r="L804" s="2">
        <f>BBDD_fashion_boutique[[#This Row],[original_price]]-BBDD_fashion_boutique[[#This Row],[current_price]]</f>
        <v>29.009999999999991</v>
      </c>
      <c r="M804" s="1">
        <v>45875</v>
      </c>
      <c r="N804" s="1" t="str">
        <f>PROPER(TEXT(BBDD_fashion_boutique[[#This Row],[purchase_date]],"dddd"))</f>
        <v>Miércoles</v>
      </c>
      <c r="O804" s="1" t="str">
        <f>PROPER(TEXT(BBDD_fashion_boutique[[#This Row],[purchase_date]],"mmmm"))</f>
        <v>Agosto</v>
      </c>
      <c r="P804" s="4">
        <v>31</v>
      </c>
      <c r="Q804" s="2">
        <v>1.4</v>
      </c>
      <c r="R804" t="str">
        <f>IF(BBDD_fashion_boutique[[#This Row],[stock_quantity]]&gt;9,"Ok",IF(BBDD_fashion_boutique[[#This Row],[stock_quantity]]=0,"Agotado","Pocas Unidades"))</f>
        <v>Ok</v>
      </c>
      <c r="S804" s="3">
        <f>IF(BBDD_fashion_boutique[[#This Row],[customer_rating]]="","No valorado",BBDD_fashion_boutique[[#This Row],[customer_rating]])</f>
        <v>1.4</v>
      </c>
      <c r="T804" t="s">
        <v>24</v>
      </c>
      <c r="V804">
        <f>IF(BBDD_fashion_boutique[[#This Row],[is_returned]]="False",0,1)</f>
        <v>0</v>
      </c>
      <c r="W804">
        <f>IF(BBDD_fashion_boutique[[#This Row],[is_returned]]="True",0,BBDD_fashion_boutique[[#This Row],[current_price]])</f>
        <v>65.180000000000007</v>
      </c>
      <c r="X804" t="str">
        <f>IF(BBDD_fashion_boutique[[#This Row],[return_reason]]="","No return",BBDD_fashion_boutique[[#This Row],[return_reason]])</f>
        <v>No return</v>
      </c>
      <c r="Y804">
        <f>IF(IFERROR(VLOOKUP(BBDD_fashion_boutique[[#This Row],[product_id]],A805:A2980,1,FALSE),0),1,0)</f>
        <v>0</v>
      </c>
    </row>
    <row r="805" spans="1:25" x14ac:dyDescent="0.3">
      <c r="A805" t="s">
        <v>864</v>
      </c>
      <c r="B805" t="s">
        <v>32</v>
      </c>
      <c r="C805" t="s">
        <v>81</v>
      </c>
      <c r="D805" t="s">
        <v>28</v>
      </c>
      <c r="F805" t="str">
        <f>IF(BBDD_fashion_boutique[[#This Row],[category]]="Accessories","Accesorio",IF(BBDD_fashion_boutique[[#This Row],[size]]="","Desconocido",BBDD_fashion_boutique[[#This Row],[size]]))</f>
        <v>Accesorio</v>
      </c>
      <c r="G805" t="s">
        <v>46</v>
      </c>
      <c r="H805" s="2">
        <v>23.5</v>
      </c>
      <c r="I805">
        <v>0</v>
      </c>
      <c r="J805" s="5">
        <f>BBDD_fashion_boutique[[#This Row],[markdown_percentage]]/100</f>
        <v>0</v>
      </c>
      <c r="K805" s="2">
        <v>23.5</v>
      </c>
      <c r="L805" s="2">
        <f>BBDD_fashion_boutique[[#This Row],[original_price]]-BBDD_fashion_boutique[[#This Row],[current_price]]</f>
        <v>0</v>
      </c>
      <c r="M805" s="1">
        <v>45875</v>
      </c>
      <c r="N805" s="1" t="str">
        <f>PROPER(TEXT(BBDD_fashion_boutique[[#This Row],[purchase_date]],"dddd"))</f>
        <v>Miércoles</v>
      </c>
      <c r="O805" s="1" t="str">
        <f>PROPER(TEXT(BBDD_fashion_boutique[[#This Row],[purchase_date]],"mmmm"))</f>
        <v>Agosto</v>
      </c>
      <c r="P805" s="4">
        <v>14</v>
      </c>
      <c r="Q805" s="2">
        <v>3.9</v>
      </c>
      <c r="R805" t="str">
        <f>IF(BBDD_fashion_boutique[[#This Row],[stock_quantity]]&gt;9,"Ok",IF(BBDD_fashion_boutique[[#This Row],[stock_quantity]]=0,"Agotado","Pocas Unidades"))</f>
        <v>Ok</v>
      </c>
      <c r="S805" s="3">
        <f>IF(BBDD_fashion_boutique[[#This Row],[customer_rating]]="","No valorado",BBDD_fashion_boutique[[#This Row],[customer_rating]])</f>
        <v>3.9</v>
      </c>
      <c r="T805" t="s">
        <v>41</v>
      </c>
      <c r="U805" t="s">
        <v>89</v>
      </c>
      <c r="V805">
        <f>IF(BBDD_fashion_boutique[[#This Row],[is_returned]]="False",0,1)</f>
        <v>1</v>
      </c>
      <c r="W805">
        <f>IF(BBDD_fashion_boutique[[#This Row],[is_returned]]="True",0,BBDD_fashion_boutique[[#This Row],[current_price]])</f>
        <v>0</v>
      </c>
      <c r="X805" t="str">
        <f>IF(BBDD_fashion_boutique[[#This Row],[return_reason]]="","No return",BBDD_fashion_boutique[[#This Row],[return_reason]])</f>
        <v>Quality Issue</v>
      </c>
      <c r="Y805">
        <f>IF(IFERROR(VLOOKUP(BBDD_fashion_boutique[[#This Row],[product_id]],A806:A2981,1,FALSE),0),1,0)</f>
        <v>0</v>
      </c>
    </row>
    <row r="806" spans="1:25" x14ac:dyDescent="0.3">
      <c r="A806" t="s">
        <v>865</v>
      </c>
      <c r="B806" t="s">
        <v>44</v>
      </c>
      <c r="C806" t="s">
        <v>20</v>
      </c>
      <c r="D806" t="s">
        <v>39</v>
      </c>
      <c r="E806" t="s">
        <v>45</v>
      </c>
      <c r="F806" t="str">
        <f>IF(BBDD_fashion_boutique[[#This Row],[category]]="Accessories","Accesorio",IF(BBDD_fashion_boutique[[#This Row],[size]]="","Desconocido",BBDD_fashion_boutique[[#This Row],[size]]))</f>
        <v>S</v>
      </c>
      <c r="G806" t="s">
        <v>62</v>
      </c>
      <c r="H806" s="2">
        <v>109.36</v>
      </c>
      <c r="I806">
        <v>0</v>
      </c>
      <c r="J806" s="5">
        <f>BBDD_fashion_boutique[[#This Row],[markdown_percentage]]/100</f>
        <v>0</v>
      </c>
      <c r="K806" s="2">
        <v>109.36</v>
      </c>
      <c r="L806" s="2">
        <f>BBDD_fashion_boutique[[#This Row],[original_price]]-BBDD_fashion_boutique[[#This Row],[current_price]]</f>
        <v>0</v>
      </c>
      <c r="M806" s="1">
        <v>45875</v>
      </c>
      <c r="N806" s="1" t="str">
        <f>PROPER(TEXT(BBDD_fashion_boutique[[#This Row],[purchase_date]],"dddd"))</f>
        <v>Miércoles</v>
      </c>
      <c r="O806" s="1" t="str">
        <f>PROPER(TEXT(BBDD_fashion_boutique[[#This Row],[purchase_date]],"mmmm"))</f>
        <v>Agosto</v>
      </c>
      <c r="P806" s="4">
        <v>0</v>
      </c>
      <c r="Q806" s="2">
        <v>1.1000000000000001</v>
      </c>
      <c r="R806" t="str">
        <f>IF(BBDD_fashion_boutique[[#This Row],[stock_quantity]]&gt;9,"Ok",IF(BBDD_fashion_boutique[[#This Row],[stock_quantity]]=0,"Agotado","Pocas Unidades"))</f>
        <v>Agotado</v>
      </c>
      <c r="S806" s="3">
        <f>IF(BBDD_fashion_boutique[[#This Row],[customer_rating]]="","No valorado",BBDD_fashion_boutique[[#This Row],[customer_rating]])</f>
        <v>1.1000000000000001</v>
      </c>
      <c r="T806" t="s">
        <v>24</v>
      </c>
      <c r="V806">
        <f>IF(BBDD_fashion_boutique[[#This Row],[is_returned]]="False",0,1)</f>
        <v>0</v>
      </c>
      <c r="W806">
        <f>IF(BBDD_fashion_boutique[[#This Row],[is_returned]]="True",0,BBDD_fashion_boutique[[#This Row],[current_price]])</f>
        <v>109.36</v>
      </c>
      <c r="X806" t="str">
        <f>IF(BBDD_fashion_boutique[[#This Row],[return_reason]]="","No return",BBDD_fashion_boutique[[#This Row],[return_reason]])</f>
        <v>No return</v>
      </c>
      <c r="Y806">
        <f>IF(IFERROR(VLOOKUP(BBDD_fashion_boutique[[#This Row],[product_id]],A807:A2982,1,FALSE),0),1,0)</f>
        <v>0</v>
      </c>
    </row>
    <row r="807" spans="1:25" x14ac:dyDescent="0.3">
      <c r="A807" t="s">
        <v>866</v>
      </c>
      <c r="B807" t="s">
        <v>32</v>
      </c>
      <c r="C807" t="s">
        <v>54</v>
      </c>
      <c r="D807" t="s">
        <v>39</v>
      </c>
      <c r="F807" t="str">
        <f>IF(BBDD_fashion_boutique[[#This Row],[category]]="Accessories","Accesorio",IF(BBDD_fashion_boutique[[#This Row],[size]]="","Desconocido",BBDD_fashion_boutique[[#This Row],[size]]))</f>
        <v>Accesorio</v>
      </c>
      <c r="G807" t="s">
        <v>50</v>
      </c>
      <c r="H807" s="2">
        <v>69.73</v>
      </c>
      <c r="I807">
        <v>0</v>
      </c>
      <c r="J807" s="5">
        <f>BBDD_fashion_boutique[[#This Row],[markdown_percentage]]/100</f>
        <v>0</v>
      </c>
      <c r="K807" s="2">
        <v>69.73</v>
      </c>
      <c r="L807" s="2">
        <f>BBDD_fashion_boutique[[#This Row],[original_price]]-BBDD_fashion_boutique[[#This Row],[current_price]]</f>
        <v>0</v>
      </c>
      <c r="M807" s="1">
        <v>45875</v>
      </c>
      <c r="N807" s="1" t="str">
        <f>PROPER(TEXT(BBDD_fashion_boutique[[#This Row],[purchase_date]],"dddd"))</f>
        <v>Miércoles</v>
      </c>
      <c r="O807" s="1" t="str">
        <f>PROPER(TEXT(BBDD_fashion_boutique[[#This Row],[purchase_date]],"mmmm"))</f>
        <v>Agosto</v>
      </c>
      <c r="P807" s="4">
        <v>7</v>
      </c>
      <c r="Q807" s="2">
        <v>1.1000000000000001</v>
      </c>
      <c r="R807" t="str">
        <f>IF(BBDD_fashion_boutique[[#This Row],[stock_quantity]]&gt;9,"Ok",IF(BBDD_fashion_boutique[[#This Row],[stock_quantity]]=0,"Agotado","Pocas Unidades"))</f>
        <v>Pocas Unidades</v>
      </c>
      <c r="S807" s="3">
        <f>IF(BBDD_fashion_boutique[[#This Row],[customer_rating]]="","No valorado",BBDD_fashion_boutique[[#This Row],[customer_rating]])</f>
        <v>1.1000000000000001</v>
      </c>
      <c r="T807" t="s">
        <v>41</v>
      </c>
      <c r="U807" t="s">
        <v>42</v>
      </c>
      <c r="V807">
        <f>IF(BBDD_fashion_boutique[[#This Row],[is_returned]]="False",0,1)</f>
        <v>1</v>
      </c>
      <c r="W807">
        <f>IF(BBDD_fashion_boutique[[#This Row],[is_returned]]="True",0,BBDD_fashion_boutique[[#This Row],[current_price]])</f>
        <v>0</v>
      </c>
      <c r="X807" t="str">
        <f>IF(BBDD_fashion_boutique[[#This Row],[return_reason]]="","No return",BBDD_fashion_boutique[[#This Row],[return_reason]])</f>
        <v>Color Mismatch</v>
      </c>
      <c r="Y807">
        <f>IF(IFERROR(VLOOKUP(BBDD_fashion_boutique[[#This Row],[product_id]],A808:A2983,1,FALSE),0),1,0)</f>
        <v>0</v>
      </c>
    </row>
    <row r="808" spans="1:25" x14ac:dyDescent="0.3">
      <c r="A808" t="s">
        <v>867</v>
      </c>
      <c r="B808" t="s">
        <v>35</v>
      </c>
      <c r="C808" t="s">
        <v>54</v>
      </c>
      <c r="D808" t="s">
        <v>68</v>
      </c>
      <c r="E808" t="s">
        <v>61</v>
      </c>
      <c r="F808" t="str">
        <f>IF(BBDD_fashion_boutique[[#This Row],[category]]="Accessories","Accesorio",IF(BBDD_fashion_boutique[[#This Row],[size]]="","Desconocido",BBDD_fashion_boutique[[#This Row],[size]]))</f>
        <v>XS</v>
      </c>
      <c r="G808" t="s">
        <v>52</v>
      </c>
      <c r="H808" s="2">
        <v>199.03</v>
      </c>
      <c r="I808">
        <v>57.3</v>
      </c>
      <c r="J808" s="5">
        <f>BBDD_fashion_boutique[[#This Row],[markdown_percentage]]/100</f>
        <v>0.57299999999999995</v>
      </c>
      <c r="K808" s="2">
        <v>84.99</v>
      </c>
      <c r="L808" s="2">
        <f>BBDD_fashion_boutique[[#This Row],[original_price]]-BBDD_fashion_boutique[[#This Row],[current_price]]</f>
        <v>114.04</v>
      </c>
      <c r="M808" s="1">
        <v>45875</v>
      </c>
      <c r="N808" s="1" t="str">
        <f>PROPER(TEXT(BBDD_fashion_boutique[[#This Row],[purchase_date]],"dddd"))</f>
        <v>Miércoles</v>
      </c>
      <c r="O808" s="1" t="str">
        <f>PROPER(TEXT(BBDD_fashion_boutique[[#This Row],[purchase_date]],"mmmm"))</f>
        <v>Agosto</v>
      </c>
      <c r="P808" s="4">
        <v>37</v>
      </c>
      <c r="Q808" s="2">
        <v>3.4</v>
      </c>
      <c r="R808" t="str">
        <f>IF(BBDD_fashion_boutique[[#This Row],[stock_quantity]]&gt;9,"Ok",IF(BBDD_fashion_boutique[[#This Row],[stock_quantity]]=0,"Agotado","Pocas Unidades"))</f>
        <v>Ok</v>
      </c>
      <c r="S808" s="3">
        <f>IF(BBDD_fashion_boutique[[#This Row],[customer_rating]]="","No valorado",BBDD_fashion_boutique[[#This Row],[customer_rating]])</f>
        <v>3.4</v>
      </c>
      <c r="T808" t="s">
        <v>24</v>
      </c>
      <c r="V808">
        <f>IF(BBDD_fashion_boutique[[#This Row],[is_returned]]="False",0,1)</f>
        <v>0</v>
      </c>
      <c r="W808">
        <f>IF(BBDD_fashion_boutique[[#This Row],[is_returned]]="True",0,BBDD_fashion_boutique[[#This Row],[current_price]])</f>
        <v>84.99</v>
      </c>
      <c r="X808" t="str">
        <f>IF(BBDD_fashion_boutique[[#This Row],[return_reason]]="","No return",BBDD_fashion_boutique[[#This Row],[return_reason]])</f>
        <v>No return</v>
      </c>
      <c r="Y808">
        <f>IF(IFERROR(VLOOKUP(BBDD_fashion_boutique[[#This Row],[product_id]],A809:A2984,1,FALSE),0),1,0)</f>
        <v>0</v>
      </c>
    </row>
    <row r="809" spans="1:25" x14ac:dyDescent="0.3">
      <c r="A809" t="s">
        <v>868</v>
      </c>
      <c r="B809" t="s">
        <v>44</v>
      </c>
      <c r="C809" t="s">
        <v>67</v>
      </c>
      <c r="D809" t="s">
        <v>21</v>
      </c>
      <c r="E809" t="s">
        <v>64</v>
      </c>
      <c r="F809" t="str">
        <f>IF(BBDD_fashion_boutique[[#This Row],[category]]="Accessories","Accesorio",IF(BBDD_fashion_boutique[[#This Row],[size]]="","Desconocido",BBDD_fashion_boutique[[#This Row],[size]]))</f>
        <v>M</v>
      </c>
      <c r="G809" t="s">
        <v>40</v>
      </c>
      <c r="H809" s="2">
        <v>82.32</v>
      </c>
      <c r="I809">
        <v>56.7</v>
      </c>
      <c r="J809" s="5">
        <f>BBDD_fashion_boutique[[#This Row],[markdown_percentage]]/100</f>
        <v>0.56700000000000006</v>
      </c>
      <c r="K809" s="2">
        <v>35.64</v>
      </c>
      <c r="L809" s="2">
        <f>BBDD_fashion_boutique[[#This Row],[original_price]]-BBDD_fashion_boutique[[#This Row],[current_price]]</f>
        <v>46.679999999999993</v>
      </c>
      <c r="M809" s="1">
        <v>45649</v>
      </c>
      <c r="N809" s="1" t="str">
        <f>PROPER(TEXT(BBDD_fashion_boutique[[#This Row],[purchase_date]],"dddd"))</f>
        <v>Lunes</v>
      </c>
      <c r="O809" s="1" t="str">
        <f>PROPER(TEXT(BBDD_fashion_boutique[[#This Row],[purchase_date]],"mmmm"))</f>
        <v>Diciembre</v>
      </c>
      <c r="P809" s="4">
        <v>41</v>
      </c>
      <c r="R809" t="str">
        <f>IF(BBDD_fashion_boutique[[#This Row],[stock_quantity]]&gt;9,"Ok",IF(BBDD_fashion_boutique[[#This Row],[stock_quantity]]=0,"Agotado","Pocas Unidades"))</f>
        <v>Ok</v>
      </c>
      <c r="S809" s="3" t="str">
        <f>IF(BBDD_fashion_boutique[[#This Row],[customer_rating]]="","No valorado",BBDD_fashion_boutique[[#This Row],[customer_rating]])</f>
        <v>No valorado</v>
      </c>
      <c r="T809" t="s">
        <v>24</v>
      </c>
      <c r="V809">
        <f>IF(BBDD_fashion_boutique[[#This Row],[is_returned]]="False",0,1)</f>
        <v>0</v>
      </c>
      <c r="W809">
        <f>IF(BBDD_fashion_boutique[[#This Row],[is_returned]]="True",0,BBDD_fashion_boutique[[#This Row],[current_price]])</f>
        <v>35.64</v>
      </c>
      <c r="X809" t="str">
        <f>IF(BBDD_fashion_boutique[[#This Row],[return_reason]]="","No return",BBDD_fashion_boutique[[#This Row],[return_reason]])</f>
        <v>No return</v>
      </c>
      <c r="Y809">
        <f>IF(IFERROR(VLOOKUP(BBDD_fashion_boutique[[#This Row],[product_id]],A810:A2985,1,FALSE),0),1,0)</f>
        <v>0</v>
      </c>
    </row>
    <row r="810" spans="1:25" x14ac:dyDescent="0.3">
      <c r="A810" t="s">
        <v>869</v>
      </c>
      <c r="B810" t="s">
        <v>44</v>
      </c>
      <c r="C810" t="s">
        <v>27</v>
      </c>
      <c r="D810" t="s">
        <v>21</v>
      </c>
      <c r="E810" t="s">
        <v>64</v>
      </c>
      <c r="F810" t="str">
        <f>IF(BBDD_fashion_boutique[[#This Row],[category]]="Accessories","Accesorio",IF(BBDD_fashion_boutique[[#This Row],[size]]="","Desconocido",BBDD_fashion_boutique[[#This Row],[size]]))</f>
        <v>M</v>
      </c>
      <c r="G810" t="s">
        <v>70</v>
      </c>
      <c r="H810" s="2">
        <v>52.42</v>
      </c>
      <c r="I810">
        <v>9.9</v>
      </c>
      <c r="J810" s="5">
        <f>BBDD_fashion_boutique[[#This Row],[markdown_percentage]]/100</f>
        <v>9.9000000000000005E-2</v>
      </c>
      <c r="K810" s="2">
        <v>47.23</v>
      </c>
      <c r="L810" s="2">
        <f>BBDD_fashion_boutique[[#This Row],[original_price]]-BBDD_fashion_boutique[[#This Row],[current_price]]</f>
        <v>5.1900000000000048</v>
      </c>
      <c r="M810" s="1">
        <v>45581</v>
      </c>
      <c r="N810" s="1" t="str">
        <f>PROPER(TEXT(BBDD_fashion_boutique[[#This Row],[purchase_date]],"dddd"))</f>
        <v>Miércoles</v>
      </c>
      <c r="O810" s="1" t="str">
        <f>PROPER(TEXT(BBDD_fashion_boutique[[#This Row],[purchase_date]],"mmmm"))</f>
        <v>Octubre</v>
      </c>
      <c r="P810" s="4">
        <v>42</v>
      </c>
      <c r="Q810" s="2">
        <v>3.5</v>
      </c>
      <c r="R810" t="str">
        <f>IF(BBDD_fashion_boutique[[#This Row],[stock_quantity]]&gt;9,"Ok",IF(BBDD_fashion_boutique[[#This Row],[stock_quantity]]=0,"Agotado","Pocas Unidades"))</f>
        <v>Ok</v>
      </c>
      <c r="S810" s="3">
        <f>IF(BBDD_fashion_boutique[[#This Row],[customer_rating]]="","No valorado",BBDD_fashion_boutique[[#This Row],[customer_rating]])</f>
        <v>3.5</v>
      </c>
      <c r="T810" t="s">
        <v>24</v>
      </c>
      <c r="V810">
        <f>IF(BBDD_fashion_boutique[[#This Row],[is_returned]]="False",0,1)</f>
        <v>0</v>
      </c>
      <c r="W810">
        <f>IF(BBDD_fashion_boutique[[#This Row],[is_returned]]="True",0,BBDD_fashion_boutique[[#This Row],[current_price]])</f>
        <v>47.23</v>
      </c>
      <c r="X810" t="str">
        <f>IF(BBDD_fashion_boutique[[#This Row],[return_reason]]="","No return",BBDD_fashion_boutique[[#This Row],[return_reason]])</f>
        <v>No return</v>
      </c>
      <c r="Y810">
        <f>IF(IFERROR(VLOOKUP(BBDD_fashion_boutique[[#This Row],[product_id]],A811:A2986,1,FALSE),0),1,0)</f>
        <v>0</v>
      </c>
    </row>
    <row r="811" spans="1:25" x14ac:dyDescent="0.3">
      <c r="A811" t="s">
        <v>870</v>
      </c>
      <c r="B811" t="s">
        <v>19</v>
      </c>
      <c r="C811" t="s">
        <v>59</v>
      </c>
      <c r="D811" t="s">
        <v>39</v>
      </c>
      <c r="E811" t="s">
        <v>45</v>
      </c>
      <c r="F811" t="str">
        <f>IF(BBDD_fashion_boutique[[#This Row],[category]]="Accessories","Accesorio",IF(BBDD_fashion_boutique[[#This Row],[size]]="","Desconocido",BBDD_fashion_boutique[[#This Row],[size]]))</f>
        <v>S</v>
      </c>
      <c r="G811" t="s">
        <v>40</v>
      </c>
      <c r="H811" s="2">
        <v>180.49</v>
      </c>
      <c r="I811">
        <v>0</v>
      </c>
      <c r="J811" s="5">
        <f>BBDD_fashion_boutique[[#This Row],[markdown_percentage]]/100</f>
        <v>0</v>
      </c>
      <c r="K811" s="2">
        <v>180.49</v>
      </c>
      <c r="L811" s="2">
        <f>BBDD_fashion_boutique[[#This Row],[original_price]]-BBDD_fashion_boutique[[#This Row],[current_price]]</f>
        <v>0</v>
      </c>
      <c r="M811" s="1">
        <v>45875</v>
      </c>
      <c r="N811" s="1" t="str">
        <f>PROPER(TEXT(BBDD_fashion_boutique[[#This Row],[purchase_date]],"dddd"))</f>
        <v>Miércoles</v>
      </c>
      <c r="O811" s="1" t="str">
        <f>PROPER(TEXT(BBDD_fashion_boutique[[#This Row],[purchase_date]],"mmmm"))</f>
        <v>Agosto</v>
      </c>
      <c r="P811" s="4">
        <v>18</v>
      </c>
      <c r="Q811" s="2">
        <v>2.5</v>
      </c>
      <c r="R811" t="str">
        <f>IF(BBDD_fashion_boutique[[#This Row],[stock_quantity]]&gt;9,"Ok",IF(BBDD_fashion_boutique[[#This Row],[stock_quantity]]=0,"Agotado","Pocas Unidades"))</f>
        <v>Ok</v>
      </c>
      <c r="S811" s="3">
        <f>IF(BBDD_fashion_boutique[[#This Row],[customer_rating]]="","No valorado",BBDD_fashion_boutique[[#This Row],[customer_rating]])</f>
        <v>2.5</v>
      </c>
      <c r="T811" t="s">
        <v>41</v>
      </c>
      <c r="U811" t="s">
        <v>131</v>
      </c>
      <c r="V811">
        <f>IF(BBDD_fashion_boutique[[#This Row],[is_returned]]="False",0,1)</f>
        <v>1</v>
      </c>
      <c r="W811">
        <f>IF(BBDD_fashion_boutique[[#This Row],[is_returned]]="True",0,BBDD_fashion_boutique[[#This Row],[current_price]])</f>
        <v>0</v>
      </c>
      <c r="X811" t="str">
        <f>IF(BBDD_fashion_boutique[[#This Row],[return_reason]]="","No return",BBDD_fashion_boutique[[#This Row],[return_reason]])</f>
        <v>Wrong Item</v>
      </c>
      <c r="Y811">
        <f>IF(IFERROR(VLOOKUP(BBDD_fashion_boutique[[#This Row],[product_id]],A812:A2987,1,FALSE),0),1,0)</f>
        <v>0</v>
      </c>
    </row>
    <row r="812" spans="1:25" x14ac:dyDescent="0.3">
      <c r="A812" t="s">
        <v>871</v>
      </c>
      <c r="B812" t="s">
        <v>48</v>
      </c>
      <c r="C812" t="s">
        <v>59</v>
      </c>
      <c r="D812" t="s">
        <v>39</v>
      </c>
      <c r="E812" t="s">
        <v>22</v>
      </c>
      <c r="F812" t="str">
        <f>IF(BBDD_fashion_boutique[[#This Row],[category]]="Accessories","Accesorio",IF(BBDD_fashion_boutique[[#This Row],[size]]="","Desconocido",BBDD_fashion_boutique[[#This Row],[size]]))</f>
        <v>XL</v>
      </c>
      <c r="G812" t="s">
        <v>40</v>
      </c>
      <c r="H812" s="2">
        <v>63.02</v>
      </c>
      <c r="I812">
        <v>0</v>
      </c>
      <c r="J812" s="5">
        <f>BBDD_fashion_boutique[[#This Row],[markdown_percentage]]/100</f>
        <v>0</v>
      </c>
      <c r="K812" s="2">
        <v>63.02</v>
      </c>
      <c r="L812" s="2">
        <f>BBDD_fashion_boutique[[#This Row],[original_price]]-BBDD_fashion_boutique[[#This Row],[current_price]]</f>
        <v>0</v>
      </c>
      <c r="M812" s="1">
        <v>45875</v>
      </c>
      <c r="N812" s="1" t="str">
        <f>PROPER(TEXT(BBDD_fashion_boutique[[#This Row],[purchase_date]],"dddd"))</f>
        <v>Miércoles</v>
      </c>
      <c r="O812" s="1" t="str">
        <f>PROPER(TEXT(BBDD_fashion_boutique[[#This Row],[purchase_date]],"mmmm"))</f>
        <v>Agosto</v>
      </c>
      <c r="P812" s="4">
        <v>37</v>
      </c>
      <c r="Q812" s="2">
        <v>2.5</v>
      </c>
      <c r="R812" t="str">
        <f>IF(BBDD_fashion_boutique[[#This Row],[stock_quantity]]&gt;9,"Ok",IF(BBDD_fashion_boutique[[#This Row],[stock_quantity]]=0,"Agotado","Pocas Unidades"))</f>
        <v>Ok</v>
      </c>
      <c r="S812" s="3">
        <f>IF(BBDD_fashion_boutique[[#This Row],[customer_rating]]="","No valorado",BBDD_fashion_boutique[[#This Row],[customer_rating]])</f>
        <v>2.5</v>
      </c>
      <c r="T812" t="s">
        <v>24</v>
      </c>
      <c r="V812">
        <f>IF(BBDD_fashion_boutique[[#This Row],[is_returned]]="False",0,1)</f>
        <v>0</v>
      </c>
      <c r="W812">
        <f>IF(BBDD_fashion_boutique[[#This Row],[is_returned]]="True",0,BBDD_fashion_boutique[[#This Row],[current_price]])</f>
        <v>63.02</v>
      </c>
      <c r="X812" t="str">
        <f>IF(BBDD_fashion_boutique[[#This Row],[return_reason]]="","No return",BBDD_fashion_boutique[[#This Row],[return_reason]])</f>
        <v>No return</v>
      </c>
      <c r="Y812">
        <f>IF(IFERROR(VLOOKUP(BBDD_fashion_boutique[[#This Row],[product_id]],A813:A2988,1,FALSE),0),1,0)</f>
        <v>0</v>
      </c>
    </row>
    <row r="813" spans="1:25" x14ac:dyDescent="0.3">
      <c r="A813" t="s">
        <v>872</v>
      </c>
      <c r="B813" t="s">
        <v>26</v>
      </c>
      <c r="C813" t="s">
        <v>49</v>
      </c>
      <c r="D813" t="s">
        <v>21</v>
      </c>
      <c r="E813" t="s">
        <v>22</v>
      </c>
      <c r="F813" t="str">
        <f>IF(BBDD_fashion_boutique[[#This Row],[category]]="Accessories","Accesorio",IF(BBDD_fashion_boutique[[#This Row],[size]]="","Desconocido",BBDD_fashion_boutique[[#This Row],[size]]))</f>
        <v>XL</v>
      </c>
      <c r="G813" t="s">
        <v>23</v>
      </c>
      <c r="H813" s="2">
        <v>97.05</v>
      </c>
      <c r="I813">
        <v>0</v>
      </c>
      <c r="J813" s="5">
        <f>BBDD_fashion_boutique[[#This Row],[markdown_percentage]]/100</f>
        <v>0</v>
      </c>
      <c r="K813" s="2">
        <v>97.05</v>
      </c>
      <c r="L813" s="2">
        <f>BBDD_fashion_boutique[[#This Row],[original_price]]-BBDD_fashion_boutique[[#This Row],[current_price]]</f>
        <v>0</v>
      </c>
      <c r="M813" s="1">
        <v>45651</v>
      </c>
      <c r="N813" s="1" t="str">
        <f>PROPER(TEXT(BBDD_fashion_boutique[[#This Row],[purchase_date]],"dddd"))</f>
        <v>Miércoles</v>
      </c>
      <c r="O813" s="1" t="str">
        <f>PROPER(TEXT(BBDD_fashion_boutique[[#This Row],[purchase_date]],"mmmm"))</f>
        <v>Diciembre</v>
      </c>
      <c r="P813" s="4">
        <v>9</v>
      </c>
      <c r="R813" t="str">
        <f>IF(BBDD_fashion_boutique[[#This Row],[stock_quantity]]&gt;9,"Ok",IF(BBDD_fashion_boutique[[#This Row],[stock_quantity]]=0,"Agotado","Pocas Unidades"))</f>
        <v>Pocas Unidades</v>
      </c>
      <c r="S813" s="3" t="str">
        <f>IF(BBDD_fashion_boutique[[#This Row],[customer_rating]]="","No valorado",BBDD_fashion_boutique[[#This Row],[customer_rating]])</f>
        <v>No valorado</v>
      </c>
      <c r="T813" t="s">
        <v>24</v>
      </c>
      <c r="V813">
        <f>IF(BBDD_fashion_boutique[[#This Row],[is_returned]]="False",0,1)</f>
        <v>0</v>
      </c>
      <c r="W813">
        <f>IF(BBDD_fashion_boutique[[#This Row],[is_returned]]="True",0,BBDD_fashion_boutique[[#This Row],[current_price]])</f>
        <v>97.05</v>
      </c>
      <c r="X813" t="str">
        <f>IF(BBDD_fashion_boutique[[#This Row],[return_reason]]="","No return",BBDD_fashion_boutique[[#This Row],[return_reason]])</f>
        <v>No return</v>
      </c>
      <c r="Y813">
        <f>IF(IFERROR(VLOOKUP(BBDD_fashion_boutique[[#This Row],[product_id]],A814:A2989,1,FALSE),0),1,0)</f>
        <v>0</v>
      </c>
    </row>
    <row r="814" spans="1:25" x14ac:dyDescent="0.3">
      <c r="A814" t="s">
        <v>873</v>
      </c>
      <c r="B814" t="s">
        <v>44</v>
      </c>
      <c r="C814" t="s">
        <v>20</v>
      </c>
      <c r="D814" t="s">
        <v>28</v>
      </c>
      <c r="E814" t="s">
        <v>55</v>
      </c>
      <c r="F814" t="str">
        <f>IF(BBDD_fashion_boutique[[#This Row],[category]]="Accessories","Accesorio",IF(BBDD_fashion_boutique[[#This Row],[size]]="","Desconocido",BBDD_fashion_boutique[[#This Row],[size]]))</f>
        <v>XXL</v>
      </c>
      <c r="G814" t="s">
        <v>30</v>
      </c>
      <c r="H814" s="2">
        <v>79.62</v>
      </c>
      <c r="I814">
        <v>0</v>
      </c>
      <c r="J814" s="5">
        <f>BBDD_fashion_boutique[[#This Row],[markdown_percentage]]/100</f>
        <v>0</v>
      </c>
      <c r="K814" s="2">
        <v>79.62</v>
      </c>
      <c r="L814" s="2">
        <f>BBDD_fashion_boutique[[#This Row],[original_price]]-BBDD_fashion_boutique[[#This Row],[current_price]]</f>
        <v>0</v>
      </c>
      <c r="M814" s="1">
        <v>45875</v>
      </c>
      <c r="N814" s="1" t="str">
        <f>PROPER(TEXT(BBDD_fashion_boutique[[#This Row],[purchase_date]],"dddd"))</f>
        <v>Miércoles</v>
      </c>
      <c r="O814" s="1" t="str">
        <f>PROPER(TEXT(BBDD_fashion_boutique[[#This Row],[purchase_date]],"mmmm"))</f>
        <v>Agosto</v>
      </c>
      <c r="P814" s="4">
        <v>37</v>
      </c>
      <c r="Q814" s="2">
        <v>4.0999999999999996</v>
      </c>
      <c r="R814" t="str">
        <f>IF(BBDD_fashion_boutique[[#This Row],[stock_quantity]]&gt;9,"Ok",IF(BBDD_fashion_boutique[[#This Row],[stock_quantity]]=0,"Agotado","Pocas Unidades"))</f>
        <v>Ok</v>
      </c>
      <c r="S814" s="3">
        <f>IF(BBDD_fashion_boutique[[#This Row],[customer_rating]]="","No valorado",BBDD_fashion_boutique[[#This Row],[customer_rating]])</f>
        <v>4.0999999999999996</v>
      </c>
      <c r="T814" t="s">
        <v>24</v>
      </c>
      <c r="V814">
        <f>IF(BBDD_fashion_boutique[[#This Row],[is_returned]]="False",0,1)</f>
        <v>0</v>
      </c>
      <c r="W814">
        <f>IF(BBDD_fashion_boutique[[#This Row],[is_returned]]="True",0,BBDD_fashion_boutique[[#This Row],[current_price]])</f>
        <v>79.62</v>
      </c>
      <c r="X814" t="str">
        <f>IF(BBDD_fashion_boutique[[#This Row],[return_reason]]="","No return",BBDD_fashion_boutique[[#This Row],[return_reason]])</f>
        <v>No return</v>
      </c>
      <c r="Y814">
        <f>IF(IFERROR(VLOOKUP(BBDD_fashion_boutique[[#This Row],[product_id]],A815:A2990,1,FALSE),0),1,0)</f>
        <v>0</v>
      </c>
    </row>
    <row r="815" spans="1:25" x14ac:dyDescent="0.3">
      <c r="A815" t="s">
        <v>874</v>
      </c>
      <c r="B815" t="s">
        <v>48</v>
      </c>
      <c r="C815" t="s">
        <v>20</v>
      </c>
      <c r="D815" t="s">
        <v>28</v>
      </c>
      <c r="E815" t="s">
        <v>64</v>
      </c>
      <c r="F815" t="str">
        <f>IF(BBDD_fashion_boutique[[#This Row],[category]]="Accessories","Accesorio",IF(BBDD_fashion_boutique[[#This Row],[size]]="","Desconocido",BBDD_fashion_boutique[[#This Row],[size]]))</f>
        <v>M</v>
      </c>
      <c r="G815" t="s">
        <v>23</v>
      </c>
      <c r="H815" s="2">
        <v>82.5</v>
      </c>
      <c r="I815">
        <v>0</v>
      </c>
      <c r="J815" s="5">
        <f>BBDD_fashion_boutique[[#This Row],[markdown_percentage]]/100</f>
        <v>0</v>
      </c>
      <c r="K815" s="2">
        <v>82.5</v>
      </c>
      <c r="L815" s="2">
        <f>BBDD_fashion_boutique[[#This Row],[original_price]]-BBDD_fashion_boutique[[#This Row],[current_price]]</f>
        <v>0</v>
      </c>
      <c r="M815" s="1">
        <v>45875</v>
      </c>
      <c r="N815" s="1" t="str">
        <f>PROPER(TEXT(BBDD_fashion_boutique[[#This Row],[purchase_date]],"dddd"))</f>
        <v>Miércoles</v>
      </c>
      <c r="O815" s="1" t="str">
        <f>PROPER(TEXT(BBDD_fashion_boutique[[#This Row],[purchase_date]],"mmmm"))</f>
        <v>Agosto</v>
      </c>
      <c r="P815" s="4">
        <v>0</v>
      </c>
      <c r="R815" t="str">
        <f>IF(BBDD_fashion_boutique[[#This Row],[stock_quantity]]&gt;9,"Ok",IF(BBDD_fashion_boutique[[#This Row],[stock_quantity]]=0,"Agotado","Pocas Unidades"))</f>
        <v>Agotado</v>
      </c>
      <c r="S815" s="3" t="str">
        <f>IF(BBDD_fashion_boutique[[#This Row],[customer_rating]]="","No valorado",BBDD_fashion_boutique[[#This Row],[customer_rating]])</f>
        <v>No valorado</v>
      </c>
      <c r="T815" t="s">
        <v>24</v>
      </c>
      <c r="V815">
        <f>IF(BBDD_fashion_boutique[[#This Row],[is_returned]]="False",0,1)</f>
        <v>0</v>
      </c>
      <c r="W815">
        <f>IF(BBDD_fashion_boutique[[#This Row],[is_returned]]="True",0,BBDD_fashion_boutique[[#This Row],[current_price]])</f>
        <v>82.5</v>
      </c>
      <c r="X815" t="str">
        <f>IF(BBDD_fashion_boutique[[#This Row],[return_reason]]="","No return",BBDD_fashion_boutique[[#This Row],[return_reason]])</f>
        <v>No return</v>
      </c>
      <c r="Y815">
        <f>IF(IFERROR(VLOOKUP(BBDD_fashion_boutique[[#This Row],[product_id]],A816:A2991,1,FALSE),0),1,0)</f>
        <v>0</v>
      </c>
    </row>
    <row r="816" spans="1:25" x14ac:dyDescent="0.3">
      <c r="A816" t="s">
        <v>875</v>
      </c>
      <c r="B816" t="s">
        <v>44</v>
      </c>
      <c r="C816" t="s">
        <v>59</v>
      </c>
      <c r="D816" t="s">
        <v>21</v>
      </c>
      <c r="E816" t="s">
        <v>29</v>
      </c>
      <c r="F816" t="str">
        <f>IF(BBDD_fashion_boutique[[#This Row],[category]]="Accessories","Accesorio",IF(BBDD_fashion_boutique[[#This Row],[size]]="","Desconocido",BBDD_fashion_boutique[[#This Row],[size]]))</f>
        <v>L</v>
      </c>
      <c r="G816" t="s">
        <v>72</v>
      </c>
      <c r="H816" s="2">
        <v>117.18</v>
      </c>
      <c r="I816">
        <v>13.7</v>
      </c>
      <c r="J816" s="5">
        <f>BBDD_fashion_boutique[[#This Row],[markdown_percentage]]/100</f>
        <v>0.13699999999999998</v>
      </c>
      <c r="K816" s="2">
        <v>101.13</v>
      </c>
      <c r="L816" s="2">
        <f>BBDD_fashion_boutique[[#This Row],[original_price]]-BBDD_fashion_boutique[[#This Row],[current_price]]</f>
        <v>16.050000000000011</v>
      </c>
      <c r="M816" s="1">
        <v>45871</v>
      </c>
      <c r="N816" s="1" t="str">
        <f>PROPER(TEXT(BBDD_fashion_boutique[[#This Row],[purchase_date]],"dddd"))</f>
        <v>Sábado</v>
      </c>
      <c r="O816" s="1" t="str">
        <f>PROPER(TEXT(BBDD_fashion_boutique[[#This Row],[purchase_date]],"mmmm"))</f>
        <v>Agosto</v>
      </c>
      <c r="P816" s="4">
        <v>5</v>
      </c>
      <c r="Q816" s="2">
        <v>4.8</v>
      </c>
      <c r="R816" t="str">
        <f>IF(BBDD_fashion_boutique[[#This Row],[stock_quantity]]&gt;9,"Ok",IF(BBDD_fashion_boutique[[#This Row],[stock_quantity]]=0,"Agotado","Pocas Unidades"))</f>
        <v>Pocas Unidades</v>
      </c>
      <c r="S816" s="3">
        <f>IF(BBDD_fashion_boutique[[#This Row],[customer_rating]]="","No valorado",BBDD_fashion_boutique[[#This Row],[customer_rating]])</f>
        <v>4.8</v>
      </c>
      <c r="T816" t="s">
        <v>24</v>
      </c>
      <c r="V816">
        <f>IF(BBDD_fashion_boutique[[#This Row],[is_returned]]="False",0,1)</f>
        <v>0</v>
      </c>
      <c r="W816">
        <f>IF(BBDD_fashion_boutique[[#This Row],[is_returned]]="True",0,BBDD_fashion_boutique[[#This Row],[current_price]])</f>
        <v>101.13</v>
      </c>
      <c r="X816" t="str">
        <f>IF(BBDD_fashion_boutique[[#This Row],[return_reason]]="","No return",BBDD_fashion_boutique[[#This Row],[return_reason]])</f>
        <v>No return</v>
      </c>
      <c r="Y816">
        <f>IF(IFERROR(VLOOKUP(BBDD_fashion_boutique[[#This Row],[product_id]],A817:A2992,1,FALSE),0),1,0)</f>
        <v>0</v>
      </c>
    </row>
    <row r="817" spans="1:25" x14ac:dyDescent="0.3">
      <c r="A817" t="s">
        <v>876</v>
      </c>
      <c r="B817" t="s">
        <v>19</v>
      </c>
      <c r="C817" t="s">
        <v>59</v>
      </c>
      <c r="D817" t="s">
        <v>21</v>
      </c>
      <c r="E817" t="s">
        <v>61</v>
      </c>
      <c r="F817" t="str">
        <f>IF(BBDD_fashion_boutique[[#This Row],[category]]="Accessories","Accesorio",IF(BBDD_fashion_boutique[[#This Row],[size]]="","Desconocido",BBDD_fashion_boutique[[#This Row],[size]]))</f>
        <v>XS</v>
      </c>
      <c r="G817" t="s">
        <v>76</v>
      </c>
      <c r="H817" s="2">
        <v>174.05</v>
      </c>
      <c r="I817">
        <v>0</v>
      </c>
      <c r="J817" s="5">
        <f>BBDD_fashion_boutique[[#This Row],[markdown_percentage]]/100</f>
        <v>0</v>
      </c>
      <c r="K817" s="2">
        <v>174.05</v>
      </c>
      <c r="L817" s="2">
        <f>BBDD_fashion_boutique[[#This Row],[original_price]]-BBDD_fashion_boutique[[#This Row],[current_price]]</f>
        <v>0</v>
      </c>
      <c r="M817" s="1">
        <v>45760</v>
      </c>
      <c r="N817" s="1" t="str">
        <f>PROPER(TEXT(BBDD_fashion_boutique[[#This Row],[purchase_date]],"dddd"))</f>
        <v>Domingo</v>
      </c>
      <c r="O817" s="1" t="str">
        <f>PROPER(TEXT(BBDD_fashion_boutique[[#This Row],[purchase_date]],"mmmm"))</f>
        <v>Abril</v>
      </c>
      <c r="P817" s="4">
        <v>9</v>
      </c>
      <c r="R817" t="str">
        <f>IF(BBDD_fashion_boutique[[#This Row],[stock_quantity]]&gt;9,"Ok",IF(BBDD_fashion_boutique[[#This Row],[stock_quantity]]=0,"Agotado","Pocas Unidades"))</f>
        <v>Pocas Unidades</v>
      </c>
      <c r="S817" s="3" t="str">
        <f>IF(BBDD_fashion_boutique[[#This Row],[customer_rating]]="","No valorado",BBDD_fashion_boutique[[#This Row],[customer_rating]])</f>
        <v>No valorado</v>
      </c>
      <c r="T817" t="s">
        <v>24</v>
      </c>
      <c r="V817">
        <f>IF(BBDD_fashion_boutique[[#This Row],[is_returned]]="False",0,1)</f>
        <v>0</v>
      </c>
      <c r="W817">
        <f>IF(BBDD_fashion_boutique[[#This Row],[is_returned]]="True",0,BBDD_fashion_boutique[[#This Row],[current_price]])</f>
        <v>174.05</v>
      </c>
      <c r="X817" t="str">
        <f>IF(BBDD_fashion_boutique[[#This Row],[return_reason]]="","No return",BBDD_fashion_boutique[[#This Row],[return_reason]])</f>
        <v>No return</v>
      </c>
      <c r="Y817">
        <f>IF(IFERROR(VLOOKUP(BBDD_fashion_boutique[[#This Row],[product_id]],A818:A2993,1,FALSE),0),1,0)</f>
        <v>0</v>
      </c>
    </row>
    <row r="818" spans="1:25" x14ac:dyDescent="0.3">
      <c r="A818" t="s">
        <v>877</v>
      </c>
      <c r="B818" t="s">
        <v>44</v>
      </c>
      <c r="C818" t="s">
        <v>81</v>
      </c>
      <c r="D818" t="s">
        <v>21</v>
      </c>
      <c r="E818" t="s">
        <v>61</v>
      </c>
      <c r="F818" t="str">
        <f>IF(BBDD_fashion_boutique[[#This Row],[category]]="Accessories","Accesorio",IF(BBDD_fashion_boutique[[#This Row],[size]]="","Desconocido",BBDD_fashion_boutique[[#This Row],[size]]))</f>
        <v>XS</v>
      </c>
      <c r="G818" t="s">
        <v>76</v>
      </c>
      <c r="H818" s="2">
        <v>58.29</v>
      </c>
      <c r="I818">
        <v>0</v>
      </c>
      <c r="J818" s="5">
        <f>BBDD_fashion_boutique[[#This Row],[markdown_percentage]]/100</f>
        <v>0</v>
      </c>
      <c r="K818" s="2">
        <v>58.29</v>
      </c>
      <c r="L818" s="2">
        <f>BBDD_fashion_boutique[[#This Row],[original_price]]-BBDD_fashion_boutique[[#This Row],[current_price]]</f>
        <v>0</v>
      </c>
      <c r="M818" s="1">
        <v>45664</v>
      </c>
      <c r="N818" s="1" t="str">
        <f>PROPER(TEXT(BBDD_fashion_boutique[[#This Row],[purchase_date]],"dddd"))</f>
        <v>Martes</v>
      </c>
      <c r="O818" s="1" t="str">
        <f>PROPER(TEXT(BBDD_fashion_boutique[[#This Row],[purchase_date]],"mmmm"))</f>
        <v>Enero</v>
      </c>
      <c r="P818" s="4">
        <v>22</v>
      </c>
      <c r="Q818" s="2">
        <v>2.2999999999999998</v>
      </c>
      <c r="R818" t="str">
        <f>IF(BBDD_fashion_boutique[[#This Row],[stock_quantity]]&gt;9,"Ok",IF(BBDD_fashion_boutique[[#This Row],[stock_quantity]]=0,"Agotado","Pocas Unidades"))</f>
        <v>Ok</v>
      </c>
      <c r="S818" s="3">
        <f>IF(BBDD_fashion_boutique[[#This Row],[customer_rating]]="","No valorado",BBDD_fashion_boutique[[#This Row],[customer_rating]])</f>
        <v>2.2999999999999998</v>
      </c>
      <c r="T818" t="s">
        <v>24</v>
      </c>
      <c r="V818">
        <f>IF(BBDD_fashion_boutique[[#This Row],[is_returned]]="False",0,1)</f>
        <v>0</v>
      </c>
      <c r="W818">
        <f>IF(BBDD_fashion_boutique[[#This Row],[is_returned]]="True",0,BBDD_fashion_boutique[[#This Row],[current_price]])</f>
        <v>58.29</v>
      </c>
      <c r="X818" t="str">
        <f>IF(BBDD_fashion_boutique[[#This Row],[return_reason]]="","No return",BBDD_fashion_boutique[[#This Row],[return_reason]])</f>
        <v>No return</v>
      </c>
      <c r="Y818">
        <f>IF(IFERROR(VLOOKUP(BBDD_fashion_boutique[[#This Row],[product_id]],A819:A2994,1,FALSE),0),1,0)</f>
        <v>0</v>
      </c>
    </row>
    <row r="819" spans="1:25" x14ac:dyDescent="0.3">
      <c r="A819" t="s">
        <v>878</v>
      </c>
      <c r="B819" t="s">
        <v>44</v>
      </c>
      <c r="C819" t="s">
        <v>54</v>
      </c>
      <c r="D819" t="s">
        <v>68</v>
      </c>
      <c r="E819" t="s">
        <v>64</v>
      </c>
      <c r="F819" t="str">
        <f>IF(BBDD_fashion_boutique[[#This Row],[category]]="Accessories","Accesorio",IF(BBDD_fashion_boutique[[#This Row],[size]]="","Desconocido",BBDD_fashion_boutique[[#This Row],[size]]))</f>
        <v>M</v>
      </c>
      <c r="G819" t="s">
        <v>40</v>
      </c>
      <c r="H819" s="2">
        <v>61.42</v>
      </c>
      <c r="I819">
        <v>57.5</v>
      </c>
      <c r="J819" s="5">
        <f>BBDD_fashion_boutique[[#This Row],[markdown_percentage]]/100</f>
        <v>0.57499999999999996</v>
      </c>
      <c r="K819" s="2">
        <v>26.1</v>
      </c>
      <c r="L819" s="2">
        <f>BBDD_fashion_boutique[[#This Row],[original_price]]-BBDD_fashion_boutique[[#This Row],[current_price]]</f>
        <v>35.32</v>
      </c>
      <c r="M819" s="1">
        <v>45875</v>
      </c>
      <c r="N819" s="1" t="str">
        <f>PROPER(TEXT(BBDD_fashion_boutique[[#This Row],[purchase_date]],"dddd"))</f>
        <v>Miércoles</v>
      </c>
      <c r="O819" s="1" t="str">
        <f>PROPER(TEXT(BBDD_fashion_boutique[[#This Row],[purchase_date]],"mmmm"))</f>
        <v>Agosto</v>
      </c>
      <c r="P819" s="4">
        <v>3</v>
      </c>
      <c r="Q819" s="2">
        <v>4.8</v>
      </c>
      <c r="R819" t="str">
        <f>IF(BBDD_fashion_boutique[[#This Row],[stock_quantity]]&gt;9,"Ok",IF(BBDD_fashion_boutique[[#This Row],[stock_quantity]]=0,"Agotado","Pocas Unidades"))</f>
        <v>Pocas Unidades</v>
      </c>
      <c r="S819" s="3">
        <f>IF(BBDD_fashion_boutique[[#This Row],[customer_rating]]="","No valorado",BBDD_fashion_boutique[[#This Row],[customer_rating]])</f>
        <v>4.8</v>
      </c>
      <c r="T819" t="s">
        <v>24</v>
      </c>
      <c r="V819">
        <f>IF(BBDD_fashion_boutique[[#This Row],[is_returned]]="False",0,1)</f>
        <v>0</v>
      </c>
      <c r="W819">
        <f>IF(BBDD_fashion_boutique[[#This Row],[is_returned]]="True",0,BBDD_fashion_boutique[[#This Row],[current_price]])</f>
        <v>26.1</v>
      </c>
      <c r="X819" t="str">
        <f>IF(BBDD_fashion_boutique[[#This Row],[return_reason]]="","No return",BBDD_fashion_boutique[[#This Row],[return_reason]])</f>
        <v>No return</v>
      </c>
      <c r="Y819">
        <f>IF(IFERROR(VLOOKUP(BBDD_fashion_boutique[[#This Row],[product_id]],A820:A2995,1,FALSE),0),1,0)</f>
        <v>0</v>
      </c>
    </row>
    <row r="820" spans="1:25" x14ac:dyDescent="0.3">
      <c r="A820" t="s">
        <v>879</v>
      </c>
      <c r="B820" t="s">
        <v>32</v>
      </c>
      <c r="C820" t="s">
        <v>20</v>
      </c>
      <c r="D820" t="s">
        <v>28</v>
      </c>
      <c r="F820" t="str">
        <f>IF(BBDD_fashion_boutique[[#This Row],[category]]="Accessories","Accesorio",IF(BBDD_fashion_boutique[[#This Row],[size]]="","Desconocido",BBDD_fashion_boutique[[#This Row],[size]]))</f>
        <v>Accesorio</v>
      </c>
      <c r="G820" t="s">
        <v>30</v>
      </c>
      <c r="H820" s="2">
        <v>20.239999999999998</v>
      </c>
      <c r="I820">
        <v>0</v>
      </c>
      <c r="J820" s="5">
        <f>BBDD_fashion_boutique[[#This Row],[markdown_percentage]]/100</f>
        <v>0</v>
      </c>
      <c r="K820" s="2">
        <v>20.239999999999998</v>
      </c>
      <c r="L820" s="2">
        <f>BBDD_fashion_boutique[[#This Row],[original_price]]-BBDD_fashion_boutique[[#This Row],[current_price]]</f>
        <v>0</v>
      </c>
      <c r="M820" s="1">
        <v>45875</v>
      </c>
      <c r="N820" s="1" t="str">
        <f>PROPER(TEXT(BBDD_fashion_boutique[[#This Row],[purchase_date]],"dddd"))</f>
        <v>Miércoles</v>
      </c>
      <c r="O820" s="1" t="str">
        <f>PROPER(TEXT(BBDD_fashion_boutique[[#This Row],[purchase_date]],"mmmm"))</f>
        <v>Agosto</v>
      </c>
      <c r="P820" s="4">
        <v>20</v>
      </c>
      <c r="Q820" s="2">
        <v>4.0999999999999996</v>
      </c>
      <c r="R820" t="str">
        <f>IF(BBDD_fashion_boutique[[#This Row],[stock_quantity]]&gt;9,"Ok",IF(BBDD_fashion_boutique[[#This Row],[stock_quantity]]=0,"Agotado","Pocas Unidades"))</f>
        <v>Ok</v>
      </c>
      <c r="S820" s="3">
        <f>IF(BBDD_fashion_boutique[[#This Row],[customer_rating]]="","No valorado",BBDD_fashion_boutique[[#This Row],[customer_rating]])</f>
        <v>4.0999999999999996</v>
      </c>
      <c r="T820" t="s">
        <v>24</v>
      </c>
      <c r="V820">
        <f>IF(BBDD_fashion_boutique[[#This Row],[is_returned]]="False",0,1)</f>
        <v>0</v>
      </c>
      <c r="W820">
        <f>IF(BBDD_fashion_boutique[[#This Row],[is_returned]]="True",0,BBDD_fashion_boutique[[#This Row],[current_price]])</f>
        <v>20.239999999999998</v>
      </c>
      <c r="X820" t="str">
        <f>IF(BBDD_fashion_boutique[[#This Row],[return_reason]]="","No return",BBDD_fashion_boutique[[#This Row],[return_reason]])</f>
        <v>No return</v>
      </c>
      <c r="Y820">
        <f>IF(IFERROR(VLOOKUP(BBDD_fashion_boutique[[#This Row],[product_id]],A821:A2996,1,FALSE),0),1,0)</f>
        <v>0</v>
      </c>
    </row>
    <row r="821" spans="1:25" x14ac:dyDescent="0.3">
      <c r="A821" t="s">
        <v>880</v>
      </c>
      <c r="B821" t="s">
        <v>44</v>
      </c>
      <c r="C821" t="s">
        <v>20</v>
      </c>
      <c r="D821" t="s">
        <v>39</v>
      </c>
      <c r="E821" t="s">
        <v>29</v>
      </c>
      <c r="F821" t="str">
        <f>IF(BBDD_fashion_boutique[[#This Row],[category]]="Accessories","Accesorio",IF(BBDD_fashion_boutique[[#This Row],[size]]="","Desconocido",BBDD_fashion_boutique[[#This Row],[size]]))</f>
        <v>L</v>
      </c>
      <c r="G821" t="s">
        <v>23</v>
      </c>
      <c r="H821" s="2">
        <v>88.58</v>
      </c>
      <c r="I821">
        <v>0</v>
      </c>
      <c r="J821" s="5">
        <f>BBDD_fashion_boutique[[#This Row],[markdown_percentage]]/100</f>
        <v>0</v>
      </c>
      <c r="K821" s="2">
        <v>88.58</v>
      </c>
      <c r="L821" s="2">
        <f>BBDD_fashion_boutique[[#This Row],[original_price]]-BBDD_fashion_boutique[[#This Row],[current_price]]</f>
        <v>0</v>
      </c>
      <c r="M821" s="1">
        <v>45875</v>
      </c>
      <c r="N821" s="1" t="str">
        <f>PROPER(TEXT(BBDD_fashion_boutique[[#This Row],[purchase_date]],"dddd"))</f>
        <v>Miércoles</v>
      </c>
      <c r="O821" s="1" t="str">
        <f>PROPER(TEXT(BBDD_fashion_boutique[[#This Row],[purchase_date]],"mmmm"))</f>
        <v>Agosto</v>
      </c>
      <c r="P821" s="4">
        <v>50</v>
      </c>
      <c r="R821" t="str">
        <f>IF(BBDD_fashion_boutique[[#This Row],[stock_quantity]]&gt;9,"Ok",IF(BBDD_fashion_boutique[[#This Row],[stock_quantity]]=0,"Agotado","Pocas Unidades"))</f>
        <v>Ok</v>
      </c>
      <c r="S821" s="3" t="str">
        <f>IF(BBDD_fashion_boutique[[#This Row],[customer_rating]]="","No valorado",BBDD_fashion_boutique[[#This Row],[customer_rating]])</f>
        <v>No valorado</v>
      </c>
      <c r="T821" t="s">
        <v>24</v>
      </c>
      <c r="V821">
        <f>IF(BBDD_fashion_boutique[[#This Row],[is_returned]]="False",0,1)</f>
        <v>0</v>
      </c>
      <c r="W821">
        <f>IF(BBDD_fashion_boutique[[#This Row],[is_returned]]="True",0,BBDD_fashion_boutique[[#This Row],[current_price]])</f>
        <v>88.58</v>
      </c>
      <c r="X821" t="str">
        <f>IF(BBDD_fashion_boutique[[#This Row],[return_reason]]="","No return",BBDD_fashion_boutique[[#This Row],[return_reason]])</f>
        <v>No return</v>
      </c>
      <c r="Y821">
        <f>IF(IFERROR(VLOOKUP(BBDD_fashion_boutique[[#This Row],[product_id]],A822:A2997,1,FALSE),0),1,0)</f>
        <v>0</v>
      </c>
    </row>
    <row r="822" spans="1:25" x14ac:dyDescent="0.3">
      <c r="A822" t="s">
        <v>881</v>
      </c>
      <c r="B822" t="s">
        <v>44</v>
      </c>
      <c r="C822" t="s">
        <v>59</v>
      </c>
      <c r="D822" t="s">
        <v>28</v>
      </c>
      <c r="E822" t="s">
        <v>55</v>
      </c>
      <c r="F822" t="str">
        <f>IF(BBDD_fashion_boutique[[#This Row],[category]]="Accessories","Accesorio",IF(BBDD_fashion_boutique[[#This Row],[size]]="","Desconocido",BBDD_fashion_boutique[[#This Row],[size]]))</f>
        <v>XXL</v>
      </c>
      <c r="G822" t="s">
        <v>72</v>
      </c>
      <c r="H822" s="2">
        <v>67.92</v>
      </c>
      <c r="I822">
        <v>0</v>
      </c>
      <c r="J822" s="5">
        <f>BBDD_fashion_boutique[[#This Row],[markdown_percentage]]/100</f>
        <v>0</v>
      </c>
      <c r="K822" s="2">
        <v>67.92</v>
      </c>
      <c r="L822" s="2">
        <f>BBDD_fashion_boutique[[#This Row],[original_price]]-BBDD_fashion_boutique[[#This Row],[current_price]]</f>
        <v>0</v>
      </c>
      <c r="M822" s="1">
        <v>45875</v>
      </c>
      <c r="N822" s="1" t="str">
        <f>PROPER(TEXT(BBDD_fashion_boutique[[#This Row],[purchase_date]],"dddd"))</f>
        <v>Miércoles</v>
      </c>
      <c r="O822" s="1" t="str">
        <f>PROPER(TEXT(BBDD_fashion_boutique[[#This Row],[purchase_date]],"mmmm"))</f>
        <v>Agosto</v>
      </c>
      <c r="P822" s="4">
        <v>23</v>
      </c>
      <c r="Q822" s="2">
        <v>1.8</v>
      </c>
      <c r="R822" t="str">
        <f>IF(BBDD_fashion_boutique[[#This Row],[stock_quantity]]&gt;9,"Ok",IF(BBDD_fashion_boutique[[#This Row],[stock_quantity]]=0,"Agotado","Pocas Unidades"))</f>
        <v>Ok</v>
      </c>
      <c r="S822" s="3">
        <f>IF(BBDD_fashion_boutique[[#This Row],[customer_rating]]="","No valorado",BBDD_fashion_boutique[[#This Row],[customer_rating]])</f>
        <v>1.8</v>
      </c>
      <c r="T822" t="s">
        <v>41</v>
      </c>
      <c r="U822" t="s">
        <v>79</v>
      </c>
      <c r="V822">
        <f>IF(BBDD_fashion_boutique[[#This Row],[is_returned]]="False",0,1)</f>
        <v>1</v>
      </c>
      <c r="W822">
        <f>IF(BBDD_fashion_boutique[[#This Row],[is_returned]]="True",0,BBDD_fashion_boutique[[#This Row],[current_price]])</f>
        <v>0</v>
      </c>
      <c r="X822" t="str">
        <f>IF(BBDD_fashion_boutique[[#This Row],[return_reason]]="","No return",BBDD_fashion_boutique[[#This Row],[return_reason]])</f>
        <v>Size Issue</v>
      </c>
      <c r="Y822">
        <f>IF(IFERROR(VLOOKUP(BBDD_fashion_boutique[[#This Row],[product_id]],A823:A2998,1,FALSE),0),1,0)</f>
        <v>0</v>
      </c>
    </row>
    <row r="823" spans="1:25" x14ac:dyDescent="0.3">
      <c r="A823" t="s">
        <v>882</v>
      </c>
      <c r="B823" t="s">
        <v>32</v>
      </c>
      <c r="C823" t="s">
        <v>59</v>
      </c>
      <c r="D823" t="s">
        <v>39</v>
      </c>
      <c r="F823" t="str">
        <f>IF(BBDD_fashion_boutique[[#This Row],[category]]="Accessories","Accesorio",IF(BBDD_fashion_boutique[[#This Row],[size]]="","Desconocido",BBDD_fashion_boutique[[#This Row],[size]]))</f>
        <v>Accesorio</v>
      </c>
      <c r="G823" t="s">
        <v>40</v>
      </c>
      <c r="H823" s="2">
        <v>25.39</v>
      </c>
      <c r="I823">
        <v>0</v>
      </c>
      <c r="J823" s="5">
        <f>BBDD_fashion_boutique[[#This Row],[markdown_percentage]]/100</f>
        <v>0</v>
      </c>
      <c r="K823" s="2">
        <v>25.39</v>
      </c>
      <c r="L823" s="2">
        <f>BBDD_fashion_boutique[[#This Row],[original_price]]-BBDD_fashion_boutique[[#This Row],[current_price]]</f>
        <v>0</v>
      </c>
      <c r="M823" s="1">
        <v>45875</v>
      </c>
      <c r="N823" s="1" t="str">
        <f>PROPER(TEXT(BBDD_fashion_boutique[[#This Row],[purchase_date]],"dddd"))</f>
        <v>Miércoles</v>
      </c>
      <c r="O823" s="1" t="str">
        <f>PROPER(TEXT(BBDD_fashion_boutique[[#This Row],[purchase_date]],"mmmm"))</f>
        <v>Agosto</v>
      </c>
      <c r="P823" s="4">
        <v>42</v>
      </c>
      <c r="Q823" s="2">
        <v>1.8</v>
      </c>
      <c r="R823" t="str">
        <f>IF(BBDD_fashion_boutique[[#This Row],[stock_quantity]]&gt;9,"Ok",IF(BBDD_fashion_boutique[[#This Row],[stock_quantity]]=0,"Agotado","Pocas Unidades"))</f>
        <v>Ok</v>
      </c>
      <c r="S823" s="3">
        <f>IF(BBDD_fashion_boutique[[#This Row],[customer_rating]]="","No valorado",BBDD_fashion_boutique[[#This Row],[customer_rating]])</f>
        <v>1.8</v>
      </c>
      <c r="T823" t="s">
        <v>24</v>
      </c>
      <c r="V823">
        <f>IF(BBDD_fashion_boutique[[#This Row],[is_returned]]="False",0,1)</f>
        <v>0</v>
      </c>
      <c r="W823">
        <f>IF(BBDD_fashion_boutique[[#This Row],[is_returned]]="True",0,BBDD_fashion_boutique[[#This Row],[current_price]])</f>
        <v>25.39</v>
      </c>
      <c r="X823" t="str">
        <f>IF(BBDD_fashion_boutique[[#This Row],[return_reason]]="","No return",BBDD_fashion_boutique[[#This Row],[return_reason]])</f>
        <v>No return</v>
      </c>
      <c r="Y823">
        <f>IF(IFERROR(VLOOKUP(BBDD_fashion_boutique[[#This Row],[product_id]],A824:A2999,1,FALSE),0),1,0)</f>
        <v>0</v>
      </c>
    </row>
    <row r="824" spans="1:25" x14ac:dyDescent="0.3">
      <c r="A824" t="s">
        <v>883</v>
      </c>
      <c r="B824" t="s">
        <v>48</v>
      </c>
      <c r="C824" t="s">
        <v>81</v>
      </c>
      <c r="D824" t="s">
        <v>28</v>
      </c>
      <c r="E824" t="s">
        <v>45</v>
      </c>
      <c r="F824" t="str">
        <f>IF(BBDD_fashion_boutique[[#This Row],[category]]="Accessories","Accesorio",IF(BBDD_fashion_boutique[[#This Row],[size]]="","Desconocido",BBDD_fashion_boutique[[#This Row],[size]]))</f>
        <v>S</v>
      </c>
      <c r="G824" t="s">
        <v>33</v>
      </c>
      <c r="H824" s="2">
        <v>115.89</v>
      </c>
      <c r="I824">
        <v>39.4</v>
      </c>
      <c r="J824" s="5">
        <f>BBDD_fashion_boutique[[#This Row],[markdown_percentage]]/100</f>
        <v>0.39399999999999996</v>
      </c>
      <c r="K824" s="2">
        <v>70.23</v>
      </c>
      <c r="L824" s="2">
        <f>BBDD_fashion_boutique[[#This Row],[original_price]]-BBDD_fashion_boutique[[#This Row],[current_price]]</f>
        <v>45.66</v>
      </c>
      <c r="M824" s="1">
        <v>45875</v>
      </c>
      <c r="N824" s="1" t="str">
        <f>PROPER(TEXT(BBDD_fashion_boutique[[#This Row],[purchase_date]],"dddd"))</f>
        <v>Miércoles</v>
      </c>
      <c r="O824" s="1" t="str">
        <f>PROPER(TEXT(BBDD_fashion_boutique[[#This Row],[purchase_date]],"mmmm"))</f>
        <v>Agosto</v>
      </c>
      <c r="P824" s="4">
        <v>14</v>
      </c>
      <c r="Q824" s="2">
        <v>3.8</v>
      </c>
      <c r="R824" t="str">
        <f>IF(BBDD_fashion_boutique[[#This Row],[stock_quantity]]&gt;9,"Ok",IF(BBDD_fashion_boutique[[#This Row],[stock_quantity]]=0,"Agotado","Pocas Unidades"))</f>
        <v>Ok</v>
      </c>
      <c r="S824" s="3">
        <f>IF(BBDD_fashion_boutique[[#This Row],[customer_rating]]="","No valorado",BBDD_fashion_boutique[[#This Row],[customer_rating]])</f>
        <v>3.8</v>
      </c>
      <c r="T824" t="s">
        <v>41</v>
      </c>
      <c r="U824" t="s">
        <v>84</v>
      </c>
      <c r="V824">
        <f>IF(BBDD_fashion_boutique[[#This Row],[is_returned]]="False",0,1)</f>
        <v>1</v>
      </c>
      <c r="W824">
        <f>IF(BBDD_fashion_boutique[[#This Row],[is_returned]]="True",0,BBDD_fashion_boutique[[#This Row],[current_price]])</f>
        <v>0</v>
      </c>
      <c r="X824" t="str">
        <f>IF(BBDD_fashion_boutique[[#This Row],[return_reason]]="","No return",BBDD_fashion_boutique[[#This Row],[return_reason]])</f>
        <v>Damaged</v>
      </c>
      <c r="Y824">
        <f>IF(IFERROR(VLOOKUP(BBDD_fashion_boutique[[#This Row],[product_id]],A825:A3000,1,FALSE),0),1,0)</f>
        <v>0</v>
      </c>
    </row>
    <row r="825" spans="1:25" x14ac:dyDescent="0.3">
      <c r="A825" t="s">
        <v>884</v>
      </c>
      <c r="B825" t="s">
        <v>44</v>
      </c>
      <c r="C825" t="s">
        <v>81</v>
      </c>
      <c r="D825" t="s">
        <v>68</v>
      </c>
      <c r="E825" t="s">
        <v>22</v>
      </c>
      <c r="F825" t="str">
        <f>IF(BBDD_fashion_boutique[[#This Row],[category]]="Accessories","Accesorio",IF(BBDD_fashion_boutique[[#This Row],[size]]="","Desconocido",BBDD_fashion_boutique[[#This Row],[size]]))</f>
        <v>XL</v>
      </c>
      <c r="G825" t="s">
        <v>50</v>
      </c>
      <c r="H825" s="2">
        <v>103.94</v>
      </c>
      <c r="I825">
        <v>16.100000000000001</v>
      </c>
      <c r="J825" s="5">
        <f>BBDD_fashion_boutique[[#This Row],[markdown_percentage]]/100</f>
        <v>0.161</v>
      </c>
      <c r="K825" s="2">
        <v>87.21</v>
      </c>
      <c r="L825" s="2">
        <f>BBDD_fashion_boutique[[#This Row],[original_price]]-BBDD_fashion_boutique[[#This Row],[current_price]]</f>
        <v>16.730000000000004</v>
      </c>
      <c r="M825" s="1">
        <v>45875</v>
      </c>
      <c r="N825" s="1" t="str">
        <f>PROPER(TEXT(BBDD_fashion_boutique[[#This Row],[purchase_date]],"dddd"))</f>
        <v>Miércoles</v>
      </c>
      <c r="O825" s="1" t="str">
        <f>PROPER(TEXT(BBDD_fashion_boutique[[#This Row],[purchase_date]],"mmmm"))</f>
        <v>Agosto</v>
      </c>
      <c r="P825" s="4">
        <v>6</v>
      </c>
      <c r="Q825" s="2">
        <v>4.9000000000000004</v>
      </c>
      <c r="R825" t="str">
        <f>IF(BBDD_fashion_boutique[[#This Row],[stock_quantity]]&gt;9,"Ok",IF(BBDD_fashion_boutique[[#This Row],[stock_quantity]]=0,"Agotado","Pocas Unidades"))</f>
        <v>Pocas Unidades</v>
      </c>
      <c r="S825" s="3">
        <f>IF(BBDD_fashion_boutique[[#This Row],[customer_rating]]="","No valorado",BBDD_fashion_boutique[[#This Row],[customer_rating]])</f>
        <v>4.9000000000000004</v>
      </c>
      <c r="T825" t="s">
        <v>41</v>
      </c>
      <c r="U825" t="s">
        <v>121</v>
      </c>
      <c r="V825">
        <f>IF(BBDD_fashion_boutique[[#This Row],[is_returned]]="False",0,1)</f>
        <v>1</v>
      </c>
      <c r="W825">
        <f>IF(BBDD_fashion_boutique[[#This Row],[is_returned]]="True",0,BBDD_fashion_boutique[[#This Row],[current_price]])</f>
        <v>0</v>
      </c>
      <c r="X825" t="str">
        <f>IF(BBDD_fashion_boutique[[#This Row],[return_reason]]="","No return",BBDD_fashion_boutique[[#This Row],[return_reason]])</f>
        <v>Changed Mind</v>
      </c>
      <c r="Y825">
        <f>IF(IFERROR(VLOOKUP(BBDD_fashion_boutique[[#This Row],[product_id]],A826:A3001,1,FALSE),0),1,0)</f>
        <v>0</v>
      </c>
    </row>
    <row r="826" spans="1:25" x14ac:dyDescent="0.3">
      <c r="A826" t="s">
        <v>885</v>
      </c>
      <c r="B826" t="s">
        <v>35</v>
      </c>
      <c r="C826" t="s">
        <v>67</v>
      </c>
      <c r="D826" t="s">
        <v>28</v>
      </c>
      <c r="E826" t="s">
        <v>29</v>
      </c>
      <c r="F826" t="str">
        <f>IF(BBDD_fashion_boutique[[#This Row],[category]]="Accessories","Accesorio",IF(BBDD_fashion_boutique[[#This Row],[size]]="","Desconocido",BBDD_fashion_boutique[[#This Row],[size]]))</f>
        <v>L</v>
      </c>
      <c r="G826" t="s">
        <v>23</v>
      </c>
      <c r="H826" s="2">
        <v>94.72</v>
      </c>
      <c r="I826">
        <v>20.5</v>
      </c>
      <c r="J826" s="5">
        <f>BBDD_fashion_boutique[[#This Row],[markdown_percentage]]/100</f>
        <v>0.20499999999999999</v>
      </c>
      <c r="K826" s="2">
        <v>75.3</v>
      </c>
      <c r="L826" s="2">
        <f>BBDD_fashion_boutique[[#This Row],[original_price]]-BBDD_fashion_boutique[[#This Row],[current_price]]</f>
        <v>19.420000000000002</v>
      </c>
      <c r="M826" s="1">
        <v>45875</v>
      </c>
      <c r="N826" s="1" t="str">
        <f>PROPER(TEXT(BBDD_fashion_boutique[[#This Row],[purchase_date]],"dddd"))</f>
        <v>Miércoles</v>
      </c>
      <c r="O826" s="1" t="str">
        <f>PROPER(TEXT(BBDD_fashion_boutique[[#This Row],[purchase_date]],"mmmm"))</f>
        <v>Agosto</v>
      </c>
      <c r="P826" s="4">
        <v>24</v>
      </c>
      <c r="Q826" s="2">
        <v>3.6</v>
      </c>
      <c r="R826" t="str">
        <f>IF(BBDD_fashion_boutique[[#This Row],[stock_quantity]]&gt;9,"Ok",IF(BBDD_fashion_boutique[[#This Row],[stock_quantity]]=0,"Agotado","Pocas Unidades"))</f>
        <v>Ok</v>
      </c>
      <c r="S826" s="3">
        <f>IF(BBDD_fashion_boutique[[#This Row],[customer_rating]]="","No valorado",BBDD_fashion_boutique[[#This Row],[customer_rating]])</f>
        <v>3.6</v>
      </c>
      <c r="T826" t="s">
        <v>24</v>
      </c>
      <c r="V826">
        <f>IF(BBDD_fashion_boutique[[#This Row],[is_returned]]="False",0,1)</f>
        <v>0</v>
      </c>
      <c r="W826">
        <f>IF(BBDD_fashion_boutique[[#This Row],[is_returned]]="True",0,BBDD_fashion_boutique[[#This Row],[current_price]])</f>
        <v>75.3</v>
      </c>
      <c r="X826" t="str">
        <f>IF(BBDD_fashion_boutique[[#This Row],[return_reason]]="","No return",BBDD_fashion_boutique[[#This Row],[return_reason]])</f>
        <v>No return</v>
      </c>
      <c r="Y826">
        <f>IF(IFERROR(VLOOKUP(BBDD_fashion_boutique[[#This Row],[product_id]],A827:A3002,1,FALSE),0),1,0)</f>
        <v>0</v>
      </c>
    </row>
    <row r="827" spans="1:25" x14ac:dyDescent="0.3">
      <c r="A827" t="s">
        <v>886</v>
      </c>
      <c r="B827" t="s">
        <v>32</v>
      </c>
      <c r="C827" t="s">
        <v>59</v>
      </c>
      <c r="D827" t="s">
        <v>39</v>
      </c>
      <c r="F827" t="str">
        <f>IF(BBDD_fashion_boutique[[#This Row],[category]]="Accessories","Accesorio",IF(BBDD_fashion_boutique[[#This Row],[size]]="","Desconocido",BBDD_fashion_boutique[[#This Row],[size]]))</f>
        <v>Accesorio</v>
      </c>
      <c r="G827" t="s">
        <v>30</v>
      </c>
      <c r="H827" s="2">
        <v>23.28</v>
      </c>
      <c r="I827">
        <v>0</v>
      </c>
      <c r="J827" s="5">
        <f>BBDD_fashion_boutique[[#This Row],[markdown_percentage]]/100</f>
        <v>0</v>
      </c>
      <c r="K827" s="2">
        <v>23.28</v>
      </c>
      <c r="L827" s="2">
        <f>BBDD_fashion_boutique[[#This Row],[original_price]]-BBDD_fashion_boutique[[#This Row],[current_price]]</f>
        <v>0</v>
      </c>
      <c r="M827" s="1">
        <v>45875</v>
      </c>
      <c r="N827" s="1" t="str">
        <f>PROPER(TEXT(BBDD_fashion_boutique[[#This Row],[purchase_date]],"dddd"))</f>
        <v>Miércoles</v>
      </c>
      <c r="O827" s="1" t="str">
        <f>PROPER(TEXT(BBDD_fashion_boutique[[#This Row],[purchase_date]],"mmmm"))</f>
        <v>Agosto</v>
      </c>
      <c r="P827" s="4">
        <v>44</v>
      </c>
      <c r="Q827" s="2">
        <v>3.1</v>
      </c>
      <c r="R827" t="str">
        <f>IF(BBDD_fashion_boutique[[#This Row],[stock_quantity]]&gt;9,"Ok",IF(BBDD_fashion_boutique[[#This Row],[stock_quantity]]=0,"Agotado","Pocas Unidades"))</f>
        <v>Ok</v>
      </c>
      <c r="S827" s="3">
        <f>IF(BBDD_fashion_boutique[[#This Row],[customer_rating]]="","No valorado",BBDD_fashion_boutique[[#This Row],[customer_rating]])</f>
        <v>3.1</v>
      </c>
      <c r="T827" t="s">
        <v>41</v>
      </c>
      <c r="U827" t="s">
        <v>89</v>
      </c>
      <c r="V827">
        <f>IF(BBDD_fashion_boutique[[#This Row],[is_returned]]="False",0,1)</f>
        <v>1</v>
      </c>
      <c r="W827">
        <f>IF(BBDD_fashion_boutique[[#This Row],[is_returned]]="True",0,BBDD_fashion_boutique[[#This Row],[current_price]])</f>
        <v>0</v>
      </c>
      <c r="X827" t="str">
        <f>IF(BBDD_fashion_boutique[[#This Row],[return_reason]]="","No return",BBDD_fashion_boutique[[#This Row],[return_reason]])</f>
        <v>Quality Issue</v>
      </c>
      <c r="Y827">
        <f>IF(IFERROR(VLOOKUP(BBDD_fashion_boutique[[#This Row],[product_id]],A828:A3003,1,FALSE),0),1,0)</f>
        <v>0</v>
      </c>
    </row>
    <row r="828" spans="1:25" x14ac:dyDescent="0.3">
      <c r="A828" t="s">
        <v>887</v>
      </c>
      <c r="B828" t="s">
        <v>26</v>
      </c>
      <c r="C828" t="s">
        <v>67</v>
      </c>
      <c r="D828" t="s">
        <v>68</v>
      </c>
      <c r="E828" t="s">
        <v>45</v>
      </c>
      <c r="F828" t="str">
        <f>IF(BBDD_fashion_boutique[[#This Row],[category]]="Accessories","Accesorio",IF(BBDD_fashion_boutique[[#This Row],[size]]="","Desconocido",BBDD_fashion_boutique[[#This Row],[size]]))</f>
        <v>S</v>
      </c>
      <c r="G828" t="s">
        <v>30</v>
      </c>
      <c r="H828" s="2">
        <v>90.73</v>
      </c>
      <c r="I828">
        <v>0</v>
      </c>
      <c r="J828" s="5">
        <f>BBDD_fashion_boutique[[#This Row],[markdown_percentage]]/100</f>
        <v>0</v>
      </c>
      <c r="K828" s="2">
        <v>90.73</v>
      </c>
      <c r="L828" s="2">
        <f>BBDD_fashion_boutique[[#This Row],[original_price]]-BBDD_fashion_boutique[[#This Row],[current_price]]</f>
        <v>0</v>
      </c>
      <c r="M828" s="1">
        <v>45875</v>
      </c>
      <c r="N828" s="1" t="str">
        <f>PROPER(TEXT(BBDD_fashion_boutique[[#This Row],[purchase_date]],"dddd"))</f>
        <v>Miércoles</v>
      </c>
      <c r="O828" s="1" t="str">
        <f>PROPER(TEXT(BBDD_fashion_boutique[[#This Row],[purchase_date]],"mmmm"))</f>
        <v>Agosto</v>
      </c>
      <c r="P828" s="4">
        <v>14</v>
      </c>
      <c r="Q828" s="2">
        <v>1.1000000000000001</v>
      </c>
      <c r="R828" t="str">
        <f>IF(BBDD_fashion_boutique[[#This Row],[stock_quantity]]&gt;9,"Ok",IF(BBDD_fashion_boutique[[#This Row],[stock_quantity]]=0,"Agotado","Pocas Unidades"))</f>
        <v>Ok</v>
      </c>
      <c r="S828" s="3">
        <f>IF(BBDD_fashion_boutique[[#This Row],[customer_rating]]="","No valorado",BBDD_fashion_boutique[[#This Row],[customer_rating]])</f>
        <v>1.1000000000000001</v>
      </c>
      <c r="T828" t="s">
        <v>24</v>
      </c>
      <c r="V828">
        <f>IF(BBDD_fashion_boutique[[#This Row],[is_returned]]="False",0,1)</f>
        <v>0</v>
      </c>
      <c r="W828">
        <f>IF(BBDD_fashion_boutique[[#This Row],[is_returned]]="True",0,BBDD_fashion_boutique[[#This Row],[current_price]])</f>
        <v>90.73</v>
      </c>
      <c r="X828" t="str">
        <f>IF(BBDD_fashion_boutique[[#This Row],[return_reason]]="","No return",BBDD_fashion_boutique[[#This Row],[return_reason]])</f>
        <v>No return</v>
      </c>
      <c r="Y828">
        <f>IF(IFERROR(VLOOKUP(BBDD_fashion_boutique[[#This Row],[product_id]],A829:A3004,1,FALSE),0),1,0)</f>
        <v>0</v>
      </c>
    </row>
    <row r="829" spans="1:25" x14ac:dyDescent="0.3">
      <c r="A829" t="s">
        <v>888</v>
      </c>
      <c r="B829" t="s">
        <v>44</v>
      </c>
      <c r="C829" t="s">
        <v>54</v>
      </c>
      <c r="D829" t="s">
        <v>39</v>
      </c>
      <c r="E829" t="s">
        <v>55</v>
      </c>
      <c r="F829" t="str">
        <f>IF(BBDD_fashion_boutique[[#This Row],[category]]="Accessories","Accesorio",IF(BBDD_fashion_boutique[[#This Row],[size]]="","Desconocido",BBDD_fashion_boutique[[#This Row],[size]]))</f>
        <v>XXL</v>
      </c>
      <c r="G829" t="s">
        <v>52</v>
      </c>
      <c r="H829" s="2">
        <v>25.74</v>
      </c>
      <c r="I829">
        <v>0</v>
      </c>
      <c r="J829" s="5">
        <f>BBDD_fashion_boutique[[#This Row],[markdown_percentage]]/100</f>
        <v>0</v>
      </c>
      <c r="K829" s="2">
        <v>25.74</v>
      </c>
      <c r="L829" s="2">
        <f>BBDD_fashion_boutique[[#This Row],[original_price]]-BBDD_fashion_boutique[[#This Row],[current_price]]</f>
        <v>0</v>
      </c>
      <c r="M829" s="1">
        <v>45875</v>
      </c>
      <c r="N829" s="1" t="str">
        <f>PROPER(TEXT(BBDD_fashion_boutique[[#This Row],[purchase_date]],"dddd"))</f>
        <v>Miércoles</v>
      </c>
      <c r="O829" s="1" t="str">
        <f>PROPER(TEXT(BBDD_fashion_boutique[[#This Row],[purchase_date]],"mmmm"))</f>
        <v>Agosto</v>
      </c>
      <c r="P829" s="4">
        <v>33</v>
      </c>
      <c r="Q829" s="2">
        <v>1.1000000000000001</v>
      </c>
      <c r="R829" t="str">
        <f>IF(BBDD_fashion_boutique[[#This Row],[stock_quantity]]&gt;9,"Ok",IF(BBDD_fashion_boutique[[#This Row],[stock_quantity]]=0,"Agotado","Pocas Unidades"))</f>
        <v>Ok</v>
      </c>
      <c r="S829" s="3">
        <f>IF(BBDD_fashion_boutique[[#This Row],[customer_rating]]="","No valorado",BBDD_fashion_boutique[[#This Row],[customer_rating]])</f>
        <v>1.1000000000000001</v>
      </c>
      <c r="T829" t="s">
        <v>41</v>
      </c>
      <c r="U829" t="s">
        <v>42</v>
      </c>
      <c r="V829">
        <f>IF(BBDD_fashion_boutique[[#This Row],[is_returned]]="False",0,1)</f>
        <v>1</v>
      </c>
      <c r="W829">
        <f>IF(BBDD_fashion_boutique[[#This Row],[is_returned]]="True",0,BBDD_fashion_boutique[[#This Row],[current_price]])</f>
        <v>0</v>
      </c>
      <c r="X829" t="str">
        <f>IF(BBDD_fashion_boutique[[#This Row],[return_reason]]="","No return",BBDD_fashion_boutique[[#This Row],[return_reason]])</f>
        <v>Color Mismatch</v>
      </c>
      <c r="Y829">
        <f>IF(IFERROR(VLOOKUP(BBDD_fashion_boutique[[#This Row],[product_id]],A830:A3005,1,FALSE),0),1,0)</f>
        <v>0</v>
      </c>
    </row>
    <row r="830" spans="1:25" x14ac:dyDescent="0.3">
      <c r="A830" t="s">
        <v>889</v>
      </c>
      <c r="B830" t="s">
        <v>35</v>
      </c>
      <c r="C830" t="s">
        <v>59</v>
      </c>
      <c r="D830" t="s">
        <v>21</v>
      </c>
      <c r="E830" t="s">
        <v>22</v>
      </c>
      <c r="F830" t="str">
        <f>IF(BBDD_fashion_boutique[[#This Row],[category]]="Accessories","Accesorio",IF(BBDD_fashion_boutique[[#This Row],[size]]="","Desconocido",BBDD_fashion_boutique[[#This Row],[size]]))</f>
        <v>XL</v>
      </c>
      <c r="G830" t="s">
        <v>46</v>
      </c>
      <c r="H830" s="2">
        <v>162.97</v>
      </c>
      <c r="I830">
        <v>0</v>
      </c>
      <c r="J830" s="5">
        <f>BBDD_fashion_boutique[[#This Row],[markdown_percentage]]/100</f>
        <v>0</v>
      </c>
      <c r="K830" s="2">
        <v>162.97</v>
      </c>
      <c r="L830" s="2">
        <f>BBDD_fashion_boutique[[#This Row],[original_price]]-BBDD_fashion_boutique[[#This Row],[current_price]]</f>
        <v>0</v>
      </c>
      <c r="M830" s="1">
        <v>45618</v>
      </c>
      <c r="N830" s="1" t="str">
        <f>PROPER(TEXT(BBDD_fashion_boutique[[#This Row],[purchase_date]],"dddd"))</f>
        <v>Viernes</v>
      </c>
      <c r="O830" s="1" t="str">
        <f>PROPER(TEXT(BBDD_fashion_boutique[[#This Row],[purchase_date]],"mmmm"))</f>
        <v>Noviembre</v>
      </c>
      <c r="P830" s="4">
        <v>47</v>
      </c>
      <c r="Q830" s="2">
        <v>2.2000000000000002</v>
      </c>
      <c r="R830" t="str">
        <f>IF(BBDD_fashion_boutique[[#This Row],[stock_quantity]]&gt;9,"Ok",IF(BBDD_fashion_boutique[[#This Row],[stock_quantity]]=0,"Agotado","Pocas Unidades"))</f>
        <v>Ok</v>
      </c>
      <c r="S830" s="3">
        <f>IF(BBDD_fashion_boutique[[#This Row],[customer_rating]]="","No valorado",BBDD_fashion_boutique[[#This Row],[customer_rating]])</f>
        <v>2.2000000000000002</v>
      </c>
      <c r="T830" t="s">
        <v>41</v>
      </c>
      <c r="U830" t="s">
        <v>131</v>
      </c>
      <c r="V830">
        <f>IF(BBDD_fashion_boutique[[#This Row],[is_returned]]="False",0,1)</f>
        <v>1</v>
      </c>
      <c r="W830">
        <f>IF(BBDD_fashion_boutique[[#This Row],[is_returned]]="True",0,BBDD_fashion_boutique[[#This Row],[current_price]])</f>
        <v>0</v>
      </c>
      <c r="X830" t="str">
        <f>IF(BBDD_fashion_boutique[[#This Row],[return_reason]]="","No return",BBDD_fashion_boutique[[#This Row],[return_reason]])</f>
        <v>Wrong Item</v>
      </c>
      <c r="Y830">
        <f>IF(IFERROR(VLOOKUP(BBDD_fashion_boutique[[#This Row],[product_id]],A831:A3006,1,FALSE),0),1,0)</f>
        <v>0</v>
      </c>
    </row>
    <row r="831" spans="1:25" x14ac:dyDescent="0.3">
      <c r="A831" t="s">
        <v>890</v>
      </c>
      <c r="B831" t="s">
        <v>32</v>
      </c>
      <c r="C831" t="s">
        <v>54</v>
      </c>
      <c r="D831" t="s">
        <v>28</v>
      </c>
      <c r="F831" t="str">
        <f>IF(BBDD_fashion_boutique[[#This Row],[category]]="Accessories","Accesorio",IF(BBDD_fashion_boutique[[#This Row],[size]]="","Desconocido",BBDD_fashion_boutique[[#This Row],[size]]))</f>
        <v>Accesorio</v>
      </c>
      <c r="G831" t="s">
        <v>33</v>
      </c>
      <c r="H831" s="2">
        <v>50.33</v>
      </c>
      <c r="I831">
        <v>8.6999999999999993</v>
      </c>
      <c r="J831" s="5">
        <f>BBDD_fashion_boutique[[#This Row],[markdown_percentage]]/100</f>
        <v>8.6999999999999994E-2</v>
      </c>
      <c r="K831" s="2">
        <v>45.95</v>
      </c>
      <c r="L831" s="2">
        <f>BBDD_fashion_boutique[[#This Row],[original_price]]-BBDD_fashion_boutique[[#This Row],[current_price]]</f>
        <v>4.3799999999999955</v>
      </c>
      <c r="M831" s="1">
        <v>45875</v>
      </c>
      <c r="N831" s="1" t="str">
        <f>PROPER(TEXT(BBDD_fashion_boutique[[#This Row],[purchase_date]],"dddd"))</f>
        <v>Miércoles</v>
      </c>
      <c r="O831" s="1" t="str">
        <f>PROPER(TEXT(BBDD_fashion_boutique[[#This Row],[purchase_date]],"mmmm"))</f>
        <v>Agosto</v>
      </c>
      <c r="P831" s="4">
        <v>14</v>
      </c>
      <c r="Q831" s="2">
        <v>1.3</v>
      </c>
      <c r="R831" t="str">
        <f>IF(BBDD_fashion_boutique[[#This Row],[stock_quantity]]&gt;9,"Ok",IF(BBDD_fashion_boutique[[#This Row],[stock_quantity]]=0,"Agotado","Pocas Unidades"))</f>
        <v>Ok</v>
      </c>
      <c r="S831" s="3">
        <f>IF(BBDD_fashion_boutique[[#This Row],[customer_rating]]="","No valorado",BBDD_fashion_boutique[[#This Row],[customer_rating]])</f>
        <v>1.3</v>
      </c>
      <c r="T831" t="s">
        <v>24</v>
      </c>
      <c r="V831">
        <f>IF(BBDD_fashion_boutique[[#This Row],[is_returned]]="False",0,1)</f>
        <v>0</v>
      </c>
      <c r="W831">
        <f>IF(BBDD_fashion_boutique[[#This Row],[is_returned]]="True",0,BBDD_fashion_boutique[[#This Row],[current_price]])</f>
        <v>45.95</v>
      </c>
      <c r="X831" t="str">
        <f>IF(BBDD_fashion_boutique[[#This Row],[return_reason]]="","No return",BBDD_fashion_boutique[[#This Row],[return_reason]])</f>
        <v>No return</v>
      </c>
      <c r="Y831">
        <f>IF(IFERROR(VLOOKUP(BBDD_fashion_boutique[[#This Row],[product_id]],A832:A3007,1,FALSE),0),1,0)</f>
        <v>0</v>
      </c>
    </row>
    <row r="832" spans="1:25" x14ac:dyDescent="0.3">
      <c r="A832" t="s">
        <v>891</v>
      </c>
      <c r="B832" t="s">
        <v>35</v>
      </c>
      <c r="C832" t="s">
        <v>27</v>
      </c>
      <c r="D832" t="s">
        <v>21</v>
      </c>
      <c r="F832" t="str">
        <f>IF(BBDD_fashion_boutique[[#This Row],[category]]="Accessories","Accesorio",IF(BBDD_fashion_boutique[[#This Row],[size]]="","Desconocido",BBDD_fashion_boutique[[#This Row],[size]]))</f>
        <v>Desconocido</v>
      </c>
      <c r="G832" t="s">
        <v>30</v>
      </c>
      <c r="H832" s="2">
        <v>60.38</v>
      </c>
      <c r="I832">
        <v>0</v>
      </c>
      <c r="J832" s="5">
        <f>BBDD_fashion_boutique[[#This Row],[markdown_percentage]]/100</f>
        <v>0</v>
      </c>
      <c r="K832" s="2">
        <v>60.38</v>
      </c>
      <c r="L832" s="2">
        <f>BBDD_fashion_boutique[[#This Row],[original_price]]-BBDD_fashion_boutique[[#This Row],[current_price]]</f>
        <v>0</v>
      </c>
      <c r="M832" s="1">
        <v>45776</v>
      </c>
      <c r="N832" s="1" t="str">
        <f>PROPER(TEXT(BBDD_fashion_boutique[[#This Row],[purchase_date]],"dddd"))</f>
        <v>Martes</v>
      </c>
      <c r="O832" s="1" t="str">
        <f>PROPER(TEXT(BBDD_fashion_boutique[[#This Row],[purchase_date]],"mmmm"))</f>
        <v>Abril</v>
      </c>
      <c r="P832" s="4">
        <v>0</v>
      </c>
      <c r="R832" t="str">
        <f>IF(BBDD_fashion_boutique[[#This Row],[stock_quantity]]&gt;9,"Ok",IF(BBDD_fashion_boutique[[#This Row],[stock_quantity]]=0,"Agotado","Pocas Unidades"))</f>
        <v>Agotado</v>
      </c>
      <c r="S832" s="3" t="str">
        <f>IF(BBDD_fashion_boutique[[#This Row],[customer_rating]]="","No valorado",BBDD_fashion_boutique[[#This Row],[customer_rating]])</f>
        <v>No valorado</v>
      </c>
      <c r="T832" t="s">
        <v>24</v>
      </c>
      <c r="V832">
        <f>IF(BBDD_fashion_boutique[[#This Row],[is_returned]]="False",0,1)</f>
        <v>0</v>
      </c>
      <c r="W832">
        <f>IF(BBDD_fashion_boutique[[#This Row],[is_returned]]="True",0,BBDD_fashion_boutique[[#This Row],[current_price]])</f>
        <v>60.38</v>
      </c>
      <c r="X832" t="str">
        <f>IF(BBDD_fashion_boutique[[#This Row],[return_reason]]="","No return",BBDD_fashion_boutique[[#This Row],[return_reason]])</f>
        <v>No return</v>
      </c>
      <c r="Y832">
        <f>IF(IFERROR(VLOOKUP(BBDD_fashion_boutique[[#This Row],[product_id]],A833:A3008,1,FALSE),0),1,0)</f>
        <v>0</v>
      </c>
    </row>
    <row r="833" spans="1:25" x14ac:dyDescent="0.3">
      <c r="A833" t="s">
        <v>892</v>
      </c>
      <c r="B833" t="s">
        <v>26</v>
      </c>
      <c r="C833" t="s">
        <v>27</v>
      </c>
      <c r="D833" t="s">
        <v>68</v>
      </c>
      <c r="E833" t="s">
        <v>55</v>
      </c>
      <c r="F833" t="str">
        <f>IF(BBDD_fashion_boutique[[#This Row],[category]]="Accessories","Accesorio",IF(BBDD_fashion_boutique[[#This Row],[size]]="","Desconocido",BBDD_fashion_boutique[[#This Row],[size]]))</f>
        <v>XXL</v>
      </c>
      <c r="G833" t="s">
        <v>33</v>
      </c>
      <c r="H833" s="2">
        <v>103.65</v>
      </c>
      <c r="I833">
        <v>0</v>
      </c>
      <c r="J833" s="5">
        <f>BBDD_fashion_boutique[[#This Row],[markdown_percentage]]/100</f>
        <v>0</v>
      </c>
      <c r="K833" s="2">
        <v>103.65</v>
      </c>
      <c r="L833" s="2">
        <f>BBDD_fashion_boutique[[#This Row],[original_price]]-BBDD_fashion_boutique[[#This Row],[current_price]]</f>
        <v>0</v>
      </c>
      <c r="M833" s="1">
        <v>45875</v>
      </c>
      <c r="N833" s="1" t="str">
        <f>PROPER(TEXT(BBDD_fashion_boutique[[#This Row],[purchase_date]],"dddd"))</f>
        <v>Miércoles</v>
      </c>
      <c r="O833" s="1" t="str">
        <f>PROPER(TEXT(BBDD_fashion_boutique[[#This Row],[purchase_date]],"mmmm"))</f>
        <v>Agosto</v>
      </c>
      <c r="P833" s="4">
        <v>29</v>
      </c>
      <c r="Q833" s="2">
        <v>3.7</v>
      </c>
      <c r="R833" t="str">
        <f>IF(BBDD_fashion_boutique[[#This Row],[stock_quantity]]&gt;9,"Ok",IF(BBDD_fashion_boutique[[#This Row],[stock_quantity]]=0,"Agotado","Pocas Unidades"))</f>
        <v>Ok</v>
      </c>
      <c r="S833" s="3">
        <f>IF(BBDD_fashion_boutique[[#This Row],[customer_rating]]="","No valorado",BBDD_fashion_boutique[[#This Row],[customer_rating]])</f>
        <v>3.7</v>
      </c>
      <c r="T833" t="s">
        <v>24</v>
      </c>
      <c r="V833">
        <f>IF(BBDD_fashion_boutique[[#This Row],[is_returned]]="False",0,1)</f>
        <v>0</v>
      </c>
      <c r="W833">
        <f>IF(BBDD_fashion_boutique[[#This Row],[is_returned]]="True",0,BBDD_fashion_boutique[[#This Row],[current_price]])</f>
        <v>103.65</v>
      </c>
      <c r="X833" t="str">
        <f>IF(BBDD_fashion_boutique[[#This Row],[return_reason]]="","No return",BBDD_fashion_boutique[[#This Row],[return_reason]])</f>
        <v>No return</v>
      </c>
      <c r="Y833">
        <f>IF(IFERROR(VLOOKUP(BBDD_fashion_boutique[[#This Row],[product_id]],A834:A3009,1,FALSE),0),1,0)</f>
        <v>0</v>
      </c>
    </row>
    <row r="834" spans="1:25" x14ac:dyDescent="0.3">
      <c r="A834" t="s">
        <v>893</v>
      </c>
      <c r="B834" t="s">
        <v>44</v>
      </c>
      <c r="C834" t="s">
        <v>67</v>
      </c>
      <c r="D834" t="s">
        <v>21</v>
      </c>
      <c r="E834" t="s">
        <v>29</v>
      </c>
      <c r="F834" t="str">
        <f>IF(BBDD_fashion_boutique[[#This Row],[category]]="Accessories","Accesorio",IF(BBDD_fashion_boutique[[#This Row],[size]]="","Desconocido",BBDD_fashion_boutique[[#This Row],[size]]))</f>
        <v>L</v>
      </c>
      <c r="G834" t="s">
        <v>62</v>
      </c>
      <c r="H834" s="2">
        <v>75.14</v>
      </c>
      <c r="I834">
        <v>0</v>
      </c>
      <c r="J834" s="5">
        <f>BBDD_fashion_boutique[[#This Row],[markdown_percentage]]/100</f>
        <v>0</v>
      </c>
      <c r="K834" s="2">
        <v>75.14</v>
      </c>
      <c r="L834" s="2">
        <f>BBDD_fashion_boutique[[#This Row],[original_price]]-BBDD_fashion_boutique[[#This Row],[current_price]]</f>
        <v>0</v>
      </c>
      <c r="M834" s="1">
        <v>45684</v>
      </c>
      <c r="N834" s="1" t="str">
        <f>PROPER(TEXT(BBDD_fashion_boutique[[#This Row],[purchase_date]],"dddd"))</f>
        <v>Lunes</v>
      </c>
      <c r="O834" s="1" t="str">
        <f>PROPER(TEXT(BBDD_fashion_boutique[[#This Row],[purchase_date]],"mmmm"))</f>
        <v>Enero</v>
      </c>
      <c r="P834" s="4">
        <v>41</v>
      </c>
      <c r="R834" t="str">
        <f>IF(BBDD_fashion_boutique[[#This Row],[stock_quantity]]&gt;9,"Ok",IF(BBDD_fashion_boutique[[#This Row],[stock_quantity]]=0,"Agotado","Pocas Unidades"))</f>
        <v>Ok</v>
      </c>
      <c r="S834" s="3" t="str">
        <f>IF(BBDD_fashion_boutique[[#This Row],[customer_rating]]="","No valorado",BBDD_fashion_boutique[[#This Row],[customer_rating]])</f>
        <v>No valorado</v>
      </c>
      <c r="T834" t="s">
        <v>41</v>
      </c>
      <c r="U834" t="s">
        <v>121</v>
      </c>
      <c r="V834">
        <f>IF(BBDD_fashion_boutique[[#This Row],[is_returned]]="False",0,1)</f>
        <v>1</v>
      </c>
      <c r="W834">
        <f>IF(BBDD_fashion_boutique[[#This Row],[is_returned]]="True",0,BBDD_fashion_boutique[[#This Row],[current_price]])</f>
        <v>0</v>
      </c>
      <c r="X834" t="str">
        <f>IF(BBDD_fashion_boutique[[#This Row],[return_reason]]="","No return",BBDD_fashion_boutique[[#This Row],[return_reason]])</f>
        <v>Changed Mind</v>
      </c>
      <c r="Y834">
        <f>IF(IFERROR(VLOOKUP(BBDD_fashion_boutique[[#This Row],[product_id]],A835:A3010,1,FALSE),0),1,0)</f>
        <v>0</v>
      </c>
    </row>
    <row r="835" spans="1:25" x14ac:dyDescent="0.3">
      <c r="A835" t="s">
        <v>894</v>
      </c>
      <c r="B835" t="s">
        <v>35</v>
      </c>
      <c r="C835" t="s">
        <v>54</v>
      </c>
      <c r="D835" t="s">
        <v>28</v>
      </c>
      <c r="E835" t="s">
        <v>45</v>
      </c>
      <c r="F835" t="str">
        <f>IF(BBDD_fashion_boutique[[#This Row],[category]]="Accessories","Accesorio",IF(BBDD_fashion_boutique[[#This Row],[size]]="","Desconocido",BBDD_fashion_boutique[[#This Row],[size]]))</f>
        <v>S</v>
      </c>
      <c r="G835" t="s">
        <v>30</v>
      </c>
      <c r="H835" s="2">
        <v>88</v>
      </c>
      <c r="I835">
        <v>0</v>
      </c>
      <c r="J835" s="5">
        <f>BBDD_fashion_boutique[[#This Row],[markdown_percentage]]/100</f>
        <v>0</v>
      </c>
      <c r="K835" s="2">
        <v>88</v>
      </c>
      <c r="L835" s="2">
        <f>BBDD_fashion_boutique[[#This Row],[original_price]]-BBDD_fashion_boutique[[#This Row],[current_price]]</f>
        <v>0</v>
      </c>
      <c r="M835" s="1">
        <v>45875</v>
      </c>
      <c r="N835" s="1" t="str">
        <f>PROPER(TEXT(BBDD_fashion_boutique[[#This Row],[purchase_date]],"dddd"))</f>
        <v>Miércoles</v>
      </c>
      <c r="O835" s="1" t="str">
        <f>PROPER(TEXT(BBDD_fashion_boutique[[#This Row],[purchase_date]],"mmmm"))</f>
        <v>Agosto</v>
      </c>
      <c r="P835" s="4">
        <v>2</v>
      </c>
      <c r="Q835" s="2">
        <v>1.9</v>
      </c>
      <c r="R835" t="str">
        <f>IF(BBDD_fashion_boutique[[#This Row],[stock_quantity]]&gt;9,"Ok",IF(BBDD_fashion_boutique[[#This Row],[stock_quantity]]=0,"Agotado","Pocas Unidades"))</f>
        <v>Pocas Unidades</v>
      </c>
      <c r="S835" s="3">
        <f>IF(BBDD_fashion_boutique[[#This Row],[customer_rating]]="","No valorado",BBDD_fashion_boutique[[#This Row],[customer_rating]])</f>
        <v>1.9</v>
      </c>
      <c r="T835" t="s">
        <v>24</v>
      </c>
      <c r="V835">
        <f>IF(BBDD_fashion_boutique[[#This Row],[is_returned]]="False",0,1)</f>
        <v>0</v>
      </c>
      <c r="W835">
        <f>IF(BBDD_fashion_boutique[[#This Row],[is_returned]]="True",0,BBDD_fashion_boutique[[#This Row],[current_price]])</f>
        <v>88</v>
      </c>
      <c r="X835" t="str">
        <f>IF(BBDD_fashion_boutique[[#This Row],[return_reason]]="","No return",BBDD_fashion_boutique[[#This Row],[return_reason]])</f>
        <v>No return</v>
      </c>
      <c r="Y835">
        <f>IF(IFERROR(VLOOKUP(BBDD_fashion_boutique[[#This Row],[product_id]],A836:A3011,1,FALSE),0),1,0)</f>
        <v>0</v>
      </c>
    </row>
    <row r="836" spans="1:25" x14ac:dyDescent="0.3">
      <c r="A836" t="s">
        <v>895</v>
      </c>
      <c r="B836" t="s">
        <v>48</v>
      </c>
      <c r="C836" t="s">
        <v>59</v>
      </c>
      <c r="D836" t="s">
        <v>28</v>
      </c>
      <c r="E836" t="s">
        <v>61</v>
      </c>
      <c r="F836" t="str">
        <f>IF(BBDD_fashion_boutique[[#This Row],[category]]="Accessories","Accesorio",IF(BBDD_fashion_boutique[[#This Row],[size]]="","Desconocido",BBDD_fashion_boutique[[#This Row],[size]]))</f>
        <v>XS</v>
      </c>
      <c r="G836" t="s">
        <v>23</v>
      </c>
      <c r="H836" s="2">
        <v>69.540000000000006</v>
      </c>
      <c r="I836">
        <v>0</v>
      </c>
      <c r="J836" s="5">
        <f>BBDD_fashion_boutique[[#This Row],[markdown_percentage]]/100</f>
        <v>0</v>
      </c>
      <c r="K836" s="2">
        <v>69.540000000000006</v>
      </c>
      <c r="L836" s="2">
        <f>BBDD_fashion_boutique[[#This Row],[original_price]]-BBDD_fashion_boutique[[#This Row],[current_price]]</f>
        <v>0</v>
      </c>
      <c r="M836" s="1">
        <v>45875</v>
      </c>
      <c r="N836" s="1" t="str">
        <f>PROPER(TEXT(BBDD_fashion_boutique[[#This Row],[purchase_date]],"dddd"))</f>
        <v>Miércoles</v>
      </c>
      <c r="O836" s="1" t="str">
        <f>PROPER(TEXT(BBDD_fashion_boutique[[#This Row],[purchase_date]],"mmmm"))</f>
        <v>Agosto</v>
      </c>
      <c r="P836" s="4">
        <v>21</v>
      </c>
      <c r="R836" t="str">
        <f>IF(BBDD_fashion_boutique[[#This Row],[stock_quantity]]&gt;9,"Ok",IF(BBDD_fashion_boutique[[#This Row],[stock_quantity]]=0,"Agotado","Pocas Unidades"))</f>
        <v>Ok</v>
      </c>
      <c r="S836" s="3" t="str">
        <f>IF(BBDD_fashion_boutique[[#This Row],[customer_rating]]="","No valorado",BBDD_fashion_boutique[[#This Row],[customer_rating]])</f>
        <v>No valorado</v>
      </c>
      <c r="T836" t="s">
        <v>24</v>
      </c>
      <c r="V836">
        <f>IF(BBDD_fashion_boutique[[#This Row],[is_returned]]="False",0,1)</f>
        <v>0</v>
      </c>
      <c r="W836">
        <f>IF(BBDD_fashion_boutique[[#This Row],[is_returned]]="True",0,BBDD_fashion_boutique[[#This Row],[current_price]])</f>
        <v>69.540000000000006</v>
      </c>
      <c r="X836" t="str">
        <f>IF(BBDD_fashion_boutique[[#This Row],[return_reason]]="","No return",BBDD_fashion_boutique[[#This Row],[return_reason]])</f>
        <v>No return</v>
      </c>
      <c r="Y836">
        <f>IF(IFERROR(VLOOKUP(BBDD_fashion_boutique[[#This Row],[product_id]],A837:A3012,1,FALSE),0),1,0)</f>
        <v>0</v>
      </c>
    </row>
    <row r="837" spans="1:25" x14ac:dyDescent="0.3">
      <c r="A837" t="s">
        <v>896</v>
      </c>
      <c r="B837" t="s">
        <v>19</v>
      </c>
      <c r="C837" t="s">
        <v>49</v>
      </c>
      <c r="D837" t="s">
        <v>28</v>
      </c>
      <c r="E837" t="s">
        <v>61</v>
      </c>
      <c r="F837" t="str">
        <f>IF(BBDD_fashion_boutique[[#This Row],[category]]="Accessories","Accesorio",IF(BBDD_fashion_boutique[[#This Row],[size]]="","Desconocido",BBDD_fashion_boutique[[#This Row],[size]]))</f>
        <v>XS</v>
      </c>
      <c r="G837" t="s">
        <v>30</v>
      </c>
      <c r="H837" s="2">
        <v>209.52</v>
      </c>
      <c r="I837">
        <v>0</v>
      </c>
      <c r="J837" s="5">
        <f>BBDD_fashion_boutique[[#This Row],[markdown_percentage]]/100</f>
        <v>0</v>
      </c>
      <c r="K837" s="2">
        <v>209.52</v>
      </c>
      <c r="L837" s="2">
        <f>BBDD_fashion_boutique[[#This Row],[original_price]]-BBDD_fashion_boutique[[#This Row],[current_price]]</f>
        <v>0</v>
      </c>
      <c r="M837" s="1">
        <v>45875</v>
      </c>
      <c r="N837" s="1" t="str">
        <f>PROPER(TEXT(BBDD_fashion_boutique[[#This Row],[purchase_date]],"dddd"))</f>
        <v>Miércoles</v>
      </c>
      <c r="O837" s="1" t="str">
        <f>PROPER(TEXT(BBDD_fashion_boutique[[#This Row],[purchase_date]],"mmmm"))</f>
        <v>Agosto</v>
      </c>
      <c r="P837" s="4">
        <v>48</v>
      </c>
      <c r="Q837" s="2">
        <v>2.6</v>
      </c>
      <c r="R837" t="str">
        <f>IF(BBDD_fashion_boutique[[#This Row],[stock_quantity]]&gt;9,"Ok",IF(BBDD_fashion_boutique[[#This Row],[stock_quantity]]=0,"Agotado","Pocas Unidades"))</f>
        <v>Ok</v>
      </c>
      <c r="S837" s="3">
        <f>IF(BBDD_fashion_boutique[[#This Row],[customer_rating]]="","No valorado",BBDD_fashion_boutique[[#This Row],[customer_rating]])</f>
        <v>2.6</v>
      </c>
      <c r="T837" t="s">
        <v>24</v>
      </c>
      <c r="V837">
        <f>IF(BBDD_fashion_boutique[[#This Row],[is_returned]]="False",0,1)</f>
        <v>0</v>
      </c>
      <c r="W837">
        <f>IF(BBDD_fashion_boutique[[#This Row],[is_returned]]="True",0,BBDD_fashion_boutique[[#This Row],[current_price]])</f>
        <v>209.52</v>
      </c>
      <c r="X837" t="str">
        <f>IF(BBDD_fashion_boutique[[#This Row],[return_reason]]="","No return",BBDD_fashion_boutique[[#This Row],[return_reason]])</f>
        <v>No return</v>
      </c>
      <c r="Y837">
        <f>IF(IFERROR(VLOOKUP(BBDD_fashion_boutique[[#This Row],[product_id]],A838:A3013,1,FALSE),0),1,0)</f>
        <v>0</v>
      </c>
    </row>
    <row r="838" spans="1:25" x14ac:dyDescent="0.3">
      <c r="A838" t="s">
        <v>897</v>
      </c>
      <c r="B838" t="s">
        <v>35</v>
      </c>
      <c r="C838" t="s">
        <v>54</v>
      </c>
      <c r="D838" t="s">
        <v>39</v>
      </c>
      <c r="E838" t="s">
        <v>55</v>
      </c>
      <c r="F838" t="str">
        <f>IF(BBDD_fashion_boutique[[#This Row],[category]]="Accessories","Accesorio",IF(BBDD_fashion_boutique[[#This Row],[size]]="","Desconocido",BBDD_fashion_boutique[[#This Row],[size]]))</f>
        <v>XXL</v>
      </c>
      <c r="G838" t="s">
        <v>62</v>
      </c>
      <c r="H838" s="2">
        <v>97.42</v>
      </c>
      <c r="I838">
        <v>0</v>
      </c>
      <c r="J838" s="5">
        <f>BBDD_fashion_boutique[[#This Row],[markdown_percentage]]/100</f>
        <v>0</v>
      </c>
      <c r="K838" s="2">
        <v>97.42</v>
      </c>
      <c r="L838" s="2">
        <f>BBDD_fashion_boutique[[#This Row],[original_price]]-BBDD_fashion_boutique[[#This Row],[current_price]]</f>
        <v>0</v>
      </c>
      <c r="M838" s="1">
        <v>45875</v>
      </c>
      <c r="N838" s="1" t="str">
        <f>PROPER(TEXT(BBDD_fashion_boutique[[#This Row],[purchase_date]],"dddd"))</f>
        <v>Miércoles</v>
      </c>
      <c r="O838" s="1" t="str">
        <f>PROPER(TEXT(BBDD_fashion_boutique[[#This Row],[purchase_date]],"mmmm"))</f>
        <v>Agosto</v>
      </c>
      <c r="P838" s="4">
        <v>35</v>
      </c>
      <c r="Q838" s="2">
        <v>2</v>
      </c>
      <c r="R838" t="str">
        <f>IF(BBDD_fashion_boutique[[#This Row],[stock_quantity]]&gt;9,"Ok",IF(BBDD_fashion_boutique[[#This Row],[stock_quantity]]=0,"Agotado","Pocas Unidades"))</f>
        <v>Ok</v>
      </c>
      <c r="S838" s="3">
        <f>IF(BBDD_fashion_boutique[[#This Row],[customer_rating]]="","No valorado",BBDD_fashion_boutique[[#This Row],[customer_rating]])</f>
        <v>2</v>
      </c>
      <c r="T838" t="s">
        <v>24</v>
      </c>
      <c r="V838">
        <f>IF(BBDD_fashion_boutique[[#This Row],[is_returned]]="False",0,1)</f>
        <v>0</v>
      </c>
      <c r="W838">
        <f>IF(BBDD_fashion_boutique[[#This Row],[is_returned]]="True",0,BBDD_fashion_boutique[[#This Row],[current_price]])</f>
        <v>97.42</v>
      </c>
      <c r="X838" t="str">
        <f>IF(BBDD_fashion_boutique[[#This Row],[return_reason]]="","No return",BBDD_fashion_boutique[[#This Row],[return_reason]])</f>
        <v>No return</v>
      </c>
      <c r="Y838">
        <f>IF(IFERROR(VLOOKUP(BBDD_fashion_boutique[[#This Row],[product_id]],A839:A3014,1,FALSE),0),1,0)</f>
        <v>0</v>
      </c>
    </row>
    <row r="839" spans="1:25" x14ac:dyDescent="0.3">
      <c r="A839" t="s">
        <v>898</v>
      </c>
      <c r="B839" t="s">
        <v>48</v>
      </c>
      <c r="C839" t="s">
        <v>27</v>
      </c>
      <c r="D839" t="s">
        <v>28</v>
      </c>
      <c r="E839" t="s">
        <v>61</v>
      </c>
      <c r="F839" t="str">
        <f>IF(BBDD_fashion_boutique[[#This Row],[category]]="Accessories","Accesorio",IF(BBDD_fashion_boutique[[#This Row],[size]]="","Desconocido",BBDD_fashion_boutique[[#This Row],[size]]))</f>
        <v>XS</v>
      </c>
      <c r="G839" t="s">
        <v>40</v>
      </c>
      <c r="H839" s="2">
        <v>154.6</v>
      </c>
      <c r="I839">
        <v>0</v>
      </c>
      <c r="J839" s="5">
        <f>BBDD_fashion_boutique[[#This Row],[markdown_percentage]]/100</f>
        <v>0</v>
      </c>
      <c r="K839" s="2">
        <v>154.6</v>
      </c>
      <c r="L839" s="2">
        <f>BBDD_fashion_boutique[[#This Row],[original_price]]-BBDD_fashion_boutique[[#This Row],[current_price]]</f>
        <v>0</v>
      </c>
      <c r="M839" s="1">
        <v>45875</v>
      </c>
      <c r="N839" s="1" t="str">
        <f>PROPER(TEXT(BBDD_fashion_boutique[[#This Row],[purchase_date]],"dddd"))</f>
        <v>Miércoles</v>
      </c>
      <c r="O839" s="1" t="str">
        <f>PROPER(TEXT(BBDD_fashion_boutique[[#This Row],[purchase_date]],"mmmm"))</f>
        <v>Agosto</v>
      </c>
      <c r="P839" s="4">
        <v>38</v>
      </c>
      <c r="Q839" s="2">
        <v>4.5</v>
      </c>
      <c r="R839" t="str">
        <f>IF(BBDD_fashion_boutique[[#This Row],[stock_quantity]]&gt;9,"Ok",IF(BBDD_fashion_boutique[[#This Row],[stock_quantity]]=0,"Agotado","Pocas Unidades"))</f>
        <v>Ok</v>
      </c>
      <c r="S839" s="3">
        <f>IF(BBDD_fashion_boutique[[#This Row],[customer_rating]]="","No valorado",BBDD_fashion_boutique[[#This Row],[customer_rating]])</f>
        <v>4.5</v>
      </c>
      <c r="T839" t="s">
        <v>41</v>
      </c>
      <c r="U839" t="s">
        <v>121</v>
      </c>
      <c r="V839">
        <f>IF(BBDD_fashion_boutique[[#This Row],[is_returned]]="False",0,1)</f>
        <v>1</v>
      </c>
      <c r="W839">
        <f>IF(BBDD_fashion_boutique[[#This Row],[is_returned]]="True",0,BBDD_fashion_boutique[[#This Row],[current_price]])</f>
        <v>0</v>
      </c>
      <c r="X839" t="str">
        <f>IF(BBDD_fashion_boutique[[#This Row],[return_reason]]="","No return",BBDD_fashion_boutique[[#This Row],[return_reason]])</f>
        <v>Changed Mind</v>
      </c>
      <c r="Y839">
        <f>IF(IFERROR(VLOOKUP(BBDD_fashion_boutique[[#This Row],[product_id]],A840:A3015,1,FALSE),0),1,0)</f>
        <v>0</v>
      </c>
    </row>
    <row r="840" spans="1:25" x14ac:dyDescent="0.3">
      <c r="A840" t="s">
        <v>899</v>
      </c>
      <c r="B840" t="s">
        <v>44</v>
      </c>
      <c r="C840" t="s">
        <v>20</v>
      </c>
      <c r="D840" t="s">
        <v>68</v>
      </c>
      <c r="E840" t="s">
        <v>22</v>
      </c>
      <c r="F840" t="str">
        <f>IF(BBDD_fashion_boutique[[#This Row],[category]]="Accessories","Accesorio",IF(BBDD_fashion_boutique[[#This Row],[size]]="","Desconocido",BBDD_fashion_boutique[[#This Row],[size]]))</f>
        <v>XL</v>
      </c>
      <c r="G840" t="s">
        <v>40</v>
      </c>
      <c r="H840" s="2">
        <v>81.59</v>
      </c>
      <c r="I840">
        <v>38</v>
      </c>
      <c r="J840" s="5">
        <f>BBDD_fashion_boutique[[#This Row],[markdown_percentage]]/100</f>
        <v>0.38</v>
      </c>
      <c r="K840" s="2">
        <v>50.59</v>
      </c>
      <c r="L840" s="2">
        <f>BBDD_fashion_boutique[[#This Row],[original_price]]-BBDD_fashion_boutique[[#This Row],[current_price]]</f>
        <v>31</v>
      </c>
      <c r="M840" s="1">
        <v>45875</v>
      </c>
      <c r="N840" s="1" t="str">
        <f>PROPER(TEXT(BBDD_fashion_boutique[[#This Row],[purchase_date]],"dddd"))</f>
        <v>Miércoles</v>
      </c>
      <c r="O840" s="1" t="str">
        <f>PROPER(TEXT(BBDD_fashion_boutique[[#This Row],[purchase_date]],"mmmm"))</f>
        <v>Agosto</v>
      </c>
      <c r="P840" s="4">
        <v>31</v>
      </c>
      <c r="Q840" s="2">
        <v>1.2</v>
      </c>
      <c r="R840" t="str">
        <f>IF(BBDD_fashion_boutique[[#This Row],[stock_quantity]]&gt;9,"Ok",IF(BBDD_fashion_boutique[[#This Row],[stock_quantity]]=0,"Agotado","Pocas Unidades"))</f>
        <v>Ok</v>
      </c>
      <c r="S840" s="3">
        <f>IF(BBDD_fashion_boutique[[#This Row],[customer_rating]]="","No valorado",BBDD_fashion_boutique[[#This Row],[customer_rating]])</f>
        <v>1.2</v>
      </c>
      <c r="T840" t="s">
        <v>24</v>
      </c>
      <c r="V840">
        <f>IF(BBDD_fashion_boutique[[#This Row],[is_returned]]="False",0,1)</f>
        <v>0</v>
      </c>
      <c r="W840">
        <f>IF(BBDD_fashion_boutique[[#This Row],[is_returned]]="True",0,BBDD_fashion_boutique[[#This Row],[current_price]])</f>
        <v>50.59</v>
      </c>
      <c r="X840" t="str">
        <f>IF(BBDD_fashion_boutique[[#This Row],[return_reason]]="","No return",BBDD_fashion_boutique[[#This Row],[return_reason]])</f>
        <v>No return</v>
      </c>
      <c r="Y840">
        <f>IF(IFERROR(VLOOKUP(BBDD_fashion_boutique[[#This Row],[product_id]],A841:A3016,1,FALSE),0),1,0)</f>
        <v>0</v>
      </c>
    </row>
    <row r="841" spans="1:25" x14ac:dyDescent="0.3">
      <c r="A841" t="s">
        <v>900</v>
      </c>
      <c r="B841" t="s">
        <v>32</v>
      </c>
      <c r="C841" t="s">
        <v>49</v>
      </c>
      <c r="D841" t="s">
        <v>28</v>
      </c>
      <c r="F841" t="str">
        <f>IF(BBDD_fashion_boutique[[#This Row],[category]]="Accessories","Accesorio",IF(BBDD_fashion_boutique[[#This Row],[size]]="","Desconocido",BBDD_fashion_boutique[[#This Row],[size]]))</f>
        <v>Accesorio</v>
      </c>
      <c r="G841" t="s">
        <v>76</v>
      </c>
      <c r="H841" s="2">
        <v>48.04</v>
      </c>
      <c r="I841">
        <v>0</v>
      </c>
      <c r="J841" s="5">
        <f>BBDD_fashion_boutique[[#This Row],[markdown_percentage]]/100</f>
        <v>0</v>
      </c>
      <c r="K841" s="2">
        <v>48.04</v>
      </c>
      <c r="L841" s="2">
        <f>BBDD_fashion_boutique[[#This Row],[original_price]]-BBDD_fashion_boutique[[#This Row],[current_price]]</f>
        <v>0</v>
      </c>
      <c r="M841" s="1">
        <v>45875</v>
      </c>
      <c r="N841" s="1" t="str">
        <f>PROPER(TEXT(BBDD_fashion_boutique[[#This Row],[purchase_date]],"dddd"))</f>
        <v>Miércoles</v>
      </c>
      <c r="O841" s="1" t="str">
        <f>PROPER(TEXT(BBDD_fashion_boutique[[#This Row],[purchase_date]],"mmmm"))</f>
        <v>Agosto</v>
      </c>
      <c r="P841" s="4">
        <v>46</v>
      </c>
      <c r="Q841" s="2">
        <v>4.8</v>
      </c>
      <c r="R841" t="str">
        <f>IF(BBDD_fashion_boutique[[#This Row],[stock_quantity]]&gt;9,"Ok",IF(BBDD_fashion_boutique[[#This Row],[stock_quantity]]=0,"Agotado","Pocas Unidades"))</f>
        <v>Ok</v>
      </c>
      <c r="S841" s="3">
        <f>IF(BBDD_fashion_boutique[[#This Row],[customer_rating]]="","No valorado",BBDD_fashion_boutique[[#This Row],[customer_rating]])</f>
        <v>4.8</v>
      </c>
      <c r="T841" t="s">
        <v>24</v>
      </c>
      <c r="V841">
        <f>IF(BBDD_fashion_boutique[[#This Row],[is_returned]]="False",0,1)</f>
        <v>0</v>
      </c>
      <c r="W841">
        <f>IF(BBDD_fashion_boutique[[#This Row],[is_returned]]="True",0,BBDD_fashion_boutique[[#This Row],[current_price]])</f>
        <v>48.04</v>
      </c>
      <c r="X841" t="str">
        <f>IF(BBDD_fashion_boutique[[#This Row],[return_reason]]="","No return",BBDD_fashion_boutique[[#This Row],[return_reason]])</f>
        <v>No return</v>
      </c>
      <c r="Y841">
        <f>IF(IFERROR(VLOOKUP(BBDD_fashion_boutique[[#This Row],[product_id]],A842:A3017,1,FALSE),0),1,0)</f>
        <v>0</v>
      </c>
    </row>
    <row r="842" spans="1:25" x14ac:dyDescent="0.3">
      <c r="A842" t="s">
        <v>901</v>
      </c>
      <c r="B842" t="s">
        <v>26</v>
      </c>
      <c r="C842" t="s">
        <v>37</v>
      </c>
      <c r="D842" t="s">
        <v>39</v>
      </c>
      <c r="E842" t="s">
        <v>45</v>
      </c>
      <c r="F842" t="str">
        <f>IF(BBDD_fashion_boutique[[#This Row],[category]]="Accessories","Accesorio",IF(BBDD_fashion_boutique[[#This Row],[size]]="","Desconocido",BBDD_fashion_boutique[[#This Row],[size]]))</f>
        <v>S</v>
      </c>
      <c r="G842" t="s">
        <v>52</v>
      </c>
      <c r="H842" s="2">
        <v>70.77</v>
      </c>
      <c r="I842">
        <v>0</v>
      </c>
      <c r="J842" s="5">
        <f>BBDD_fashion_boutique[[#This Row],[markdown_percentage]]/100</f>
        <v>0</v>
      </c>
      <c r="K842" s="2">
        <v>70.77</v>
      </c>
      <c r="L842" s="2">
        <f>BBDD_fashion_boutique[[#This Row],[original_price]]-BBDD_fashion_boutique[[#This Row],[current_price]]</f>
        <v>0</v>
      </c>
      <c r="M842" s="1">
        <v>45875</v>
      </c>
      <c r="N842" s="1" t="str">
        <f>PROPER(TEXT(BBDD_fashion_boutique[[#This Row],[purchase_date]],"dddd"))</f>
        <v>Miércoles</v>
      </c>
      <c r="O842" s="1" t="str">
        <f>PROPER(TEXT(BBDD_fashion_boutique[[#This Row],[purchase_date]],"mmmm"))</f>
        <v>Agosto</v>
      </c>
      <c r="P842" s="4">
        <v>5</v>
      </c>
      <c r="Q842" s="2">
        <v>3.7</v>
      </c>
      <c r="R842" t="str">
        <f>IF(BBDD_fashion_boutique[[#This Row],[stock_quantity]]&gt;9,"Ok",IF(BBDD_fashion_boutique[[#This Row],[stock_quantity]]=0,"Agotado","Pocas Unidades"))</f>
        <v>Pocas Unidades</v>
      </c>
      <c r="S842" s="3">
        <f>IF(BBDD_fashion_boutique[[#This Row],[customer_rating]]="","No valorado",BBDD_fashion_boutique[[#This Row],[customer_rating]])</f>
        <v>3.7</v>
      </c>
      <c r="T842" t="s">
        <v>24</v>
      </c>
      <c r="V842">
        <f>IF(BBDD_fashion_boutique[[#This Row],[is_returned]]="False",0,1)</f>
        <v>0</v>
      </c>
      <c r="W842">
        <f>IF(BBDD_fashion_boutique[[#This Row],[is_returned]]="True",0,BBDD_fashion_boutique[[#This Row],[current_price]])</f>
        <v>70.77</v>
      </c>
      <c r="X842" t="str">
        <f>IF(BBDD_fashion_boutique[[#This Row],[return_reason]]="","No return",BBDD_fashion_boutique[[#This Row],[return_reason]])</f>
        <v>No return</v>
      </c>
      <c r="Y842">
        <f>IF(IFERROR(VLOOKUP(BBDD_fashion_boutique[[#This Row],[product_id]],A843:A3018,1,FALSE),0),1,0)</f>
        <v>0</v>
      </c>
    </row>
    <row r="843" spans="1:25" x14ac:dyDescent="0.3">
      <c r="A843" t="s">
        <v>902</v>
      </c>
      <c r="B843" t="s">
        <v>19</v>
      </c>
      <c r="C843" t="s">
        <v>81</v>
      </c>
      <c r="D843" t="s">
        <v>39</v>
      </c>
      <c r="E843" t="s">
        <v>45</v>
      </c>
      <c r="F843" t="str">
        <f>IF(BBDD_fashion_boutique[[#This Row],[category]]="Accessories","Accesorio",IF(BBDD_fashion_boutique[[#This Row],[size]]="","Desconocido",BBDD_fashion_boutique[[#This Row],[size]]))</f>
        <v>S</v>
      </c>
      <c r="G843" t="s">
        <v>46</v>
      </c>
      <c r="H843" s="2">
        <v>103.49</v>
      </c>
      <c r="I843">
        <v>0</v>
      </c>
      <c r="J843" s="5">
        <f>BBDD_fashion_boutique[[#This Row],[markdown_percentage]]/100</f>
        <v>0</v>
      </c>
      <c r="K843" s="2">
        <v>103.49</v>
      </c>
      <c r="L843" s="2">
        <f>BBDD_fashion_boutique[[#This Row],[original_price]]-BBDD_fashion_boutique[[#This Row],[current_price]]</f>
        <v>0</v>
      </c>
      <c r="M843" s="1">
        <v>45875</v>
      </c>
      <c r="N843" s="1" t="str">
        <f>PROPER(TEXT(BBDD_fashion_boutique[[#This Row],[purchase_date]],"dddd"))</f>
        <v>Miércoles</v>
      </c>
      <c r="O843" s="1" t="str">
        <f>PROPER(TEXT(BBDD_fashion_boutique[[#This Row],[purchase_date]],"mmmm"))</f>
        <v>Agosto</v>
      </c>
      <c r="P843" s="4">
        <v>12</v>
      </c>
      <c r="Q843" s="2">
        <v>1.8</v>
      </c>
      <c r="R843" t="str">
        <f>IF(BBDD_fashion_boutique[[#This Row],[stock_quantity]]&gt;9,"Ok",IF(BBDD_fashion_boutique[[#This Row],[stock_quantity]]=0,"Agotado","Pocas Unidades"))</f>
        <v>Ok</v>
      </c>
      <c r="S843" s="3">
        <f>IF(BBDD_fashion_boutique[[#This Row],[customer_rating]]="","No valorado",BBDD_fashion_boutique[[#This Row],[customer_rating]])</f>
        <v>1.8</v>
      </c>
      <c r="T843" t="s">
        <v>24</v>
      </c>
      <c r="V843">
        <f>IF(BBDD_fashion_boutique[[#This Row],[is_returned]]="False",0,1)</f>
        <v>0</v>
      </c>
      <c r="W843">
        <f>IF(BBDD_fashion_boutique[[#This Row],[is_returned]]="True",0,BBDD_fashion_boutique[[#This Row],[current_price]])</f>
        <v>103.49</v>
      </c>
      <c r="X843" t="str">
        <f>IF(BBDD_fashion_boutique[[#This Row],[return_reason]]="","No return",BBDD_fashion_boutique[[#This Row],[return_reason]])</f>
        <v>No return</v>
      </c>
      <c r="Y843">
        <f>IF(IFERROR(VLOOKUP(BBDD_fashion_boutique[[#This Row],[product_id]],A844:A3019,1,FALSE),0),1,0)</f>
        <v>0</v>
      </c>
    </row>
    <row r="844" spans="1:25" x14ac:dyDescent="0.3">
      <c r="A844" t="s">
        <v>903</v>
      </c>
      <c r="B844" t="s">
        <v>19</v>
      </c>
      <c r="C844" t="s">
        <v>27</v>
      </c>
      <c r="D844" t="s">
        <v>21</v>
      </c>
      <c r="E844" t="s">
        <v>29</v>
      </c>
      <c r="F844" t="str">
        <f>IF(BBDD_fashion_boutique[[#This Row],[category]]="Accessories","Accesorio",IF(BBDD_fashion_boutique[[#This Row],[size]]="","Desconocido",BBDD_fashion_boutique[[#This Row],[size]]))</f>
        <v>L</v>
      </c>
      <c r="G844" t="s">
        <v>72</v>
      </c>
      <c r="H844" s="2">
        <v>138.88999999999999</v>
      </c>
      <c r="I844">
        <v>0</v>
      </c>
      <c r="J844" s="5">
        <f>BBDD_fashion_boutique[[#This Row],[markdown_percentage]]/100</f>
        <v>0</v>
      </c>
      <c r="K844" s="2">
        <v>138.88999999999999</v>
      </c>
      <c r="L844" s="2">
        <f>BBDD_fashion_boutique[[#This Row],[original_price]]-BBDD_fashion_boutique[[#This Row],[current_price]]</f>
        <v>0</v>
      </c>
      <c r="M844" s="1">
        <v>45687</v>
      </c>
      <c r="N844" s="1" t="str">
        <f>PROPER(TEXT(BBDD_fashion_boutique[[#This Row],[purchase_date]],"dddd"))</f>
        <v>Jueves</v>
      </c>
      <c r="O844" s="1" t="str">
        <f>PROPER(TEXT(BBDD_fashion_boutique[[#This Row],[purchase_date]],"mmmm"))</f>
        <v>Enero</v>
      </c>
      <c r="P844" s="4">
        <v>10</v>
      </c>
      <c r="R844" t="str">
        <f>IF(BBDD_fashion_boutique[[#This Row],[stock_quantity]]&gt;9,"Ok",IF(BBDD_fashion_boutique[[#This Row],[stock_quantity]]=0,"Agotado","Pocas Unidades"))</f>
        <v>Ok</v>
      </c>
      <c r="S844" s="3" t="str">
        <f>IF(BBDD_fashion_boutique[[#This Row],[customer_rating]]="","No valorado",BBDD_fashion_boutique[[#This Row],[customer_rating]])</f>
        <v>No valorado</v>
      </c>
      <c r="T844" t="s">
        <v>24</v>
      </c>
      <c r="V844">
        <f>IF(BBDD_fashion_boutique[[#This Row],[is_returned]]="False",0,1)</f>
        <v>0</v>
      </c>
      <c r="W844">
        <f>IF(BBDD_fashion_boutique[[#This Row],[is_returned]]="True",0,BBDD_fashion_boutique[[#This Row],[current_price]])</f>
        <v>138.88999999999999</v>
      </c>
      <c r="X844" t="str">
        <f>IF(BBDD_fashion_boutique[[#This Row],[return_reason]]="","No return",BBDD_fashion_boutique[[#This Row],[return_reason]])</f>
        <v>No return</v>
      </c>
      <c r="Y844">
        <f>IF(IFERROR(VLOOKUP(BBDD_fashion_boutique[[#This Row],[product_id]],A845:A3020,1,FALSE),0),1,0)</f>
        <v>0</v>
      </c>
    </row>
    <row r="845" spans="1:25" x14ac:dyDescent="0.3">
      <c r="A845" t="s">
        <v>904</v>
      </c>
      <c r="B845" t="s">
        <v>32</v>
      </c>
      <c r="C845" t="s">
        <v>54</v>
      </c>
      <c r="D845" t="s">
        <v>28</v>
      </c>
      <c r="F845" t="str">
        <f>IF(BBDD_fashion_boutique[[#This Row],[category]]="Accessories","Accesorio",IF(BBDD_fashion_boutique[[#This Row],[size]]="","Desconocido",BBDD_fashion_boutique[[#This Row],[size]]))</f>
        <v>Accesorio</v>
      </c>
      <c r="G845" t="s">
        <v>52</v>
      </c>
      <c r="H845" s="2">
        <v>73.510000000000005</v>
      </c>
      <c r="I845">
        <v>32.200000000000003</v>
      </c>
      <c r="J845" s="5">
        <f>BBDD_fashion_boutique[[#This Row],[markdown_percentage]]/100</f>
        <v>0.32200000000000001</v>
      </c>
      <c r="K845" s="2">
        <v>49.84</v>
      </c>
      <c r="L845" s="2">
        <f>BBDD_fashion_boutique[[#This Row],[original_price]]-BBDD_fashion_boutique[[#This Row],[current_price]]</f>
        <v>23.67</v>
      </c>
      <c r="M845" s="1">
        <v>45875</v>
      </c>
      <c r="N845" s="1" t="str">
        <f>PROPER(TEXT(BBDD_fashion_boutique[[#This Row],[purchase_date]],"dddd"))</f>
        <v>Miércoles</v>
      </c>
      <c r="O845" s="1" t="str">
        <f>PROPER(TEXT(BBDD_fashion_boutique[[#This Row],[purchase_date]],"mmmm"))</f>
        <v>Agosto</v>
      </c>
      <c r="P845" s="4">
        <v>17</v>
      </c>
      <c r="R845" t="str">
        <f>IF(BBDD_fashion_boutique[[#This Row],[stock_quantity]]&gt;9,"Ok",IF(BBDD_fashion_boutique[[#This Row],[stock_quantity]]=0,"Agotado","Pocas Unidades"))</f>
        <v>Ok</v>
      </c>
      <c r="S845" s="3" t="str">
        <f>IF(BBDD_fashion_boutique[[#This Row],[customer_rating]]="","No valorado",BBDD_fashion_boutique[[#This Row],[customer_rating]])</f>
        <v>No valorado</v>
      </c>
      <c r="T845" t="s">
        <v>41</v>
      </c>
      <c r="U845" t="s">
        <v>131</v>
      </c>
      <c r="V845">
        <f>IF(BBDD_fashion_boutique[[#This Row],[is_returned]]="False",0,1)</f>
        <v>1</v>
      </c>
      <c r="W845">
        <f>IF(BBDD_fashion_boutique[[#This Row],[is_returned]]="True",0,BBDD_fashion_boutique[[#This Row],[current_price]])</f>
        <v>0</v>
      </c>
      <c r="X845" t="str">
        <f>IF(BBDD_fashion_boutique[[#This Row],[return_reason]]="","No return",BBDD_fashion_boutique[[#This Row],[return_reason]])</f>
        <v>Wrong Item</v>
      </c>
      <c r="Y845">
        <f>IF(IFERROR(VLOOKUP(BBDD_fashion_boutique[[#This Row],[product_id]],A846:A3021,1,FALSE),0),1,0)</f>
        <v>0</v>
      </c>
    </row>
    <row r="846" spans="1:25" x14ac:dyDescent="0.3">
      <c r="A846" t="s">
        <v>905</v>
      </c>
      <c r="B846" t="s">
        <v>44</v>
      </c>
      <c r="C846" t="s">
        <v>20</v>
      </c>
      <c r="D846" t="s">
        <v>21</v>
      </c>
      <c r="E846" t="s">
        <v>64</v>
      </c>
      <c r="F846" t="str">
        <f>IF(BBDD_fashion_boutique[[#This Row],[category]]="Accessories","Accesorio",IF(BBDD_fashion_boutique[[#This Row],[size]]="","Desconocido",BBDD_fashion_boutique[[#This Row],[size]]))</f>
        <v>M</v>
      </c>
      <c r="G846" t="s">
        <v>72</v>
      </c>
      <c r="H846" s="2">
        <v>82.37</v>
      </c>
      <c r="I846">
        <v>0</v>
      </c>
      <c r="J846" s="5">
        <f>BBDD_fashion_boutique[[#This Row],[markdown_percentage]]/100</f>
        <v>0</v>
      </c>
      <c r="K846" s="2">
        <v>82.37</v>
      </c>
      <c r="L846" s="2">
        <f>BBDD_fashion_boutique[[#This Row],[original_price]]-BBDD_fashion_boutique[[#This Row],[current_price]]</f>
        <v>0</v>
      </c>
      <c r="M846" s="1">
        <v>45812</v>
      </c>
      <c r="N846" s="1" t="str">
        <f>PROPER(TEXT(BBDD_fashion_boutique[[#This Row],[purchase_date]],"dddd"))</f>
        <v>Miércoles</v>
      </c>
      <c r="O846" s="1" t="str">
        <f>PROPER(TEXT(BBDD_fashion_boutique[[#This Row],[purchase_date]],"mmmm"))</f>
        <v>Junio</v>
      </c>
      <c r="P846" s="4">
        <v>49</v>
      </c>
      <c r="Q846" s="2">
        <v>3.3</v>
      </c>
      <c r="R846" t="str">
        <f>IF(BBDD_fashion_boutique[[#This Row],[stock_quantity]]&gt;9,"Ok",IF(BBDD_fashion_boutique[[#This Row],[stock_quantity]]=0,"Agotado","Pocas Unidades"))</f>
        <v>Ok</v>
      </c>
      <c r="S846" s="3">
        <f>IF(BBDD_fashion_boutique[[#This Row],[customer_rating]]="","No valorado",BBDD_fashion_boutique[[#This Row],[customer_rating]])</f>
        <v>3.3</v>
      </c>
      <c r="T846" t="s">
        <v>24</v>
      </c>
      <c r="V846">
        <f>IF(BBDD_fashion_boutique[[#This Row],[is_returned]]="False",0,1)</f>
        <v>0</v>
      </c>
      <c r="W846">
        <f>IF(BBDD_fashion_boutique[[#This Row],[is_returned]]="True",0,BBDD_fashion_boutique[[#This Row],[current_price]])</f>
        <v>82.37</v>
      </c>
      <c r="X846" t="str">
        <f>IF(BBDD_fashion_boutique[[#This Row],[return_reason]]="","No return",BBDD_fashion_boutique[[#This Row],[return_reason]])</f>
        <v>No return</v>
      </c>
      <c r="Y846">
        <f>IF(IFERROR(VLOOKUP(BBDD_fashion_boutique[[#This Row],[product_id]],A847:A3022,1,FALSE),0),1,0)</f>
        <v>0</v>
      </c>
    </row>
    <row r="847" spans="1:25" x14ac:dyDescent="0.3">
      <c r="A847" t="s">
        <v>906</v>
      </c>
      <c r="B847" t="s">
        <v>48</v>
      </c>
      <c r="C847" t="s">
        <v>59</v>
      </c>
      <c r="D847" t="s">
        <v>68</v>
      </c>
      <c r="E847" t="s">
        <v>61</v>
      </c>
      <c r="F847" t="str">
        <f>IF(BBDD_fashion_boutique[[#This Row],[category]]="Accessories","Accesorio",IF(BBDD_fashion_boutique[[#This Row],[size]]="","Desconocido",BBDD_fashion_boutique[[#This Row],[size]]))</f>
        <v>XS</v>
      </c>
      <c r="G847" t="s">
        <v>70</v>
      </c>
      <c r="H847" s="2">
        <v>81.709999999999994</v>
      </c>
      <c r="I847">
        <v>18</v>
      </c>
      <c r="J847" s="5">
        <f>BBDD_fashion_boutique[[#This Row],[markdown_percentage]]/100</f>
        <v>0.18</v>
      </c>
      <c r="K847" s="2">
        <v>67</v>
      </c>
      <c r="L847" s="2">
        <f>BBDD_fashion_boutique[[#This Row],[original_price]]-BBDD_fashion_boutique[[#This Row],[current_price]]</f>
        <v>14.709999999999994</v>
      </c>
      <c r="M847" s="1">
        <v>45875</v>
      </c>
      <c r="N847" s="1" t="str">
        <f>PROPER(TEXT(BBDD_fashion_boutique[[#This Row],[purchase_date]],"dddd"))</f>
        <v>Miércoles</v>
      </c>
      <c r="O847" s="1" t="str">
        <f>PROPER(TEXT(BBDD_fashion_boutique[[#This Row],[purchase_date]],"mmmm"))</f>
        <v>Agosto</v>
      </c>
      <c r="P847" s="4">
        <v>28</v>
      </c>
      <c r="Q847" s="2">
        <v>4.7</v>
      </c>
      <c r="R847" t="str">
        <f>IF(BBDD_fashion_boutique[[#This Row],[stock_quantity]]&gt;9,"Ok",IF(BBDD_fashion_boutique[[#This Row],[stock_quantity]]=0,"Agotado","Pocas Unidades"))</f>
        <v>Ok</v>
      </c>
      <c r="S847" s="3">
        <f>IF(BBDD_fashion_boutique[[#This Row],[customer_rating]]="","No valorado",BBDD_fashion_boutique[[#This Row],[customer_rating]])</f>
        <v>4.7</v>
      </c>
      <c r="T847" t="s">
        <v>24</v>
      </c>
      <c r="V847">
        <f>IF(BBDD_fashion_boutique[[#This Row],[is_returned]]="False",0,1)</f>
        <v>0</v>
      </c>
      <c r="W847">
        <f>IF(BBDD_fashion_boutique[[#This Row],[is_returned]]="True",0,BBDD_fashion_boutique[[#This Row],[current_price]])</f>
        <v>67</v>
      </c>
      <c r="X847" t="str">
        <f>IF(BBDD_fashion_boutique[[#This Row],[return_reason]]="","No return",BBDD_fashion_boutique[[#This Row],[return_reason]])</f>
        <v>No return</v>
      </c>
      <c r="Y847">
        <f>IF(IFERROR(VLOOKUP(BBDD_fashion_boutique[[#This Row],[product_id]],A848:A3023,1,FALSE),0),1,0)</f>
        <v>0</v>
      </c>
    </row>
    <row r="848" spans="1:25" x14ac:dyDescent="0.3">
      <c r="A848" t="s">
        <v>907</v>
      </c>
      <c r="B848" t="s">
        <v>48</v>
      </c>
      <c r="C848" t="s">
        <v>37</v>
      </c>
      <c r="D848" t="s">
        <v>28</v>
      </c>
      <c r="E848" t="s">
        <v>55</v>
      </c>
      <c r="F848" t="str">
        <f>IF(BBDD_fashion_boutique[[#This Row],[category]]="Accessories","Accesorio",IF(BBDD_fashion_boutique[[#This Row],[size]]="","Desconocido",BBDD_fashion_boutique[[#This Row],[size]]))</f>
        <v>XXL</v>
      </c>
      <c r="G848" t="s">
        <v>70</v>
      </c>
      <c r="H848" s="2">
        <v>107.02</v>
      </c>
      <c r="I848">
        <v>10.6</v>
      </c>
      <c r="J848" s="5">
        <f>BBDD_fashion_boutique[[#This Row],[markdown_percentage]]/100</f>
        <v>0.106</v>
      </c>
      <c r="K848" s="2">
        <v>95.68</v>
      </c>
      <c r="L848" s="2">
        <f>BBDD_fashion_boutique[[#This Row],[original_price]]-BBDD_fashion_boutique[[#This Row],[current_price]]</f>
        <v>11.339999999999989</v>
      </c>
      <c r="M848" s="1">
        <v>45875</v>
      </c>
      <c r="N848" s="1" t="str">
        <f>PROPER(TEXT(BBDD_fashion_boutique[[#This Row],[purchase_date]],"dddd"))</f>
        <v>Miércoles</v>
      </c>
      <c r="O848" s="1" t="str">
        <f>PROPER(TEXT(BBDD_fashion_boutique[[#This Row],[purchase_date]],"mmmm"))</f>
        <v>Agosto</v>
      </c>
      <c r="P848" s="4">
        <v>6</v>
      </c>
      <c r="R848" t="str">
        <f>IF(BBDD_fashion_boutique[[#This Row],[stock_quantity]]&gt;9,"Ok",IF(BBDD_fashion_boutique[[#This Row],[stock_quantity]]=0,"Agotado","Pocas Unidades"))</f>
        <v>Pocas Unidades</v>
      </c>
      <c r="S848" s="3" t="str">
        <f>IF(BBDD_fashion_boutique[[#This Row],[customer_rating]]="","No valorado",BBDD_fashion_boutique[[#This Row],[customer_rating]])</f>
        <v>No valorado</v>
      </c>
      <c r="T848" t="s">
        <v>24</v>
      </c>
      <c r="V848">
        <f>IF(BBDD_fashion_boutique[[#This Row],[is_returned]]="False",0,1)</f>
        <v>0</v>
      </c>
      <c r="W848">
        <f>IF(BBDD_fashion_boutique[[#This Row],[is_returned]]="True",0,BBDD_fashion_boutique[[#This Row],[current_price]])</f>
        <v>95.68</v>
      </c>
      <c r="X848" t="str">
        <f>IF(BBDD_fashion_boutique[[#This Row],[return_reason]]="","No return",BBDD_fashion_boutique[[#This Row],[return_reason]])</f>
        <v>No return</v>
      </c>
      <c r="Y848">
        <f>IF(IFERROR(VLOOKUP(BBDD_fashion_boutique[[#This Row],[product_id]],A849:A3024,1,FALSE),0),1,0)</f>
        <v>0</v>
      </c>
    </row>
    <row r="849" spans="1:25" x14ac:dyDescent="0.3">
      <c r="A849" t="s">
        <v>908</v>
      </c>
      <c r="B849" t="s">
        <v>44</v>
      </c>
      <c r="C849" t="s">
        <v>54</v>
      </c>
      <c r="D849" t="s">
        <v>68</v>
      </c>
      <c r="E849" t="s">
        <v>22</v>
      </c>
      <c r="F849" t="str">
        <f>IF(BBDD_fashion_boutique[[#This Row],[category]]="Accessories","Accesorio",IF(BBDD_fashion_boutique[[#This Row],[size]]="","Desconocido",BBDD_fashion_boutique[[#This Row],[size]]))</f>
        <v>XL</v>
      </c>
      <c r="G849" t="s">
        <v>30</v>
      </c>
      <c r="H849" s="2">
        <v>103.23</v>
      </c>
      <c r="I849">
        <v>18.7</v>
      </c>
      <c r="J849" s="5">
        <f>BBDD_fashion_boutique[[#This Row],[markdown_percentage]]/100</f>
        <v>0.187</v>
      </c>
      <c r="K849" s="2">
        <v>83.93</v>
      </c>
      <c r="L849" s="2">
        <f>BBDD_fashion_boutique[[#This Row],[original_price]]-BBDD_fashion_boutique[[#This Row],[current_price]]</f>
        <v>19.299999999999997</v>
      </c>
      <c r="M849" s="1">
        <v>45875</v>
      </c>
      <c r="N849" s="1" t="str">
        <f>PROPER(TEXT(BBDD_fashion_boutique[[#This Row],[purchase_date]],"dddd"))</f>
        <v>Miércoles</v>
      </c>
      <c r="O849" s="1" t="str">
        <f>PROPER(TEXT(BBDD_fashion_boutique[[#This Row],[purchase_date]],"mmmm"))</f>
        <v>Agosto</v>
      </c>
      <c r="P849" s="4">
        <v>6</v>
      </c>
      <c r="Q849" s="2">
        <v>4</v>
      </c>
      <c r="R849" t="str">
        <f>IF(BBDD_fashion_boutique[[#This Row],[stock_quantity]]&gt;9,"Ok",IF(BBDD_fashion_boutique[[#This Row],[stock_quantity]]=0,"Agotado","Pocas Unidades"))</f>
        <v>Pocas Unidades</v>
      </c>
      <c r="S849" s="3">
        <f>IF(BBDD_fashion_boutique[[#This Row],[customer_rating]]="","No valorado",BBDD_fashion_boutique[[#This Row],[customer_rating]])</f>
        <v>4</v>
      </c>
      <c r="T849" t="s">
        <v>24</v>
      </c>
      <c r="V849">
        <f>IF(BBDD_fashion_boutique[[#This Row],[is_returned]]="False",0,1)</f>
        <v>0</v>
      </c>
      <c r="W849">
        <f>IF(BBDD_fashion_boutique[[#This Row],[is_returned]]="True",0,BBDD_fashion_boutique[[#This Row],[current_price]])</f>
        <v>83.93</v>
      </c>
      <c r="X849" t="str">
        <f>IF(BBDD_fashion_boutique[[#This Row],[return_reason]]="","No return",BBDD_fashion_boutique[[#This Row],[return_reason]])</f>
        <v>No return</v>
      </c>
      <c r="Y849">
        <f>IF(IFERROR(VLOOKUP(BBDD_fashion_boutique[[#This Row],[product_id]],A850:A3025,1,FALSE),0),1,0)</f>
        <v>0</v>
      </c>
    </row>
    <row r="850" spans="1:25" x14ac:dyDescent="0.3">
      <c r="A850" t="s">
        <v>909</v>
      </c>
      <c r="B850" t="s">
        <v>26</v>
      </c>
      <c r="C850" t="s">
        <v>67</v>
      </c>
      <c r="D850" t="s">
        <v>39</v>
      </c>
      <c r="E850" t="s">
        <v>29</v>
      </c>
      <c r="F850" t="str">
        <f>IF(BBDD_fashion_boutique[[#This Row],[category]]="Accessories","Accesorio",IF(BBDD_fashion_boutique[[#This Row],[size]]="","Desconocido",BBDD_fashion_boutique[[#This Row],[size]]))</f>
        <v>L</v>
      </c>
      <c r="G850" t="s">
        <v>50</v>
      </c>
      <c r="H850" s="2">
        <v>100.48</v>
      </c>
      <c r="I850">
        <v>17.600000000000001</v>
      </c>
      <c r="J850" s="5">
        <f>BBDD_fashion_boutique[[#This Row],[markdown_percentage]]/100</f>
        <v>0.17600000000000002</v>
      </c>
      <c r="K850" s="2">
        <v>82.8</v>
      </c>
      <c r="L850" s="2">
        <f>BBDD_fashion_boutique[[#This Row],[original_price]]-BBDD_fashion_boutique[[#This Row],[current_price]]</f>
        <v>17.680000000000007</v>
      </c>
      <c r="M850" s="1">
        <v>45875</v>
      </c>
      <c r="N850" s="1" t="str">
        <f>PROPER(TEXT(BBDD_fashion_boutique[[#This Row],[purchase_date]],"dddd"))</f>
        <v>Miércoles</v>
      </c>
      <c r="O850" s="1" t="str">
        <f>PROPER(TEXT(BBDD_fashion_boutique[[#This Row],[purchase_date]],"mmmm"))</f>
        <v>Agosto</v>
      </c>
      <c r="P850" s="4">
        <v>19</v>
      </c>
      <c r="R850" t="str">
        <f>IF(BBDD_fashion_boutique[[#This Row],[stock_quantity]]&gt;9,"Ok",IF(BBDD_fashion_boutique[[#This Row],[stock_quantity]]=0,"Agotado","Pocas Unidades"))</f>
        <v>Ok</v>
      </c>
      <c r="S850" s="3" t="str">
        <f>IF(BBDD_fashion_boutique[[#This Row],[customer_rating]]="","No valorado",BBDD_fashion_boutique[[#This Row],[customer_rating]])</f>
        <v>No valorado</v>
      </c>
      <c r="T850" t="s">
        <v>24</v>
      </c>
      <c r="V850">
        <f>IF(BBDD_fashion_boutique[[#This Row],[is_returned]]="False",0,1)</f>
        <v>0</v>
      </c>
      <c r="W850">
        <f>IF(BBDD_fashion_boutique[[#This Row],[is_returned]]="True",0,BBDD_fashion_boutique[[#This Row],[current_price]])</f>
        <v>82.8</v>
      </c>
      <c r="X850" t="str">
        <f>IF(BBDD_fashion_boutique[[#This Row],[return_reason]]="","No return",BBDD_fashion_boutique[[#This Row],[return_reason]])</f>
        <v>No return</v>
      </c>
      <c r="Y850">
        <f>IF(IFERROR(VLOOKUP(BBDD_fashion_boutique[[#This Row],[product_id]],A851:A3026,1,FALSE),0),1,0)</f>
        <v>0</v>
      </c>
    </row>
    <row r="851" spans="1:25" x14ac:dyDescent="0.3">
      <c r="A851" t="s">
        <v>910</v>
      </c>
      <c r="B851" t="s">
        <v>35</v>
      </c>
      <c r="C851" t="s">
        <v>59</v>
      </c>
      <c r="D851" t="s">
        <v>28</v>
      </c>
      <c r="E851" t="s">
        <v>22</v>
      </c>
      <c r="F851" t="str">
        <f>IF(BBDD_fashion_boutique[[#This Row],[category]]="Accessories","Accesorio",IF(BBDD_fashion_boutique[[#This Row],[size]]="","Desconocido",BBDD_fashion_boutique[[#This Row],[size]]))</f>
        <v>XL</v>
      </c>
      <c r="G851" t="s">
        <v>40</v>
      </c>
      <c r="H851" s="2">
        <v>160.87</v>
      </c>
      <c r="I851">
        <v>53.7</v>
      </c>
      <c r="J851" s="5">
        <f>BBDD_fashion_boutique[[#This Row],[markdown_percentage]]/100</f>
        <v>0.53700000000000003</v>
      </c>
      <c r="K851" s="2">
        <v>74.48</v>
      </c>
      <c r="L851" s="2">
        <f>BBDD_fashion_boutique[[#This Row],[original_price]]-BBDD_fashion_boutique[[#This Row],[current_price]]</f>
        <v>86.39</v>
      </c>
      <c r="M851" s="1">
        <v>45875</v>
      </c>
      <c r="N851" s="1" t="str">
        <f>PROPER(TEXT(BBDD_fashion_boutique[[#This Row],[purchase_date]],"dddd"))</f>
        <v>Miércoles</v>
      </c>
      <c r="O851" s="1" t="str">
        <f>PROPER(TEXT(BBDD_fashion_boutique[[#This Row],[purchase_date]],"mmmm"))</f>
        <v>Agosto</v>
      </c>
      <c r="P851" s="4">
        <v>18</v>
      </c>
      <c r="R851" t="str">
        <f>IF(BBDD_fashion_boutique[[#This Row],[stock_quantity]]&gt;9,"Ok",IF(BBDD_fashion_boutique[[#This Row],[stock_quantity]]=0,"Agotado","Pocas Unidades"))</f>
        <v>Ok</v>
      </c>
      <c r="S851" s="3" t="str">
        <f>IF(BBDD_fashion_boutique[[#This Row],[customer_rating]]="","No valorado",BBDD_fashion_boutique[[#This Row],[customer_rating]])</f>
        <v>No valorado</v>
      </c>
      <c r="T851" t="s">
        <v>24</v>
      </c>
      <c r="V851">
        <f>IF(BBDD_fashion_boutique[[#This Row],[is_returned]]="False",0,1)</f>
        <v>0</v>
      </c>
      <c r="W851">
        <f>IF(BBDD_fashion_boutique[[#This Row],[is_returned]]="True",0,BBDD_fashion_boutique[[#This Row],[current_price]])</f>
        <v>74.48</v>
      </c>
      <c r="X851" t="str">
        <f>IF(BBDD_fashion_boutique[[#This Row],[return_reason]]="","No return",BBDD_fashion_boutique[[#This Row],[return_reason]])</f>
        <v>No return</v>
      </c>
      <c r="Y851">
        <f>IF(IFERROR(VLOOKUP(BBDD_fashion_boutique[[#This Row],[product_id]],A852:A3027,1,FALSE),0),1,0)</f>
        <v>0</v>
      </c>
    </row>
    <row r="852" spans="1:25" x14ac:dyDescent="0.3">
      <c r="A852" t="s">
        <v>911</v>
      </c>
      <c r="B852" t="s">
        <v>32</v>
      </c>
      <c r="C852" t="s">
        <v>49</v>
      </c>
      <c r="D852" t="s">
        <v>39</v>
      </c>
      <c r="F852" t="str">
        <f>IF(BBDD_fashion_boutique[[#This Row],[category]]="Accessories","Accesorio",IF(BBDD_fashion_boutique[[#This Row],[size]]="","Desconocido",BBDD_fashion_boutique[[#This Row],[size]]))</f>
        <v>Accesorio</v>
      </c>
      <c r="G852" t="s">
        <v>40</v>
      </c>
      <c r="H852" s="2">
        <v>78.39</v>
      </c>
      <c r="I852">
        <v>0</v>
      </c>
      <c r="J852" s="5">
        <f>BBDD_fashion_boutique[[#This Row],[markdown_percentage]]/100</f>
        <v>0</v>
      </c>
      <c r="K852" s="2">
        <v>78.39</v>
      </c>
      <c r="L852" s="2">
        <f>BBDD_fashion_boutique[[#This Row],[original_price]]-BBDD_fashion_boutique[[#This Row],[current_price]]</f>
        <v>0</v>
      </c>
      <c r="M852" s="1">
        <v>45875</v>
      </c>
      <c r="N852" s="1" t="str">
        <f>PROPER(TEXT(BBDD_fashion_boutique[[#This Row],[purchase_date]],"dddd"))</f>
        <v>Miércoles</v>
      </c>
      <c r="O852" s="1" t="str">
        <f>PROPER(TEXT(BBDD_fashion_boutique[[#This Row],[purchase_date]],"mmmm"))</f>
        <v>Agosto</v>
      </c>
      <c r="P852" s="4">
        <v>7</v>
      </c>
      <c r="Q852" s="2">
        <v>4.2</v>
      </c>
      <c r="R852" t="str">
        <f>IF(BBDD_fashion_boutique[[#This Row],[stock_quantity]]&gt;9,"Ok",IF(BBDD_fashion_boutique[[#This Row],[stock_quantity]]=0,"Agotado","Pocas Unidades"))</f>
        <v>Pocas Unidades</v>
      </c>
      <c r="S852" s="3">
        <f>IF(BBDD_fashion_boutique[[#This Row],[customer_rating]]="","No valorado",BBDD_fashion_boutique[[#This Row],[customer_rating]])</f>
        <v>4.2</v>
      </c>
      <c r="T852" t="s">
        <v>24</v>
      </c>
      <c r="V852">
        <f>IF(BBDD_fashion_boutique[[#This Row],[is_returned]]="False",0,1)</f>
        <v>0</v>
      </c>
      <c r="W852">
        <f>IF(BBDD_fashion_boutique[[#This Row],[is_returned]]="True",0,BBDD_fashion_boutique[[#This Row],[current_price]])</f>
        <v>78.39</v>
      </c>
      <c r="X852" t="str">
        <f>IF(BBDD_fashion_boutique[[#This Row],[return_reason]]="","No return",BBDD_fashion_boutique[[#This Row],[return_reason]])</f>
        <v>No return</v>
      </c>
      <c r="Y852">
        <f>IF(IFERROR(VLOOKUP(BBDD_fashion_boutique[[#This Row],[product_id]],A853:A3028,1,FALSE),0),1,0)</f>
        <v>0</v>
      </c>
    </row>
    <row r="853" spans="1:25" x14ac:dyDescent="0.3">
      <c r="A853" t="s">
        <v>912</v>
      </c>
      <c r="B853" t="s">
        <v>19</v>
      </c>
      <c r="C853" t="s">
        <v>20</v>
      </c>
      <c r="D853" t="s">
        <v>21</v>
      </c>
      <c r="E853" t="s">
        <v>45</v>
      </c>
      <c r="F853" t="str">
        <f>IF(BBDD_fashion_boutique[[#This Row],[category]]="Accessories","Accesorio",IF(BBDD_fashion_boutique[[#This Row],[size]]="","Desconocido",BBDD_fashion_boutique[[#This Row],[size]]))</f>
        <v>S</v>
      </c>
      <c r="G853" t="s">
        <v>62</v>
      </c>
      <c r="H853" s="2">
        <v>168.38</v>
      </c>
      <c r="I853">
        <v>23.1</v>
      </c>
      <c r="J853" s="5">
        <f>BBDD_fashion_boutique[[#This Row],[markdown_percentage]]/100</f>
        <v>0.23100000000000001</v>
      </c>
      <c r="K853" s="2">
        <v>129.47999999999999</v>
      </c>
      <c r="L853" s="2">
        <f>BBDD_fashion_boutique[[#This Row],[original_price]]-BBDD_fashion_boutique[[#This Row],[current_price]]</f>
        <v>38.900000000000006</v>
      </c>
      <c r="M853" s="1">
        <v>45812</v>
      </c>
      <c r="N853" s="1" t="str">
        <f>PROPER(TEXT(BBDD_fashion_boutique[[#This Row],[purchase_date]],"dddd"))</f>
        <v>Miércoles</v>
      </c>
      <c r="O853" s="1" t="str">
        <f>PROPER(TEXT(BBDD_fashion_boutique[[#This Row],[purchase_date]],"mmmm"))</f>
        <v>Junio</v>
      </c>
      <c r="P853" s="4">
        <v>3</v>
      </c>
      <c r="Q853" s="2">
        <v>2</v>
      </c>
      <c r="R853" t="str">
        <f>IF(BBDD_fashion_boutique[[#This Row],[stock_quantity]]&gt;9,"Ok",IF(BBDD_fashion_boutique[[#This Row],[stock_quantity]]=0,"Agotado","Pocas Unidades"))</f>
        <v>Pocas Unidades</v>
      </c>
      <c r="S853" s="3">
        <f>IF(BBDD_fashion_boutique[[#This Row],[customer_rating]]="","No valorado",BBDD_fashion_boutique[[#This Row],[customer_rating]])</f>
        <v>2</v>
      </c>
      <c r="T853" t="s">
        <v>24</v>
      </c>
      <c r="V853">
        <f>IF(BBDD_fashion_boutique[[#This Row],[is_returned]]="False",0,1)</f>
        <v>0</v>
      </c>
      <c r="W853">
        <f>IF(BBDD_fashion_boutique[[#This Row],[is_returned]]="True",0,BBDD_fashion_boutique[[#This Row],[current_price]])</f>
        <v>129.47999999999999</v>
      </c>
      <c r="X853" t="str">
        <f>IF(BBDD_fashion_boutique[[#This Row],[return_reason]]="","No return",BBDD_fashion_boutique[[#This Row],[return_reason]])</f>
        <v>No return</v>
      </c>
      <c r="Y853">
        <f>IF(IFERROR(VLOOKUP(BBDD_fashion_boutique[[#This Row],[product_id]],A854:A3029,1,FALSE),0),1,0)</f>
        <v>0</v>
      </c>
    </row>
    <row r="854" spans="1:25" x14ac:dyDescent="0.3">
      <c r="A854" t="s">
        <v>913</v>
      </c>
      <c r="B854" t="s">
        <v>35</v>
      </c>
      <c r="C854" t="s">
        <v>37</v>
      </c>
      <c r="D854" t="s">
        <v>28</v>
      </c>
      <c r="E854" t="s">
        <v>45</v>
      </c>
      <c r="F854" t="str">
        <f>IF(BBDD_fashion_boutique[[#This Row],[category]]="Accessories","Accesorio",IF(BBDD_fashion_boutique[[#This Row],[size]]="","Desconocido",BBDD_fashion_boutique[[#This Row],[size]]))</f>
        <v>S</v>
      </c>
      <c r="G854" t="s">
        <v>70</v>
      </c>
      <c r="H854" s="2">
        <v>128.35</v>
      </c>
      <c r="I854">
        <v>0</v>
      </c>
      <c r="J854" s="5">
        <f>BBDD_fashion_boutique[[#This Row],[markdown_percentage]]/100</f>
        <v>0</v>
      </c>
      <c r="K854" s="2">
        <v>128.35</v>
      </c>
      <c r="L854" s="2">
        <f>BBDD_fashion_boutique[[#This Row],[original_price]]-BBDD_fashion_boutique[[#This Row],[current_price]]</f>
        <v>0</v>
      </c>
      <c r="M854" s="1">
        <v>45875</v>
      </c>
      <c r="N854" s="1" t="str">
        <f>PROPER(TEXT(BBDD_fashion_boutique[[#This Row],[purchase_date]],"dddd"))</f>
        <v>Miércoles</v>
      </c>
      <c r="O854" s="1" t="str">
        <f>PROPER(TEXT(BBDD_fashion_boutique[[#This Row],[purchase_date]],"mmmm"))</f>
        <v>Agosto</v>
      </c>
      <c r="P854" s="4">
        <v>20</v>
      </c>
      <c r="Q854" s="2">
        <v>2.5</v>
      </c>
      <c r="R854" t="str">
        <f>IF(BBDD_fashion_boutique[[#This Row],[stock_quantity]]&gt;9,"Ok",IF(BBDD_fashion_boutique[[#This Row],[stock_quantity]]=0,"Agotado","Pocas Unidades"))</f>
        <v>Ok</v>
      </c>
      <c r="S854" s="3">
        <f>IF(BBDD_fashion_boutique[[#This Row],[customer_rating]]="","No valorado",BBDD_fashion_boutique[[#This Row],[customer_rating]])</f>
        <v>2.5</v>
      </c>
      <c r="T854" t="s">
        <v>24</v>
      </c>
      <c r="V854">
        <f>IF(BBDD_fashion_boutique[[#This Row],[is_returned]]="False",0,1)</f>
        <v>0</v>
      </c>
      <c r="W854">
        <f>IF(BBDD_fashion_boutique[[#This Row],[is_returned]]="True",0,BBDD_fashion_boutique[[#This Row],[current_price]])</f>
        <v>128.35</v>
      </c>
      <c r="X854" t="str">
        <f>IF(BBDD_fashion_boutique[[#This Row],[return_reason]]="","No return",BBDD_fashion_boutique[[#This Row],[return_reason]])</f>
        <v>No return</v>
      </c>
      <c r="Y854">
        <f>IF(IFERROR(VLOOKUP(BBDD_fashion_boutique[[#This Row],[product_id]],A855:A3030,1,FALSE),0),1,0)</f>
        <v>0</v>
      </c>
    </row>
    <row r="855" spans="1:25" x14ac:dyDescent="0.3">
      <c r="A855" t="s">
        <v>914</v>
      </c>
      <c r="B855" t="s">
        <v>48</v>
      </c>
      <c r="C855" t="s">
        <v>27</v>
      </c>
      <c r="D855" t="s">
        <v>21</v>
      </c>
      <c r="E855" t="s">
        <v>22</v>
      </c>
      <c r="F855" t="str">
        <f>IF(BBDD_fashion_boutique[[#This Row],[category]]="Accessories","Accesorio",IF(BBDD_fashion_boutique[[#This Row],[size]]="","Desconocido",BBDD_fashion_boutique[[#This Row],[size]]))</f>
        <v>XL</v>
      </c>
      <c r="G855" t="s">
        <v>46</v>
      </c>
      <c r="H855" s="2">
        <v>138.16999999999999</v>
      </c>
      <c r="I855">
        <v>3</v>
      </c>
      <c r="J855" s="5">
        <f>BBDD_fashion_boutique[[#This Row],[markdown_percentage]]/100</f>
        <v>0.03</v>
      </c>
      <c r="K855" s="2">
        <v>134.02000000000001</v>
      </c>
      <c r="L855" s="2">
        <f>BBDD_fashion_boutique[[#This Row],[original_price]]-BBDD_fashion_boutique[[#This Row],[current_price]]</f>
        <v>4.1499999999999773</v>
      </c>
      <c r="M855" s="1">
        <v>45751</v>
      </c>
      <c r="N855" s="1" t="str">
        <f>PROPER(TEXT(BBDD_fashion_boutique[[#This Row],[purchase_date]],"dddd"))</f>
        <v>Viernes</v>
      </c>
      <c r="O855" s="1" t="str">
        <f>PROPER(TEXT(BBDD_fashion_boutique[[#This Row],[purchase_date]],"mmmm"))</f>
        <v>Abril</v>
      </c>
      <c r="P855" s="4">
        <v>34</v>
      </c>
      <c r="Q855" s="2">
        <v>4.0999999999999996</v>
      </c>
      <c r="R855" t="str">
        <f>IF(BBDD_fashion_boutique[[#This Row],[stock_quantity]]&gt;9,"Ok",IF(BBDD_fashion_boutique[[#This Row],[stock_quantity]]=0,"Agotado","Pocas Unidades"))</f>
        <v>Ok</v>
      </c>
      <c r="S855" s="3">
        <f>IF(BBDD_fashion_boutique[[#This Row],[customer_rating]]="","No valorado",BBDD_fashion_boutique[[#This Row],[customer_rating]])</f>
        <v>4.0999999999999996</v>
      </c>
      <c r="T855" t="s">
        <v>24</v>
      </c>
      <c r="V855">
        <f>IF(BBDD_fashion_boutique[[#This Row],[is_returned]]="False",0,1)</f>
        <v>0</v>
      </c>
      <c r="W855">
        <f>IF(BBDD_fashion_boutique[[#This Row],[is_returned]]="True",0,BBDD_fashion_boutique[[#This Row],[current_price]])</f>
        <v>134.02000000000001</v>
      </c>
      <c r="X855" t="str">
        <f>IF(BBDD_fashion_boutique[[#This Row],[return_reason]]="","No return",BBDD_fashion_boutique[[#This Row],[return_reason]])</f>
        <v>No return</v>
      </c>
      <c r="Y855">
        <f>IF(IFERROR(VLOOKUP(BBDD_fashion_boutique[[#This Row],[product_id]],A856:A3031,1,FALSE),0),1,0)</f>
        <v>0</v>
      </c>
    </row>
    <row r="856" spans="1:25" x14ac:dyDescent="0.3">
      <c r="A856" t="s">
        <v>915</v>
      </c>
      <c r="B856" t="s">
        <v>48</v>
      </c>
      <c r="C856" t="s">
        <v>27</v>
      </c>
      <c r="D856" t="s">
        <v>39</v>
      </c>
      <c r="E856" t="s">
        <v>64</v>
      </c>
      <c r="F856" t="str">
        <f>IF(BBDD_fashion_boutique[[#This Row],[category]]="Accessories","Accesorio",IF(BBDD_fashion_boutique[[#This Row],[size]]="","Desconocido",BBDD_fashion_boutique[[#This Row],[size]]))</f>
        <v>M</v>
      </c>
      <c r="G856" t="s">
        <v>70</v>
      </c>
      <c r="H856" s="2">
        <v>52.45</v>
      </c>
      <c r="I856">
        <v>0</v>
      </c>
      <c r="J856" s="5">
        <f>BBDD_fashion_boutique[[#This Row],[markdown_percentage]]/100</f>
        <v>0</v>
      </c>
      <c r="K856" s="2">
        <v>52.45</v>
      </c>
      <c r="L856" s="2">
        <f>BBDD_fashion_boutique[[#This Row],[original_price]]-BBDD_fashion_boutique[[#This Row],[current_price]]</f>
        <v>0</v>
      </c>
      <c r="M856" s="1">
        <v>45875</v>
      </c>
      <c r="N856" s="1" t="str">
        <f>PROPER(TEXT(BBDD_fashion_boutique[[#This Row],[purchase_date]],"dddd"))</f>
        <v>Miércoles</v>
      </c>
      <c r="O856" s="1" t="str">
        <f>PROPER(TEXT(BBDD_fashion_boutique[[#This Row],[purchase_date]],"mmmm"))</f>
        <v>Agosto</v>
      </c>
      <c r="P856" s="4">
        <v>16</v>
      </c>
      <c r="Q856" s="2">
        <v>1.7</v>
      </c>
      <c r="R856" t="str">
        <f>IF(BBDD_fashion_boutique[[#This Row],[stock_quantity]]&gt;9,"Ok",IF(BBDD_fashion_boutique[[#This Row],[stock_quantity]]=0,"Agotado","Pocas Unidades"))</f>
        <v>Ok</v>
      </c>
      <c r="S856" s="3">
        <f>IF(BBDD_fashion_boutique[[#This Row],[customer_rating]]="","No valorado",BBDD_fashion_boutique[[#This Row],[customer_rating]])</f>
        <v>1.7</v>
      </c>
      <c r="T856" t="s">
        <v>24</v>
      </c>
      <c r="V856">
        <f>IF(BBDD_fashion_boutique[[#This Row],[is_returned]]="False",0,1)</f>
        <v>0</v>
      </c>
      <c r="W856">
        <f>IF(BBDD_fashion_boutique[[#This Row],[is_returned]]="True",0,BBDD_fashion_boutique[[#This Row],[current_price]])</f>
        <v>52.45</v>
      </c>
      <c r="X856" t="str">
        <f>IF(BBDD_fashion_boutique[[#This Row],[return_reason]]="","No return",BBDD_fashion_boutique[[#This Row],[return_reason]])</f>
        <v>No return</v>
      </c>
      <c r="Y856">
        <f>IF(IFERROR(VLOOKUP(BBDD_fashion_boutique[[#This Row],[product_id]],A857:A3032,1,FALSE),0),1,0)</f>
        <v>0</v>
      </c>
    </row>
    <row r="857" spans="1:25" x14ac:dyDescent="0.3">
      <c r="A857" t="s">
        <v>916</v>
      </c>
      <c r="B857" t="s">
        <v>35</v>
      </c>
      <c r="C857" t="s">
        <v>54</v>
      </c>
      <c r="D857" t="s">
        <v>28</v>
      </c>
      <c r="E857" t="s">
        <v>61</v>
      </c>
      <c r="F857" t="str">
        <f>IF(BBDD_fashion_boutique[[#This Row],[category]]="Accessories","Accesorio",IF(BBDD_fashion_boutique[[#This Row],[size]]="","Desconocido",BBDD_fashion_boutique[[#This Row],[size]]))</f>
        <v>XS</v>
      </c>
      <c r="G857" t="s">
        <v>40</v>
      </c>
      <c r="H857" s="2">
        <v>171.53</v>
      </c>
      <c r="I857">
        <v>0</v>
      </c>
      <c r="J857" s="5">
        <f>BBDD_fashion_boutique[[#This Row],[markdown_percentage]]/100</f>
        <v>0</v>
      </c>
      <c r="K857" s="2">
        <v>171.53</v>
      </c>
      <c r="L857" s="2">
        <f>BBDD_fashion_boutique[[#This Row],[original_price]]-BBDD_fashion_boutique[[#This Row],[current_price]]</f>
        <v>0</v>
      </c>
      <c r="M857" s="1">
        <v>45875</v>
      </c>
      <c r="N857" s="1" t="str">
        <f>PROPER(TEXT(BBDD_fashion_boutique[[#This Row],[purchase_date]],"dddd"))</f>
        <v>Miércoles</v>
      </c>
      <c r="O857" s="1" t="str">
        <f>PROPER(TEXT(BBDD_fashion_boutique[[#This Row],[purchase_date]],"mmmm"))</f>
        <v>Agosto</v>
      </c>
      <c r="P857" s="4">
        <v>12</v>
      </c>
      <c r="Q857" s="2">
        <v>4.8</v>
      </c>
      <c r="R857" t="str">
        <f>IF(BBDD_fashion_boutique[[#This Row],[stock_quantity]]&gt;9,"Ok",IF(BBDD_fashion_boutique[[#This Row],[stock_quantity]]=0,"Agotado","Pocas Unidades"))</f>
        <v>Ok</v>
      </c>
      <c r="S857" s="3">
        <f>IF(BBDD_fashion_boutique[[#This Row],[customer_rating]]="","No valorado",BBDD_fashion_boutique[[#This Row],[customer_rating]])</f>
        <v>4.8</v>
      </c>
      <c r="T857" t="s">
        <v>24</v>
      </c>
      <c r="V857">
        <f>IF(BBDD_fashion_boutique[[#This Row],[is_returned]]="False",0,1)</f>
        <v>0</v>
      </c>
      <c r="W857">
        <f>IF(BBDD_fashion_boutique[[#This Row],[is_returned]]="True",0,BBDD_fashion_boutique[[#This Row],[current_price]])</f>
        <v>171.53</v>
      </c>
      <c r="X857" t="str">
        <f>IF(BBDD_fashion_boutique[[#This Row],[return_reason]]="","No return",BBDD_fashion_boutique[[#This Row],[return_reason]])</f>
        <v>No return</v>
      </c>
      <c r="Y857">
        <f>IF(IFERROR(VLOOKUP(BBDD_fashion_boutique[[#This Row],[product_id]],A858:A3033,1,FALSE),0),1,0)</f>
        <v>0</v>
      </c>
    </row>
    <row r="858" spans="1:25" x14ac:dyDescent="0.3">
      <c r="A858" t="s">
        <v>917</v>
      </c>
      <c r="B858" t="s">
        <v>26</v>
      </c>
      <c r="C858" t="s">
        <v>49</v>
      </c>
      <c r="D858" t="s">
        <v>39</v>
      </c>
      <c r="E858" t="s">
        <v>55</v>
      </c>
      <c r="F858" t="str">
        <f>IF(BBDD_fashion_boutique[[#This Row],[category]]="Accessories","Accesorio",IF(BBDD_fashion_boutique[[#This Row],[size]]="","Desconocido",BBDD_fashion_boutique[[#This Row],[size]]))</f>
        <v>XXL</v>
      </c>
      <c r="G858" t="s">
        <v>76</v>
      </c>
      <c r="H858" s="2">
        <v>81.23</v>
      </c>
      <c r="I858">
        <v>1.2</v>
      </c>
      <c r="J858" s="5">
        <f>BBDD_fashion_boutique[[#This Row],[markdown_percentage]]/100</f>
        <v>1.2E-2</v>
      </c>
      <c r="K858" s="2">
        <v>80.260000000000005</v>
      </c>
      <c r="L858" s="2">
        <f>BBDD_fashion_boutique[[#This Row],[original_price]]-BBDD_fashion_boutique[[#This Row],[current_price]]</f>
        <v>0.96999999999999886</v>
      </c>
      <c r="M858" s="1">
        <v>45875</v>
      </c>
      <c r="N858" s="1" t="str">
        <f>PROPER(TEXT(BBDD_fashion_boutique[[#This Row],[purchase_date]],"dddd"))</f>
        <v>Miércoles</v>
      </c>
      <c r="O858" s="1" t="str">
        <f>PROPER(TEXT(BBDD_fashion_boutique[[#This Row],[purchase_date]],"mmmm"))</f>
        <v>Agosto</v>
      </c>
      <c r="P858" s="4">
        <v>10</v>
      </c>
      <c r="Q858" s="2">
        <v>4.9000000000000004</v>
      </c>
      <c r="R858" t="str">
        <f>IF(BBDD_fashion_boutique[[#This Row],[stock_quantity]]&gt;9,"Ok",IF(BBDD_fashion_boutique[[#This Row],[stock_quantity]]=0,"Agotado","Pocas Unidades"))</f>
        <v>Ok</v>
      </c>
      <c r="S858" s="3">
        <f>IF(BBDD_fashion_boutique[[#This Row],[customer_rating]]="","No valorado",BBDD_fashion_boutique[[#This Row],[customer_rating]])</f>
        <v>4.9000000000000004</v>
      </c>
      <c r="T858" t="s">
        <v>24</v>
      </c>
      <c r="V858">
        <f>IF(BBDD_fashion_boutique[[#This Row],[is_returned]]="False",0,1)</f>
        <v>0</v>
      </c>
      <c r="W858">
        <f>IF(BBDD_fashion_boutique[[#This Row],[is_returned]]="True",0,BBDD_fashion_boutique[[#This Row],[current_price]])</f>
        <v>80.260000000000005</v>
      </c>
      <c r="X858" t="str">
        <f>IF(BBDD_fashion_boutique[[#This Row],[return_reason]]="","No return",BBDD_fashion_boutique[[#This Row],[return_reason]])</f>
        <v>No return</v>
      </c>
      <c r="Y858">
        <f>IF(IFERROR(VLOOKUP(BBDD_fashion_boutique[[#This Row],[product_id]],A859:A3034,1,FALSE),0),1,0)</f>
        <v>0</v>
      </c>
    </row>
    <row r="859" spans="1:25" x14ac:dyDescent="0.3">
      <c r="A859" t="s">
        <v>918</v>
      </c>
      <c r="B859" t="s">
        <v>32</v>
      </c>
      <c r="C859" t="s">
        <v>37</v>
      </c>
      <c r="D859" t="s">
        <v>21</v>
      </c>
      <c r="F859" t="str">
        <f>IF(BBDD_fashion_boutique[[#This Row],[category]]="Accessories","Accesorio",IF(BBDD_fashion_boutique[[#This Row],[size]]="","Desconocido",BBDD_fashion_boutique[[#This Row],[size]]))</f>
        <v>Accesorio</v>
      </c>
      <c r="G859" t="s">
        <v>50</v>
      </c>
      <c r="H859" s="2">
        <v>31.37</v>
      </c>
      <c r="I859">
        <v>44.1</v>
      </c>
      <c r="J859" s="5">
        <f>BBDD_fashion_boutique[[#This Row],[markdown_percentage]]/100</f>
        <v>0.441</v>
      </c>
      <c r="K859" s="2">
        <v>17.54</v>
      </c>
      <c r="L859" s="2">
        <f>BBDD_fashion_boutique[[#This Row],[original_price]]-BBDD_fashion_boutique[[#This Row],[current_price]]</f>
        <v>13.830000000000002</v>
      </c>
      <c r="M859" s="1">
        <v>45548</v>
      </c>
      <c r="N859" s="1" t="str">
        <f>PROPER(TEXT(BBDD_fashion_boutique[[#This Row],[purchase_date]],"dddd"))</f>
        <v>Viernes</v>
      </c>
      <c r="O859" s="1" t="str">
        <f>PROPER(TEXT(BBDD_fashion_boutique[[#This Row],[purchase_date]],"mmmm"))</f>
        <v>Septiembre</v>
      </c>
      <c r="P859" s="4">
        <v>11</v>
      </c>
      <c r="Q859" s="2">
        <v>3.4</v>
      </c>
      <c r="R859" t="str">
        <f>IF(BBDD_fashion_boutique[[#This Row],[stock_quantity]]&gt;9,"Ok",IF(BBDD_fashion_boutique[[#This Row],[stock_quantity]]=0,"Agotado","Pocas Unidades"))</f>
        <v>Ok</v>
      </c>
      <c r="S859" s="3">
        <f>IF(BBDD_fashion_boutique[[#This Row],[customer_rating]]="","No valorado",BBDD_fashion_boutique[[#This Row],[customer_rating]])</f>
        <v>3.4</v>
      </c>
      <c r="T859" t="s">
        <v>24</v>
      </c>
      <c r="V859">
        <f>IF(BBDD_fashion_boutique[[#This Row],[is_returned]]="False",0,1)</f>
        <v>0</v>
      </c>
      <c r="W859">
        <f>IF(BBDD_fashion_boutique[[#This Row],[is_returned]]="True",0,BBDD_fashion_boutique[[#This Row],[current_price]])</f>
        <v>17.54</v>
      </c>
      <c r="X859" t="str">
        <f>IF(BBDD_fashion_boutique[[#This Row],[return_reason]]="","No return",BBDD_fashion_boutique[[#This Row],[return_reason]])</f>
        <v>No return</v>
      </c>
      <c r="Y859">
        <f>IF(IFERROR(VLOOKUP(BBDD_fashion_boutique[[#This Row],[product_id]],A860:A3035,1,FALSE),0),1,0)</f>
        <v>0</v>
      </c>
    </row>
    <row r="860" spans="1:25" x14ac:dyDescent="0.3">
      <c r="A860" t="s">
        <v>919</v>
      </c>
      <c r="B860" t="s">
        <v>44</v>
      </c>
      <c r="C860" t="s">
        <v>67</v>
      </c>
      <c r="D860" t="s">
        <v>21</v>
      </c>
      <c r="E860" t="s">
        <v>45</v>
      </c>
      <c r="F860" t="str">
        <f>IF(BBDD_fashion_boutique[[#This Row],[category]]="Accessories","Accesorio",IF(BBDD_fashion_boutique[[#This Row],[size]]="","Desconocido",BBDD_fashion_boutique[[#This Row],[size]]))</f>
        <v>S</v>
      </c>
      <c r="G860" t="s">
        <v>23</v>
      </c>
      <c r="H860" s="2">
        <v>93.89</v>
      </c>
      <c r="I860">
        <v>0</v>
      </c>
      <c r="J860" s="5">
        <f>BBDD_fashion_boutique[[#This Row],[markdown_percentage]]/100</f>
        <v>0</v>
      </c>
      <c r="K860" s="2">
        <v>93.89</v>
      </c>
      <c r="L860" s="2">
        <f>BBDD_fashion_boutique[[#This Row],[original_price]]-BBDD_fashion_boutique[[#This Row],[current_price]]</f>
        <v>0</v>
      </c>
      <c r="M860" s="1">
        <v>45691</v>
      </c>
      <c r="N860" s="1" t="str">
        <f>PROPER(TEXT(BBDD_fashion_boutique[[#This Row],[purchase_date]],"dddd"))</f>
        <v>Lunes</v>
      </c>
      <c r="O860" s="1" t="str">
        <f>PROPER(TEXT(BBDD_fashion_boutique[[#This Row],[purchase_date]],"mmmm"))</f>
        <v>Febrero</v>
      </c>
      <c r="P860" s="4">
        <v>3</v>
      </c>
      <c r="Q860" s="2">
        <v>1.8</v>
      </c>
      <c r="R860" t="str">
        <f>IF(BBDD_fashion_boutique[[#This Row],[stock_quantity]]&gt;9,"Ok",IF(BBDD_fashion_boutique[[#This Row],[stock_quantity]]=0,"Agotado","Pocas Unidades"))</f>
        <v>Pocas Unidades</v>
      </c>
      <c r="S860" s="3">
        <f>IF(BBDD_fashion_boutique[[#This Row],[customer_rating]]="","No valorado",BBDD_fashion_boutique[[#This Row],[customer_rating]])</f>
        <v>1.8</v>
      </c>
      <c r="T860" t="s">
        <v>24</v>
      </c>
      <c r="V860">
        <f>IF(BBDD_fashion_boutique[[#This Row],[is_returned]]="False",0,1)</f>
        <v>0</v>
      </c>
      <c r="W860">
        <f>IF(BBDD_fashion_boutique[[#This Row],[is_returned]]="True",0,BBDD_fashion_boutique[[#This Row],[current_price]])</f>
        <v>93.89</v>
      </c>
      <c r="X860" t="str">
        <f>IF(BBDD_fashion_boutique[[#This Row],[return_reason]]="","No return",BBDD_fashion_boutique[[#This Row],[return_reason]])</f>
        <v>No return</v>
      </c>
      <c r="Y860">
        <f>IF(IFERROR(VLOOKUP(BBDD_fashion_boutique[[#This Row],[product_id]],A861:A3036,1,FALSE),0),1,0)</f>
        <v>0</v>
      </c>
    </row>
    <row r="861" spans="1:25" x14ac:dyDescent="0.3">
      <c r="A861" t="s">
        <v>920</v>
      </c>
      <c r="B861" t="s">
        <v>44</v>
      </c>
      <c r="C861" t="s">
        <v>27</v>
      </c>
      <c r="D861" t="s">
        <v>21</v>
      </c>
      <c r="E861" t="s">
        <v>22</v>
      </c>
      <c r="F861" t="str">
        <f>IF(BBDD_fashion_boutique[[#This Row],[category]]="Accessories","Accesorio",IF(BBDD_fashion_boutique[[#This Row],[size]]="","Desconocido",BBDD_fashion_boutique[[#This Row],[size]]))</f>
        <v>XL</v>
      </c>
      <c r="G861" t="s">
        <v>46</v>
      </c>
      <c r="H861" s="2">
        <v>54.84</v>
      </c>
      <c r="I861">
        <v>0</v>
      </c>
      <c r="J861" s="5">
        <f>BBDD_fashion_boutique[[#This Row],[markdown_percentage]]/100</f>
        <v>0</v>
      </c>
      <c r="K861" s="2">
        <v>54.84</v>
      </c>
      <c r="L861" s="2">
        <f>BBDD_fashion_boutique[[#This Row],[original_price]]-BBDD_fashion_boutique[[#This Row],[current_price]]</f>
        <v>0</v>
      </c>
      <c r="M861" s="1">
        <v>45557</v>
      </c>
      <c r="N861" s="1" t="str">
        <f>PROPER(TEXT(BBDD_fashion_boutique[[#This Row],[purchase_date]],"dddd"))</f>
        <v>Domingo</v>
      </c>
      <c r="O861" s="1" t="str">
        <f>PROPER(TEXT(BBDD_fashion_boutique[[#This Row],[purchase_date]],"mmmm"))</f>
        <v>Septiembre</v>
      </c>
      <c r="P861" s="4">
        <v>12</v>
      </c>
      <c r="Q861" s="2">
        <v>3.2</v>
      </c>
      <c r="R861" t="str">
        <f>IF(BBDD_fashion_boutique[[#This Row],[stock_quantity]]&gt;9,"Ok",IF(BBDD_fashion_boutique[[#This Row],[stock_quantity]]=0,"Agotado","Pocas Unidades"))</f>
        <v>Ok</v>
      </c>
      <c r="S861" s="3">
        <f>IF(BBDD_fashion_boutique[[#This Row],[customer_rating]]="","No valorado",BBDD_fashion_boutique[[#This Row],[customer_rating]])</f>
        <v>3.2</v>
      </c>
      <c r="T861" t="s">
        <v>24</v>
      </c>
      <c r="V861">
        <f>IF(BBDD_fashion_boutique[[#This Row],[is_returned]]="False",0,1)</f>
        <v>0</v>
      </c>
      <c r="W861">
        <f>IF(BBDD_fashion_boutique[[#This Row],[is_returned]]="True",0,BBDD_fashion_boutique[[#This Row],[current_price]])</f>
        <v>54.84</v>
      </c>
      <c r="X861" t="str">
        <f>IF(BBDD_fashion_boutique[[#This Row],[return_reason]]="","No return",BBDD_fashion_boutique[[#This Row],[return_reason]])</f>
        <v>No return</v>
      </c>
      <c r="Y861">
        <f>IF(IFERROR(VLOOKUP(BBDD_fashion_boutique[[#This Row],[product_id]],A862:A3037,1,FALSE),0),1,0)</f>
        <v>0</v>
      </c>
    </row>
    <row r="862" spans="1:25" x14ac:dyDescent="0.3">
      <c r="A862" t="s">
        <v>921</v>
      </c>
      <c r="B862" t="s">
        <v>48</v>
      </c>
      <c r="C862" t="s">
        <v>20</v>
      </c>
      <c r="D862" t="s">
        <v>28</v>
      </c>
      <c r="E862" t="s">
        <v>29</v>
      </c>
      <c r="F862" t="str">
        <f>IF(BBDD_fashion_boutique[[#This Row],[category]]="Accessories","Accesorio",IF(BBDD_fashion_boutique[[#This Row],[size]]="","Desconocido",BBDD_fashion_boutique[[#This Row],[size]]))</f>
        <v>L</v>
      </c>
      <c r="G862" t="s">
        <v>23</v>
      </c>
      <c r="H862" s="2">
        <v>140.34</v>
      </c>
      <c r="I862">
        <v>0</v>
      </c>
      <c r="J862" s="5">
        <f>BBDD_fashion_boutique[[#This Row],[markdown_percentage]]/100</f>
        <v>0</v>
      </c>
      <c r="K862" s="2">
        <v>140.34</v>
      </c>
      <c r="L862" s="2">
        <f>BBDD_fashion_boutique[[#This Row],[original_price]]-BBDD_fashion_boutique[[#This Row],[current_price]]</f>
        <v>0</v>
      </c>
      <c r="M862" s="1">
        <v>45875</v>
      </c>
      <c r="N862" s="1" t="str">
        <f>PROPER(TEXT(BBDD_fashion_boutique[[#This Row],[purchase_date]],"dddd"))</f>
        <v>Miércoles</v>
      </c>
      <c r="O862" s="1" t="str">
        <f>PROPER(TEXT(BBDD_fashion_boutique[[#This Row],[purchase_date]],"mmmm"))</f>
        <v>Agosto</v>
      </c>
      <c r="P862" s="4">
        <v>23</v>
      </c>
      <c r="Q862" s="2">
        <v>2.8</v>
      </c>
      <c r="R862" t="str">
        <f>IF(BBDD_fashion_boutique[[#This Row],[stock_quantity]]&gt;9,"Ok",IF(BBDD_fashion_boutique[[#This Row],[stock_quantity]]=0,"Agotado","Pocas Unidades"))</f>
        <v>Ok</v>
      </c>
      <c r="S862" s="3">
        <f>IF(BBDD_fashion_boutique[[#This Row],[customer_rating]]="","No valorado",BBDD_fashion_boutique[[#This Row],[customer_rating]])</f>
        <v>2.8</v>
      </c>
      <c r="T862" t="s">
        <v>41</v>
      </c>
      <c r="U862" t="s">
        <v>121</v>
      </c>
      <c r="V862">
        <f>IF(BBDD_fashion_boutique[[#This Row],[is_returned]]="False",0,1)</f>
        <v>1</v>
      </c>
      <c r="W862">
        <f>IF(BBDD_fashion_boutique[[#This Row],[is_returned]]="True",0,BBDD_fashion_boutique[[#This Row],[current_price]])</f>
        <v>0</v>
      </c>
      <c r="X862" t="str">
        <f>IF(BBDD_fashion_boutique[[#This Row],[return_reason]]="","No return",BBDD_fashion_boutique[[#This Row],[return_reason]])</f>
        <v>Changed Mind</v>
      </c>
      <c r="Y862">
        <f>IF(IFERROR(VLOOKUP(BBDD_fashion_boutique[[#This Row],[product_id]],A863:A3038,1,FALSE),0),1,0)</f>
        <v>0</v>
      </c>
    </row>
    <row r="863" spans="1:25" x14ac:dyDescent="0.3">
      <c r="A863" t="s">
        <v>922</v>
      </c>
      <c r="B863" t="s">
        <v>26</v>
      </c>
      <c r="C863" t="s">
        <v>37</v>
      </c>
      <c r="D863" t="s">
        <v>39</v>
      </c>
      <c r="E863" t="s">
        <v>64</v>
      </c>
      <c r="F863" t="str">
        <f>IF(BBDD_fashion_boutique[[#This Row],[category]]="Accessories","Accesorio",IF(BBDD_fashion_boutique[[#This Row],[size]]="","Desconocido",BBDD_fashion_boutique[[#This Row],[size]]))</f>
        <v>M</v>
      </c>
      <c r="G863" t="s">
        <v>23</v>
      </c>
      <c r="H863" s="2">
        <v>51.88</v>
      </c>
      <c r="I863">
        <v>16.8</v>
      </c>
      <c r="J863" s="5">
        <f>BBDD_fashion_boutique[[#This Row],[markdown_percentage]]/100</f>
        <v>0.16800000000000001</v>
      </c>
      <c r="K863" s="2">
        <v>43.16</v>
      </c>
      <c r="L863" s="2">
        <f>BBDD_fashion_boutique[[#This Row],[original_price]]-BBDD_fashion_boutique[[#This Row],[current_price]]</f>
        <v>8.720000000000006</v>
      </c>
      <c r="M863" s="1">
        <v>45875</v>
      </c>
      <c r="N863" s="1" t="str">
        <f>PROPER(TEXT(BBDD_fashion_boutique[[#This Row],[purchase_date]],"dddd"))</f>
        <v>Miércoles</v>
      </c>
      <c r="O863" s="1" t="str">
        <f>PROPER(TEXT(BBDD_fashion_boutique[[#This Row],[purchase_date]],"mmmm"))</f>
        <v>Agosto</v>
      </c>
      <c r="P863" s="4">
        <v>30</v>
      </c>
      <c r="Q863" s="2">
        <v>1.5</v>
      </c>
      <c r="R863" t="str">
        <f>IF(BBDD_fashion_boutique[[#This Row],[stock_quantity]]&gt;9,"Ok",IF(BBDD_fashion_boutique[[#This Row],[stock_quantity]]=0,"Agotado","Pocas Unidades"))</f>
        <v>Ok</v>
      </c>
      <c r="S863" s="3">
        <f>IF(BBDD_fashion_boutique[[#This Row],[customer_rating]]="","No valorado",BBDD_fashion_boutique[[#This Row],[customer_rating]])</f>
        <v>1.5</v>
      </c>
      <c r="T863" t="s">
        <v>24</v>
      </c>
      <c r="V863">
        <f>IF(BBDD_fashion_boutique[[#This Row],[is_returned]]="False",0,1)</f>
        <v>0</v>
      </c>
      <c r="W863">
        <f>IF(BBDD_fashion_boutique[[#This Row],[is_returned]]="True",0,BBDD_fashion_boutique[[#This Row],[current_price]])</f>
        <v>43.16</v>
      </c>
      <c r="X863" t="str">
        <f>IF(BBDD_fashion_boutique[[#This Row],[return_reason]]="","No return",BBDD_fashion_boutique[[#This Row],[return_reason]])</f>
        <v>No return</v>
      </c>
      <c r="Y863">
        <f>IF(IFERROR(VLOOKUP(BBDD_fashion_boutique[[#This Row],[product_id]],A864:A3039,1,FALSE),0),1,0)</f>
        <v>0</v>
      </c>
    </row>
    <row r="864" spans="1:25" x14ac:dyDescent="0.3">
      <c r="A864" t="s">
        <v>923</v>
      </c>
      <c r="B864" t="s">
        <v>48</v>
      </c>
      <c r="C864" t="s">
        <v>49</v>
      </c>
      <c r="D864" t="s">
        <v>21</v>
      </c>
      <c r="E864" t="s">
        <v>45</v>
      </c>
      <c r="F864" t="str">
        <f>IF(BBDD_fashion_boutique[[#This Row],[category]]="Accessories","Accesorio",IF(BBDD_fashion_boutique[[#This Row],[size]]="","Desconocido",BBDD_fashion_boutique[[#This Row],[size]]))</f>
        <v>S</v>
      </c>
      <c r="G864" t="s">
        <v>72</v>
      </c>
      <c r="H864" s="2">
        <v>136.19999999999999</v>
      </c>
      <c r="I864">
        <v>44.3</v>
      </c>
      <c r="J864" s="5">
        <f>BBDD_fashion_boutique[[#This Row],[markdown_percentage]]/100</f>
        <v>0.44299999999999995</v>
      </c>
      <c r="K864" s="2">
        <v>75.86</v>
      </c>
      <c r="L864" s="2">
        <f>BBDD_fashion_boutique[[#This Row],[original_price]]-BBDD_fashion_boutique[[#This Row],[current_price]]</f>
        <v>60.339999999999989</v>
      </c>
      <c r="M864" s="1">
        <v>45617</v>
      </c>
      <c r="N864" s="1" t="str">
        <f>PROPER(TEXT(BBDD_fashion_boutique[[#This Row],[purchase_date]],"dddd"))</f>
        <v>Jueves</v>
      </c>
      <c r="O864" s="1" t="str">
        <f>PROPER(TEXT(BBDD_fashion_boutique[[#This Row],[purchase_date]],"mmmm"))</f>
        <v>Noviembre</v>
      </c>
      <c r="P864" s="4">
        <v>49</v>
      </c>
      <c r="R864" t="str">
        <f>IF(BBDD_fashion_boutique[[#This Row],[stock_quantity]]&gt;9,"Ok",IF(BBDD_fashion_boutique[[#This Row],[stock_quantity]]=0,"Agotado","Pocas Unidades"))</f>
        <v>Ok</v>
      </c>
      <c r="S864" s="3" t="str">
        <f>IF(BBDD_fashion_boutique[[#This Row],[customer_rating]]="","No valorado",BBDD_fashion_boutique[[#This Row],[customer_rating]])</f>
        <v>No valorado</v>
      </c>
      <c r="T864" t="s">
        <v>24</v>
      </c>
      <c r="V864">
        <f>IF(BBDD_fashion_boutique[[#This Row],[is_returned]]="False",0,1)</f>
        <v>0</v>
      </c>
      <c r="W864">
        <f>IF(BBDD_fashion_boutique[[#This Row],[is_returned]]="True",0,BBDD_fashion_boutique[[#This Row],[current_price]])</f>
        <v>75.86</v>
      </c>
      <c r="X864" t="str">
        <f>IF(BBDD_fashion_boutique[[#This Row],[return_reason]]="","No return",BBDD_fashion_boutique[[#This Row],[return_reason]])</f>
        <v>No return</v>
      </c>
      <c r="Y864">
        <f>IF(IFERROR(VLOOKUP(BBDD_fashion_boutique[[#This Row],[product_id]],A865:A3040,1,FALSE),0),1,0)</f>
        <v>0</v>
      </c>
    </row>
    <row r="865" spans="1:25" x14ac:dyDescent="0.3">
      <c r="A865" t="s">
        <v>924</v>
      </c>
      <c r="B865" t="s">
        <v>32</v>
      </c>
      <c r="C865" t="s">
        <v>54</v>
      </c>
      <c r="D865" t="s">
        <v>68</v>
      </c>
      <c r="F865" t="str">
        <f>IF(BBDD_fashion_boutique[[#This Row],[category]]="Accessories","Accesorio",IF(BBDD_fashion_boutique[[#This Row],[size]]="","Desconocido",BBDD_fashion_boutique[[#This Row],[size]]))</f>
        <v>Accesorio</v>
      </c>
      <c r="G865" t="s">
        <v>76</v>
      </c>
      <c r="H865" s="2">
        <v>71.19</v>
      </c>
      <c r="I865">
        <v>0</v>
      </c>
      <c r="J865" s="5">
        <f>BBDD_fashion_boutique[[#This Row],[markdown_percentage]]/100</f>
        <v>0</v>
      </c>
      <c r="K865" s="2">
        <v>71.19</v>
      </c>
      <c r="L865" s="2">
        <f>BBDD_fashion_boutique[[#This Row],[original_price]]-BBDD_fashion_boutique[[#This Row],[current_price]]</f>
        <v>0</v>
      </c>
      <c r="M865" s="1">
        <v>45875</v>
      </c>
      <c r="N865" s="1" t="str">
        <f>PROPER(TEXT(BBDD_fashion_boutique[[#This Row],[purchase_date]],"dddd"))</f>
        <v>Miércoles</v>
      </c>
      <c r="O865" s="1" t="str">
        <f>PROPER(TEXT(BBDD_fashion_boutique[[#This Row],[purchase_date]],"mmmm"))</f>
        <v>Agosto</v>
      </c>
      <c r="P865" s="4">
        <v>14</v>
      </c>
      <c r="Q865" s="2">
        <v>2.8</v>
      </c>
      <c r="R865" t="str">
        <f>IF(BBDD_fashion_boutique[[#This Row],[stock_quantity]]&gt;9,"Ok",IF(BBDD_fashion_boutique[[#This Row],[stock_quantity]]=0,"Agotado","Pocas Unidades"))</f>
        <v>Ok</v>
      </c>
      <c r="S865" s="3">
        <f>IF(BBDD_fashion_boutique[[#This Row],[customer_rating]]="","No valorado",BBDD_fashion_boutique[[#This Row],[customer_rating]])</f>
        <v>2.8</v>
      </c>
      <c r="T865" t="s">
        <v>24</v>
      </c>
      <c r="V865">
        <f>IF(BBDD_fashion_boutique[[#This Row],[is_returned]]="False",0,1)</f>
        <v>0</v>
      </c>
      <c r="W865">
        <f>IF(BBDD_fashion_boutique[[#This Row],[is_returned]]="True",0,BBDD_fashion_boutique[[#This Row],[current_price]])</f>
        <v>71.19</v>
      </c>
      <c r="X865" t="str">
        <f>IF(BBDD_fashion_boutique[[#This Row],[return_reason]]="","No return",BBDD_fashion_boutique[[#This Row],[return_reason]])</f>
        <v>No return</v>
      </c>
      <c r="Y865">
        <f>IF(IFERROR(VLOOKUP(BBDD_fashion_boutique[[#This Row],[product_id]],A866:A3041,1,FALSE),0),1,0)</f>
        <v>0</v>
      </c>
    </row>
    <row r="866" spans="1:25" x14ac:dyDescent="0.3">
      <c r="A866" t="s">
        <v>925</v>
      </c>
      <c r="B866" t="s">
        <v>19</v>
      </c>
      <c r="C866" t="s">
        <v>81</v>
      </c>
      <c r="D866" t="s">
        <v>21</v>
      </c>
      <c r="E866" t="s">
        <v>45</v>
      </c>
      <c r="F866" t="str">
        <f>IF(BBDD_fashion_boutique[[#This Row],[category]]="Accessories","Accesorio",IF(BBDD_fashion_boutique[[#This Row],[size]]="","Desconocido",BBDD_fashion_boutique[[#This Row],[size]]))</f>
        <v>S</v>
      </c>
      <c r="G866" t="s">
        <v>70</v>
      </c>
      <c r="H866" s="2">
        <v>241.37</v>
      </c>
      <c r="I866">
        <v>44.9</v>
      </c>
      <c r="J866" s="5">
        <f>BBDD_fashion_boutique[[#This Row],[markdown_percentage]]/100</f>
        <v>0.44900000000000001</v>
      </c>
      <c r="K866" s="2">
        <v>132.99</v>
      </c>
      <c r="L866" s="2">
        <f>BBDD_fashion_boutique[[#This Row],[original_price]]-BBDD_fashion_boutique[[#This Row],[current_price]]</f>
        <v>108.38</v>
      </c>
      <c r="M866" s="1">
        <v>45792</v>
      </c>
      <c r="N866" s="1" t="str">
        <f>PROPER(TEXT(BBDD_fashion_boutique[[#This Row],[purchase_date]],"dddd"))</f>
        <v>Jueves</v>
      </c>
      <c r="O866" s="1" t="str">
        <f>PROPER(TEXT(BBDD_fashion_boutique[[#This Row],[purchase_date]],"mmmm"))</f>
        <v>Mayo</v>
      </c>
      <c r="P866" s="4">
        <v>23</v>
      </c>
      <c r="Q866" s="2">
        <v>2.1</v>
      </c>
      <c r="R866" t="str">
        <f>IF(BBDD_fashion_boutique[[#This Row],[stock_quantity]]&gt;9,"Ok",IF(BBDD_fashion_boutique[[#This Row],[stock_quantity]]=0,"Agotado","Pocas Unidades"))</f>
        <v>Ok</v>
      </c>
      <c r="S866" s="3">
        <f>IF(BBDD_fashion_boutique[[#This Row],[customer_rating]]="","No valorado",BBDD_fashion_boutique[[#This Row],[customer_rating]])</f>
        <v>2.1</v>
      </c>
      <c r="T866" t="s">
        <v>24</v>
      </c>
      <c r="V866">
        <f>IF(BBDD_fashion_boutique[[#This Row],[is_returned]]="False",0,1)</f>
        <v>0</v>
      </c>
      <c r="W866">
        <f>IF(BBDD_fashion_boutique[[#This Row],[is_returned]]="True",0,BBDD_fashion_boutique[[#This Row],[current_price]])</f>
        <v>132.99</v>
      </c>
      <c r="X866" t="str">
        <f>IF(BBDD_fashion_boutique[[#This Row],[return_reason]]="","No return",BBDD_fashion_boutique[[#This Row],[return_reason]])</f>
        <v>No return</v>
      </c>
      <c r="Y866">
        <f>IF(IFERROR(VLOOKUP(BBDD_fashion_boutique[[#This Row],[product_id]],A867:A3042,1,FALSE),0),1,0)</f>
        <v>0</v>
      </c>
    </row>
    <row r="867" spans="1:25" x14ac:dyDescent="0.3">
      <c r="A867" t="s">
        <v>926</v>
      </c>
      <c r="B867" t="s">
        <v>19</v>
      </c>
      <c r="C867" t="s">
        <v>67</v>
      </c>
      <c r="D867" t="s">
        <v>39</v>
      </c>
      <c r="E867" t="s">
        <v>55</v>
      </c>
      <c r="F867" t="str">
        <f>IF(BBDD_fashion_boutique[[#This Row],[category]]="Accessories","Accesorio",IF(BBDD_fashion_boutique[[#This Row],[size]]="","Desconocido",BBDD_fashion_boutique[[#This Row],[size]]))</f>
        <v>XXL</v>
      </c>
      <c r="G867" t="s">
        <v>50</v>
      </c>
      <c r="H867" s="2">
        <v>198.26</v>
      </c>
      <c r="I867">
        <v>51.3</v>
      </c>
      <c r="J867" s="5">
        <f>BBDD_fashion_boutique[[#This Row],[markdown_percentage]]/100</f>
        <v>0.51300000000000001</v>
      </c>
      <c r="K867" s="2">
        <v>96.55</v>
      </c>
      <c r="L867" s="2">
        <f>BBDD_fashion_boutique[[#This Row],[original_price]]-BBDD_fashion_boutique[[#This Row],[current_price]]</f>
        <v>101.71</v>
      </c>
      <c r="M867" s="1">
        <v>45875</v>
      </c>
      <c r="N867" s="1" t="str">
        <f>PROPER(TEXT(BBDD_fashion_boutique[[#This Row],[purchase_date]],"dddd"))</f>
        <v>Miércoles</v>
      </c>
      <c r="O867" s="1" t="str">
        <f>PROPER(TEXT(BBDD_fashion_boutique[[#This Row],[purchase_date]],"mmmm"))</f>
        <v>Agosto</v>
      </c>
      <c r="P867" s="4">
        <v>38</v>
      </c>
      <c r="R867" t="str">
        <f>IF(BBDD_fashion_boutique[[#This Row],[stock_quantity]]&gt;9,"Ok",IF(BBDD_fashion_boutique[[#This Row],[stock_quantity]]=0,"Agotado","Pocas Unidades"))</f>
        <v>Ok</v>
      </c>
      <c r="S867" s="3" t="str">
        <f>IF(BBDD_fashion_boutique[[#This Row],[customer_rating]]="","No valorado",BBDD_fashion_boutique[[#This Row],[customer_rating]])</f>
        <v>No valorado</v>
      </c>
      <c r="T867" t="s">
        <v>24</v>
      </c>
      <c r="V867">
        <f>IF(BBDD_fashion_boutique[[#This Row],[is_returned]]="False",0,1)</f>
        <v>0</v>
      </c>
      <c r="W867">
        <f>IF(BBDD_fashion_boutique[[#This Row],[is_returned]]="True",0,BBDD_fashion_boutique[[#This Row],[current_price]])</f>
        <v>96.55</v>
      </c>
      <c r="X867" t="str">
        <f>IF(BBDD_fashion_boutique[[#This Row],[return_reason]]="","No return",BBDD_fashion_boutique[[#This Row],[return_reason]])</f>
        <v>No return</v>
      </c>
      <c r="Y867">
        <f>IF(IFERROR(VLOOKUP(BBDD_fashion_boutique[[#This Row],[product_id]],A868:A3043,1,FALSE),0),1,0)</f>
        <v>0</v>
      </c>
    </row>
    <row r="868" spans="1:25" x14ac:dyDescent="0.3">
      <c r="A868" t="s">
        <v>927</v>
      </c>
      <c r="B868" t="s">
        <v>44</v>
      </c>
      <c r="C868" t="s">
        <v>59</v>
      </c>
      <c r="D868" t="s">
        <v>28</v>
      </c>
      <c r="E868" t="s">
        <v>55</v>
      </c>
      <c r="F868" t="str">
        <f>IF(BBDD_fashion_boutique[[#This Row],[category]]="Accessories","Accesorio",IF(BBDD_fashion_boutique[[#This Row],[size]]="","Desconocido",BBDD_fashion_boutique[[#This Row],[size]]))</f>
        <v>XXL</v>
      </c>
      <c r="G868" t="s">
        <v>62</v>
      </c>
      <c r="H868" s="2">
        <v>64.069999999999993</v>
      </c>
      <c r="I868">
        <v>0</v>
      </c>
      <c r="J868" s="5">
        <f>BBDD_fashion_boutique[[#This Row],[markdown_percentage]]/100</f>
        <v>0</v>
      </c>
      <c r="K868" s="2">
        <v>64.069999999999993</v>
      </c>
      <c r="L868" s="2">
        <f>BBDD_fashion_boutique[[#This Row],[original_price]]-BBDD_fashion_boutique[[#This Row],[current_price]]</f>
        <v>0</v>
      </c>
      <c r="M868" s="1">
        <v>45875</v>
      </c>
      <c r="N868" s="1" t="str">
        <f>PROPER(TEXT(BBDD_fashion_boutique[[#This Row],[purchase_date]],"dddd"))</f>
        <v>Miércoles</v>
      </c>
      <c r="O868" s="1" t="str">
        <f>PROPER(TEXT(BBDD_fashion_boutique[[#This Row],[purchase_date]],"mmmm"))</f>
        <v>Agosto</v>
      </c>
      <c r="P868" s="4">
        <v>34</v>
      </c>
      <c r="R868" t="str">
        <f>IF(BBDD_fashion_boutique[[#This Row],[stock_quantity]]&gt;9,"Ok",IF(BBDD_fashion_boutique[[#This Row],[stock_quantity]]=0,"Agotado","Pocas Unidades"))</f>
        <v>Ok</v>
      </c>
      <c r="S868" s="3" t="str">
        <f>IF(BBDD_fashion_boutique[[#This Row],[customer_rating]]="","No valorado",BBDD_fashion_boutique[[#This Row],[customer_rating]])</f>
        <v>No valorado</v>
      </c>
      <c r="T868" t="s">
        <v>24</v>
      </c>
      <c r="V868">
        <f>IF(BBDD_fashion_boutique[[#This Row],[is_returned]]="False",0,1)</f>
        <v>0</v>
      </c>
      <c r="W868">
        <f>IF(BBDD_fashion_boutique[[#This Row],[is_returned]]="True",0,BBDD_fashion_boutique[[#This Row],[current_price]])</f>
        <v>64.069999999999993</v>
      </c>
      <c r="X868" t="str">
        <f>IF(BBDD_fashion_boutique[[#This Row],[return_reason]]="","No return",BBDD_fashion_boutique[[#This Row],[return_reason]])</f>
        <v>No return</v>
      </c>
      <c r="Y868">
        <f>IF(IFERROR(VLOOKUP(BBDD_fashion_boutique[[#This Row],[product_id]],A869:A3044,1,FALSE),0),1,0)</f>
        <v>0</v>
      </c>
    </row>
    <row r="869" spans="1:25" x14ac:dyDescent="0.3">
      <c r="A869" t="s">
        <v>928</v>
      </c>
      <c r="B869" t="s">
        <v>44</v>
      </c>
      <c r="C869" t="s">
        <v>20</v>
      </c>
      <c r="D869" t="s">
        <v>39</v>
      </c>
      <c r="E869" t="s">
        <v>22</v>
      </c>
      <c r="F869" t="str">
        <f>IF(BBDD_fashion_boutique[[#This Row],[category]]="Accessories","Accesorio",IF(BBDD_fashion_boutique[[#This Row],[size]]="","Desconocido",BBDD_fashion_boutique[[#This Row],[size]]))</f>
        <v>XL</v>
      </c>
      <c r="G869" t="s">
        <v>46</v>
      </c>
      <c r="H869" s="2">
        <v>110.15</v>
      </c>
      <c r="I869">
        <v>10.4</v>
      </c>
      <c r="J869" s="5">
        <f>BBDD_fashion_boutique[[#This Row],[markdown_percentage]]/100</f>
        <v>0.10400000000000001</v>
      </c>
      <c r="K869" s="2">
        <v>98.69</v>
      </c>
      <c r="L869" s="2">
        <f>BBDD_fashion_boutique[[#This Row],[original_price]]-BBDD_fashion_boutique[[#This Row],[current_price]]</f>
        <v>11.460000000000008</v>
      </c>
      <c r="M869" s="1">
        <v>45875</v>
      </c>
      <c r="N869" s="1" t="str">
        <f>PROPER(TEXT(BBDD_fashion_boutique[[#This Row],[purchase_date]],"dddd"))</f>
        <v>Miércoles</v>
      </c>
      <c r="O869" s="1" t="str">
        <f>PROPER(TEXT(BBDD_fashion_boutique[[#This Row],[purchase_date]],"mmmm"))</f>
        <v>Agosto</v>
      </c>
      <c r="P869" s="4">
        <v>36</v>
      </c>
      <c r="Q869" s="2">
        <v>1.6</v>
      </c>
      <c r="R869" t="str">
        <f>IF(BBDD_fashion_boutique[[#This Row],[stock_quantity]]&gt;9,"Ok",IF(BBDD_fashion_boutique[[#This Row],[stock_quantity]]=0,"Agotado","Pocas Unidades"))</f>
        <v>Ok</v>
      </c>
      <c r="S869" s="3">
        <f>IF(BBDD_fashion_boutique[[#This Row],[customer_rating]]="","No valorado",BBDD_fashion_boutique[[#This Row],[customer_rating]])</f>
        <v>1.6</v>
      </c>
      <c r="T869" t="s">
        <v>24</v>
      </c>
      <c r="V869">
        <f>IF(BBDD_fashion_boutique[[#This Row],[is_returned]]="False",0,1)</f>
        <v>0</v>
      </c>
      <c r="W869">
        <f>IF(BBDD_fashion_boutique[[#This Row],[is_returned]]="True",0,BBDD_fashion_boutique[[#This Row],[current_price]])</f>
        <v>98.69</v>
      </c>
      <c r="X869" t="str">
        <f>IF(BBDD_fashion_boutique[[#This Row],[return_reason]]="","No return",BBDD_fashion_boutique[[#This Row],[return_reason]])</f>
        <v>No return</v>
      </c>
      <c r="Y869">
        <f>IF(IFERROR(VLOOKUP(BBDD_fashion_boutique[[#This Row],[product_id]],A870:A3045,1,FALSE),0),1,0)</f>
        <v>0</v>
      </c>
    </row>
    <row r="870" spans="1:25" x14ac:dyDescent="0.3">
      <c r="A870" t="s">
        <v>929</v>
      </c>
      <c r="B870" t="s">
        <v>19</v>
      </c>
      <c r="C870" t="s">
        <v>81</v>
      </c>
      <c r="D870" t="s">
        <v>21</v>
      </c>
      <c r="E870" t="s">
        <v>61</v>
      </c>
      <c r="F870" t="str">
        <f>IF(BBDD_fashion_boutique[[#This Row],[category]]="Accessories","Accesorio",IF(BBDD_fashion_boutique[[#This Row],[size]]="","Desconocido",BBDD_fashion_boutique[[#This Row],[size]]))</f>
        <v>XS</v>
      </c>
      <c r="G870" t="s">
        <v>50</v>
      </c>
      <c r="H870" s="2">
        <v>120.68</v>
      </c>
      <c r="I870">
        <v>0</v>
      </c>
      <c r="J870" s="5">
        <f>BBDD_fashion_boutique[[#This Row],[markdown_percentage]]/100</f>
        <v>0</v>
      </c>
      <c r="K870" s="2">
        <v>120.68</v>
      </c>
      <c r="L870" s="2">
        <f>BBDD_fashion_boutique[[#This Row],[original_price]]-BBDD_fashion_boutique[[#This Row],[current_price]]</f>
        <v>0</v>
      </c>
      <c r="M870" s="1">
        <v>45647</v>
      </c>
      <c r="N870" s="1" t="str">
        <f>PROPER(TEXT(BBDD_fashion_boutique[[#This Row],[purchase_date]],"dddd"))</f>
        <v>Sábado</v>
      </c>
      <c r="O870" s="1" t="str">
        <f>PROPER(TEXT(BBDD_fashion_boutique[[#This Row],[purchase_date]],"mmmm"))</f>
        <v>Diciembre</v>
      </c>
      <c r="P870" s="4">
        <v>6</v>
      </c>
      <c r="Q870" s="2">
        <v>1.9</v>
      </c>
      <c r="R870" t="str">
        <f>IF(BBDD_fashion_boutique[[#This Row],[stock_quantity]]&gt;9,"Ok",IF(BBDD_fashion_boutique[[#This Row],[stock_quantity]]=0,"Agotado","Pocas Unidades"))</f>
        <v>Pocas Unidades</v>
      </c>
      <c r="S870" s="3">
        <f>IF(BBDD_fashion_boutique[[#This Row],[customer_rating]]="","No valorado",BBDD_fashion_boutique[[#This Row],[customer_rating]])</f>
        <v>1.9</v>
      </c>
      <c r="T870" t="s">
        <v>24</v>
      </c>
      <c r="V870">
        <f>IF(BBDD_fashion_boutique[[#This Row],[is_returned]]="False",0,1)</f>
        <v>0</v>
      </c>
      <c r="W870">
        <f>IF(BBDD_fashion_boutique[[#This Row],[is_returned]]="True",0,BBDD_fashion_boutique[[#This Row],[current_price]])</f>
        <v>120.68</v>
      </c>
      <c r="X870" t="str">
        <f>IF(BBDD_fashion_boutique[[#This Row],[return_reason]]="","No return",BBDD_fashion_boutique[[#This Row],[return_reason]])</f>
        <v>No return</v>
      </c>
      <c r="Y870">
        <f>IF(IFERROR(VLOOKUP(BBDD_fashion_boutique[[#This Row],[product_id]],A871:A3046,1,FALSE),0),1,0)</f>
        <v>0</v>
      </c>
    </row>
    <row r="871" spans="1:25" x14ac:dyDescent="0.3">
      <c r="A871" t="s">
        <v>930</v>
      </c>
      <c r="B871" t="s">
        <v>32</v>
      </c>
      <c r="C871" t="s">
        <v>20</v>
      </c>
      <c r="D871" t="s">
        <v>39</v>
      </c>
      <c r="F871" t="str">
        <f>IF(BBDD_fashion_boutique[[#This Row],[category]]="Accessories","Accesorio",IF(BBDD_fashion_boutique[[#This Row],[size]]="","Desconocido",BBDD_fashion_boutique[[#This Row],[size]]))</f>
        <v>Accesorio</v>
      </c>
      <c r="G871" t="s">
        <v>33</v>
      </c>
      <c r="H871" s="2">
        <v>69.180000000000007</v>
      </c>
      <c r="I871">
        <v>31</v>
      </c>
      <c r="J871" s="5">
        <f>BBDD_fashion_boutique[[#This Row],[markdown_percentage]]/100</f>
        <v>0.31</v>
      </c>
      <c r="K871" s="2">
        <v>47.73</v>
      </c>
      <c r="L871" s="2">
        <f>BBDD_fashion_boutique[[#This Row],[original_price]]-BBDD_fashion_boutique[[#This Row],[current_price]]</f>
        <v>21.45000000000001</v>
      </c>
      <c r="M871" s="1">
        <v>45875</v>
      </c>
      <c r="N871" s="1" t="str">
        <f>PROPER(TEXT(BBDD_fashion_boutique[[#This Row],[purchase_date]],"dddd"))</f>
        <v>Miércoles</v>
      </c>
      <c r="O871" s="1" t="str">
        <f>PROPER(TEXT(BBDD_fashion_boutique[[#This Row],[purchase_date]],"mmmm"))</f>
        <v>Agosto</v>
      </c>
      <c r="P871" s="4">
        <v>9</v>
      </c>
      <c r="Q871" s="2">
        <v>2.7</v>
      </c>
      <c r="R871" t="str">
        <f>IF(BBDD_fashion_boutique[[#This Row],[stock_quantity]]&gt;9,"Ok",IF(BBDD_fashion_boutique[[#This Row],[stock_quantity]]=0,"Agotado","Pocas Unidades"))</f>
        <v>Pocas Unidades</v>
      </c>
      <c r="S871" s="3">
        <f>IF(BBDD_fashion_boutique[[#This Row],[customer_rating]]="","No valorado",BBDD_fashion_boutique[[#This Row],[customer_rating]])</f>
        <v>2.7</v>
      </c>
      <c r="T871" t="s">
        <v>41</v>
      </c>
      <c r="U871" t="s">
        <v>79</v>
      </c>
      <c r="V871">
        <f>IF(BBDD_fashion_boutique[[#This Row],[is_returned]]="False",0,1)</f>
        <v>1</v>
      </c>
      <c r="W871">
        <f>IF(BBDD_fashion_boutique[[#This Row],[is_returned]]="True",0,BBDD_fashion_boutique[[#This Row],[current_price]])</f>
        <v>0</v>
      </c>
      <c r="X871" t="str">
        <f>IF(BBDD_fashion_boutique[[#This Row],[return_reason]]="","No return",BBDD_fashion_boutique[[#This Row],[return_reason]])</f>
        <v>Size Issue</v>
      </c>
      <c r="Y871">
        <f>IF(IFERROR(VLOOKUP(BBDD_fashion_boutique[[#This Row],[product_id]],A872:A3047,1,FALSE),0),1,0)</f>
        <v>0</v>
      </c>
    </row>
    <row r="872" spans="1:25" x14ac:dyDescent="0.3">
      <c r="A872" t="s">
        <v>931</v>
      </c>
      <c r="B872" t="s">
        <v>48</v>
      </c>
      <c r="C872" t="s">
        <v>59</v>
      </c>
      <c r="D872" t="s">
        <v>39</v>
      </c>
      <c r="E872" t="s">
        <v>29</v>
      </c>
      <c r="F872" t="str">
        <f>IF(BBDD_fashion_boutique[[#This Row],[category]]="Accessories","Accesorio",IF(BBDD_fashion_boutique[[#This Row],[size]]="","Desconocido",BBDD_fashion_boutique[[#This Row],[size]]))</f>
        <v>L</v>
      </c>
      <c r="G872" t="s">
        <v>23</v>
      </c>
      <c r="H872" s="2">
        <v>134.77000000000001</v>
      </c>
      <c r="I872">
        <v>0</v>
      </c>
      <c r="J872" s="5">
        <f>BBDD_fashion_boutique[[#This Row],[markdown_percentage]]/100</f>
        <v>0</v>
      </c>
      <c r="K872" s="2">
        <v>134.77000000000001</v>
      </c>
      <c r="L872" s="2">
        <f>BBDD_fashion_boutique[[#This Row],[original_price]]-BBDD_fashion_boutique[[#This Row],[current_price]]</f>
        <v>0</v>
      </c>
      <c r="M872" s="1">
        <v>45875</v>
      </c>
      <c r="N872" s="1" t="str">
        <f>PROPER(TEXT(BBDD_fashion_boutique[[#This Row],[purchase_date]],"dddd"))</f>
        <v>Miércoles</v>
      </c>
      <c r="O872" s="1" t="str">
        <f>PROPER(TEXT(BBDD_fashion_boutique[[#This Row],[purchase_date]],"mmmm"))</f>
        <v>Agosto</v>
      </c>
      <c r="P872" s="4">
        <v>36</v>
      </c>
      <c r="Q872" s="2">
        <v>4.8</v>
      </c>
      <c r="R872" t="str">
        <f>IF(BBDD_fashion_boutique[[#This Row],[stock_quantity]]&gt;9,"Ok",IF(BBDD_fashion_boutique[[#This Row],[stock_quantity]]=0,"Agotado","Pocas Unidades"))</f>
        <v>Ok</v>
      </c>
      <c r="S872" s="3">
        <f>IF(BBDD_fashion_boutique[[#This Row],[customer_rating]]="","No valorado",BBDD_fashion_boutique[[#This Row],[customer_rating]])</f>
        <v>4.8</v>
      </c>
      <c r="T872" t="s">
        <v>24</v>
      </c>
      <c r="V872">
        <f>IF(BBDD_fashion_boutique[[#This Row],[is_returned]]="False",0,1)</f>
        <v>0</v>
      </c>
      <c r="W872">
        <f>IF(BBDD_fashion_boutique[[#This Row],[is_returned]]="True",0,BBDD_fashion_boutique[[#This Row],[current_price]])</f>
        <v>134.77000000000001</v>
      </c>
      <c r="X872" t="str">
        <f>IF(BBDD_fashion_boutique[[#This Row],[return_reason]]="","No return",BBDD_fashion_boutique[[#This Row],[return_reason]])</f>
        <v>No return</v>
      </c>
      <c r="Y872">
        <f>IF(IFERROR(VLOOKUP(BBDD_fashion_boutique[[#This Row],[product_id]],A873:A3048,1,FALSE),0),1,0)</f>
        <v>0</v>
      </c>
    </row>
    <row r="873" spans="1:25" x14ac:dyDescent="0.3">
      <c r="A873" t="s">
        <v>932</v>
      </c>
      <c r="B873" t="s">
        <v>26</v>
      </c>
      <c r="C873" t="s">
        <v>27</v>
      </c>
      <c r="D873" t="s">
        <v>21</v>
      </c>
      <c r="E873" t="s">
        <v>45</v>
      </c>
      <c r="F873" t="str">
        <f>IF(BBDD_fashion_boutique[[#This Row],[category]]="Accessories","Accesorio",IF(BBDD_fashion_boutique[[#This Row],[size]]="","Desconocido",BBDD_fashion_boutique[[#This Row],[size]]))</f>
        <v>S</v>
      </c>
      <c r="G873" t="s">
        <v>33</v>
      </c>
      <c r="H873" s="2">
        <v>29.93</v>
      </c>
      <c r="I873">
        <v>0</v>
      </c>
      <c r="J873" s="5">
        <f>BBDD_fashion_boutique[[#This Row],[markdown_percentage]]/100</f>
        <v>0</v>
      </c>
      <c r="K873" s="2">
        <v>29.93</v>
      </c>
      <c r="L873" s="2">
        <f>BBDD_fashion_boutique[[#This Row],[original_price]]-BBDD_fashion_boutique[[#This Row],[current_price]]</f>
        <v>0</v>
      </c>
      <c r="M873" s="1">
        <v>45575</v>
      </c>
      <c r="N873" s="1" t="str">
        <f>PROPER(TEXT(BBDD_fashion_boutique[[#This Row],[purchase_date]],"dddd"))</f>
        <v>Jueves</v>
      </c>
      <c r="O873" s="1" t="str">
        <f>PROPER(TEXT(BBDD_fashion_boutique[[#This Row],[purchase_date]],"mmmm"))</f>
        <v>Octubre</v>
      </c>
      <c r="P873" s="4">
        <v>13</v>
      </c>
      <c r="R873" t="str">
        <f>IF(BBDD_fashion_boutique[[#This Row],[stock_quantity]]&gt;9,"Ok",IF(BBDD_fashion_boutique[[#This Row],[stock_quantity]]=0,"Agotado","Pocas Unidades"))</f>
        <v>Ok</v>
      </c>
      <c r="S873" s="3" t="str">
        <f>IF(BBDD_fashion_boutique[[#This Row],[customer_rating]]="","No valorado",BBDD_fashion_boutique[[#This Row],[customer_rating]])</f>
        <v>No valorado</v>
      </c>
      <c r="T873" t="s">
        <v>24</v>
      </c>
      <c r="V873">
        <f>IF(BBDD_fashion_boutique[[#This Row],[is_returned]]="False",0,1)</f>
        <v>0</v>
      </c>
      <c r="W873">
        <f>IF(BBDD_fashion_boutique[[#This Row],[is_returned]]="True",0,BBDD_fashion_boutique[[#This Row],[current_price]])</f>
        <v>29.93</v>
      </c>
      <c r="X873" t="str">
        <f>IF(BBDD_fashion_boutique[[#This Row],[return_reason]]="","No return",BBDD_fashion_boutique[[#This Row],[return_reason]])</f>
        <v>No return</v>
      </c>
      <c r="Y873">
        <f>IF(IFERROR(VLOOKUP(BBDD_fashion_boutique[[#This Row],[product_id]],A874:A3049,1,FALSE),0),1,0)</f>
        <v>0</v>
      </c>
    </row>
    <row r="874" spans="1:25" x14ac:dyDescent="0.3">
      <c r="A874" t="s">
        <v>933</v>
      </c>
      <c r="B874" t="s">
        <v>32</v>
      </c>
      <c r="C874" t="s">
        <v>67</v>
      </c>
      <c r="D874" t="s">
        <v>28</v>
      </c>
      <c r="F874" t="str">
        <f>IF(BBDD_fashion_boutique[[#This Row],[category]]="Accessories","Accesorio",IF(BBDD_fashion_boutique[[#This Row],[size]]="","Desconocido",BBDD_fashion_boutique[[#This Row],[size]]))</f>
        <v>Accesorio</v>
      </c>
      <c r="G874" t="s">
        <v>40</v>
      </c>
      <c r="H874" s="2">
        <v>56.09</v>
      </c>
      <c r="I874">
        <v>0</v>
      </c>
      <c r="J874" s="5">
        <f>BBDD_fashion_boutique[[#This Row],[markdown_percentage]]/100</f>
        <v>0</v>
      </c>
      <c r="K874" s="2">
        <v>56.09</v>
      </c>
      <c r="L874" s="2">
        <f>BBDD_fashion_boutique[[#This Row],[original_price]]-BBDD_fashion_boutique[[#This Row],[current_price]]</f>
        <v>0</v>
      </c>
      <c r="M874" s="1">
        <v>45875</v>
      </c>
      <c r="N874" s="1" t="str">
        <f>PROPER(TEXT(BBDD_fashion_boutique[[#This Row],[purchase_date]],"dddd"))</f>
        <v>Miércoles</v>
      </c>
      <c r="O874" s="1" t="str">
        <f>PROPER(TEXT(BBDD_fashion_boutique[[#This Row],[purchase_date]],"mmmm"))</f>
        <v>Agosto</v>
      </c>
      <c r="P874" s="4">
        <v>21</v>
      </c>
      <c r="Q874" s="2">
        <v>4.9000000000000004</v>
      </c>
      <c r="R874" t="str">
        <f>IF(BBDD_fashion_boutique[[#This Row],[stock_quantity]]&gt;9,"Ok",IF(BBDD_fashion_boutique[[#This Row],[stock_quantity]]=0,"Agotado","Pocas Unidades"))</f>
        <v>Ok</v>
      </c>
      <c r="S874" s="3">
        <f>IF(BBDD_fashion_boutique[[#This Row],[customer_rating]]="","No valorado",BBDD_fashion_boutique[[#This Row],[customer_rating]])</f>
        <v>4.9000000000000004</v>
      </c>
      <c r="T874" t="s">
        <v>24</v>
      </c>
      <c r="V874">
        <f>IF(BBDD_fashion_boutique[[#This Row],[is_returned]]="False",0,1)</f>
        <v>0</v>
      </c>
      <c r="W874">
        <f>IF(BBDD_fashion_boutique[[#This Row],[is_returned]]="True",0,BBDD_fashion_boutique[[#This Row],[current_price]])</f>
        <v>56.09</v>
      </c>
      <c r="X874" t="str">
        <f>IF(BBDD_fashion_boutique[[#This Row],[return_reason]]="","No return",BBDD_fashion_boutique[[#This Row],[return_reason]])</f>
        <v>No return</v>
      </c>
      <c r="Y874">
        <f>IF(IFERROR(VLOOKUP(BBDD_fashion_boutique[[#This Row],[product_id]],A875:A3050,1,FALSE),0),1,0)</f>
        <v>0</v>
      </c>
    </row>
    <row r="875" spans="1:25" x14ac:dyDescent="0.3">
      <c r="A875" t="s">
        <v>934</v>
      </c>
      <c r="B875" t="s">
        <v>35</v>
      </c>
      <c r="C875" t="s">
        <v>67</v>
      </c>
      <c r="D875" t="s">
        <v>39</v>
      </c>
      <c r="E875" t="s">
        <v>61</v>
      </c>
      <c r="F875" t="str">
        <f>IF(BBDD_fashion_boutique[[#This Row],[category]]="Accessories","Accesorio",IF(BBDD_fashion_boutique[[#This Row],[size]]="","Desconocido",BBDD_fashion_boutique[[#This Row],[size]]))</f>
        <v>XS</v>
      </c>
      <c r="G875" t="s">
        <v>52</v>
      </c>
      <c r="H875" s="2">
        <v>124.81</v>
      </c>
      <c r="I875">
        <v>33.1</v>
      </c>
      <c r="J875" s="5">
        <f>BBDD_fashion_boutique[[#This Row],[markdown_percentage]]/100</f>
        <v>0.33100000000000002</v>
      </c>
      <c r="K875" s="2">
        <v>83.5</v>
      </c>
      <c r="L875" s="2">
        <f>BBDD_fashion_boutique[[#This Row],[original_price]]-BBDD_fashion_boutique[[#This Row],[current_price]]</f>
        <v>41.31</v>
      </c>
      <c r="M875" s="1">
        <v>45875</v>
      </c>
      <c r="N875" s="1" t="str">
        <f>PROPER(TEXT(BBDD_fashion_boutique[[#This Row],[purchase_date]],"dddd"))</f>
        <v>Miércoles</v>
      </c>
      <c r="O875" s="1" t="str">
        <f>PROPER(TEXT(BBDD_fashion_boutique[[#This Row],[purchase_date]],"mmmm"))</f>
        <v>Agosto</v>
      </c>
      <c r="P875" s="4">
        <v>45</v>
      </c>
      <c r="Q875" s="2">
        <v>2.4</v>
      </c>
      <c r="R875" t="str">
        <f>IF(BBDD_fashion_boutique[[#This Row],[stock_quantity]]&gt;9,"Ok",IF(BBDD_fashion_boutique[[#This Row],[stock_quantity]]=0,"Agotado","Pocas Unidades"))</f>
        <v>Ok</v>
      </c>
      <c r="S875" s="3">
        <f>IF(BBDD_fashion_boutique[[#This Row],[customer_rating]]="","No valorado",BBDD_fashion_boutique[[#This Row],[customer_rating]])</f>
        <v>2.4</v>
      </c>
      <c r="T875" t="s">
        <v>24</v>
      </c>
      <c r="V875">
        <f>IF(BBDD_fashion_boutique[[#This Row],[is_returned]]="False",0,1)</f>
        <v>0</v>
      </c>
      <c r="W875">
        <f>IF(BBDD_fashion_boutique[[#This Row],[is_returned]]="True",0,BBDD_fashion_boutique[[#This Row],[current_price]])</f>
        <v>83.5</v>
      </c>
      <c r="X875" t="str">
        <f>IF(BBDD_fashion_boutique[[#This Row],[return_reason]]="","No return",BBDD_fashion_boutique[[#This Row],[return_reason]])</f>
        <v>No return</v>
      </c>
      <c r="Y875">
        <f>IF(IFERROR(VLOOKUP(BBDD_fashion_boutique[[#This Row],[product_id]],A876:A3051,1,FALSE),0),1,0)</f>
        <v>0</v>
      </c>
    </row>
    <row r="876" spans="1:25" x14ac:dyDescent="0.3">
      <c r="A876" t="s">
        <v>935</v>
      </c>
      <c r="B876" t="s">
        <v>48</v>
      </c>
      <c r="C876" t="s">
        <v>20</v>
      </c>
      <c r="D876" t="s">
        <v>21</v>
      </c>
      <c r="E876" t="s">
        <v>64</v>
      </c>
      <c r="F876" t="str">
        <f>IF(BBDD_fashion_boutique[[#This Row],[category]]="Accessories","Accesorio",IF(BBDD_fashion_boutique[[#This Row],[size]]="","Desconocido",BBDD_fashion_boutique[[#This Row],[size]]))</f>
        <v>M</v>
      </c>
      <c r="G876" t="s">
        <v>40</v>
      </c>
      <c r="H876" s="2">
        <v>94.03</v>
      </c>
      <c r="I876">
        <v>56.1</v>
      </c>
      <c r="J876" s="5">
        <f>BBDD_fashion_boutique[[#This Row],[markdown_percentage]]/100</f>
        <v>0.56100000000000005</v>
      </c>
      <c r="K876" s="2">
        <v>41.28</v>
      </c>
      <c r="L876" s="2">
        <f>BBDD_fashion_boutique[[#This Row],[original_price]]-BBDD_fashion_boutique[[#This Row],[current_price]]</f>
        <v>52.75</v>
      </c>
      <c r="M876" s="1">
        <v>45642</v>
      </c>
      <c r="N876" s="1" t="str">
        <f>PROPER(TEXT(BBDD_fashion_boutique[[#This Row],[purchase_date]],"dddd"))</f>
        <v>Lunes</v>
      </c>
      <c r="O876" s="1" t="str">
        <f>PROPER(TEXT(BBDD_fashion_boutique[[#This Row],[purchase_date]],"mmmm"))</f>
        <v>Diciembre</v>
      </c>
      <c r="P876" s="4">
        <v>16</v>
      </c>
      <c r="Q876" s="2">
        <v>1.2</v>
      </c>
      <c r="R876" t="str">
        <f>IF(BBDD_fashion_boutique[[#This Row],[stock_quantity]]&gt;9,"Ok",IF(BBDD_fashion_boutique[[#This Row],[stock_quantity]]=0,"Agotado","Pocas Unidades"))</f>
        <v>Ok</v>
      </c>
      <c r="S876" s="3">
        <f>IF(BBDD_fashion_boutique[[#This Row],[customer_rating]]="","No valorado",BBDD_fashion_boutique[[#This Row],[customer_rating]])</f>
        <v>1.2</v>
      </c>
      <c r="T876" t="s">
        <v>24</v>
      </c>
      <c r="V876">
        <f>IF(BBDD_fashion_boutique[[#This Row],[is_returned]]="False",0,1)</f>
        <v>0</v>
      </c>
      <c r="W876">
        <f>IF(BBDD_fashion_boutique[[#This Row],[is_returned]]="True",0,BBDD_fashion_boutique[[#This Row],[current_price]])</f>
        <v>41.28</v>
      </c>
      <c r="X876" t="str">
        <f>IF(BBDD_fashion_boutique[[#This Row],[return_reason]]="","No return",BBDD_fashion_boutique[[#This Row],[return_reason]])</f>
        <v>No return</v>
      </c>
      <c r="Y876">
        <f>IF(IFERROR(VLOOKUP(BBDD_fashion_boutique[[#This Row],[product_id]],A877:A3052,1,FALSE),0),1,0)</f>
        <v>0</v>
      </c>
    </row>
    <row r="877" spans="1:25" x14ac:dyDescent="0.3">
      <c r="A877" t="s">
        <v>936</v>
      </c>
      <c r="B877" t="s">
        <v>35</v>
      </c>
      <c r="C877" t="s">
        <v>20</v>
      </c>
      <c r="D877" t="s">
        <v>39</v>
      </c>
      <c r="E877" t="s">
        <v>61</v>
      </c>
      <c r="F877" t="str">
        <f>IF(BBDD_fashion_boutique[[#This Row],[category]]="Accessories","Accesorio",IF(BBDD_fashion_boutique[[#This Row],[size]]="","Desconocido",BBDD_fashion_boutique[[#This Row],[size]]))</f>
        <v>XS</v>
      </c>
      <c r="G877" t="s">
        <v>23</v>
      </c>
      <c r="H877" s="2">
        <v>109.51</v>
      </c>
      <c r="I877">
        <v>8.1999999999999993</v>
      </c>
      <c r="J877" s="5">
        <f>BBDD_fashion_boutique[[#This Row],[markdown_percentage]]/100</f>
        <v>8.199999999999999E-2</v>
      </c>
      <c r="K877" s="2">
        <v>100.53</v>
      </c>
      <c r="L877" s="2">
        <f>BBDD_fashion_boutique[[#This Row],[original_price]]-BBDD_fashion_boutique[[#This Row],[current_price]]</f>
        <v>8.980000000000004</v>
      </c>
      <c r="M877" s="1">
        <v>45875</v>
      </c>
      <c r="N877" s="1" t="str">
        <f>PROPER(TEXT(BBDD_fashion_boutique[[#This Row],[purchase_date]],"dddd"))</f>
        <v>Miércoles</v>
      </c>
      <c r="O877" s="1" t="str">
        <f>PROPER(TEXT(BBDD_fashion_boutique[[#This Row],[purchase_date]],"mmmm"))</f>
        <v>Agosto</v>
      </c>
      <c r="P877" s="4">
        <v>12</v>
      </c>
      <c r="R877" t="str">
        <f>IF(BBDD_fashion_boutique[[#This Row],[stock_quantity]]&gt;9,"Ok",IF(BBDD_fashion_boutique[[#This Row],[stock_quantity]]=0,"Agotado","Pocas Unidades"))</f>
        <v>Ok</v>
      </c>
      <c r="S877" s="3" t="str">
        <f>IF(BBDD_fashion_boutique[[#This Row],[customer_rating]]="","No valorado",BBDD_fashion_boutique[[#This Row],[customer_rating]])</f>
        <v>No valorado</v>
      </c>
      <c r="T877" t="s">
        <v>24</v>
      </c>
      <c r="V877">
        <f>IF(BBDD_fashion_boutique[[#This Row],[is_returned]]="False",0,1)</f>
        <v>0</v>
      </c>
      <c r="W877">
        <f>IF(BBDD_fashion_boutique[[#This Row],[is_returned]]="True",0,BBDD_fashion_boutique[[#This Row],[current_price]])</f>
        <v>100.53</v>
      </c>
      <c r="X877" t="str">
        <f>IF(BBDD_fashion_boutique[[#This Row],[return_reason]]="","No return",BBDD_fashion_boutique[[#This Row],[return_reason]])</f>
        <v>No return</v>
      </c>
      <c r="Y877">
        <f>IF(IFERROR(VLOOKUP(BBDD_fashion_boutique[[#This Row],[product_id]],A878:A3053,1,FALSE),0),1,0)</f>
        <v>0</v>
      </c>
    </row>
    <row r="878" spans="1:25" x14ac:dyDescent="0.3">
      <c r="A878" t="s">
        <v>937</v>
      </c>
      <c r="B878" t="s">
        <v>32</v>
      </c>
      <c r="C878" t="s">
        <v>49</v>
      </c>
      <c r="D878" t="s">
        <v>28</v>
      </c>
      <c r="F878" t="str">
        <f>IF(BBDD_fashion_boutique[[#This Row],[category]]="Accessories","Accesorio",IF(BBDD_fashion_boutique[[#This Row],[size]]="","Desconocido",BBDD_fashion_boutique[[#This Row],[size]]))</f>
        <v>Accesorio</v>
      </c>
      <c r="G878" t="s">
        <v>70</v>
      </c>
      <c r="H878" s="2">
        <v>31.13</v>
      </c>
      <c r="I878">
        <v>0</v>
      </c>
      <c r="J878" s="5">
        <f>BBDD_fashion_boutique[[#This Row],[markdown_percentage]]/100</f>
        <v>0</v>
      </c>
      <c r="K878" s="2">
        <v>31.13</v>
      </c>
      <c r="L878" s="2">
        <f>BBDD_fashion_boutique[[#This Row],[original_price]]-BBDD_fashion_boutique[[#This Row],[current_price]]</f>
        <v>0</v>
      </c>
      <c r="M878" s="1">
        <v>45875</v>
      </c>
      <c r="N878" s="1" t="str">
        <f>PROPER(TEXT(BBDD_fashion_boutique[[#This Row],[purchase_date]],"dddd"))</f>
        <v>Miércoles</v>
      </c>
      <c r="O878" s="1" t="str">
        <f>PROPER(TEXT(BBDD_fashion_boutique[[#This Row],[purchase_date]],"mmmm"))</f>
        <v>Agosto</v>
      </c>
      <c r="P878" s="4">
        <v>29</v>
      </c>
      <c r="Q878" s="2">
        <v>4.7</v>
      </c>
      <c r="R878" t="str">
        <f>IF(BBDD_fashion_boutique[[#This Row],[stock_quantity]]&gt;9,"Ok",IF(BBDD_fashion_boutique[[#This Row],[stock_quantity]]=0,"Agotado","Pocas Unidades"))</f>
        <v>Ok</v>
      </c>
      <c r="S878" s="3">
        <f>IF(BBDD_fashion_boutique[[#This Row],[customer_rating]]="","No valorado",BBDD_fashion_boutique[[#This Row],[customer_rating]])</f>
        <v>4.7</v>
      </c>
      <c r="T878" t="s">
        <v>24</v>
      </c>
      <c r="V878">
        <f>IF(BBDD_fashion_boutique[[#This Row],[is_returned]]="False",0,1)</f>
        <v>0</v>
      </c>
      <c r="W878">
        <f>IF(BBDD_fashion_boutique[[#This Row],[is_returned]]="True",0,BBDD_fashion_boutique[[#This Row],[current_price]])</f>
        <v>31.13</v>
      </c>
      <c r="X878" t="str">
        <f>IF(BBDD_fashion_boutique[[#This Row],[return_reason]]="","No return",BBDD_fashion_boutique[[#This Row],[return_reason]])</f>
        <v>No return</v>
      </c>
      <c r="Y878">
        <f>IF(IFERROR(VLOOKUP(BBDD_fashion_boutique[[#This Row],[product_id]],A879:A3054,1,FALSE),0),1,0)</f>
        <v>0</v>
      </c>
    </row>
    <row r="879" spans="1:25" x14ac:dyDescent="0.3">
      <c r="A879" t="s">
        <v>938</v>
      </c>
      <c r="B879" t="s">
        <v>32</v>
      </c>
      <c r="C879" t="s">
        <v>37</v>
      </c>
      <c r="D879" t="s">
        <v>39</v>
      </c>
      <c r="F879" t="str">
        <f>IF(BBDD_fashion_boutique[[#This Row],[category]]="Accessories","Accesorio",IF(BBDD_fashion_boutique[[#This Row],[size]]="","Desconocido",BBDD_fashion_boutique[[#This Row],[size]]))</f>
        <v>Accesorio</v>
      </c>
      <c r="G879" t="s">
        <v>50</v>
      </c>
      <c r="H879" s="2">
        <v>66.3</v>
      </c>
      <c r="I879">
        <v>1.7</v>
      </c>
      <c r="J879" s="5">
        <f>BBDD_fashion_boutique[[#This Row],[markdown_percentage]]/100</f>
        <v>1.7000000000000001E-2</v>
      </c>
      <c r="K879" s="2">
        <v>65.17</v>
      </c>
      <c r="L879" s="2">
        <f>BBDD_fashion_boutique[[#This Row],[original_price]]-BBDD_fashion_boutique[[#This Row],[current_price]]</f>
        <v>1.1299999999999955</v>
      </c>
      <c r="M879" s="1">
        <v>45875</v>
      </c>
      <c r="N879" s="1" t="str">
        <f>PROPER(TEXT(BBDD_fashion_boutique[[#This Row],[purchase_date]],"dddd"))</f>
        <v>Miércoles</v>
      </c>
      <c r="O879" s="1" t="str">
        <f>PROPER(TEXT(BBDD_fashion_boutique[[#This Row],[purchase_date]],"mmmm"))</f>
        <v>Agosto</v>
      </c>
      <c r="P879" s="4">
        <v>28</v>
      </c>
      <c r="Q879" s="2">
        <v>1.6</v>
      </c>
      <c r="R879" t="str">
        <f>IF(BBDD_fashion_boutique[[#This Row],[stock_quantity]]&gt;9,"Ok",IF(BBDD_fashion_boutique[[#This Row],[stock_quantity]]=0,"Agotado","Pocas Unidades"))</f>
        <v>Ok</v>
      </c>
      <c r="S879" s="3">
        <f>IF(BBDD_fashion_boutique[[#This Row],[customer_rating]]="","No valorado",BBDD_fashion_boutique[[#This Row],[customer_rating]])</f>
        <v>1.6</v>
      </c>
      <c r="T879" t="s">
        <v>24</v>
      </c>
      <c r="V879">
        <f>IF(BBDD_fashion_boutique[[#This Row],[is_returned]]="False",0,1)</f>
        <v>0</v>
      </c>
      <c r="W879">
        <f>IF(BBDD_fashion_boutique[[#This Row],[is_returned]]="True",0,BBDD_fashion_boutique[[#This Row],[current_price]])</f>
        <v>65.17</v>
      </c>
      <c r="X879" t="str">
        <f>IF(BBDD_fashion_boutique[[#This Row],[return_reason]]="","No return",BBDD_fashion_boutique[[#This Row],[return_reason]])</f>
        <v>No return</v>
      </c>
      <c r="Y879">
        <f>IF(IFERROR(VLOOKUP(BBDD_fashion_boutique[[#This Row],[product_id]],A880:A3055,1,FALSE),0),1,0)</f>
        <v>0</v>
      </c>
    </row>
    <row r="880" spans="1:25" x14ac:dyDescent="0.3">
      <c r="A880" t="s">
        <v>939</v>
      </c>
      <c r="B880" t="s">
        <v>44</v>
      </c>
      <c r="C880" t="s">
        <v>54</v>
      </c>
      <c r="D880" t="s">
        <v>28</v>
      </c>
      <c r="E880" t="s">
        <v>64</v>
      </c>
      <c r="F880" t="str">
        <f>IF(BBDD_fashion_boutique[[#This Row],[category]]="Accessories","Accesorio",IF(BBDD_fashion_boutique[[#This Row],[size]]="","Desconocido",BBDD_fashion_boutique[[#This Row],[size]]))</f>
        <v>M</v>
      </c>
      <c r="G880" t="s">
        <v>23</v>
      </c>
      <c r="H880" s="2">
        <v>66.63</v>
      </c>
      <c r="I880">
        <v>28.4</v>
      </c>
      <c r="J880" s="5">
        <f>BBDD_fashion_boutique[[#This Row],[markdown_percentage]]/100</f>
        <v>0.28399999999999997</v>
      </c>
      <c r="K880" s="2">
        <v>47.71</v>
      </c>
      <c r="L880" s="2">
        <f>BBDD_fashion_boutique[[#This Row],[original_price]]-BBDD_fashion_boutique[[#This Row],[current_price]]</f>
        <v>18.919999999999995</v>
      </c>
      <c r="M880" s="1">
        <v>45875</v>
      </c>
      <c r="N880" s="1" t="str">
        <f>PROPER(TEXT(BBDD_fashion_boutique[[#This Row],[purchase_date]],"dddd"))</f>
        <v>Miércoles</v>
      </c>
      <c r="O880" s="1" t="str">
        <f>PROPER(TEXT(BBDD_fashion_boutique[[#This Row],[purchase_date]],"mmmm"))</f>
        <v>Agosto</v>
      </c>
      <c r="P880" s="4">
        <v>32</v>
      </c>
      <c r="Q880" s="2">
        <v>2</v>
      </c>
      <c r="R880" t="str">
        <f>IF(BBDD_fashion_boutique[[#This Row],[stock_quantity]]&gt;9,"Ok",IF(BBDD_fashion_boutique[[#This Row],[stock_quantity]]=0,"Agotado","Pocas Unidades"))</f>
        <v>Ok</v>
      </c>
      <c r="S880" s="3">
        <f>IF(BBDD_fashion_boutique[[#This Row],[customer_rating]]="","No valorado",BBDD_fashion_boutique[[#This Row],[customer_rating]])</f>
        <v>2</v>
      </c>
      <c r="T880" t="s">
        <v>24</v>
      </c>
      <c r="V880">
        <f>IF(BBDD_fashion_boutique[[#This Row],[is_returned]]="False",0,1)</f>
        <v>0</v>
      </c>
      <c r="W880">
        <f>IF(BBDD_fashion_boutique[[#This Row],[is_returned]]="True",0,BBDD_fashion_boutique[[#This Row],[current_price]])</f>
        <v>47.71</v>
      </c>
      <c r="X880" t="str">
        <f>IF(BBDD_fashion_boutique[[#This Row],[return_reason]]="","No return",BBDD_fashion_boutique[[#This Row],[return_reason]])</f>
        <v>No return</v>
      </c>
      <c r="Y880">
        <f>IF(IFERROR(VLOOKUP(BBDD_fashion_boutique[[#This Row],[product_id]],A881:A3056,1,FALSE),0),1,0)</f>
        <v>0</v>
      </c>
    </row>
    <row r="881" spans="1:25" x14ac:dyDescent="0.3">
      <c r="A881" t="s">
        <v>940</v>
      </c>
      <c r="B881" t="s">
        <v>44</v>
      </c>
      <c r="C881" t="s">
        <v>49</v>
      </c>
      <c r="D881" t="s">
        <v>21</v>
      </c>
      <c r="E881" t="s">
        <v>29</v>
      </c>
      <c r="F881" t="str">
        <f>IF(BBDD_fashion_boutique[[#This Row],[category]]="Accessories","Accesorio",IF(BBDD_fashion_boutique[[#This Row],[size]]="","Desconocido",BBDD_fashion_boutique[[#This Row],[size]]))</f>
        <v>L</v>
      </c>
      <c r="G881" t="s">
        <v>52</v>
      </c>
      <c r="H881" s="2">
        <v>117.63</v>
      </c>
      <c r="I881">
        <v>0</v>
      </c>
      <c r="J881" s="5">
        <f>BBDD_fashion_boutique[[#This Row],[markdown_percentage]]/100</f>
        <v>0</v>
      </c>
      <c r="K881" s="2">
        <v>117.63</v>
      </c>
      <c r="L881" s="2">
        <f>BBDD_fashion_boutique[[#This Row],[original_price]]-BBDD_fashion_boutique[[#This Row],[current_price]]</f>
        <v>0</v>
      </c>
      <c r="M881" s="1">
        <v>45563</v>
      </c>
      <c r="N881" s="1" t="str">
        <f>PROPER(TEXT(BBDD_fashion_boutique[[#This Row],[purchase_date]],"dddd"))</f>
        <v>Sábado</v>
      </c>
      <c r="O881" s="1" t="str">
        <f>PROPER(TEXT(BBDD_fashion_boutique[[#This Row],[purchase_date]],"mmmm"))</f>
        <v>Septiembre</v>
      </c>
      <c r="P881" s="4">
        <v>18</v>
      </c>
      <c r="Q881" s="2">
        <v>1.2</v>
      </c>
      <c r="R881" t="str">
        <f>IF(BBDD_fashion_boutique[[#This Row],[stock_quantity]]&gt;9,"Ok",IF(BBDD_fashion_boutique[[#This Row],[stock_quantity]]=0,"Agotado","Pocas Unidades"))</f>
        <v>Ok</v>
      </c>
      <c r="S881" s="3">
        <f>IF(BBDD_fashion_boutique[[#This Row],[customer_rating]]="","No valorado",BBDD_fashion_boutique[[#This Row],[customer_rating]])</f>
        <v>1.2</v>
      </c>
      <c r="T881" t="s">
        <v>24</v>
      </c>
      <c r="V881">
        <f>IF(BBDD_fashion_boutique[[#This Row],[is_returned]]="False",0,1)</f>
        <v>0</v>
      </c>
      <c r="W881">
        <f>IF(BBDD_fashion_boutique[[#This Row],[is_returned]]="True",0,BBDD_fashion_boutique[[#This Row],[current_price]])</f>
        <v>117.63</v>
      </c>
      <c r="X881" t="str">
        <f>IF(BBDD_fashion_boutique[[#This Row],[return_reason]]="","No return",BBDD_fashion_boutique[[#This Row],[return_reason]])</f>
        <v>No return</v>
      </c>
      <c r="Y881">
        <f>IF(IFERROR(VLOOKUP(BBDD_fashion_boutique[[#This Row],[product_id]],A882:A3057,1,FALSE),0),1,0)</f>
        <v>0</v>
      </c>
    </row>
    <row r="882" spans="1:25" x14ac:dyDescent="0.3">
      <c r="A882" t="s">
        <v>941</v>
      </c>
      <c r="B882" t="s">
        <v>35</v>
      </c>
      <c r="C882" t="s">
        <v>37</v>
      </c>
      <c r="D882" t="s">
        <v>28</v>
      </c>
      <c r="E882" t="s">
        <v>64</v>
      </c>
      <c r="F882" t="str">
        <f>IF(BBDD_fashion_boutique[[#This Row],[category]]="Accessories","Accesorio",IF(BBDD_fashion_boutique[[#This Row],[size]]="","Desconocido",BBDD_fashion_boutique[[#This Row],[size]]))</f>
        <v>M</v>
      </c>
      <c r="G882" t="s">
        <v>72</v>
      </c>
      <c r="H882" s="2">
        <v>174.53</v>
      </c>
      <c r="I882">
        <v>0</v>
      </c>
      <c r="J882" s="5">
        <f>BBDD_fashion_boutique[[#This Row],[markdown_percentage]]/100</f>
        <v>0</v>
      </c>
      <c r="K882" s="2">
        <v>174.53</v>
      </c>
      <c r="L882" s="2">
        <f>BBDD_fashion_boutique[[#This Row],[original_price]]-BBDD_fashion_boutique[[#This Row],[current_price]]</f>
        <v>0</v>
      </c>
      <c r="M882" s="1">
        <v>45875</v>
      </c>
      <c r="N882" s="1" t="str">
        <f>PROPER(TEXT(BBDD_fashion_boutique[[#This Row],[purchase_date]],"dddd"))</f>
        <v>Miércoles</v>
      </c>
      <c r="O882" s="1" t="str">
        <f>PROPER(TEXT(BBDD_fashion_boutique[[#This Row],[purchase_date]],"mmmm"))</f>
        <v>Agosto</v>
      </c>
      <c r="P882" s="4">
        <v>45</v>
      </c>
      <c r="R882" t="str">
        <f>IF(BBDD_fashion_boutique[[#This Row],[stock_quantity]]&gt;9,"Ok",IF(BBDD_fashion_boutique[[#This Row],[stock_quantity]]=0,"Agotado","Pocas Unidades"))</f>
        <v>Ok</v>
      </c>
      <c r="S882" s="3" t="str">
        <f>IF(BBDD_fashion_boutique[[#This Row],[customer_rating]]="","No valorado",BBDD_fashion_boutique[[#This Row],[customer_rating]])</f>
        <v>No valorado</v>
      </c>
      <c r="T882" t="s">
        <v>24</v>
      </c>
      <c r="V882">
        <f>IF(BBDD_fashion_boutique[[#This Row],[is_returned]]="False",0,1)</f>
        <v>0</v>
      </c>
      <c r="W882">
        <f>IF(BBDD_fashion_boutique[[#This Row],[is_returned]]="True",0,BBDD_fashion_boutique[[#This Row],[current_price]])</f>
        <v>174.53</v>
      </c>
      <c r="X882" t="str">
        <f>IF(BBDD_fashion_boutique[[#This Row],[return_reason]]="","No return",BBDD_fashion_boutique[[#This Row],[return_reason]])</f>
        <v>No return</v>
      </c>
      <c r="Y882">
        <f>IF(IFERROR(VLOOKUP(BBDD_fashion_boutique[[#This Row],[product_id]],A883:A3058,1,FALSE),0),1,0)</f>
        <v>0</v>
      </c>
    </row>
    <row r="883" spans="1:25" x14ac:dyDescent="0.3">
      <c r="A883" t="s">
        <v>942</v>
      </c>
      <c r="B883" t="s">
        <v>48</v>
      </c>
      <c r="C883" t="s">
        <v>20</v>
      </c>
      <c r="D883" t="s">
        <v>28</v>
      </c>
      <c r="E883" t="s">
        <v>45</v>
      </c>
      <c r="F883" t="str">
        <f>IF(BBDD_fashion_boutique[[#This Row],[category]]="Accessories","Accesorio",IF(BBDD_fashion_boutique[[#This Row],[size]]="","Desconocido",BBDD_fashion_boutique[[#This Row],[size]]))</f>
        <v>S</v>
      </c>
      <c r="G883" t="s">
        <v>52</v>
      </c>
      <c r="H883" s="2">
        <v>152.65</v>
      </c>
      <c r="I883">
        <v>0</v>
      </c>
      <c r="J883" s="5">
        <f>BBDD_fashion_boutique[[#This Row],[markdown_percentage]]/100</f>
        <v>0</v>
      </c>
      <c r="K883" s="2">
        <v>152.65</v>
      </c>
      <c r="L883" s="2">
        <f>BBDD_fashion_boutique[[#This Row],[original_price]]-BBDD_fashion_boutique[[#This Row],[current_price]]</f>
        <v>0</v>
      </c>
      <c r="M883" s="1">
        <v>45875</v>
      </c>
      <c r="N883" s="1" t="str">
        <f>PROPER(TEXT(BBDD_fashion_boutique[[#This Row],[purchase_date]],"dddd"))</f>
        <v>Miércoles</v>
      </c>
      <c r="O883" s="1" t="str">
        <f>PROPER(TEXT(BBDD_fashion_boutique[[#This Row],[purchase_date]],"mmmm"))</f>
        <v>Agosto</v>
      </c>
      <c r="P883" s="4">
        <v>27</v>
      </c>
      <c r="Q883" s="2">
        <v>3.7</v>
      </c>
      <c r="R883" t="str">
        <f>IF(BBDD_fashion_boutique[[#This Row],[stock_quantity]]&gt;9,"Ok",IF(BBDD_fashion_boutique[[#This Row],[stock_quantity]]=0,"Agotado","Pocas Unidades"))</f>
        <v>Ok</v>
      </c>
      <c r="S883" s="3">
        <f>IF(BBDD_fashion_boutique[[#This Row],[customer_rating]]="","No valorado",BBDD_fashion_boutique[[#This Row],[customer_rating]])</f>
        <v>3.7</v>
      </c>
      <c r="T883" t="s">
        <v>24</v>
      </c>
      <c r="V883">
        <f>IF(BBDD_fashion_boutique[[#This Row],[is_returned]]="False",0,1)</f>
        <v>0</v>
      </c>
      <c r="W883">
        <f>IF(BBDD_fashion_boutique[[#This Row],[is_returned]]="True",0,BBDD_fashion_boutique[[#This Row],[current_price]])</f>
        <v>152.65</v>
      </c>
      <c r="X883" t="str">
        <f>IF(BBDD_fashion_boutique[[#This Row],[return_reason]]="","No return",BBDD_fashion_boutique[[#This Row],[return_reason]])</f>
        <v>No return</v>
      </c>
      <c r="Y883">
        <f>IF(IFERROR(VLOOKUP(BBDD_fashion_boutique[[#This Row],[product_id]],A884:A3059,1,FALSE),0),1,0)</f>
        <v>0</v>
      </c>
    </row>
    <row r="884" spans="1:25" x14ac:dyDescent="0.3">
      <c r="A884" t="s">
        <v>943</v>
      </c>
      <c r="B884" t="s">
        <v>19</v>
      </c>
      <c r="C884" t="s">
        <v>59</v>
      </c>
      <c r="D884" t="s">
        <v>68</v>
      </c>
      <c r="E884" t="s">
        <v>22</v>
      </c>
      <c r="F884" t="str">
        <f>IF(BBDD_fashion_boutique[[#This Row],[category]]="Accessories","Accesorio",IF(BBDD_fashion_boutique[[#This Row],[size]]="","Desconocido",BBDD_fashion_boutique[[#This Row],[size]]))</f>
        <v>XL</v>
      </c>
      <c r="G884" t="s">
        <v>50</v>
      </c>
      <c r="H884" s="2">
        <v>83.24</v>
      </c>
      <c r="I884">
        <v>0</v>
      </c>
      <c r="J884" s="5">
        <f>BBDD_fashion_boutique[[#This Row],[markdown_percentage]]/100</f>
        <v>0</v>
      </c>
      <c r="K884" s="2">
        <v>83.24</v>
      </c>
      <c r="L884" s="2">
        <f>BBDD_fashion_boutique[[#This Row],[original_price]]-BBDD_fashion_boutique[[#This Row],[current_price]]</f>
        <v>0</v>
      </c>
      <c r="M884" s="1">
        <v>45875</v>
      </c>
      <c r="N884" s="1" t="str">
        <f>PROPER(TEXT(BBDD_fashion_boutique[[#This Row],[purchase_date]],"dddd"))</f>
        <v>Miércoles</v>
      </c>
      <c r="O884" s="1" t="str">
        <f>PROPER(TEXT(BBDD_fashion_boutique[[#This Row],[purchase_date]],"mmmm"))</f>
        <v>Agosto</v>
      </c>
      <c r="P884" s="4">
        <v>16</v>
      </c>
      <c r="R884" t="str">
        <f>IF(BBDD_fashion_boutique[[#This Row],[stock_quantity]]&gt;9,"Ok",IF(BBDD_fashion_boutique[[#This Row],[stock_quantity]]=0,"Agotado","Pocas Unidades"))</f>
        <v>Ok</v>
      </c>
      <c r="S884" s="3" t="str">
        <f>IF(BBDD_fashion_boutique[[#This Row],[customer_rating]]="","No valorado",BBDD_fashion_boutique[[#This Row],[customer_rating]])</f>
        <v>No valorado</v>
      </c>
      <c r="T884" t="s">
        <v>24</v>
      </c>
      <c r="V884">
        <f>IF(BBDD_fashion_boutique[[#This Row],[is_returned]]="False",0,1)</f>
        <v>0</v>
      </c>
      <c r="W884">
        <f>IF(BBDD_fashion_boutique[[#This Row],[is_returned]]="True",0,BBDD_fashion_boutique[[#This Row],[current_price]])</f>
        <v>83.24</v>
      </c>
      <c r="X884" t="str">
        <f>IF(BBDD_fashion_boutique[[#This Row],[return_reason]]="","No return",BBDD_fashion_boutique[[#This Row],[return_reason]])</f>
        <v>No return</v>
      </c>
      <c r="Y884">
        <f>IF(IFERROR(VLOOKUP(BBDD_fashion_boutique[[#This Row],[product_id]],A885:A3060,1,FALSE),0),1,0)</f>
        <v>0</v>
      </c>
    </row>
    <row r="885" spans="1:25" x14ac:dyDescent="0.3">
      <c r="A885" t="s">
        <v>944</v>
      </c>
      <c r="B885" t="s">
        <v>32</v>
      </c>
      <c r="C885" t="s">
        <v>20</v>
      </c>
      <c r="D885" t="s">
        <v>28</v>
      </c>
      <c r="F885" t="str">
        <f>IF(BBDD_fashion_boutique[[#This Row],[category]]="Accessories","Accesorio",IF(BBDD_fashion_boutique[[#This Row],[size]]="","Desconocido",BBDD_fashion_boutique[[#This Row],[size]]))</f>
        <v>Accesorio</v>
      </c>
      <c r="G885" t="s">
        <v>76</v>
      </c>
      <c r="H885" s="2">
        <v>40.18</v>
      </c>
      <c r="I885">
        <v>0</v>
      </c>
      <c r="J885" s="5">
        <f>BBDD_fashion_boutique[[#This Row],[markdown_percentage]]/100</f>
        <v>0</v>
      </c>
      <c r="K885" s="2">
        <v>40.18</v>
      </c>
      <c r="L885" s="2">
        <f>BBDD_fashion_boutique[[#This Row],[original_price]]-BBDD_fashion_boutique[[#This Row],[current_price]]</f>
        <v>0</v>
      </c>
      <c r="M885" s="1">
        <v>45875</v>
      </c>
      <c r="N885" s="1" t="str">
        <f>PROPER(TEXT(BBDD_fashion_boutique[[#This Row],[purchase_date]],"dddd"))</f>
        <v>Miércoles</v>
      </c>
      <c r="O885" s="1" t="str">
        <f>PROPER(TEXT(BBDD_fashion_boutique[[#This Row],[purchase_date]],"mmmm"))</f>
        <v>Agosto</v>
      </c>
      <c r="P885" s="4">
        <v>27</v>
      </c>
      <c r="Q885" s="2">
        <v>4.7</v>
      </c>
      <c r="R885" t="str">
        <f>IF(BBDD_fashion_boutique[[#This Row],[stock_quantity]]&gt;9,"Ok",IF(BBDD_fashion_boutique[[#This Row],[stock_quantity]]=0,"Agotado","Pocas Unidades"))</f>
        <v>Ok</v>
      </c>
      <c r="S885" s="3">
        <f>IF(BBDD_fashion_boutique[[#This Row],[customer_rating]]="","No valorado",BBDD_fashion_boutique[[#This Row],[customer_rating]])</f>
        <v>4.7</v>
      </c>
      <c r="T885" t="s">
        <v>24</v>
      </c>
      <c r="V885">
        <f>IF(BBDD_fashion_boutique[[#This Row],[is_returned]]="False",0,1)</f>
        <v>0</v>
      </c>
      <c r="W885">
        <f>IF(BBDD_fashion_boutique[[#This Row],[is_returned]]="True",0,BBDD_fashion_boutique[[#This Row],[current_price]])</f>
        <v>40.18</v>
      </c>
      <c r="X885" t="str">
        <f>IF(BBDD_fashion_boutique[[#This Row],[return_reason]]="","No return",BBDD_fashion_boutique[[#This Row],[return_reason]])</f>
        <v>No return</v>
      </c>
      <c r="Y885">
        <f>IF(IFERROR(VLOOKUP(BBDD_fashion_boutique[[#This Row],[product_id]],A886:A3061,1,FALSE),0),1,0)</f>
        <v>0</v>
      </c>
    </row>
    <row r="886" spans="1:25" x14ac:dyDescent="0.3">
      <c r="A886" t="s">
        <v>945</v>
      </c>
      <c r="B886" t="s">
        <v>44</v>
      </c>
      <c r="C886" t="s">
        <v>49</v>
      </c>
      <c r="D886" t="s">
        <v>21</v>
      </c>
      <c r="E886" t="s">
        <v>22</v>
      </c>
      <c r="F886" t="str">
        <f>IF(BBDD_fashion_boutique[[#This Row],[category]]="Accessories","Accesorio",IF(BBDD_fashion_boutique[[#This Row],[size]]="","Desconocido",BBDD_fashion_boutique[[#This Row],[size]]))</f>
        <v>XL</v>
      </c>
      <c r="G886" t="s">
        <v>23</v>
      </c>
      <c r="H886" s="2">
        <v>73.77</v>
      </c>
      <c r="I886">
        <v>22.8</v>
      </c>
      <c r="J886" s="5">
        <f>BBDD_fashion_boutique[[#This Row],[markdown_percentage]]/100</f>
        <v>0.22800000000000001</v>
      </c>
      <c r="K886" s="2">
        <v>56.95</v>
      </c>
      <c r="L886" s="2">
        <f>BBDD_fashion_boutique[[#This Row],[original_price]]-BBDD_fashion_boutique[[#This Row],[current_price]]</f>
        <v>16.819999999999993</v>
      </c>
      <c r="M886" s="1">
        <v>45522</v>
      </c>
      <c r="N886" s="1" t="str">
        <f>PROPER(TEXT(BBDD_fashion_boutique[[#This Row],[purchase_date]],"dddd"))</f>
        <v>Domingo</v>
      </c>
      <c r="O886" s="1" t="str">
        <f>PROPER(TEXT(BBDD_fashion_boutique[[#This Row],[purchase_date]],"mmmm"))</f>
        <v>Agosto</v>
      </c>
      <c r="P886" s="4">
        <v>0</v>
      </c>
      <c r="R886" t="str">
        <f>IF(BBDD_fashion_boutique[[#This Row],[stock_quantity]]&gt;9,"Ok",IF(BBDD_fashion_boutique[[#This Row],[stock_quantity]]=0,"Agotado","Pocas Unidades"))</f>
        <v>Agotado</v>
      </c>
      <c r="S886" s="3" t="str">
        <f>IF(BBDD_fashion_boutique[[#This Row],[customer_rating]]="","No valorado",BBDD_fashion_boutique[[#This Row],[customer_rating]])</f>
        <v>No valorado</v>
      </c>
      <c r="T886" t="s">
        <v>24</v>
      </c>
      <c r="V886">
        <f>IF(BBDD_fashion_boutique[[#This Row],[is_returned]]="False",0,1)</f>
        <v>0</v>
      </c>
      <c r="W886">
        <f>IF(BBDD_fashion_boutique[[#This Row],[is_returned]]="True",0,BBDD_fashion_boutique[[#This Row],[current_price]])</f>
        <v>56.95</v>
      </c>
      <c r="X886" t="str">
        <f>IF(BBDD_fashion_boutique[[#This Row],[return_reason]]="","No return",BBDD_fashion_boutique[[#This Row],[return_reason]])</f>
        <v>No return</v>
      </c>
      <c r="Y886">
        <f>IF(IFERROR(VLOOKUP(BBDD_fashion_boutique[[#This Row],[product_id]],A887:A3062,1,FALSE),0),1,0)</f>
        <v>0</v>
      </c>
    </row>
    <row r="887" spans="1:25" x14ac:dyDescent="0.3">
      <c r="A887" t="s">
        <v>946</v>
      </c>
      <c r="B887" t="s">
        <v>32</v>
      </c>
      <c r="C887" t="s">
        <v>81</v>
      </c>
      <c r="D887" t="s">
        <v>28</v>
      </c>
      <c r="F887" t="str">
        <f>IF(BBDD_fashion_boutique[[#This Row],[category]]="Accessories","Accesorio",IF(BBDD_fashion_boutique[[#This Row],[size]]="","Desconocido",BBDD_fashion_boutique[[#This Row],[size]]))</f>
        <v>Accesorio</v>
      </c>
      <c r="G887" t="s">
        <v>23</v>
      </c>
      <c r="H887" s="2">
        <v>71.3</v>
      </c>
      <c r="I887">
        <v>0</v>
      </c>
      <c r="J887" s="5">
        <f>BBDD_fashion_boutique[[#This Row],[markdown_percentage]]/100</f>
        <v>0</v>
      </c>
      <c r="K887" s="2">
        <v>71.3</v>
      </c>
      <c r="L887" s="2">
        <f>BBDD_fashion_boutique[[#This Row],[original_price]]-BBDD_fashion_boutique[[#This Row],[current_price]]</f>
        <v>0</v>
      </c>
      <c r="M887" s="1">
        <v>45875</v>
      </c>
      <c r="N887" s="1" t="str">
        <f>PROPER(TEXT(BBDD_fashion_boutique[[#This Row],[purchase_date]],"dddd"))</f>
        <v>Miércoles</v>
      </c>
      <c r="O887" s="1" t="str">
        <f>PROPER(TEXT(BBDD_fashion_boutique[[#This Row],[purchase_date]],"mmmm"))</f>
        <v>Agosto</v>
      </c>
      <c r="P887" s="4">
        <v>29</v>
      </c>
      <c r="R887" t="str">
        <f>IF(BBDD_fashion_boutique[[#This Row],[stock_quantity]]&gt;9,"Ok",IF(BBDD_fashion_boutique[[#This Row],[stock_quantity]]=0,"Agotado","Pocas Unidades"))</f>
        <v>Ok</v>
      </c>
      <c r="S887" s="3" t="str">
        <f>IF(BBDD_fashion_boutique[[#This Row],[customer_rating]]="","No valorado",BBDD_fashion_boutique[[#This Row],[customer_rating]])</f>
        <v>No valorado</v>
      </c>
      <c r="T887" t="s">
        <v>24</v>
      </c>
      <c r="V887">
        <f>IF(BBDD_fashion_boutique[[#This Row],[is_returned]]="False",0,1)</f>
        <v>0</v>
      </c>
      <c r="W887">
        <f>IF(BBDD_fashion_boutique[[#This Row],[is_returned]]="True",0,BBDD_fashion_boutique[[#This Row],[current_price]])</f>
        <v>71.3</v>
      </c>
      <c r="X887" t="str">
        <f>IF(BBDD_fashion_boutique[[#This Row],[return_reason]]="","No return",BBDD_fashion_boutique[[#This Row],[return_reason]])</f>
        <v>No return</v>
      </c>
      <c r="Y887">
        <f>IF(IFERROR(VLOOKUP(BBDD_fashion_boutique[[#This Row],[product_id]],A888:A3063,1,FALSE),0),1,0)</f>
        <v>0</v>
      </c>
    </row>
    <row r="888" spans="1:25" x14ac:dyDescent="0.3">
      <c r="A888" t="s">
        <v>947</v>
      </c>
      <c r="B888" t="s">
        <v>32</v>
      </c>
      <c r="C888" t="s">
        <v>81</v>
      </c>
      <c r="D888" t="s">
        <v>68</v>
      </c>
      <c r="F888" t="str">
        <f>IF(BBDD_fashion_boutique[[#This Row],[category]]="Accessories","Accesorio",IF(BBDD_fashion_boutique[[#This Row],[size]]="","Desconocido",BBDD_fashion_boutique[[#This Row],[size]]))</f>
        <v>Accesorio</v>
      </c>
      <c r="G888" t="s">
        <v>62</v>
      </c>
      <c r="H888" s="2">
        <v>50.3</v>
      </c>
      <c r="I888">
        <v>52.8</v>
      </c>
      <c r="J888" s="5">
        <f>BBDD_fashion_boutique[[#This Row],[markdown_percentage]]/100</f>
        <v>0.52800000000000002</v>
      </c>
      <c r="K888" s="2">
        <v>23.74</v>
      </c>
      <c r="L888" s="2">
        <f>BBDD_fashion_boutique[[#This Row],[original_price]]-BBDD_fashion_boutique[[#This Row],[current_price]]</f>
        <v>26.56</v>
      </c>
      <c r="M888" s="1">
        <v>45875</v>
      </c>
      <c r="N888" s="1" t="str">
        <f>PROPER(TEXT(BBDD_fashion_boutique[[#This Row],[purchase_date]],"dddd"))</f>
        <v>Miércoles</v>
      </c>
      <c r="O888" s="1" t="str">
        <f>PROPER(TEXT(BBDD_fashion_boutique[[#This Row],[purchase_date]],"mmmm"))</f>
        <v>Agosto</v>
      </c>
      <c r="P888" s="4">
        <v>11</v>
      </c>
      <c r="R888" t="str">
        <f>IF(BBDD_fashion_boutique[[#This Row],[stock_quantity]]&gt;9,"Ok",IF(BBDD_fashion_boutique[[#This Row],[stock_quantity]]=0,"Agotado","Pocas Unidades"))</f>
        <v>Ok</v>
      </c>
      <c r="S888" s="3" t="str">
        <f>IF(BBDD_fashion_boutique[[#This Row],[customer_rating]]="","No valorado",BBDD_fashion_boutique[[#This Row],[customer_rating]])</f>
        <v>No valorado</v>
      </c>
      <c r="T888" t="s">
        <v>24</v>
      </c>
      <c r="V888">
        <f>IF(BBDD_fashion_boutique[[#This Row],[is_returned]]="False",0,1)</f>
        <v>0</v>
      </c>
      <c r="W888">
        <f>IF(BBDD_fashion_boutique[[#This Row],[is_returned]]="True",0,BBDD_fashion_boutique[[#This Row],[current_price]])</f>
        <v>23.74</v>
      </c>
      <c r="X888" t="str">
        <f>IF(BBDD_fashion_boutique[[#This Row],[return_reason]]="","No return",BBDD_fashion_boutique[[#This Row],[return_reason]])</f>
        <v>No return</v>
      </c>
      <c r="Y888">
        <f>IF(IFERROR(VLOOKUP(BBDD_fashion_boutique[[#This Row],[product_id]],A889:A3064,1,FALSE),0),1,0)</f>
        <v>0</v>
      </c>
    </row>
    <row r="889" spans="1:25" x14ac:dyDescent="0.3">
      <c r="A889" t="s">
        <v>948</v>
      </c>
      <c r="B889" t="s">
        <v>32</v>
      </c>
      <c r="C889" t="s">
        <v>54</v>
      </c>
      <c r="D889" t="s">
        <v>21</v>
      </c>
      <c r="F889" t="str">
        <f>IF(BBDD_fashion_boutique[[#This Row],[category]]="Accessories","Accesorio",IF(BBDD_fashion_boutique[[#This Row],[size]]="","Desconocido",BBDD_fashion_boutique[[#This Row],[size]]))</f>
        <v>Accesorio</v>
      </c>
      <c r="G889" t="s">
        <v>52</v>
      </c>
      <c r="H889" s="2">
        <v>46.97</v>
      </c>
      <c r="I889">
        <v>0</v>
      </c>
      <c r="J889" s="5">
        <f>BBDD_fashion_boutique[[#This Row],[markdown_percentage]]/100</f>
        <v>0</v>
      </c>
      <c r="K889" s="2">
        <v>46.97</v>
      </c>
      <c r="L889" s="2">
        <f>BBDD_fashion_boutique[[#This Row],[original_price]]-BBDD_fashion_boutique[[#This Row],[current_price]]</f>
        <v>0</v>
      </c>
      <c r="M889" s="1">
        <v>45712</v>
      </c>
      <c r="N889" s="1" t="str">
        <f>PROPER(TEXT(BBDD_fashion_boutique[[#This Row],[purchase_date]],"dddd"))</f>
        <v>Lunes</v>
      </c>
      <c r="O889" s="1" t="str">
        <f>PROPER(TEXT(BBDD_fashion_boutique[[#This Row],[purchase_date]],"mmmm"))</f>
        <v>Febrero</v>
      </c>
      <c r="P889" s="4">
        <v>33</v>
      </c>
      <c r="Q889" s="2">
        <v>2.6</v>
      </c>
      <c r="R889" t="str">
        <f>IF(BBDD_fashion_boutique[[#This Row],[stock_quantity]]&gt;9,"Ok",IF(BBDD_fashion_boutique[[#This Row],[stock_quantity]]=0,"Agotado","Pocas Unidades"))</f>
        <v>Ok</v>
      </c>
      <c r="S889" s="3">
        <f>IF(BBDD_fashion_boutique[[#This Row],[customer_rating]]="","No valorado",BBDD_fashion_boutique[[#This Row],[customer_rating]])</f>
        <v>2.6</v>
      </c>
      <c r="T889" t="s">
        <v>24</v>
      </c>
      <c r="V889">
        <f>IF(BBDD_fashion_boutique[[#This Row],[is_returned]]="False",0,1)</f>
        <v>0</v>
      </c>
      <c r="W889">
        <f>IF(BBDD_fashion_boutique[[#This Row],[is_returned]]="True",0,BBDD_fashion_boutique[[#This Row],[current_price]])</f>
        <v>46.97</v>
      </c>
      <c r="X889" t="str">
        <f>IF(BBDD_fashion_boutique[[#This Row],[return_reason]]="","No return",BBDD_fashion_boutique[[#This Row],[return_reason]])</f>
        <v>No return</v>
      </c>
      <c r="Y889">
        <f>IF(IFERROR(VLOOKUP(BBDD_fashion_boutique[[#This Row],[product_id]],A890:A3065,1,FALSE),0),1,0)</f>
        <v>0</v>
      </c>
    </row>
    <row r="890" spans="1:25" x14ac:dyDescent="0.3">
      <c r="A890" t="s">
        <v>949</v>
      </c>
      <c r="B890" t="s">
        <v>35</v>
      </c>
      <c r="C890" t="s">
        <v>20</v>
      </c>
      <c r="D890" t="s">
        <v>39</v>
      </c>
      <c r="F890" t="str">
        <f>IF(BBDD_fashion_boutique[[#This Row],[category]]="Accessories","Accesorio",IF(BBDD_fashion_boutique[[#This Row],[size]]="","Desconocido",BBDD_fashion_boutique[[#This Row],[size]]))</f>
        <v>Desconocido</v>
      </c>
      <c r="G890" t="s">
        <v>76</v>
      </c>
      <c r="H890" s="2">
        <v>162.9</v>
      </c>
      <c r="I890">
        <v>0</v>
      </c>
      <c r="J890" s="5">
        <f>BBDD_fashion_boutique[[#This Row],[markdown_percentage]]/100</f>
        <v>0</v>
      </c>
      <c r="K890" s="2">
        <v>162.9</v>
      </c>
      <c r="L890" s="2">
        <f>BBDD_fashion_boutique[[#This Row],[original_price]]-BBDD_fashion_boutique[[#This Row],[current_price]]</f>
        <v>0</v>
      </c>
      <c r="M890" s="1">
        <v>45875</v>
      </c>
      <c r="N890" s="1" t="str">
        <f>PROPER(TEXT(BBDD_fashion_boutique[[#This Row],[purchase_date]],"dddd"))</f>
        <v>Miércoles</v>
      </c>
      <c r="O890" s="1" t="str">
        <f>PROPER(TEXT(BBDD_fashion_boutique[[#This Row],[purchase_date]],"mmmm"))</f>
        <v>Agosto</v>
      </c>
      <c r="P890" s="4">
        <v>30</v>
      </c>
      <c r="Q890" s="2">
        <v>1.9</v>
      </c>
      <c r="R890" t="str">
        <f>IF(BBDD_fashion_boutique[[#This Row],[stock_quantity]]&gt;9,"Ok",IF(BBDD_fashion_boutique[[#This Row],[stock_quantity]]=0,"Agotado","Pocas Unidades"))</f>
        <v>Ok</v>
      </c>
      <c r="S890" s="3">
        <f>IF(BBDD_fashion_boutique[[#This Row],[customer_rating]]="","No valorado",BBDD_fashion_boutique[[#This Row],[customer_rating]])</f>
        <v>1.9</v>
      </c>
      <c r="T890" t="s">
        <v>24</v>
      </c>
      <c r="V890">
        <f>IF(BBDD_fashion_boutique[[#This Row],[is_returned]]="False",0,1)</f>
        <v>0</v>
      </c>
      <c r="W890">
        <f>IF(BBDD_fashion_boutique[[#This Row],[is_returned]]="True",0,BBDD_fashion_boutique[[#This Row],[current_price]])</f>
        <v>162.9</v>
      </c>
      <c r="X890" t="str">
        <f>IF(BBDD_fashion_boutique[[#This Row],[return_reason]]="","No return",BBDD_fashion_boutique[[#This Row],[return_reason]])</f>
        <v>No return</v>
      </c>
      <c r="Y890">
        <f>IF(IFERROR(VLOOKUP(BBDD_fashion_boutique[[#This Row],[product_id]],A891:A3066,1,FALSE),0),1,0)</f>
        <v>0</v>
      </c>
    </row>
    <row r="891" spans="1:25" x14ac:dyDescent="0.3">
      <c r="A891" t="s">
        <v>950</v>
      </c>
      <c r="B891" t="s">
        <v>44</v>
      </c>
      <c r="C891" t="s">
        <v>81</v>
      </c>
      <c r="D891" t="s">
        <v>28</v>
      </c>
      <c r="E891" t="s">
        <v>22</v>
      </c>
      <c r="F891" t="str">
        <f>IF(BBDD_fashion_boutique[[#This Row],[category]]="Accessories","Accesorio",IF(BBDD_fashion_boutique[[#This Row],[size]]="","Desconocido",BBDD_fashion_boutique[[#This Row],[size]]))</f>
        <v>XL</v>
      </c>
      <c r="G891" t="s">
        <v>40</v>
      </c>
      <c r="H891" s="2">
        <v>57.14</v>
      </c>
      <c r="I891">
        <v>0</v>
      </c>
      <c r="J891" s="5">
        <f>BBDD_fashion_boutique[[#This Row],[markdown_percentage]]/100</f>
        <v>0</v>
      </c>
      <c r="K891" s="2">
        <v>57.14</v>
      </c>
      <c r="L891" s="2">
        <f>BBDD_fashion_boutique[[#This Row],[original_price]]-BBDD_fashion_boutique[[#This Row],[current_price]]</f>
        <v>0</v>
      </c>
      <c r="M891" s="1">
        <v>45875</v>
      </c>
      <c r="N891" s="1" t="str">
        <f>PROPER(TEXT(BBDD_fashion_boutique[[#This Row],[purchase_date]],"dddd"))</f>
        <v>Miércoles</v>
      </c>
      <c r="O891" s="1" t="str">
        <f>PROPER(TEXT(BBDD_fashion_boutique[[#This Row],[purchase_date]],"mmmm"))</f>
        <v>Agosto</v>
      </c>
      <c r="P891" s="4">
        <v>39</v>
      </c>
      <c r="Q891" s="2">
        <v>1.4</v>
      </c>
      <c r="R891" t="str">
        <f>IF(BBDD_fashion_boutique[[#This Row],[stock_quantity]]&gt;9,"Ok",IF(BBDD_fashion_boutique[[#This Row],[stock_quantity]]=0,"Agotado","Pocas Unidades"))</f>
        <v>Ok</v>
      </c>
      <c r="S891" s="3">
        <f>IF(BBDD_fashion_boutique[[#This Row],[customer_rating]]="","No valorado",BBDD_fashion_boutique[[#This Row],[customer_rating]])</f>
        <v>1.4</v>
      </c>
      <c r="T891" t="s">
        <v>24</v>
      </c>
      <c r="V891">
        <f>IF(BBDD_fashion_boutique[[#This Row],[is_returned]]="False",0,1)</f>
        <v>0</v>
      </c>
      <c r="W891">
        <f>IF(BBDD_fashion_boutique[[#This Row],[is_returned]]="True",0,BBDD_fashion_boutique[[#This Row],[current_price]])</f>
        <v>57.14</v>
      </c>
      <c r="X891" t="str">
        <f>IF(BBDD_fashion_boutique[[#This Row],[return_reason]]="","No return",BBDD_fashion_boutique[[#This Row],[return_reason]])</f>
        <v>No return</v>
      </c>
      <c r="Y891">
        <f>IF(IFERROR(VLOOKUP(BBDD_fashion_boutique[[#This Row],[product_id]],A892:A3067,1,FALSE),0),1,0)</f>
        <v>0</v>
      </c>
    </row>
    <row r="892" spans="1:25" x14ac:dyDescent="0.3">
      <c r="A892" t="s">
        <v>951</v>
      </c>
      <c r="B892" t="s">
        <v>35</v>
      </c>
      <c r="C892" t="s">
        <v>59</v>
      </c>
      <c r="D892" t="s">
        <v>21</v>
      </c>
      <c r="E892" t="s">
        <v>29</v>
      </c>
      <c r="F892" t="str">
        <f>IF(BBDD_fashion_boutique[[#This Row],[category]]="Accessories","Accesorio",IF(BBDD_fashion_boutique[[#This Row],[size]]="","Desconocido",BBDD_fashion_boutique[[#This Row],[size]]))</f>
        <v>L</v>
      </c>
      <c r="G892" t="s">
        <v>72</v>
      </c>
      <c r="H892" s="2">
        <v>93.6</v>
      </c>
      <c r="I892">
        <v>0</v>
      </c>
      <c r="J892" s="5">
        <f>BBDD_fashion_boutique[[#This Row],[markdown_percentage]]/100</f>
        <v>0</v>
      </c>
      <c r="K892" s="2">
        <v>93.6</v>
      </c>
      <c r="L892" s="2">
        <f>BBDD_fashion_boutique[[#This Row],[original_price]]-BBDD_fashion_boutique[[#This Row],[current_price]]</f>
        <v>0</v>
      </c>
      <c r="M892" s="1">
        <v>45544</v>
      </c>
      <c r="N892" s="1" t="str">
        <f>PROPER(TEXT(BBDD_fashion_boutique[[#This Row],[purchase_date]],"dddd"))</f>
        <v>Lunes</v>
      </c>
      <c r="O892" s="1" t="str">
        <f>PROPER(TEXT(BBDD_fashion_boutique[[#This Row],[purchase_date]],"mmmm"))</f>
        <v>Septiembre</v>
      </c>
      <c r="P892" s="4">
        <v>49</v>
      </c>
      <c r="Q892" s="2">
        <v>4.3</v>
      </c>
      <c r="R892" t="str">
        <f>IF(BBDD_fashion_boutique[[#This Row],[stock_quantity]]&gt;9,"Ok",IF(BBDD_fashion_boutique[[#This Row],[stock_quantity]]=0,"Agotado","Pocas Unidades"))</f>
        <v>Ok</v>
      </c>
      <c r="S892" s="3">
        <f>IF(BBDD_fashion_boutique[[#This Row],[customer_rating]]="","No valorado",BBDD_fashion_boutique[[#This Row],[customer_rating]])</f>
        <v>4.3</v>
      </c>
      <c r="T892" t="s">
        <v>24</v>
      </c>
      <c r="V892">
        <f>IF(BBDD_fashion_boutique[[#This Row],[is_returned]]="False",0,1)</f>
        <v>0</v>
      </c>
      <c r="W892">
        <f>IF(BBDD_fashion_boutique[[#This Row],[is_returned]]="True",0,BBDD_fashion_boutique[[#This Row],[current_price]])</f>
        <v>93.6</v>
      </c>
      <c r="X892" t="str">
        <f>IF(BBDD_fashion_boutique[[#This Row],[return_reason]]="","No return",BBDD_fashion_boutique[[#This Row],[return_reason]])</f>
        <v>No return</v>
      </c>
      <c r="Y892">
        <f>IF(IFERROR(VLOOKUP(BBDD_fashion_boutique[[#This Row],[product_id]],A893:A3068,1,FALSE),0),1,0)</f>
        <v>0</v>
      </c>
    </row>
    <row r="893" spans="1:25" x14ac:dyDescent="0.3">
      <c r="A893" t="s">
        <v>952</v>
      </c>
      <c r="B893" t="s">
        <v>32</v>
      </c>
      <c r="C893" t="s">
        <v>81</v>
      </c>
      <c r="D893" t="s">
        <v>21</v>
      </c>
      <c r="F893" t="str">
        <f>IF(BBDD_fashion_boutique[[#This Row],[category]]="Accessories","Accesorio",IF(BBDD_fashion_boutique[[#This Row],[size]]="","Desconocido",BBDD_fashion_boutique[[#This Row],[size]]))</f>
        <v>Accesorio</v>
      </c>
      <c r="G893" t="s">
        <v>76</v>
      </c>
      <c r="H893" s="2">
        <v>64.56</v>
      </c>
      <c r="I893">
        <v>43</v>
      </c>
      <c r="J893" s="5">
        <f>BBDD_fashion_boutique[[#This Row],[markdown_percentage]]/100</f>
        <v>0.43</v>
      </c>
      <c r="K893" s="2">
        <v>36.799999999999997</v>
      </c>
      <c r="L893" s="2">
        <f>BBDD_fashion_boutique[[#This Row],[original_price]]-BBDD_fashion_boutique[[#This Row],[current_price]]</f>
        <v>27.760000000000005</v>
      </c>
      <c r="M893" s="1">
        <v>45510</v>
      </c>
      <c r="N893" s="1" t="str">
        <f>PROPER(TEXT(BBDD_fashion_boutique[[#This Row],[purchase_date]],"dddd"))</f>
        <v>Martes</v>
      </c>
      <c r="O893" s="1" t="str">
        <f>PROPER(TEXT(BBDD_fashion_boutique[[#This Row],[purchase_date]],"mmmm"))</f>
        <v>Agosto</v>
      </c>
      <c r="P893" s="4">
        <v>36</v>
      </c>
      <c r="Q893" s="2">
        <v>3.9</v>
      </c>
      <c r="R893" t="str">
        <f>IF(BBDD_fashion_boutique[[#This Row],[stock_quantity]]&gt;9,"Ok",IF(BBDD_fashion_boutique[[#This Row],[stock_quantity]]=0,"Agotado","Pocas Unidades"))</f>
        <v>Ok</v>
      </c>
      <c r="S893" s="3">
        <f>IF(BBDD_fashion_boutique[[#This Row],[customer_rating]]="","No valorado",BBDD_fashion_boutique[[#This Row],[customer_rating]])</f>
        <v>3.9</v>
      </c>
      <c r="T893" t="s">
        <v>24</v>
      </c>
      <c r="V893">
        <f>IF(BBDD_fashion_boutique[[#This Row],[is_returned]]="False",0,1)</f>
        <v>0</v>
      </c>
      <c r="W893">
        <f>IF(BBDD_fashion_boutique[[#This Row],[is_returned]]="True",0,BBDD_fashion_boutique[[#This Row],[current_price]])</f>
        <v>36.799999999999997</v>
      </c>
      <c r="X893" t="str">
        <f>IF(BBDD_fashion_boutique[[#This Row],[return_reason]]="","No return",BBDD_fashion_boutique[[#This Row],[return_reason]])</f>
        <v>No return</v>
      </c>
      <c r="Y893">
        <f>IF(IFERROR(VLOOKUP(BBDD_fashion_boutique[[#This Row],[product_id]],A894:A3069,1,FALSE),0),1,0)</f>
        <v>0</v>
      </c>
    </row>
    <row r="894" spans="1:25" x14ac:dyDescent="0.3">
      <c r="A894" t="s">
        <v>953</v>
      </c>
      <c r="B894" t="s">
        <v>19</v>
      </c>
      <c r="C894" t="s">
        <v>59</v>
      </c>
      <c r="D894" t="s">
        <v>28</v>
      </c>
      <c r="E894" t="s">
        <v>45</v>
      </c>
      <c r="F894" t="str">
        <f>IF(BBDD_fashion_boutique[[#This Row],[category]]="Accessories","Accesorio",IF(BBDD_fashion_boutique[[#This Row],[size]]="","Desconocido",BBDD_fashion_boutique[[#This Row],[size]]))</f>
        <v>S</v>
      </c>
      <c r="G894" t="s">
        <v>70</v>
      </c>
      <c r="H894" s="2">
        <v>142.34</v>
      </c>
      <c r="I894">
        <v>0</v>
      </c>
      <c r="J894" s="5">
        <f>BBDD_fashion_boutique[[#This Row],[markdown_percentage]]/100</f>
        <v>0</v>
      </c>
      <c r="K894" s="2">
        <v>142.34</v>
      </c>
      <c r="L894" s="2">
        <f>BBDD_fashion_boutique[[#This Row],[original_price]]-BBDD_fashion_boutique[[#This Row],[current_price]]</f>
        <v>0</v>
      </c>
      <c r="M894" s="1">
        <v>45875</v>
      </c>
      <c r="N894" s="1" t="str">
        <f>PROPER(TEXT(BBDD_fashion_boutique[[#This Row],[purchase_date]],"dddd"))</f>
        <v>Miércoles</v>
      </c>
      <c r="O894" s="1" t="str">
        <f>PROPER(TEXT(BBDD_fashion_boutique[[#This Row],[purchase_date]],"mmmm"))</f>
        <v>Agosto</v>
      </c>
      <c r="P894" s="4">
        <v>43</v>
      </c>
      <c r="R894" t="str">
        <f>IF(BBDD_fashion_boutique[[#This Row],[stock_quantity]]&gt;9,"Ok",IF(BBDD_fashion_boutique[[#This Row],[stock_quantity]]=0,"Agotado","Pocas Unidades"))</f>
        <v>Ok</v>
      </c>
      <c r="S894" s="3" t="str">
        <f>IF(BBDD_fashion_boutique[[#This Row],[customer_rating]]="","No valorado",BBDD_fashion_boutique[[#This Row],[customer_rating]])</f>
        <v>No valorado</v>
      </c>
      <c r="T894" t="s">
        <v>24</v>
      </c>
      <c r="V894">
        <f>IF(BBDD_fashion_boutique[[#This Row],[is_returned]]="False",0,1)</f>
        <v>0</v>
      </c>
      <c r="W894">
        <f>IF(BBDD_fashion_boutique[[#This Row],[is_returned]]="True",0,BBDD_fashion_boutique[[#This Row],[current_price]])</f>
        <v>142.34</v>
      </c>
      <c r="X894" t="str">
        <f>IF(BBDD_fashion_boutique[[#This Row],[return_reason]]="","No return",BBDD_fashion_boutique[[#This Row],[return_reason]])</f>
        <v>No return</v>
      </c>
      <c r="Y894">
        <f>IF(IFERROR(VLOOKUP(BBDD_fashion_boutique[[#This Row],[product_id]],A895:A3070,1,FALSE),0),1,0)</f>
        <v>0</v>
      </c>
    </row>
    <row r="895" spans="1:25" x14ac:dyDescent="0.3">
      <c r="A895" t="s">
        <v>954</v>
      </c>
      <c r="B895" t="s">
        <v>35</v>
      </c>
      <c r="C895" t="s">
        <v>67</v>
      </c>
      <c r="D895" t="s">
        <v>21</v>
      </c>
      <c r="E895" t="s">
        <v>61</v>
      </c>
      <c r="F895" t="str">
        <f>IF(BBDD_fashion_boutique[[#This Row],[category]]="Accessories","Accesorio",IF(BBDD_fashion_boutique[[#This Row],[size]]="","Desconocido",BBDD_fashion_boutique[[#This Row],[size]]))</f>
        <v>XS</v>
      </c>
      <c r="G895" t="s">
        <v>40</v>
      </c>
      <c r="H895" s="2">
        <v>111.02</v>
      </c>
      <c r="I895">
        <v>57.8</v>
      </c>
      <c r="J895" s="5">
        <f>BBDD_fashion_boutique[[#This Row],[markdown_percentage]]/100</f>
        <v>0.57799999999999996</v>
      </c>
      <c r="K895" s="2">
        <v>46.85</v>
      </c>
      <c r="L895" s="2">
        <f>BBDD_fashion_boutique[[#This Row],[original_price]]-BBDD_fashion_boutique[[#This Row],[current_price]]</f>
        <v>64.169999999999987</v>
      </c>
      <c r="M895" s="1">
        <v>45796</v>
      </c>
      <c r="N895" s="1" t="str">
        <f>PROPER(TEXT(BBDD_fashion_boutique[[#This Row],[purchase_date]],"dddd"))</f>
        <v>Lunes</v>
      </c>
      <c r="O895" s="1" t="str">
        <f>PROPER(TEXT(BBDD_fashion_boutique[[#This Row],[purchase_date]],"mmmm"))</f>
        <v>Mayo</v>
      </c>
      <c r="P895" s="4">
        <v>11</v>
      </c>
      <c r="Q895" s="2">
        <v>2.2000000000000002</v>
      </c>
      <c r="R895" t="str">
        <f>IF(BBDD_fashion_boutique[[#This Row],[stock_quantity]]&gt;9,"Ok",IF(BBDD_fashion_boutique[[#This Row],[stock_quantity]]=0,"Agotado","Pocas Unidades"))</f>
        <v>Ok</v>
      </c>
      <c r="S895" s="3">
        <f>IF(BBDD_fashion_boutique[[#This Row],[customer_rating]]="","No valorado",BBDD_fashion_boutique[[#This Row],[customer_rating]])</f>
        <v>2.2000000000000002</v>
      </c>
      <c r="T895" t="s">
        <v>24</v>
      </c>
      <c r="V895">
        <f>IF(BBDD_fashion_boutique[[#This Row],[is_returned]]="False",0,1)</f>
        <v>0</v>
      </c>
      <c r="W895">
        <f>IF(BBDD_fashion_boutique[[#This Row],[is_returned]]="True",0,BBDD_fashion_boutique[[#This Row],[current_price]])</f>
        <v>46.85</v>
      </c>
      <c r="X895" t="str">
        <f>IF(BBDD_fashion_boutique[[#This Row],[return_reason]]="","No return",BBDD_fashion_boutique[[#This Row],[return_reason]])</f>
        <v>No return</v>
      </c>
      <c r="Y895">
        <f>IF(IFERROR(VLOOKUP(BBDD_fashion_boutique[[#This Row],[product_id]],A896:A3071,1,FALSE),0),1,0)</f>
        <v>0</v>
      </c>
    </row>
    <row r="896" spans="1:25" x14ac:dyDescent="0.3">
      <c r="A896" t="s">
        <v>955</v>
      </c>
      <c r="B896" t="s">
        <v>26</v>
      </c>
      <c r="C896" t="s">
        <v>37</v>
      </c>
      <c r="D896" t="s">
        <v>28</v>
      </c>
      <c r="F896" t="str">
        <f>IF(BBDD_fashion_boutique[[#This Row],[category]]="Accessories","Accesorio",IF(BBDD_fashion_boutique[[#This Row],[size]]="","Desconocido",BBDD_fashion_boutique[[#This Row],[size]]))</f>
        <v>Desconocido</v>
      </c>
      <c r="G896" t="s">
        <v>33</v>
      </c>
      <c r="H896" s="2">
        <v>29.16</v>
      </c>
      <c r="I896">
        <v>49</v>
      </c>
      <c r="J896" s="5">
        <f>BBDD_fashion_boutique[[#This Row],[markdown_percentage]]/100</f>
        <v>0.49</v>
      </c>
      <c r="K896" s="2">
        <v>14.87</v>
      </c>
      <c r="L896" s="2">
        <f>BBDD_fashion_boutique[[#This Row],[original_price]]-BBDD_fashion_boutique[[#This Row],[current_price]]</f>
        <v>14.290000000000001</v>
      </c>
      <c r="M896" s="1">
        <v>45875</v>
      </c>
      <c r="N896" s="1" t="str">
        <f>PROPER(TEXT(BBDD_fashion_boutique[[#This Row],[purchase_date]],"dddd"))</f>
        <v>Miércoles</v>
      </c>
      <c r="O896" s="1" t="str">
        <f>PROPER(TEXT(BBDD_fashion_boutique[[#This Row],[purchase_date]],"mmmm"))</f>
        <v>Agosto</v>
      </c>
      <c r="P896" s="4">
        <v>31</v>
      </c>
      <c r="R896" t="str">
        <f>IF(BBDD_fashion_boutique[[#This Row],[stock_quantity]]&gt;9,"Ok",IF(BBDD_fashion_boutique[[#This Row],[stock_quantity]]=0,"Agotado","Pocas Unidades"))</f>
        <v>Ok</v>
      </c>
      <c r="S896" s="3" t="str">
        <f>IF(BBDD_fashion_boutique[[#This Row],[customer_rating]]="","No valorado",BBDD_fashion_boutique[[#This Row],[customer_rating]])</f>
        <v>No valorado</v>
      </c>
      <c r="T896" t="s">
        <v>24</v>
      </c>
      <c r="V896">
        <f>IF(BBDD_fashion_boutique[[#This Row],[is_returned]]="False",0,1)</f>
        <v>0</v>
      </c>
      <c r="W896">
        <f>IF(BBDD_fashion_boutique[[#This Row],[is_returned]]="True",0,BBDD_fashion_boutique[[#This Row],[current_price]])</f>
        <v>14.87</v>
      </c>
      <c r="X896" t="str">
        <f>IF(BBDD_fashion_boutique[[#This Row],[return_reason]]="","No return",BBDD_fashion_boutique[[#This Row],[return_reason]])</f>
        <v>No return</v>
      </c>
      <c r="Y896">
        <f>IF(IFERROR(VLOOKUP(BBDD_fashion_boutique[[#This Row],[product_id]],A897:A3072,1,FALSE),0),1,0)</f>
        <v>0</v>
      </c>
    </row>
    <row r="897" spans="1:25" x14ac:dyDescent="0.3">
      <c r="A897" t="s">
        <v>956</v>
      </c>
      <c r="B897" t="s">
        <v>26</v>
      </c>
      <c r="C897" t="s">
        <v>59</v>
      </c>
      <c r="D897" t="s">
        <v>68</v>
      </c>
      <c r="E897" t="s">
        <v>61</v>
      </c>
      <c r="F897" t="str">
        <f>IF(BBDD_fashion_boutique[[#This Row],[category]]="Accessories","Accesorio",IF(BBDD_fashion_boutique[[#This Row],[size]]="","Desconocido",BBDD_fashion_boutique[[#This Row],[size]]))</f>
        <v>XS</v>
      </c>
      <c r="G897" t="s">
        <v>33</v>
      </c>
      <c r="H897" s="2">
        <v>30.46</v>
      </c>
      <c r="I897">
        <v>0</v>
      </c>
      <c r="J897" s="5">
        <f>BBDD_fashion_boutique[[#This Row],[markdown_percentage]]/100</f>
        <v>0</v>
      </c>
      <c r="K897" s="2">
        <v>30.46</v>
      </c>
      <c r="L897" s="2">
        <f>BBDD_fashion_boutique[[#This Row],[original_price]]-BBDD_fashion_boutique[[#This Row],[current_price]]</f>
        <v>0</v>
      </c>
      <c r="M897" s="1">
        <v>45875</v>
      </c>
      <c r="N897" s="1" t="str">
        <f>PROPER(TEXT(BBDD_fashion_boutique[[#This Row],[purchase_date]],"dddd"))</f>
        <v>Miércoles</v>
      </c>
      <c r="O897" s="1" t="str">
        <f>PROPER(TEXT(BBDD_fashion_boutique[[#This Row],[purchase_date]],"mmmm"))</f>
        <v>Agosto</v>
      </c>
      <c r="P897" s="4">
        <v>19</v>
      </c>
      <c r="Q897" s="2">
        <v>1.2</v>
      </c>
      <c r="R897" t="str">
        <f>IF(BBDD_fashion_boutique[[#This Row],[stock_quantity]]&gt;9,"Ok",IF(BBDD_fashion_boutique[[#This Row],[stock_quantity]]=0,"Agotado","Pocas Unidades"))</f>
        <v>Ok</v>
      </c>
      <c r="S897" s="3">
        <f>IF(BBDD_fashion_boutique[[#This Row],[customer_rating]]="","No valorado",BBDD_fashion_boutique[[#This Row],[customer_rating]])</f>
        <v>1.2</v>
      </c>
      <c r="T897" t="s">
        <v>24</v>
      </c>
      <c r="V897">
        <f>IF(BBDD_fashion_boutique[[#This Row],[is_returned]]="False",0,1)</f>
        <v>0</v>
      </c>
      <c r="W897">
        <f>IF(BBDD_fashion_boutique[[#This Row],[is_returned]]="True",0,BBDD_fashion_boutique[[#This Row],[current_price]])</f>
        <v>30.46</v>
      </c>
      <c r="X897" t="str">
        <f>IF(BBDD_fashion_boutique[[#This Row],[return_reason]]="","No return",BBDD_fashion_boutique[[#This Row],[return_reason]])</f>
        <v>No return</v>
      </c>
      <c r="Y897">
        <f>IF(IFERROR(VLOOKUP(BBDD_fashion_boutique[[#This Row],[product_id]],A898:A3073,1,FALSE),0),1,0)</f>
        <v>0</v>
      </c>
    </row>
    <row r="898" spans="1:25" x14ac:dyDescent="0.3">
      <c r="A898" t="s">
        <v>957</v>
      </c>
      <c r="B898" t="s">
        <v>32</v>
      </c>
      <c r="C898" t="s">
        <v>81</v>
      </c>
      <c r="D898" t="s">
        <v>28</v>
      </c>
      <c r="F898" t="str">
        <f>IF(BBDD_fashion_boutique[[#This Row],[category]]="Accessories","Accesorio",IF(BBDD_fashion_boutique[[#This Row],[size]]="","Desconocido",BBDD_fashion_boutique[[#This Row],[size]]))</f>
        <v>Accesorio</v>
      </c>
      <c r="G898" t="s">
        <v>50</v>
      </c>
      <c r="H898" s="2">
        <v>31.32</v>
      </c>
      <c r="I898">
        <v>0</v>
      </c>
      <c r="J898" s="5">
        <f>BBDD_fashion_boutique[[#This Row],[markdown_percentage]]/100</f>
        <v>0</v>
      </c>
      <c r="K898" s="2">
        <v>31.32</v>
      </c>
      <c r="L898" s="2">
        <f>BBDD_fashion_boutique[[#This Row],[original_price]]-BBDD_fashion_boutique[[#This Row],[current_price]]</f>
        <v>0</v>
      </c>
      <c r="M898" s="1">
        <v>45875</v>
      </c>
      <c r="N898" s="1" t="str">
        <f>PROPER(TEXT(BBDD_fashion_boutique[[#This Row],[purchase_date]],"dddd"))</f>
        <v>Miércoles</v>
      </c>
      <c r="O898" s="1" t="str">
        <f>PROPER(TEXT(BBDD_fashion_boutique[[#This Row],[purchase_date]],"mmmm"))</f>
        <v>Agosto</v>
      </c>
      <c r="P898" s="4">
        <v>28</v>
      </c>
      <c r="Q898" s="2">
        <v>2.7</v>
      </c>
      <c r="R898" t="str">
        <f>IF(BBDD_fashion_boutique[[#This Row],[stock_quantity]]&gt;9,"Ok",IF(BBDD_fashion_boutique[[#This Row],[stock_quantity]]=0,"Agotado","Pocas Unidades"))</f>
        <v>Ok</v>
      </c>
      <c r="S898" s="3">
        <f>IF(BBDD_fashion_boutique[[#This Row],[customer_rating]]="","No valorado",BBDD_fashion_boutique[[#This Row],[customer_rating]])</f>
        <v>2.7</v>
      </c>
      <c r="T898" t="s">
        <v>24</v>
      </c>
      <c r="V898">
        <f>IF(BBDD_fashion_boutique[[#This Row],[is_returned]]="False",0,1)</f>
        <v>0</v>
      </c>
      <c r="W898">
        <f>IF(BBDD_fashion_boutique[[#This Row],[is_returned]]="True",0,BBDD_fashion_boutique[[#This Row],[current_price]])</f>
        <v>31.32</v>
      </c>
      <c r="X898" t="str">
        <f>IF(BBDD_fashion_boutique[[#This Row],[return_reason]]="","No return",BBDD_fashion_boutique[[#This Row],[return_reason]])</f>
        <v>No return</v>
      </c>
      <c r="Y898">
        <f>IF(IFERROR(VLOOKUP(BBDD_fashion_boutique[[#This Row],[product_id]],A899:A3074,1,FALSE),0),1,0)</f>
        <v>0</v>
      </c>
    </row>
    <row r="899" spans="1:25" x14ac:dyDescent="0.3">
      <c r="A899" t="s">
        <v>958</v>
      </c>
      <c r="B899" t="s">
        <v>44</v>
      </c>
      <c r="C899" t="s">
        <v>27</v>
      </c>
      <c r="D899" t="s">
        <v>21</v>
      </c>
      <c r="E899" t="s">
        <v>64</v>
      </c>
      <c r="F899" t="str">
        <f>IF(BBDD_fashion_boutique[[#This Row],[category]]="Accessories","Accesorio",IF(BBDD_fashion_boutique[[#This Row],[size]]="","Desconocido",BBDD_fashion_boutique[[#This Row],[size]]))</f>
        <v>M</v>
      </c>
      <c r="G899" t="s">
        <v>30</v>
      </c>
      <c r="H899" s="2">
        <v>61.78</v>
      </c>
      <c r="I899">
        <v>0</v>
      </c>
      <c r="J899" s="5">
        <f>BBDD_fashion_boutique[[#This Row],[markdown_percentage]]/100</f>
        <v>0</v>
      </c>
      <c r="K899" s="2">
        <v>61.78</v>
      </c>
      <c r="L899" s="2">
        <f>BBDD_fashion_boutique[[#This Row],[original_price]]-BBDD_fashion_boutique[[#This Row],[current_price]]</f>
        <v>0</v>
      </c>
      <c r="M899" s="1">
        <v>45868</v>
      </c>
      <c r="N899" s="1" t="str">
        <f>PROPER(TEXT(BBDD_fashion_boutique[[#This Row],[purchase_date]],"dddd"))</f>
        <v>Miércoles</v>
      </c>
      <c r="O899" s="1" t="str">
        <f>PROPER(TEXT(BBDD_fashion_boutique[[#This Row],[purchase_date]],"mmmm"))</f>
        <v>Julio</v>
      </c>
      <c r="P899" s="4">
        <v>24</v>
      </c>
      <c r="Q899" s="2">
        <v>3.5</v>
      </c>
      <c r="R899" t="str">
        <f>IF(BBDD_fashion_boutique[[#This Row],[stock_quantity]]&gt;9,"Ok",IF(BBDD_fashion_boutique[[#This Row],[stock_quantity]]=0,"Agotado","Pocas Unidades"))</f>
        <v>Ok</v>
      </c>
      <c r="S899" s="3">
        <f>IF(BBDD_fashion_boutique[[#This Row],[customer_rating]]="","No valorado",BBDD_fashion_boutique[[#This Row],[customer_rating]])</f>
        <v>3.5</v>
      </c>
      <c r="T899" t="s">
        <v>24</v>
      </c>
      <c r="V899">
        <f>IF(BBDD_fashion_boutique[[#This Row],[is_returned]]="False",0,1)</f>
        <v>0</v>
      </c>
      <c r="W899">
        <f>IF(BBDD_fashion_boutique[[#This Row],[is_returned]]="True",0,BBDD_fashion_boutique[[#This Row],[current_price]])</f>
        <v>61.78</v>
      </c>
      <c r="X899" t="str">
        <f>IF(BBDD_fashion_boutique[[#This Row],[return_reason]]="","No return",BBDD_fashion_boutique[[#This Row],[return_reason]])</f>
        <v>No return</v>
      </c>
      <c r="Y899">
        <f>IF(IFERROR(VLOOKUP(BBDD_fashion_boutique[[#This Row],[product_id]],A900:A3075,1,FALSE),0),1,0)</f>
        <v>0</v>
      </c>
    </row>
    <row r="900" spans="1:25" x14ac:dyDescent="0.3">
      <c r="A900" t="s">
        <v>959</v>
      </c>
      <c r="B900" t="s">
        <v>19</v>
      </c>
      <c r="C900" t="s">
        <v>20</v>
      </c>
      <c r="D900" t="s">
        <v>68</v>
      </c>
      <c r="E900" t="s">
        <v>64</v>
      </c>
      <c r="F900" t="str">
        <f>IF(BBDD_fashion_boutique[[#This Row],[category]]="Accessories","Accesorio",IF(BBDD_fashion_boutique[[#This Row],[size]]="","Desconocido",BBDD_fashion_boutique[[#This Row],[size]]))</f>
        <v>M</v>
      </c>
      <c r="G900" t="s">
        <v>52</v>
      </c>
      <c r="H900" s="2">
        <v>126.27</v>
      </c>
      <c r="I900">
        <v>0</v>
      </c>
      <c r="J900" s="5">
        <f>BBDD_fashion_boutique[[#This Row],[markdown_percentage]]/100</f>
        <v>0</v>
      </c>
      <c r="K900" s="2">
        <v>126.27</v>
      </c>
      <c r="L900" s="2">
        <f>BBDD_fashion_boutique[[#This Row],[original_price]]-BBDD_fashion_boutique[[#This Row],[current_price]]</f>
        <v>0</v>
      </c>
      <c r="M900" s="1">
        <v>45875</v>
      </c>
      <c r="N900" s="1" t="str">
        <f>PROPER(TEXT(BBDD_fashion_boutique[[#This Row],[purchase_date]],"dddd"))</f>
        <v>Miércoles</v>
      </c>
      <c r="O900" s="1" t="str">
        <f>PROPER(TEXT(BBDD_fashion_boutique[[#This Row],[purchase_date]],"mmmm"))</f>
        <v>Agosto</v>
      </c>
      <c r="P900" s="4">
        <v>1</v>
      </c>
      <c r="Q900" s="2">
        <v>4.7</v>
      </c>
      <c r="R900" t="str">
        <f>IF(BBDD_fashion_boutique[[#This Row],[stock_quantity]]&gt;9,"Ok",IF(BBDD_fashion_boutique[[#This Row],[stock_quantity]]=0,"Agotado","Pocas Unidades"))</f>
        <v>Pocas Unidades</v>
      </c>
      <c r="S900" s="3">
        <f>IF(BBDD_fashion_boutique[[#This Row],[customer_rating]]="","No valorado",BBDD_fashion_boutique[[#This Row],[customer_rating]])</f>
        <v>4.7</v>
      </c>
      <c r="T900" t="s">
        <v>24</v>
      </c>
      <c r="V900">
        <f>IF(BBDD_fashion_boutique[[#This Row],[is_returned]]="False",0,1)</f>
        <v>0</v>
      </c>
      <c r="W900">
        <f>IF(BBDD_fashion_boutique[[#This Row],[is_returned]]="True",0,BBDD_fashion_boutique[[#This Row],[current_price]])</f>
        <v>126.27</v>
      </c>
      <c r="X900" t="str">
        <f>IF(BBDD_fashion_boutique[[#This Row],[return_reason]]="","No return",BBDD_fashion_boutique[[#This Row],[return_reason]])</f>
        <v>No return</v>
      </c>
      <c r="Y900">
        <f>IF(IFERROR(VLOOKUP(BBDD_fashion_boutique[[#This Row],[product_id]],A901:A3076,1,FALSE),0),1,0)</f>
        <v>0</v>
      </c>
    </row>
    <row r="901" spans="1:25" x14ac:dyDescent="0.3">
      <c r="A901" t="s">
        <v>960</v>
      </c>
      <c r="B901" t="s">
        <v>19</v>
      </c>
      <c r="C901" t="s">
        <v>27</v>
      </c>
      <c r="D901" t="s">
        <v>28</v>
      </c>
      <c r="E901" t="s">
        <v>29</v>
      </c>
      <c r="F901" t="str">
        <f>IF(BBDD_fashion_boutique[[#This Row],[category]]="Accessories","Accesorio",IF(BBDD_fashion_boutique[[#This Row],[size]]="","Desconocido",BBDD_fashion_boutique[[#This Row],[size]]))</f>
        <v>L</v>
      </c>
      <c r="G901" t="s">
        <v>40</v>
      </c>
      <c r="H901" s="2">
        <v>147.53</v>
      </c>
      <c r="I901">
        <v>0</v>
      </c>
      <c r="J901" s="5">
        <f>BBDD_fashion_boutique[[#This Row],[markdown_percentage]]/100</f>
        <v>0</v>
      </c>
      <c r="K901" s="2">
        <v>147.53</v>
      </c>
      <c r="L901" s="2">
        <f>BBDD_fashion_boutique[[#This Row],[original_price]]-BBDD_fashion_boutique[[#This Row],[current_price]]</f>
        <v>0</v>
      </c>
      <c r="M901" s="1">
        <v>45875</v>
      </c>
      <c r="N901" s="1" t="str">
        <f>PROPER(TEXT(BBDD_fashion_boutique[[#This Row],[purchase_date]],"dddd"))</f>
        <v>Miércoles</v>
      </c>
      <c r="O901" s="1" t="str">
        <f>PROPER(TEXT(BBDD_fashion_boutique[[#This Row],[purchase_date]],"mmmm"))</f>
        <v>Agosto</v>
      </c>
      <c r="P901" s="4">
        <v>33</v>
      </c>
      <c r="Q901" s="2">
        <v>4.7</v>
      </c>
      <c r="R901" t="str">
        <f>IF(BBDD_fashion_boutique[[#This Row],[stock_quantity]]&gt;9,"Ok",IF(BBDD_fashion_boutique[[#This Row],[stock_quantity]]=0,"Agotado","Pocas Unidades"))</f>
        <v>Ok</v>
      </c>
      <c r="S901" s="3">
        <f>IF(BBDD_fashion_boutique[[#This Row],[customer_rating]]="","No valorado",BBDD_fashion_boutique[[#This Row],[customer_rating]])</f>
        <v>4.7</v>
      </c>
      <c r="T901" t="s">
        <v>41</v>
      </c>
      <c r="U901" t="s">
        <v>89</v>
      </c>
      <c r="V901">
        <f>IF(BBDD_fashion_boutique[[#This Row],[is_returned]]="False",0,1)</f>
        <v>1</v>
      </c>
      <c r="W901">
        <f>IF(BBDD_fashion_boutique[[#This Row],[is_returned]]="True",0,BBDD_fashion_boutique[[#This Row],[current_price]])</f>
        <v>0</v>
      </c>
      <c r="X901" t="str">
        <f>IF(BBDD_fashion_boutique[[#This Row],[return_reason]]="","No return",BBDD_fashion_boutique[[#This Row],[return_reason]])</f>
        <v>Quality Issue</v>
      </c>
      <c r="Y901">
        <f>IF(IFERROR(VLOOKUP(BBDD_fashion_boutique[[#This Row],[product_id]],A902:A3077,1,FALSE),0),1,0)</f>
        <v>0</v>
      </c>
    </row>
    <row r="902" spans="1:25" x14ac:dyDescent="0.3">
      <c r="A902" t="s">
        <v>961</v>
      </c>
      <c r="B902" t="s">
        <v>32</v>
      </c>
      <c r="C902" t="s">
        <v>37</v>
      </c>
      <c r="D902" t="s">
        <v>68</v>
      </c>
      <c r="F902" t="str">
        <f>IF(BBDD_fashion_boutique[[#This Row],[category]]="Accessories","Accesorio",IF(BBDD_fashion_boutique[[#This Row],[size]]="","Desconocido",BBDD_fashion_boutique[[#This Row],[size]]))</f>
        <v>Accesorio</v>
      </c>
      <c r="G902" t="s">
        <v>23</v>
      </c>
      <c r="H902" s="2">
        <v>36.979999999999997</v>
      </c>
      <c r="I902">
        <v>12.2</v>
      </c>
      <c r="J902" s="5">
        <f>BBDD_fashion_boutique[[#This Row],[markdown_percentage]]/100</f>
        <v>0.122</v>
      </c>
      <c r="K902" s="2">
        <v>32.47</v>
      </c>
      <c r="L902" s="2">
        <f>BBDD_fashion_boutique[[#This Row],[original_price]]-BBDD_fashion_boutique[[#This Row],[current_price]]</f>
        <v>4.509999999999998</v>
      </c>
      <c r="M902" s="1">
        <v>45875</v>
      </c>
      <c r="N902" s="1" t="str">
        <f>PROPER(TEXT(BBDD_fashion_boutique[[#This Row],[purchase_date]],"dddd"))</f>
        <v>Miércoles</v>
      </c>
      <c r="O902" s="1" t="str">
        <f>PROPER(TEXT(BBDD_fashion_boutique[[#This Row],[purchase_date]],"mmmm"))</f>
        <v>Agosto</v>
      </c>
      <c r="P902" s="4">
        <v>14</v>
      </c>
      <c r="Q902" s="2">
        <v>4.8</v>
      </c>
      <c r="R902" t="str">
        <f>IF(BBDD_fashion_boutique[[#This Row],[stock_quantity]]&gt;9,"Ok",IF(BBDD_fashion_boutique[[#This Row],[stock_quantity]]=0,"Agotado","Pocas Unidades"))</f>
        <v>Ok</v>
      </c>
      <c r="S902" s="3">
        <f>IF(BBDD_fashion_boutique[[#This Row],[customer_rating]]="","No valorado",BBDD_fashion_boutique[[#This Row],[customer_rating]])</f>
        <v>4.8</v>
      </c>
      <c r="T902" t="s">
        <v>24</v>
      </c>
      <c r="V902">
        <f>IF(BBDD_fashion_boutique[[#This Row],[is_returned]]="False",0,1)</f>
        <v>0</v>
      </c>
      <c r="W902">
        <f>IF(BBDD_fashion_boutique[[#This Row],[is_returned]]="True",0,BBDD_fashion_boutique[[#This Row],[current_price]])</f>
        <v>32.47</v>
      </c>
      <c r="X902" t="str">
        <f>IF(BBDD_fashion_boutique[[#This Row],[return_reason]]="","No return",BBDD_fashion_boutique[[#This Row],[return_reason]])</f>
        <v>No return</v>
      </c>
      <c r="Y902">
        <f>IF(IFERROR(VLOOKUP(BBDD_fashion_boutique[[#This Row],[product_id]],A903:A3078,1,FALSE),0),1,0)</f>
        <v>0</v>
      </c>
    </row>
    <row r="903" spans="1:25" x14ac:dyDescent="0.3">
      <c r="A903" t="s">
        <v>962</v>
      </c>
      <c r="B903" t="s">
        <v>35</v>
      </c>
      <c r="C903" t="s">
        <v>54</v>
      </c>
      <c r="D903" t="s">
        <v>39</v>
      </c>
      <c r="E903" t="s">
        <v>64</v>
      </c>
      <c r="F903" t="str">
        <f>IF(BBDD_fashion_boutique[[#This Row],[category]]="Accessories","Accesorio",IF(BBDD_fashion_boutique[[#This Row],[size]]="","Desconocido",BBDD_fashion_boutique[[#This Row],[size]]))</f>
        <v>M</v>
      </c>
      <c r="G903" t="s">
        <v>30</v>
      </c>
      <c r="H903" s="2">
        <v>172.41</v>
      </c>
      <c r="I903">
        <v>0</v>
      </c>
      <c r="J903" s="5">
        <f>BBDD_fashion_boutique[[#This Row],[markdown_percentage]]/100</f>
        <v>0</v>
      </c>
      <c r="K903" s="2">
        <v>172.41</v>
      </c>
      <c r="L903" s="2">
        <f>BBDD_fashion_boutique[[#This Row],[original_price]]-BBDD_fashion_boutique[[#This Row],[current_price]]</f>
        <v>0</v>
      </c>
      <c r="M903" s="1">
        <v>45875</v>
      </c>
      <c r="N903" s="1" t="str">
        <f>PROPER(TEXT(BBDD_fashion_boutique[[#This Row],[purchase_date]],"dddd"))</f>
        <v>Miércoles</v>
      </c>
      <c r="O903" s="1" t="str">
        <f>PROPER(TEXT(BBDD_fashion_boutique[[#This Row],[purchase_date]],"mmmm"))</f>
        <v>Agosto</v>
      </c>
      <c r="P903" s="4">
        <v>33</v>
      </c>
      <c r="Q903" s="2">
        <v>2.2999999999999998</v>
      </c>
      <c r="R903" t="str">
        <f>IF(BBDD_fashion_boutique[[#This Row],[stock_quantity]]&gt;9,"Ok",IF(BBDD_fashion_boutique[[#This Row],[stock_quantity]]=0,"Agotado","Pocas Unidades"))</f>
        <v>Ok</v>
      </c>
      <c r="S903" s="3">
        <f>IF(BBDD_fashion_boutique[[#This Row],[customer_rating]]="","No valorado",BBDD_fashion_boutique[[#This Row],[customer_rating]])</f>
        <v>2.2999999999999998</v>
      </c>
      <c r="T903" t="s">
        <v>24</v>
      </c>
      <c r="V903">
        <f>IF(BBDD_fashion_boutique[[#This Row],[is_returned]]="False",0,1)</f>
        <v>0</v>
      </c>
      <c r="W903">
        <f>IF(BBDD_fashion_boutique[[#This Row],[is_returned]]="True",0,BBDD_fashion_boutique[[#This Row],[current_price]])</f>
        <v>172.41</v>
      </c>
      <c r="X903" t="str">
        <f>IF(BBDD_fashion_boutique[[#This Row],[return_reason]]="","No return",BBDD_fashion_boutique[[#This Row],[return_reason]])</f>
        <v>No return</v>
      </c>
      <c r="Y903">
        <f>IF(IFERROR(VLOOKUP(BBDD_fashion_boutique[[#This Row],[product_id]],A904:A3079,1,FALSE),0),1,0)</f>
        <v>0</v>
      </c>
    </row>
    <row r="904" spans="1:25" x14ac:dyDescent="0.3">
      <c r="A904" t="s">
        <v>963</v>
      </c>
      <c r="B904" t="s">
        <v>32</v>
      </c>
      <c r="C904" t="s">
        <v>54</v>
      </c>
      <c r="D904" t="s">
        <v>21</v>
      </c>
      <c r="F904" t="str">
        <f>IF(BBDD_fashion_boutique[[#This Row],[category]]="Accessories","Accesorio",IF(BBDD_fashion_boutique[[#This Row],[size]]="","Desconocido",BBDD_fashion_boutique[[#This Row],[size]]))</f>
        <v>Accesorio</v>
      </c>
      <c r="G904" t="s">
        <v>30</v>
      </c>
      <c r="H904" s="2">
        <v>53.79</v>
      </c>
      <c r="I904">
        <v>16</v>
      </c>
      <c r="J904" s="5">
        <f>BBDD_fashion_boutique[[#This Row],[markdown_percentage]]/100</f>
        <v>0.16</v>
      </c>
      <c r="K904" s="2">
        <v>45.18</v>
      </c>
      <c r="L904" s="2">
        <f>BBDD_fashion_boutique[[#This Row],[original_price]]-BBDD_fashion_boutique[[#This Row],[current_price]]</f>
        <v>8.61</v>
      </c>
      <c r="M904" s="1">
        <v>45566</v>
      </c>
      <c r="N904" s="1" t="str">
        <f>PROPER(TEXT(BBDD_fashion_boutique[[#This Row],[purchase_date]],"dddd"))</f>
        <v>Martes</v>
      </c>
      <c r="O904" s="1" t="str">
        <f>PROPER(TEXT(BBDD_fashion_boutique[[#This Row],[purchase_date]],"mmmm"))</f>
        <v>Octubre</v>
      </c>
      <c r="P904" s="4">
        <v>32</v>
      </c>
      <c r="R904" t="str">
        <f>IF(BBDD_fashion_boutique[[#This Row],[stock_quantity]]&gt;9,"Ok",IF(BBDD_fashion_boutique[[#This Row],[stock_quantity]]=0,"Agotado","Pocas Unidades"))</f>
        <v>Ok</v>
      </c>
      <c r="S904" s="3" t="str">
        <f>IF(BBDD_fashion_boutique[[#This Row],[customer_rating]]="","No valorado",BBDD_fashion_boutique[[#This Row],[customer_rating]])</f>
        <v>No valorado</v>
      </c>
      <c r="T904" t="s">
        <v>24</v>
      </c>
      <c r="V904">
        <f>IF(BBDD_fashion_boutique[[#This Row],[is_returned]]="False",0,1)</f>
        <v>0</v>
      </c>
      <c r="W904">
        <f>IF(BBDD_fashion_boutique[[#This Row],[is_returned]]="True",0,BBDD_fashion_boutique[[#This Row],[current_price]])</f>
        <v>45.18</v>
      </c>
      <c r="X904" t="str">
        <f>IF(BBDD_fashion_boutique[[#This Row],[return_reason]]="","No return",BBDD_fashion_boutique[[#This Row],[return_reason]])</f>
        <v>No return</v>
      </c>
      <c r="Y904">
        <f>IF(IFERROR(VLOOKUP(BBDD_fashion_boutique[[#This Row],[product_id]],A905:A3080,1,FALSE),0),1,0)</f>
        <v>0</v>
      </c>
    </row>
    <row r="905" spans="1:25" x14ac:dyDescent="0.3">
      <c r="A905" t="s">
        <v>964</v>
      </c>
      <c r="B905" t="s">
        <v>35</v>
      </c>
      <c r="C905" t="s">
        <v>49</v>
      </c>
      <c r="D905" t="s">
        <v>68</v>
      </c>
      <c r="E905" t="s">
        <v>61</v>
      </c>
      <c r="F905" t="str">
        <f>IF(BBDD_fashion_boutique[[#This Row],[category]]="Accessories","Accesorio",IF(BBDD_fashion_boutique[[#This Row],[size]]="","Desconocido",BBDD_fashion_boutique[[#This Row],[size]]))</f>
        <v>XS</v>
      </c>
      <c r="G905" t="s">
        <v>62</v>
      </c>
      <c r="H905" s="2">
        <v>80.56</v>
      </c>
      <c r="I905">
        <v>0</v>
      </c>
      <c r="J905" s="5">
        <f>BBDD_fashion_boutique[[#This Row],[markdown_percentage]]/100</f>
        <v>0</v>
      </c>
      <c r="K905" s="2">
        <v>80.56</v>
      </c>
      <c r="L905" s="2">
        <f>BBDD_fashion_boutique[[#This Row],[original_price]]-BBDD_fashion_boutique[[#This Row],[current_price]]</f>
        <v>0</v>
      </c>
      <c r="M905" s="1">
        <v>45875</v>
      </c>
      <c r="N905" s="1" t="str">
        <f>PROPER(TEXT(BBDD_fashion_boutique[[#This Row],[purchase_date]],"dddd"))</f>
        <v>Miércoles</v>
      </c>
      <c r="O905" s="1" t="str">
        <f>PROPER(TEXT(BBDD_fashion_boutique[[#This Row],[purchase_date]],"mmmm"))</f>
        <v>Agosto</v>
      </c>
      <c r="P905" s="4">
        <v>7</v>
      </c>
      <c r="Q905" s="2">
        <v>1.9</v>
      </c>
      <c r="R905" t="str">
        <f>IF(BBDD_fashion_boutique[[#This Row],[stock_quantity]]&gt;9,"Ok",IF(BBDD_fashion_boutique[[#This Row],[stock_quantity]]=0,"Agotado","Pocas Unidades"))</f>
        <v>Pocas Unidades</v>
      </c>
      <c r="S905" s="3">
        <f>IF(BBDD_fashion_boutique[[#This Row],[customer_rating]]="","No valorado",BBDD_fashion_boutique[[#This Row],[customer_rating]])</f>
        <v>1.9</v>
      </c>
      <c r="T905" t="s">
        <v>24</v>
      </c>
      <c r="V905">
        <f>IF(BBDD_fashion_boutique[[#This Row],[is_returned]]="False",0,1)</f>
        <v>0</v>
      </c>
      <c r="W905">
        <f>IF(BBDD_fashion_boutique[[#This Row],[is_returned]]="True",0,BBDD_fashion_boutique[[#This Row],[current_price]])</f>
        <v>80.56</v>
      </c>
      <c r="X905" t="str">
        <f>IF(BBDD_fashion_boutique[[#This Row],[return_reason]]="","No return",BBDD_fashion_boutique[[#This Row],[return_reason]])</f>
        <v>No return</v>
      </c>
      <c r="Y905">
        <f>IF(IFERROR(VLOOKUP(BBDD_fashion_boutique[[#This Row],[product_id]],A906:A3081,1,FALSE),0),1,0)</f>
        <v>0</v>
      </c>
    </row>
    <row r="906" spans="1:25" x14ac:dyDescent="0.3">
      <c r="A906" t="s">
        <v>965</v>
      </c>
      <c r="B906" t="s">
        <v>32</v>
      </c>
      <c r="C906" t="s">
        <v>49</v>
      </c>
      <c r="D906" t="s">
        <v>39</v>
      </c>
      <c r="F906" t="str">
        <f>IF(BBDD_fashion_boutique[[#This Row],[category]]="Accessories","Accesorio",IF(BBDD_fashion_boutique[[#This Row],[size]]="","Desconocido",BBDD_fashion_boutique[[#This Row],[size]]))</f>
        <v>Accesorio</v>
      </c>
      <c r="G906" t="s">
        <v>30</v>
      </c>
      <c r="H906" s="2">
        <v>51.72</v>
      </c>
      <c r="I906">
        <v>0</v>
      </c>
      <c r="J906" s="5">
        <f>BBDD_fashion_boutique[[#This Row],[markdown_percentage]]/100</f>
        <v>0</v>
      </c>
      <c r="K906" s="2">
        <v>51.72</v>
      </c>
      <c r="L906" s="2">
        <f>BBDD_fashion_boutique[[#This Row],[original_price]]-BBDD_fashion_boutique[[#This Row],[current_price]]</f>
        <v>0</v>
      </c>
      <c r="M906" s="1">
        <v>45875</v>
      </c>
      <c r="N906" s="1" t="str">
        <f>PROPER(TEXT(BBDD_fashion_boutique[[#This Row],[purchase_date]],"dddd"))</f>
        <v>Miércoles</v>
      </c>
      <c r="O906" s="1" t="str">
        <f>PROPER(TEXT(BBDD_fashion_boutique[[#This Row],[purchase_date]],"mmmm"))</f>
        <v>Agosto</v>
      </c>
      <c r="P906" s="4">
        <v>35</v>
      </c>
      <c r="Q906" s="2">
        <v>3.7</v>
      </c>
      <c r="R906" t="str">
        <f>IF(BBDD_fashion_boutique[[#This Row],[stock_quantity]]&gt;9,"Ok",IF(BBDD_fashion_boutique[[#This Row],[stock_quantity]]=0,"Agotado","Pocas Unidades"))</f>
        <v>Ok</v>
      </c>
      <c r="S906" s="3">
        <f>IF(BBDD_fashion_boutique[[#This Row],[customer_rating]]="","No valorado",BBDD_fashion_boutique[[#This Row],[customer_rating]])</f>
        <v>3.7</v>
      </c>
      <c r="T906" t="s">
        <v>41</v>
      </c>
      <c r="U906" t="s">
        <v>84</v>
      </c>
      <c r="V906">
        <f>IF(BBDD_fashion_boutique[[#This Row],[is_returned]]="False",0,1)</f>
        <v>1</v>
      </c>
      <c r="W906">
        <f>IF(BBDD_fashion_boutique[[#This Row],[is_returned]]="True",0,BBDD_fashion_boutique[[#This Row],[current_price]])</f>
        <v>0</v>
      </c>
      <c r="X906" t="str">
        <f>IF(BBDD_fashion_boutique[[#This Row],[return_reason]]="","No return",BBDD_fashion_boutique[[#This Row],[return_reason]])</f>
        <v>Damaged</v>
      </c>
      <c r="Y906">
        <f>IF(IFERROR(VLOOKUP(BBDD_fashion_boutique[[#This Row],[product_id]],A907:A3082,1,FALSE),0),1,0)</f>
        <v>0</v>
      </c>
    </row>
    <row r="907" spans="1:25" x14ac:dyDescent="0.3">
      <c r="A907" t="s">
        <v>966</v>
      </c>
      <c r="B907" t="s">
        <v>44</v>
      </c>
      <c r="C907" t="s">
        <v>49</v>
      </c>
      <c r="D907" t="s">
        <v>21</v>
      </c>
      <c r="E907" t="s">
        <v>22</v>
      </c>
      <c r="F907" t="str">
        <f>IF(BBDD_fashion_boutique[[#This Row],[category]]="Accessories","Accesorio",IF(BBDD_fashion_boutique[[#This Row],[size]]="","Desconocido",BBDD_fashion_boutique[[#This Row],[size]]))</f>
        <v>XL</v>
      </c>
      <c r="G907" t="s">
        <v>30</v>
      </c>
      <c r="H907" s="2">
        <v>107.22</v>
      </c>
      <c r="I907">
        <v>37.799999999999997</v>
      </c>
      <c r="J907" s="5">
        <f>BBDD_fashion_boutique[[#This Row],[markdown_percentage]]/100</f>
        <v>0.37799999999999995</v>
      </c>
      <c r="K907" s="2">
        <v>66.69</v>
      </c>
      <c r="L907" s="2">
        <f>BBDD_fashion_boutique[[#This Row],[original_price]]-BBDD_fashion_boutique[[#This Row],[current_price]]</f>
        <v>40.53</v>
      </c>
      <c r="M907" s="1">
        <v>45849</v>
      </c>
      <c r="N907" s="1" t="str">
        <f>PROPER(TEXT(BBDD_fashion_boutique[[#This Row],[purchase_date]],"dddd"))</f>
        <v>Viernes</v>
      </c>
      <c r="O907" s="1" t="str">
        <f>PROPER(TEXT(BBDD_fashion_boutique[[#This Row],[purchase_date]],"mmmm"))</f>
        <v>Julio</v>
      </c>
      <c r="P907" s="4">
        <v>21</v>
      </c>
      <c r="Q907" s="2">
        <v>2.9</v>
      </c>
      <c r="R907" t="str">
        <f>IF(BBDD_fashion_boutique[[#This Row],[stock_quantity]]&gt;9,"Ok",IF(BBDD_fashion_boutique[[#This Row],[stock_quantity]]=0,"Agotado","Pocas Unidades"))</f>
        <v>Ok</v>
      </c>
      <c r="S907" s="3">
        <f>IF(BBDD_fashion_boutique[[#This Row],[customer_rating]]="","No valorado",BBDD_fashion_boutique[[#This Row],[customer_rating]])</f>
        <v>2.9</v>
      </c>
      <c r="T907" t="s">
        <v>24</v>
      </c>
      <c r="V907">
        <f>IF(BBDD_fashion_boutique[[#This Row],[is_returned]]="False",0,1)</f>
        <v>0</v>
      </c>
      <c r="W907">
        <f>IF(BBDD_fashion_boutique[[#This Row],[is_returned]]="True",0,BBDD_fashion_boutique[[#This Row],[current_price]])</f>
        <v>66.69</v>
      </c>
      <c r="X907" t="str">
        <f>IF(BBDD_fashion_boutique[[#This Row],[return_reason]]="","No return",BBDD_fashion_boutique[[#This Row],[return_reason]])</f>
        <v>No return</v>
      </c>
      <c r="Y907">
        <f>IF(IFERROR(VLOOKUP(BBDD_fashion_boutique[[#This Row],[product_id]],A908:A3083,1,FALSE),0),1,0)</f>
        <v>0</v>
      </c>
    </row>
    <row r="908" spans="1:25" x14ac:dyDescent="0.3">
      <c r="A908" t="s">
        <v>967</v>
      </c>
      <c r="B908" t="s">
        <v>35</v>
      </c>
      <c r="C908" t="s">
        <v>54</v>
      </c>
      <c r="D908" t="s">
        <v>39</v>
      </c>
      <c r="E908" t="s">
        <v>55</v>
      </c>
      <c r="F908" t="str">
        <f>IF(BBDD_fashion_boutique[[#This Row],[category]]="Accessories","Accesorio",IF(BBDD_fashion_boutique[[#This Row],[size]]="","Desconocido",BBDD_fashion_boutique[[#This Row],[size]]))</f>
        <v>XXL</v>
      </c>
      <c r="G908" t="s">
        <v>52</v>
      </c>
      <c r="H908" s="2">
        <v>174.99</v>
      </c>
      <c r="I908">
        <v>50.1</v>
      </c>
      <c r="J908" s="5">
        <f>BBDD_fashion_boutique[[#This Row],[markdown_percentage]]/100</f>
        <v>0.501</v>
      </c>
      <c r="K908" s="2">
        <v>87.32</v>
      </c>
      <c r="L908" s="2">
        <f>BBDD_fashion_boutique[[#This Row],[original_price]]-BBDD_fashion_boutique[[#This Row],[current_price]]</f>
        <v>87.670000000000016</v>
      </c>
      <c r="M908" s="1">
        <v>45875</v>
      </c>
      <c r="N908" s="1" t="str">
        <f>PROPER(TEXT(BBDD_fashion_boutique[[#This Row],[purchase_date]],"dddd"))</f>
        <v>Miércoles</v>
      </c>
      <c r="O908" s="1" t="str">
        <f>PROPER(TEXT(BBDD_fashion_boutique[[#This Row],[purchase_date]],"mmmm"))</f>
        <v>Agosto</v>
      </c>
      <c r="P908" s="4">
        <v>7</v>
      </c>
      <c r="Q908" s="2">
        <v>4.9000000000000004</v>
      </c>
      <c r="R908" t="str">
        <f>IF(BBDD_fashion_boutique[[#This Row],[stock_quantity]]&gt;9,"Ok",IF(BBDD_fashion_boutique[[#This Row],[stock_quantity]]=0,"Agotado","Pocas Unidades"))</f>
        <v>Pocas Unidades</v>
      </c>
      <c r="S908" s="3">
        <f>IF(BBDD_fashion_boutique[[#This Row],[customer_rating]]="","No valorado",BBDD_fashion_boutique[[#This Row],[customer_rating]])</f>
        <v>4.9000000000000004</v>
      </c>
      <c r="T908" t="s">
        <v>24</v>
      </c>
      <c r="V908">
        <f>IF(BBDD_fashion_boutique[[#This Row],[is_returned]]="False",0,1)</f>
        <v>0</v>
      </c>
      <c r="W908">
        <f>IF(BBDD_fashion_boutique[[#This Row],[is_returned]]="True",0,BBDD_fashion_boutique[[#This Row],[current_price]])</f>
        <v>87.32</v>
      </c>
      <c r="X908" t="str">
        <f>IF(BBDD_fashion_boutique[[#This Row],[return_reason]]="","No return",BBDD_fashion_boutique[[#This Row],[return_reason]])</f>
        <v>No return</v>
      </c>
      <c r="Y908">
        <f>IF(IFERROR(VLOOKUP(BBDD_fashion_boutique[[#This Row],[product_id]],A909:A3084,1,FALSE),0),1,0)</f>
        <v>0</v>
      </c>
    </row>
    <row r="909" spans="1:25" x14ac:dyDescent="0.3">
      <c r="A909" t="s">
        <v>968</v>
      </c>
      <c r="B909" t="s">
        <v>48</v>
      </c>
      <c r="C909" t="s">
        <v>81</v>
      </c>
      <c r="D909" t="s">
        <v>21</v>
      </c>
      <c r="E909" t="s">
        <v>45</v>
      </c>
      <c r="F909" t="str">
        <f>IF(BBDD_fashion_boutique[[#This Row],[category]]="Accessories","Accesorio",IF(BBDD_fashion_boutique[[#This Row],[size]]="","Desconocido",BBDD_fashion_boutique[[#This Row],[size]]))</f>
        <v>S</v>
      </c>
      <c r="G909" t="s">
        <v>50</v>
      </c>
      <c r="H909" s="2">
        <v>90.52</v>
      </c>
      <c r="I909">
        <v>53.2</v>
      </c>
      <c r="J909" s="5">
        <f>BBDD_fashion_boutique[[#This Row],[markdown_percentage]]/100</f>
        <v>0.53200000000000003</v>
      </c>
      <c r="K909" s="2">
        <v>42.36</v>
      </c>
      <c r="L909" s="2">
        <f>BBDD_fashion_boutique[[#This Row],[original_price]]-BBDD_fashion_boutique[[#This Row],[current_price]]</f>
        <v>48.16</v>
      </c>
      <c r="M909" s="1">
        <v>45866</v>
      </c>
      <c r="N909" s="1" t="str">
        <f>PROPER(TEXT(BBDD_fashion_boutique[[#This Row],[purchase_date]],"dddd"))</f>
        <v>Lunes</v>
      </c>
      <c r="O909" s="1" t="str">
        <f>PROPER(TEXT(BBDD_fashion_boutique[[#This Row],[purchase_date]],"mmmm"))</f>
        <v>Julio</v>
      </c>
      <c r="P909" s="4">
        <v>37</v>
      </c>
      <c r="Q909" s="2">
        <v>2.2000000000000002</v>
      </c>
      <c r="R909" t="str">
        <f>IF(BBDD_fashion_boutique[[#This Row],[stock_quantity]]&gt;9,"Ok",IF(BBDD_fashion_boutique[[#This Row],[stock_quantity]]=0,"Agotado","Pocas Unidades"))</f>
        <v>Ok</v>
      </c>
      <c r="S909" s="3">
        <f>IF(BBDD_fashion_boutique[[#This Row],[customer_rating]]="","No valorado",BBDD_fashion_boutique[[#This Row],[customer_rating]])</f>
        <v>2.2000000000000002</v>
      </c>
      <c r="T909" t="s">
        <v>24</v>
      </c>
      <c r="V909">
        <f>IF(BBDD_fashion_boutique[[#This Row],[is_returned]]="False",0,1)</f>
        <v>0</v>
      </c>
      <c r="W909">
        <f>IF(BBDD_fashion_boutique[[#This Row],[is_returned]]="True",0,BBDD_fashion_boutique[[#This Row],[current_price]])</f>
        <v>42.36</v>
      </c>
      <c r="X909" t="str">
        <f>IF(BBDD_fashion_boutique[[#This Row],[return_reason]]="","No return",BBDD_fashion_boutique[[#This Row],[return_reason]])</f>
        <v>No return</v>
      </c>
      <c r="Y909">
        <f>IF(IFERROR(VLOOKUP(BBDD_fashion_boutique[[#This Row],[product_id]],A910:A3085,1,FALSE),0),1,0)</f>
        <v>0</v>
      </c>
    </row>
    <row r="910" spans="1:25" x14ac:dyDescent="0.3">
      <c r="A910" t="s">
        <v>969</v>
      </c>
      <c r="B910" t="s">
        <v>35</v>
      </c>
      <c r="C910" t="s">
        <v>81</v>
      </c>
      <c r="D910" t="s">
        <v>68</v>
      </c>
      <c r="E910" t="s">
        <v>55</v>
      </c>
      <c r="F910" t="str">
        <f>IF(BBDD_fashion_boutique[[#This Row],[category]]="Accessories","Accesorio",IF(BBDD_fashion_boutique[[#This Row],[size]]="","Desconocido",BBDD_fashion_boutique[[#This Row],[size]]))</f>
        <v>XXL</v>
      </c>
      <c r="G910" t="s">
        <v>52</v>
      </c>
      <c r="H910" s="2">
        <v>94.93</v>
      </c>
      <c r="I910">
        <v>16.600000000000001</v>
      </c>
      <c r="J910" s="5">
        <f>BBDD_fashion_boutique[[#This Row],[markdown_percentage]]/100</f>
        <v>0.16600000000000001</v>
      </c>
      <c r="K910" s="2">
        <v>79.17</v>
      </c>
      <c r="L910" s="2">
        <f>BBDD_fashion_boutique[[#This Row],[original_price]]-BBDD_fashion_boutique[[#This Row],[current_price]]</f>
        <v>15.760000000000005</v>
      </c>
      <c r="M910" s="1">
        <v>45875</v>
      </c>
      <c r="N910" s="1" t="str">
        <f>PROPER(TEXT(BBDD_fashion_boutique[[#This Row],[purchase_date]],"dddd"))</f>
        <v>Miércoles</v>
      </c>
      <c r="O910" s="1" t="str">
        <f>PROPER(TEXT(BBDD_fashion_boutique[[#This Row],[purchase_date]],"mmmm"))</f>
        <v>Agosto</v>
      </c>
      <c r="P910" s="4">
        <v>39</v>
      </c>
      <c r="Q910" s="2">
        <v>4.8</v>
      </c>
      <c r="R910" t="str">
        <f>IF(BBDD_fashion_boutique[[#This Row],[stock_quantity]]&gt;9,"Ok",IF(BBDD_fashion_boutique[[#This Row],[stock_quantity]]=0,"Agotado","Pocas Unidades"))</f>
        <v>Ok</v>
      </c>
      <c r="S910" s="3">
        <f>IF(BBDD_fashion_boutique[[#This Row],[customer_rating]]="","No valorado",BBDD_fashion_boutique[[#This Row],[customer_rating]])</f>
        <v>4.8</v>
      </c>
      <c r="T910" t="s">
        <v>24</v>
      </c>
      <c r="V910">
        <f>IF(BBDD_fashion_boutique[[#This Row],[is_returned]]="False",0,1)</f>
        <v>0</v>
      </c>
      <c r="W910">
        <f>IF(BBDD_fashion_boutique[[#This Row],[is_returned]]="True",0,BBDD_fashion_boutique[[#This Row],[current_price]])</f>
        <v>79.17</v>
      </c>
      <c r="X910" t="str">
        <f>IF(BBDD_fashion_boutique[[#This Row],[return_reason]]="","No return",BBDD_fashion_boutique[[#This Row],[return_reason]])</f>
        <v>No return</v>
      </c>
      <c r="Y910">
        <f>IF(IFERROR(VLOOKUP(BBDD_fashion_boutique[[#This Row],[product_id]],A911:A3086,1,FALSE),0),1,0)</f>
        <v>0</v>
      </c>
    </row>
    <row r="911" spans="1:25" x14ac:dyDescent="0.3">
      <c r="A911" t="s">
        <v>970</v>
      </c>
      <c r="B911" t="s">
        <v>35</v>
      </c>
      <c r="C911" t="s">
        <v>37</v>
      </c>
      <c r="D911" t="s">
        <v>28</v>
      </c>
      <c r="E911" t="s">
        <v>61</v>
      </c>
      <c r="F911" t="str">
        <f>IF(BBDD_fashion_boutique[[#This Row],[category]]="Accessories","Accesorio",IF(BBDD_fashion_boutique[[#This Row],[size]]="","Desconocido",BBDD_fashion_boutique[[#This Row],[size]]))</f>
        <v>XS</v>
      </c>
      <c r="G911" t="s">
        <v>46</v>
      </c>
      <c r="H911" s="2">
        <v>179.82</v>
      </c>
      <c r="I911">
        <v>0</v>
      </c>
      <c r="J911" s="5">
        <f>BBDD_fashion_boutique[[#This Row],[markdown_percentage]]/100</f>
        <v>0</v>
      </c>
      <c r="K911" s="2">
        <v>179.82</v>
      </c>
      <c r="L911" s="2">
        <f>BBDD_fashion_boutique[[#This Row],[original_price]]-BBDD_fashion_boutique[[#This Row],[current_price]]</f>
        <v>0</v>
      </c>
      <c r="M911" s="1">
        <v>45875</v>
      </c>
      <c r="N911" s="1" t="str">
        <f>PROPER(TEXT(BBDD_fashion_boutique[[#This Row],[purchase_date]],"dddd"))</f>
        <v>Miércoles</v>
      </c>
      <c r="O911" s="1" t="str">
        <f>PROPER(TEXT(BBDD_fashion_boutique[[#This Row],[purchase_date]],"mmmm"))</f>
        <v>Agosto</v>
      </c>
      <c r="P911" s="4">
        <v>28</v>
      </c>
      <c r="Q911" s="2">
        <v>2.4</v>
      </c>
      <c r="R911" t="str">
        <f>IF(BBDD_fashion_boutique[[#This Row],[stock_quantity]]&gt;9,"Ok",IF(BBDD_fashion_boutique[[#This Row],[stock_quantity]]=0,"Agotado","Pocas Unidades"))</f>
        <v>Ok</v>
      </c>
      <c r="S911" s="3">
        <f>IF(BBDD_fashion_boutique[[#This Row],[customer_rating]]="","No valorado",BBDD_fashion_boutique[[#This Row],[customer_rating]])</f>
        <v>2.4</v>
      </c>
      <c r="T911" t="s">
        <v>41</v>
      </c>
      <c r="U911" t="s">
        <v>84</v>
      </c>
      <c r="V911">
        <f>IF(BBDD_fashion_boutique[[#This Row],[is_returned]]="False",0,1)</f>
        <v>1</v>
      </c>
      <c r="W911">
        <f>IF(BBDD_fashion_boutique[[#This Row],[is_returned]]="True",0,BBDD_fashion_boutique[[#This Row],[current_price]])</f>
        <v>0</v>
      </c>
      <c r="X911" t="str">
        <f>IF(BBDD_fashion_boutique[[#This Row],[return_reason]]="","No return",BBDD_fashion_boutique[[#This Row],[return_reason]])</f>
        <v>Damaged</v>
      </c>
      <c r="Y911">
        <f>IF(IFERROR(VLOOKUP(BBDD_fashion_boutique[[#This Row],[product_id]],A912:A3087,1,FALSE),0),1,0)</f>
        <v>0</v>
      </c>
    </row>
    <row r="912" spans="1:25" x14ac:dyDescent="0.3">
      <c r="A912" t="s">
        <v>971</v>
      </c>
      <c r="B912" t="s">
        <v>26</v>
      </c>
      <c r="C912" t="s">
        <v>27</v>
      </c>
      <c r="D912" t="s">
        <v>21</v>
      </c>
      <c r="F912" t="str">
        <f>IF(BBDD_fashion_boutique[[#This Row],[category]]="Accessories","Accesorio",IF(BBDD_fashion_boutique[[#This Row],[size]]="","Desconocido",BBDD_fashion_boutique[[#This Row],[size]]))</f>
        <v>Desconocido</v>
      </c>
      <c r="G912" t="s">
        <v>76</v>
      </c>
      <c r="H912" s="2">
        <v>101.96</v>
      </c>
      <c r="I912">
        <v>23.7</v>
      </c>
      <c r="J912" s="5">
        <f>BBDD_fashion_boutique[[#This Row],[markdown_percentage]]/100</f>
        <v>0.23699999999999999</v>
      </c>
      <c r="K912" s="2">
        <v>77.8</v>
      </c>
      <c r="L912" s="2">
        <f>BBDD_fashion_boutique[[#This Row],[original_price]]-BBDD_fashion_boutique[[#This Row],[current_price]]</f>
        <v>24.159999999999997</v>
      </c>
      <c r="M912" s="1">
        <v>45798</v>
      </c>
      <c r="N912" s="1" t="str">
        <f>PROPER(TEXT(BBDD_fashion_boutique[[#This Row],[purchase_date]],"dddd"))</f>
        <v>Miércoles</v>
      </c>
      <c r="O912" s="1" t="str">
        <f>PROPER(TEXT(BBDD_fashion_boutique[[#This Row],[purchase_date]],"mmmm"))</f>
        <v>Mayo</v>
      </c>
      <c r="P912" s="4">
        <v>29</v>
      </c>
      <c r="Q912" s="2">
        <v>3.6</v>
      </c>
      <c r="R912" t="str">
        <f>IF(BBDD_fashion_boutique[[#This Row],[stock_quantity]]&gt;9,"Ok",IF(BBDD_fashion_boutique[[#This Row],[stock_quantity]]=0,"Agotado","Pocas Unidades"))</f>
        <v>Ok</v>
      </c>
      <c r="S912" s="3">
        <f>IF(BBDD_fashion_boutique[[#This Row],[customer_rating]]="","No valorado",BBDD_fashion_boutique[[#This Row],[customer_rating]])</f>
        <v>3.6</v>
      </c>
      <c r="T912" t="s">
        <v>24</v>
      </c>
      <c r="V912">
        <f>IF(BBDD_fashion_boutique[[#This Row],[is_returned]]="False",0,1)</f>
        <v>0</v>
      </c>
      <c r="W912">
        <f>IF(BBDD_fashion_boutique[[#This Row],[is_returned]]="True",0,BBDD_fashion_boutique[[#This Row],[current_price]])</f>
        <v>77.8</v>
      </c>
      <c r="X912" t="str">
        <f>IF(BBDD_fashion_boutique[[#This Row],[return_reason]]="","No return",BBDD_fashion_boutique[[#This Row],[return_reason]])</f>
        <v>No return</v>
      </c>
      <c r="Y912">
        <f>IF(IFERROR(VLOOKUP(BBDD_fashion_boutique[[#This Row],[product_id]],A913:A3088,1,FALSE),0),1,0)</f>
        <v>0</v>
      </c>
    </row>
    <row r="913" spans="1:25" x14ac:dyDescent="0.3">
      <c r="A913" t="s">
        <v>972</v>
      </c>
      <c r="B913" t="s">
        <v>44</v>
      </c>
      <c r="C913" t="s">
        <v>37</v>
      </c>
      <c r="D913" t="s">
        <v>21</v>
      </c>
      <c r="E913" t="s">
        <v>45</v>
      </c>
      <c r="F913" t="str">
        <f>IF(BBDD_fashion_boutique[[#This Row],[category]]="Accessories","Accesorio",IF(BBDD_fashion_boutique[[#This Row],[size]]="","Desconocido",BBDD_fashion_boutique[[#This Row],[size]]))</f>
        <v>S</v>
      </c>
      <c r="G913" t="s">
        <v>52</v>
      </c>
      <c r="H913" s="2">
        <v>27.11</v>
      </c>
      <c r="I913">
        <v>16.2</v>
      </c>
      <c r="J913" s="5">
        <f>BBDD_fashion_boutique[[#This Row],[markdown_percentage]]/100</f>
        <v>0.16200000000000001</v>
      </c>
      <c r="K913" s="2">
        <v>22.72</v>
      </c>
      <c r="L913" s="2">
        <f>BBDD_fashion_boutique[[#This Row],[original_price]]-BBDD_fashion_boutique[[#This Row],[current_price]]</f>
        <v>4.3900000000000006</v>
      </c>
      <c r="M913" s="1">
        <v>45634</v>
      </c>
      <c r="N913" s="1" t="str">
        <f>PROPER(TEXT(BBDD_fashion_boutique[[#This Row],[purchase_date]],"dddd"))</f>
        <v>Domingo</v>
      </c>
      <c r="O913" s="1" t="str">
        <f>PROPER(TEXT(BBDD_fashion_boutique[[#This Row],[purchase_date]],"mmmm"))</f>
        <v>Diciembre</v>
      </c>
      <c r="P913" s="4">
        <v>10</v>
      </c>
      <c r="Q913" s="2">
        <v>2.4</v>
      </c>
      <c r="R913" t="str">
        <f>IF(BBDD_fashion_boutique[[#This Row],[stock_quantity]]&gt;9,"Ok",IF(BBDD_fashion_boutique[[#This Row],[stock_quantity]]=0,"Agotado","Pocas Unidades"))</f>
        <v>Ok</v>
      </c>
      <c r="S913" s="3">
        <f>IF(BBDD_fashion_boutique[[#This Row],[customer_rating]]="","No valorado",BBDD_fashion_boutique[[#This Row],[customer_rating]])</f>
        <v>2.4</v>
      </c>
      <c r="T913" t="s">
        <v>41</v>
      </c>
      <c r="U913" t="s">
        <v>121</v>
      </c>
      <c r="V913">
        <f>IF(BBDD_fashion_boutique[[#This Row],[is_returned]]="False",0,1)</f>
        <v>1</v>
      </c>
      <c r="W913">
        <f>IF(BBDD_fashion_boutique[[#This Row],[is_returned]]="True",0,BBDD_fashion_boutique[[#This Row],[current_price]])</f>
        <v>0</v>
      </c>
      <c r="X913" t="str">
        <f>IF(BBDD_fashion_boutique[[#This Row],[return_reason]]="","No return",BBDD_fashion_boutique[[#This Row],[return_reason]])</f>
        <v>Changed Mind</v>
      </c>
      <c r="Y913">
        <f>IF(IFERROR(VLOOKUP(BBDD_fashion_boutique[[#This Row],[product_id]],A914:A3089,1,FALSE),0),1,0)</f>
        <v>0</v>
      </c>
    </row>
    <row r="914" spans="1:25" x14ac:dyDescent="0.3">
      <c r="A914" t="s">
        <v>973</v>
      </c>
      <c r="B914" t="s">
        <v>19</v>
      </c>
      <c r="C914" t="s">
        <v>67</v>
      </c>
      <c r="D914" t="s">
        <v>68</v>
      </c>
      <c r="E914" t="s">
        <v>45</v>
      </c>
      <c r="F914" t="str">
        <f>IF(BBDD_fashion_boutique[[#This Row],[category]]="Accessories","Accesorio",IF(BBDD_fashion_boutique[[#This Row],[size]]="","Desconocido",BBDD_fashion_boutique[[#This Row],[size]]))</f>
        <v>S</v>
      </c>
      <c r="G914" t="s">
        <v>33</v>
      </c>
      <c r="H914" s="2">
        <v>141.83000000000001</v>
      </c>
      <c r="I914">
        <v>0</v>
      </c>
      <c r="J914" s="5">
        <f>BBDD_fashion_boutique[[#This Row],[markdown_percentage]]/100</f>
        <v>0</v>
      </c>
      <c r="K914" s="2">
        <v>141.83000000000001</v>
      </c>
      <c r="L914" s="2">
        <f>BBDD_fashion_boutique[[#This Row],[original_price]]-BBDD_fashion_boutique[[#This Row],[current_price]]</f>
        <v>0</v>
      </c>
      <c r="M914" s="1">
        <v>45875</v>
      </c>
      <c r="N914" s="1" t="str">
        <f>PROPER(TEXT(BBDD_fashion_boutique[[#This Row],[purchase_date]],"dddd"))</f>
        <v>Miércoles</v>
      </c>
      <c r="O914" s="1" t="str">
        <f>PROPER(TEXT(BBDD_fashion_boutique[[#This Row],[purchase_date]],"mmmm"))</f>
        <v>Agosto</v>
      </c>
      <c r="P914" s="4">
        <v>2</v>
      </c>
      <c r="Q914" s="2">
        <v>2.4</v>
      </c>
      <c r="R914" t="str">
        <f>IF(BBDD_fashion_boutique[[#This Row],[stock_quantity]]&gt;9,"Ok",IF(BBDD_fashion_boutique[[#This Row],[stock_quantity]]=0,"Agotado","Pocas Unidades"))</f>
        <v>Pocas Unidades</v>
      </c>
      <c r="S914" s="3">
        <f>IF(BBDD_fashion_boutique[[#This Row],[customer_rating]]="","No valorado",BBDD_fashion_boutique[[#This Row],[customer_rating]])</f>
        <v>2.4</v>
      </c>
      <c r="T914" t="s">
        <v>41</v>
      </c>
      <c r="U914" t="s">
        <v>42</v>
      </c>
      <c r="V914">
        <f>IF(BBDD_fashion_boutique[[#This Row],[is_returned]]="False",0,1)</f>
        <v>1</v>
      </c>
      <c r="W914">
        <f>IF(BBDD_fashion_boutique[[#This Row],[is_returned]]="True",0,BBDD_fashion_boutique[[#This Row],[current_price]])</f>
        <v>0</v>
      </c>
      <c r="X914" t="str">
        <f>IF(BBDD_fashion_boutique[[#This Row],[return_reason]]="","No return",BBDD_fashion_boutique[[#This Row],[return_reason]])</f>
        <v>Color Mismatch</v>
      </c>
      <c r="Y914">
        <f>IF(IFERROR(VLOOKUP(BBDD_fashion_boutique[[#This Row],[product_id]],A915:A3090,1,FALSE),0),1,0)</f>
        <v>0</v>
      </c>
    </row>
    <row r="915" spans="1:25" x14ac:dyDescent="0.3">
      <c r="A915" t="s">
        <v>974</v>
      </c>
      <c r="B915" t="s">
        <v>35</v>
      </c>
      <c r="C915" t="s">
        <v>67</v>
      </c>
      <c r="D915" t="s">
        <v>21</v>
      </c>
      <c r="F915" t="str">
        <f>IF(BBDD_fashion_boutique[[#This Row],[category]]="Accessories","Accesorio",IF(BBDD_fashion_boutique[[#This Row],[size]]="","Desconocido",BBDD_fashion_boutique[[#This Row],[size]]))</f>
        <v>Desconocido</v>
      </c>
      <c r="G915" t="s">
        <v>62</v>
      </c>
      <c r="H915" s="2">
        <v>156.34</v>
      </c>
      <c r="I915">
        <v>37</v>
      </c>
      <c r="J915" s="5">
        <f>BBDD_fashion_boutique[[#This Row],[markdown_percentage]]/100</f>
        <v>0.37</v>
      </c>
      <c r="K915" s="2">
        <v>98.49</v>
      </c>
      <c r="L915" s="2">
        <f>BBDD_fashion_boutique[[#This Row],[original_price]]-BBDD_fashion_boutique[[#This Row],[current_price]]</f>
        <v>57.850000000000009</v>
      </c>
      <c r="M915" s="1">
        <v>45760</v>
      </c>
      <c r="N915" s="1" t="str">
        <f>PROPER(TEXT(BBDD_fashion_boutique[[#This Row],[purchase_date]],"dddd"))</f>
        <v>Domingo</v>
      </c>
      <c r="O915" s="1" t="str">
        <f>PROPER(TEXT(BBDD_fashion_boutique[[#This Row],[purchase_date]],"mmmm"))</f>
        <v>Abril</v>
      </c>
      <c r="P915" s="4">
        <v>45</v>
      </c>
      <c r="Q915" s="2">
        <v>2.9</v>
      </c>
      <c r="R915" t="str">
        <f>IF(BBDD_fashion_boutique[[#This Row],[stock_quantity]]&gt;9,"Ok",IF(BBDD_fashion_boutique[[#This Row],[stock_quantity]]=0,"Agotado","Pocas Unidades"))</f>
        <v>Ok</v>
      </c>
      <c r="S915" s="3">
        <f>IF(BBDD_fashion_boutique[[#This Row],[customer_rating]]="","No valorado",BBDD_fashion_boutique[[#This Row],[customer_rating]])</f>
        <v>2.9</v>
      </c>
      <c r="T915" t="s">
        <v>41</v>
      </c>
      <c r="U915" t="s">
        <v>79</v>
      </c>
      <c r="V915">
        <f>IF(BBDD_fashion_boutique[[#This Row],[is_returned]]="False",0,1)</f>
        <v>1</v>
      </c>
      <c r="W915">
        <f>IF(BBDD_fashion_boutique[[#This Row],[is_returned]]="True",0,BBDD_fashion_boutique[[#This Row],[current_price]])</f>
        <v>0</v>
      </c>
      <c r="X915" t="str">
        <f>IF(BBDD_fashion_boutique[[#This Row],[return_reason]]="","No return",BBDD_fashion_boutique[[#This Row],[return_reason]])</f>
        <v>Size Issue</v>
      </c>
      <c r="Y915">
        <f>IF(IFERROR(VLOOKUP(BBDD_fashion_boutique[[#This Row],[product_id]],A916:A3091,1,FALSE),0),1,0)</f>
        <v>0</v>
      </c>
    </row>
    <row r="916" spans="1:25" x14ac:dyDescent="0.3">
      <c r="A916" t="s">
        <v>975</v>
      </c>
      <c r="B916" t="s">
        <v>26</v>
      </c>
      <c r="C916" t="s">
        <v>81</v>
      </c>
      <c r="D916" t="s">
        <v>68</v>
      </c>
      <c r="E916" t="s">
        <v>61</v>
      </c>
      <c r="F916" t="str">
        <f>IF(BBDD_fashion_boutique[[#This Row],[category]]="Accessories","Accesorio",IF(BBDD_fashion_boutique[[#This Row],[size]]="","Desconocido",BBDD_fashion_boutique[[#This Row],[size]]))</f>
        <v>XS</v>
      </c>
      <c r="G916" t="s">
        <v>76</v>
      </c>
      <c r="H916" s="2">
        <v>81.84</v>
      </c>
      <c r="I916">
        <v>0</v>
      </c>
      <c r="J916" s="5">
        <f>BBDD_fashion_boutique[[#This Row],[markdown_percentage]]/100</f>
        <v>0</v>
      </c>
      <c r="K916" s="2">
        <v>81.84</v>
      </c>
      <c r="L916" s="2">
        <f>BBDD_fashion_boutique[[#This Row],[original_price]]-BBDD_fashion_boutique[[#This Row],[current_price]]</f>
        <v>0</v>
      </c>
      <c r="M916" s="1">
        <v>45875</v>
      </c>
      <c r="N916" s="1" t="str">
        <f>PROPER(TEXT(BBDD_fashion_boutique[[#This Row],[purchase_date]],"dddd"))</f>
        <v>Miércoles</v>
      </c>
      <c r="O916" s="1" t="str">
        <f>PROPER(TEXT(BBDD_fashion_boutique[[#This Row],[purchase_date]],"mmmm"))</f>
        <v>Agosto</v>
      </c>
      <c r="P916" s="4">
        <v>41</v>
      </c>
      <c r="Q916" s="2">
        <v>2.4</v>
      </c>
      <c r="R916" t="str">
        <f>IF(BBDD_fashion_boutique[[#This Row],[stock_quantity]]&gt;9,"Ok",IF(BBDD_fashion_boutique[[#This Row],[stock_quantity]]=0,"Agotado","Pocas Unidades"))</f>
        <v>Ok</v>
      </c>
      <c r="S916" s="3">
        <f>IF(BBDD_fashion_boutique[[#This Row],[customer_rating]]="","No valorado",BBDD_fashion_boutique[[#This Row],[customer_rating]])</f>
        <v>2.4</v>
      </c>
      <c r="T916" t="s">
        <v>24</v>
      </c>
      <c r="V916">
        <f>IF(BBDD_fashion_boutique[[#This Row],[is_returned]]="False",0,1)</f>
        <v>0</v>
      </c>
      <c r="W916">
        <f>IF(BBDD_fashion_boutique[[#This Row],[is_returned]]="True",0,BBDD_fashion_boutique[[#This Row],[current_price]])</f>
        <v>81.84</v>
      </c>
      <c r="X916" t="str">
        <f>IF(BBDD_fashion_boutique[[#This Row],[return_reason]]="","No return",BBDD_fashion_boutique[[#This Row],[return_reason]])</f>
        <v>No return</v>
      </c>
      <c r="Y916">
        <f>IF(IFERROR(VLOOKUP(BBDD_fashion_boutique[[#This Row],[product_id]],A917:A3092,1,FALSE),0),1,0)</f>
        <v>0</v>
      </c>
    </row>
    <row r="917" spans="1:25" x14ac:dyDescent="0.3">
      <c r="A917" t="s">
        <v>976</v>
      </c>
      <c r="B917" t="s">
        <v>44</v>
      </c>
      <c r="C917" t="s">
        <v>54</v>
      </c>
      <c r="D917" t="s">
        <v>39</v>
      </c>
      <c r="E917" t="s">
        <v>29</v>
      </c>
      <c r="F917" t="str">
        <f>IF(BBDD_fashion_boutique[[#This Row],[category]]="Accessories","Accesorio",IF(BBDD_fashion_boutique[[#This Row],[size]]="","Desconocido",BBDD_fashion_boutique[[#This Row],[size]]))</f>
        <v>L</v>
      </c>
      <c r="G917" t="s">
        <v>33</v>
      </c>
      <c r="H917" s="2">
        <v>36.44</v>
      </c>
      <c r="I917">
        <v>19.899999999999999</v>
      </c>
      <c r="J917" s="5">
        <f>BBDD_fashion_boutique[[#This Row],[markdown_percentage]]/100</f>
        <v>0.19899999999999998</v>
      </c>
      <c r="K917" s="2">
        <v>29.19</v>
      </c>
      <c r="L917" s="2">
        <f>BBDD_fashion_boutique[[#This Row],[original_price]]-BBDD_fashion_boutique[[#This Row],[current_price]]</f>
        <v>7.2499999999999964</v>
      </c>
      <c r="M917" s="1">
        <v>45875</v>
      </c>
      <c r="N917" s="1" t="str">
        <f>PROPER(TEXT(BBDD_fashion_boutique[[#This Row],[purchase_date]],"dddd"))</f>
        <v>Miércoles</v>
      </c>
      <c r="O917" s="1" t="str">
        <f>PROPER(TEXT(BBDD_fashion_boutique[[#This Row],[purchase_date]],"mmmm"))</f>
        <v>Agosto</v>
      </c>
      <c r="P917" s="4">
        <v>39</v>
      </c>
      <c r="Q917" s="2">
        <v>1.8</v>
      </c>
      <c r="R917" t="str">
        <f>IF(BBDD_fashion_boutique[[#This Row],[stock_quantity]]&gt;9,"Ok",IF(BBDD_fashion_boutique[[#This Row],[stock_quantity]]=0,"Agotado","Pocas Unidades"))</f>
        <v>Ok</v>
      </c>
      <c r="S917" s="3">
        <f>IF(BBDD_fashion_boutique[[#This Row],[customer_rating]]="","No valorado",BBDD_fashion_boutique[[#This Row],[customer_rating]])</f>
        <v>1.8</v>
      </c>
      <c r="T917" t="s">
        <v>24</v>
      </c>
      <c r="V917">
        <f>IF(BBDD_fashion_boutique[[#This Row],[is_returned]]="False",0,1)</f>
        <v>0</v>
      </c>
      <c r="W917">
        <f>IF(BBDD_fashion_boutique[[#This Row],[is_returned]]="True",0,BBDD_fashion_boutique[[#This Row],[current_price]])</f>
        <v>29.19</v>
      </c>
      <c r="X917" t="str">
        <f>IF(BBDD_fashion_boutique[[#This Row],[return_reason]]="","No return",BBDD_fashion_boutique[[#This Row],[return_reason]])</f>
        <v>No return</v>
      </c>
      <c r="Y917">
        <f>IF(IFERROR(VLOOKUP(BBDD_fashion_boutique[[#This Row],[product_id]],A918:A3093,1,FALSE),0),1,0)</f>
        <v>0</v>
      </c>
    </row>
    <row r="918" spans="1:25" x14ac:dyDescent="0.3">
      <c r="A918" t="s">
        <v>977</v>
      </c>
      <c r="B918" t="s">
        <v>19</v>
      </c>
      <c r="C918" t="s">
        <v>59</v>
      </c>
      <c r="D918" t="s">
        <v>39</v>
      </c>
      <c r="E918" t="s">
        <v>45</v>
      </c>
      <c r="F918" t="str">
        <f>IF(BBDD_fashion_boutique[[#This Row],[category]]="Accessories","Accesorio",IF(BBDD_fashion_boutique[[#This Row],[size]]="","Desconocido",BBDD_fashion_boutique[[#This Row],[size]]))</f>
        <v>S</v>
      </c>
      <c r="G918" t="s">
        <v>30</v>
      </c>
      <c r="H918" s="2">
        <v>155.30000000000001</v>
      </c>
      <c r="I918">
        <v>0</v>
      </c>
      <c r="J918" s="5">
        <f>BBDD_fashion_boutique[[#This Row],[markdown_percentage]]/100</f>
        <v>0</v>
      </c>
      <c r="K918" s="2">
        <v>155.30000000000001</v>
      </c>
      <c r="L918" s="2">
        <f>BBDD_fashion_boutique[[#This Row],[original_price]]-BBDD_fashion_boutique[[#This Row],[current_price]]</f>
        <v>0</v>
      </c>
      <c r="M918" s="1">
        <v>45875</v>
      </c>
      <c r="N918" s="1" t="str">
        <f>PROPER(TEXT(BBDD_fashion_boutique[[#This Row],[purchase_date]],"dddd"))</f>
        <v>Miércoles</v>
      </c>
      <c r="O918" s="1" t="str">
        <f>PROPER(TEXT(BBDD_fashion_boutique[[#This Row],[purchase_date]],"mmmm"))</f>
        <v>Agosto</v>
      </c>
      <c r="P918" s="4">
        <v>9</v>
      </c>
      <c r="Q918" s="2">
        <v>3</v>
      </c>
      <c r="R918" t="str">
        <f>IF(BBDD_fashion_boutique[[#This Row],[stock_quantity]]&gt;9,"Ok",IF(BBDD_fashion_boutique[[#This Row],[stock_quantity]]=0,"Agotado","Pocas Unidades"))</f>
        <v>Pocas Unidades</v>
      </c>
      <c r="S918" s="3">
        <f>IF(BBDD_fashion_boutique[[#This Row],[customer_rating]]="","No valorado",BBDD_fashion_boutique[[#This Row],[customer_rating]])</f>
        <v>3</v>
      </c>
      <c r="T918" t="s">
        <v>24</v>
      </c>
      <c r="V918">
        <f>IF(BBDD_fashion_boutique[[#This Row],[is_returned]]="False",0,1)</f>
        <v>0</v>
      </c>
      <c r="W918">
        <f>IF(BBDD_fashion_boutique[[#This Row],[is_returned]]="True",0,BBDD_fashion_boutique[[#This Row],[current_price]])</f>
        <v>155.30000000000001</v>
      </c>
      <c r="X918" t="str">
        <f>IF(BBDD_fashion_boutique[[#This Row],[return_reason]]="","No return",BBDD_fashion_boutique[[#This Row],[return_reason]])</f>
        <v>No return</v>
      </c>
      <c r="Y918">
        <f>IF(IFERROR(VLOOKUP(BBDD_fashion_boutique[[#This Row],[product_id]],A919:A3094,1,FALSE),0),1,0)</f>
        <v>0</v>
      </c>
    </row>
    <row r="919" spans="1:25" x14ac:dyDescent="0.3">
      <c r="A919" t="s">
        <v>978</v>
      </c>
      <c r="B919" t="s">
        <v>44</v>
      </c>
      <c r="C919" t="s">
        <v>27</v>
      </c>
      <c r="D919" t="s">
        <v>39</v>
      </c>
      <c r="E919" t="s">
        <v>22</v>
      </c>
      <c r="F919" t="str">
        <f>IF(BBDD_fashion_boutique[[#This Row],[category]]="Accessories","Accesorio",IF(BBDD_fashion_boutique[[#This Row],[size]]="","Desconocido",BBDD_fashion_boutique[[#This Row],[size]]))</f>
        <v>XL</v>
      </c>
      <c r="G919" t="s">
        <v>23</v>
      </c>
      <c r="H919" s="2">
        <v>84.04</v>
      </c>
      <c r="I919">
        <v>28.5</v>
      </c>
      <c r="J919" s="5">
        <f>BBDD_fashion_boutique[[#This Row],[markdown_percentage]]/100</f>
        <v>0.28499999999999998</v>
      </c>
      <c r="K919" s="2">
        <v>60.09</v>
      </c>
      <c r="L919" s="2">
        <f>BBDD_fashion_boutique[[#This Row],[original_price]]-BBDD_fashion_boutique[[#This Row],[current_price]]</f>
        <v>23.950000000000003</v>
      </c>
      <c r="M919" s="1">
        <v>45875</v>
      </c>
      <c r="N919" s="1" t="str">
        <f>PROPER(TEXT(BBDD_fashion_boutique[[#This Row],[purchase_date]],"dddd"))</f>
        <v>Miércoles</v>
      </c>
      <c r="O919" s="1" t="str">
        <f>PROPER(TEXT(BBDD_fashion_boutique[[#This Row],[purchase_date]],"mmmm"))</f>
        <v>Agosto</v>
      </c>
      <c r="P919" s="4">
        <v>3</v>
      </c>
      <c r="Q919" s="2">
        <v>1</v>
      </c>
      <c r="R919" t="str">
        <f>IF(BBDD_fashion_boutique[[#This Row],[stock_quantity]]&gt;9,"Ok",IF(BBDD_fashion_boutique[[#This Row],[stock_quantity]]=0,"Agotado","Pocas Unidades"))</f>
        <v>Pocas Unidades</v>
      </c>
      <c r="S919" s="3">
        <f>IF(BBDD_fashion_boutique[[#This Row],[customer_rating]]="","No valorado",BBDD_fashion_boutique[[#This Row],[customer_rating]])</f>
        <v>1</v>
      </c>
      <c r="T919" t="s">
        <v>24</v>
      </c>
      <c r="V919">
        <f>IF(BBDD_fashion_boutique[[#This Row],[is_returned]]="False",0,1)</f>
        <v>0</v>
      </c>
      <c r="W919">
        <f>IF(BBDD_fashion_boutique[[#This Row],[is_returned]]="True",0,BBDD_fashion_boutique[[#This Row],[current_price]])</f>
        <v>60.09</v>
      </c>
      <c r="X919" t="str">
        <f>IF(BBDD_fashion_boutique[[#This Row],[return_reason]]="","No return",BBDD_fashion_boutique[[#This Row],[return_reason]])</f>
        <v>No return</v>
      </c>
      <c r="Y919">
        <f>IF(IFERROR(VLOOKUP(BBDD_fashion_boutique[[#This Row],[product_id]],A920:A3095,1,FALSE),0),1,0)</f>
        <v>0</v>
      </c>
    </row>
    <row r="920" spans="1:25" x14ac:dyDescent="0.3">
      <c r="A920" t="s">
        <v>979</v>
      </c>
      <c r="B920" t="s">
        <v>35</v>
      </c>
      <c r="C920" t="s">
        <v>67</v>
      </c>
      <c r="D920" t="s">
        <v>39</v>
      </c>
      <c r="E920" t="s">
        <v>61</v>
      </c>
      <c r="F920" t="str">
        <f>IF(BBDD_fashion_boutique[[#This Row],[category]]="Accessories","Accesorio",IF(BBDD_fashion_boutique[[#This Row],[size]]="","Desconocido",BBDD_fashion_boutique[[#This Row],[size]]))</f>
        <v>XS</v>
      </c>
      <c r="G920" t="s">
        <v>76</v>
      </c>
      <c r="H920" s="2">
        <v>98.76</v>
      </c>
      <c r="I920">
        <v>56.4</v>
      </c>
      <c r="J920" s="5">
        <f>BBDD_fashion_boutique[[#This Row],[markdown_percentage]]/100</f>
        <v>0.56399999999999995</v>
      </c>
      <c r="K920" s="2">
        <v>43.06</v>
      </c>
      <c r="L920" s="2">
        <f>BBDD_fashion_boutique[[#This Row],[original_price]]-BBDD_fashion_boutique[[#This Row],[current_price]]</f>
        <v>55.7</v>
      </c>
      <c r="M920" s="1">
        <v>45875</v>
      </c>
      <c r="N920" s="1" t="str">
        <f>PROPER(TEXT(BBDD_fashion_boutique[[#This Row],[purchase_date]],"dddd"))</f>
        <v>Miércoles</v>
      </c>
      <c r="O920" s="1" t="str">
        <f>PROPER(TEXT(BBDD_fashion_boutique[[#This Row],[purchase_date]],"mmmm"))</f>
        <v>Agosto</v>
      </c>
      <c r="P920" s="4">
        <v>22</v>
      </c>
      <c r="Q920" s="2">
        <v>4.5</v>
      </c>
      <c r="R920" t="str">
        <f>IF(BBDD_fashion_boutique[[#This Row],[stock_quantity]]&gt;9,"Ok",IF(BBDD_fashion_boutique[[#This Row],[stock_quantity]]=0,"Agotado","Pocas Unidades"))</f>
        <v>Ok</v>
      </c>
      <c r="S920" s="3">
        <f>IF(BBDD_fashion_boutique[[#This Row],[customer_rating]]="","No valorado",BBDD_fashion_boutique[[#This Row],[customer_rating]])</f>
        <v>4.5</v>
      </c>
      <c r="T920" t="s">
        <v>24</v>
      </c>
      <c r="V920">
        <f>IF(BBDD_fashion_boutique[[#This Row],[is_returned]]="False",0,1)</f>
        <v>0</v>
      </c>
      <c r="W920">
        <f>IF(BBDD_fashion_boutique[[#This Row],[is_returned]]="True",0,BBDD_fashion_boutique[[#This Row],[current_price]])</f>
        <v>43.06</v>
      </c>
      <c r="X920" t="str">
        <f>IF(BBDD_fashion_boutique[[#This Row],[return_reason]]="","No return",BBDD_fashion_boutique[[#This Row],[return_reason]])</f>
        <v>No return</v>
      </c>
      <c r="Y920">
        <f>IF(IFERROR(VLOOKUP(BBDD_fashion_boutique[[#This Row],[product_id]],A921:A3096,1,FALSE),0),1,0)</f>
        <v>0</v>
      </c>
    </row>
    <row r="921" spans="1:25" x14ac:dyDescent="0.3">
      <c r="A921" t="s">
        <v>980</v>
      </c>
      <c r="B921" t="s">
        <v>32</v>
      </c>
      <c r="C921" t="s">
        <v>59</v>
      </c>
      <c r="D921" t="s">
        <v>68</v>
      </c>
      <c r="F921" t="str">
        <f>IF(BBDD_fashion_boutique[[#This Row],[category]]="Accessories","Accesorio",IF(BBDD_fashion_boutique[[#This Row],[size]]="","Desconocido",BBDD_fashion_boutique[[#This Row],[size]]))</f>
        <v>Accesorio</v>
      </c>
      <c r="G921" t="s">
        <v>40</v>
      </c>
      <c r="H921" s="2">
        <v>52.99</v>
      </c>
      <c r="I921">
        <v>59.1</v>
      </c>
      <c r="J921" s="5">
        <f>BBDD_fashion_boutique[[#This Row],[markdown_percentage]]/100</f>
        <v>0.59099999999999997</v>
      </c>
      <c r="K921" s="2">
        <v>21.67</v>
      </c>
      <c r="L921" s="2">
        <f>BBDD_fashion_boutique[[#This Row],[original_price]]-BBDD_fashion_boutique[[#This Row],[current_price]]</f>
        <v>31.32</v>
      </c>
      <c r="M921" s="1">
        <v>45875</v>
      </c>
      <c r="N921" s="1" t="str">
        <f>PROPER(TEXT(BBDD_fashion_boutique[[#This Row],[purchase_date]],"dddd"))</f>
        <v>Miércoles</v>
      </c>
      <c r="O921" s="1" t="str">
        <f>PROPER(TEXT(BBDD_fashion_boutique[[#This Row],[purchase_date]],"mmmm"))</f>
        <v>Agosto</v>
      </c>
      <c r="P921" s="4">
        <v>50</v>
      </c>
      <c r="Q921" s="2">
        <v>3.4</v>
      </c>
      <c r="R921" t="str">
        <f>IF(BBDD_fashion_boutique[[#This Row],[stock_quantity]]&gt;9,"Ok",IF(BBDD_fashion_boutique[[#This Row],[stock_quantity]]=0,"Agotado","Pocas Unidades"))</f>
        <v>Ok</v>
      </c>
      <c r="S921" s="3">
        <f>IF(BBDD_fashion_boutique[[#This Row],[customer_rating]]="","No valorado",BBDD_fashion_boutique[[#This Row],[customer_rating]])</f>
        <v>3.4</v>
      </c>
      <c r="T921" t="s">
        <v>41</v>
      </c>
      <c r="U921" t="s">
        <v>79</v>
      </c>
      <c r="V921">
        <f>IF(BBDD_fashion_boutique[[#This Row],[is_returned]]="False",0,1)</f>
        <v>1</v>
      </c>
      <c r="W921">
        <f>IF(BBDD_fashion_boutique[[#This Row],[is_returned]]="True",0,BBDD_fashion_boutique[[#This Row],[current_price]])</f>
        <v>0</v>
      </c>
      <c r="X921" t="str">
        <f>IF(BBDD_fashion_boutique[[#This Row],[return_reason]]="","No return",BBDD_fashion_boutique[[#This Row],[return_reason]])</f>
        <v>Size Issue</v>
      </c>
      <c r="Y921">
        <f>IF(IFERROR(VLOOKUP(BBDD_fashion_boutique[[#This Row],[product_id]],A922:A3097,1,FALSE),0),1,0)</f>
        <v>0</v>
      </c>
    </row>
    <row r="922" spans="1:25" x14ac:dyDescent="0.3">
      <c r="A922" t="s">
        <v>981</v>
      </c>
      <c r="B922" t="s">
        <v>44</v>
      </c>
      <c r="C922" t="s">
        <v>27</v>
      </c>
      <c r="D922" t="s">
        <v>21</v>
      </c>
      <c r="E922" t="s">
        <v>29</v>
      </c>
      <c r="F922" t="str">
        <f>IF(BBDD_fashion_boutique[[#This Row],[category]]="Accessories","Accesorio",IF(BBDD_fashion_boutique[[#This Row],[size]]="","Desconocido",BBDD_fashion_boutique[[#This Row],[size]]))</f>
        <v>L</v>
      </c>
      <c r="G922" t="s">
        <v>23</v>
      </c>
      <c r="H922" s="2">
        <v>39.840000000000003</v>
      </c>
      <c r="I922">
        <v>0</v>
      </c>
      <c r="J922" s="5">
        <f>BBDD_fashion_boutique[[#This Row],[markdown_percentage]]/100</f>
        <v>0</v>
      </c>
      <c r="K922" s="2">
        <v>39.840000000000003</v>
      </c>
      <c r="L922" s="2">
        <f>BBDD_fashion_boutique[[#This Row],[original_price]]-BBDD_fashion_boutique[[#This Row],[current_price]]</f>
        <v>0</v>
      </c>
      <c r="M922" s="1">
        <v>45765</v>
      </c>
      <c r="N922" s="1" t="str">
        <f>PROPER(TEXT(BBDD_fashion_boutique[[#This Row],[purchase_date]],"dddd"))</f>
        <v>Viernes</v>
      </c>
      <c r="O922" s="1" t="str">
        <f>PROPER(TEXT(BBDD_fashion_boutique[[#This Row],[purchase_date]],"mmmm"))</f>
        <v>Abril</v>
      </c>
      <c r="P922" s="4">
        <v>24</v>
      </c>
      <c r="Q922" s="2">
        <v>2.4</v>
      </c>
      <c r="R922" t="str">
        <f>IF(BBDD_fashion_boutique[[#This Row],[stock_quantity]]&gt;9,"Ok",IF(BBDD_fashion_boutique[[#This Row],[stock_quantity]]=0,"Agotado","Pocas Unidades"))</f>
        <v>Ok</v>
      </c>
      <c r="S922" s="3">
        <f>IF(BBDD_fashion_boutique[[#This Row],[customer_rating]]="","No valorado",BBDD_fashion_boutique[[#This Row],[customer_rating]])</f>
        <v>2.4</v>
      </c>
      <c r="T922" t="s">
        <v>24</v>
      </c>
      <c r="V922">
        <f>IF(BBDD_fashion_boutique[[#This Row],[is_returned]]="False",0,1)</f>
        <v>0</v>
      </c>
      <c r="W922">
        <f>IF(BBDD_fashion_boutique[[#This Row],[is_returned]]="True",0,BBDD_fashion_boutique[[#This Row],[current_price]])</f>
        <v>39.840000000000003</v>
      </c>
      <c r="X922" t="str">
        <f>IF(BBDD_fashion_boutique[[#This Row],[return_reason]]="","No return",BBDD_fashion_boutique[[#This Row],[return_reason]])</f>
        <v>No return</v>
      </c>
      <c r="Y922">
        <f>IF(IFERROR(VLOOKUP(BBDD_fashion_boutique[[#This Row],[product_id]],A923:A3098,1,FALSE),0),1,0)</f>
        <v>0</v>
      </c>
    </row>
    <row r="923" spans="1:25" x14ac:dyDescent="0.3">
      <c r="A923" t="s">
        <v>982</v>
      </c>
      <c r="B923" t="s">
        <v>32</v>
      </c>
      <c r="C923" t="s">
        <v>59</v>
      </c>
      <c r="D923" t="s">
        <v>21</v>
      </c>
      <c r="F923" t="str">
        <f>IF(BBDD_fashion_boutique[[#This Row],[category]]="Accessories","Accesorio",IF(BBDD_fashion_boutique[[#This Row],[size]]="","Desconocido",BBDD_fashion_boutique[[#This Row],[size]]))</f>
        <v>Accesorio</v>
      </c>
      <c r="G923" t="s">
        <v>52</v>
      </c>
      <c r="H923" s="2">
        <v>40.01</v>
      </c>
      <c r="I923">
        <v>0</v>
      </c>
      <c r="J923" s="5">
        <f>BBDD_fashion_boutique[[#This Row],[markdown_percentage]]/100</f>
        <v>0</v>
      </c>
      <c r="K923" s="2">
        <v>40.01</v>
      </c>
      <c r="L923" s="2">
        <f>BBDD_fashion_boutique[[#This Row],[original_price]]-BBDD_fashion_boutique[[#This Row],[current_price]]</f>
        <v>0</v>
      </c>
      <c r="M923" s="1">
        <v>45813</v>
      </c>
      <c r="N923" s="1" t="str">
        <f>PROPER(TEXT(BBDD_fashion_boutique[[#This Row],[purchase_date]],"dddd"))</f>
        <v>Jueves</v>
      </c>
      <c r="O923" s="1" t="str">
        <f>PROPER(TEXT(BBDD_fashion_boutique[[#This Row],[purchase_date]],"mmmm"))</f>
        <v>Junio</v>
      </c>
      <c r="P923" s="4">
        <v>22</v>
      </c>
      <c r="Q923" s="2">
        <v>4.5</v>
      </c>
      <c r="R923" t="str">
        <f>IF(BBDD_fashion_boutique[[#This Row],[stock_quantity]]&gt;9,"Ok",IF(BBDD_fashion_boutique[[#This Row],[stock_quantity]]=0,"Agotado","Pocas Unidades"))</f>
        <v>Ok</v>
      </c>
      <c r="S923" s="3">
        <f>IF(BBDD_fashion_boutique[[#This Row],[customer_rating]]="","No valorado",BBDD_fashion_boutique[[#This Row],[customer_rating]])</f>
        <v>4.5</v>
      </c>
      <c r="T923" t="s">
        <v>24</v>
      </c>
      <c r="V923">
        <f>IF(BBDD_fashion_boutique[[#This Row],[is_returned]]="False",0,1)</f>
        <v>0</v>
      </c>
      <c r="W923">
        <f>IF(BBDD_fashion_boutique[[#This Row],[is_returned]]="True",0,BBDD_fashion_boutique[[#This Row],[current_price]])</f>
        <v>40.01</v>
      </c>
      <c r="X923" t="str">
        <f>IF(BBDD_fashion_boutique[[#This Row],[return_reason]]="","No return",BBDD_fashion_boutique[[#This Row],[return_reason]])</f>
        <v>No return</v>
      </c>
      <c r="Y923">
        <f>IF(IFERROR(VLOOKUP(BBDD_fashion_boutique[[#This Row],[product_id]],A924:A3099,1,FALSE),0),1,0)</f>
        <v>0</v>
      </c>
    </row>
    <row r="924" spans="1:25" x14ac:dyDescent="0.3">
      <c r="A924" t="s">
        <v>983</v>
      </c>
      <c r="B924" t="s">
        <v>19</v>
      </c>
      <c r="C924" t="s">
        <v>59</v>
      </c>
      <c r="D924" t="s">
        <v>68</v>
      </c>
      <c r="E924" t="s">
        <v>29</v>
      </c>
      <c r="F924" t="str">
        <f>IF(BBDD_fashion_boutique[[#This Row],[category]]="Accessories","Accesorio",IF(BBDD_fashion_boutique[[#This Row],[size]]="","Desconocido",BBDD_fashion_boutique[[#This Row],[size]]))</f>
        <v>L</v>
      </c>
      <c r="G924" t="s">
        <v>70</v>
      </c>
      <c r="H924" s="2">
        <v>245.75</v>
      </c>
      <c r="I924">
        <v>0</v>
      </c>
      <c r="J924" s="5">
        <f>BBDD_fashion_boutique[[#This Row],[markdown_percentage]]/100</f>
        <v>0</v>
      </c>
      <c r="K924" s="2">
        <v>245.75</v>
      </c>
      <c r="L924" s="2">
        <f>BBDD_fashion_boutique[[#This Row],[original_price]]-BBDD_fashion_boutique[[#This Row],[current_price]]</f>
        <v>0</v>
      </c>
      <c r="M924" s="1">
        <v>45875</v>
      </c>
      <c r="N924" s="1" t="str">
        <f>PROPER(TEXT(BBDD_fashion_boutique[[#This Row],[purchase_date]],"dddd"))</f>
        <v>Miércoles</v>
      </c>
      <c r="O924" s="1" t="str">
        <f>PROPER(TEXT(BBDD_fashion_boutique[[#This Row],[purchase_date]],"mmmm"))</f>
        <v>Agosto</v>
      </c>
      <c r="P924" s="4">
        <v>12</v>
      </c>
      <c r="R924" t="str">
        <f>IF(BBDD_fashion_boutique[[#This Row],[stock_quantity]]&gt;9,"Ok",IF(BBDD_fashion_boutique[[#This Row],[stock_quantity]]=0,"Agotado","Pocas Unidades"))</f>
        <v>Ok</v>
      </c>
      <c r="S924" s="3" t="str">
        <f>IF(BBDD_fashion_boutique[[#This Row],[customer_rating]]="","No valorado",BBDD_fashion_boutique[[#This Row],[customer_rating]])</f>
        <v>No valorado</v>
      </c>
      <c r="T924" t="s">
        <v>41</v>
      </c>
      <c r="U924" t="s">
        <v>121</v>
      </c>
      <c r="V924">
        <f>IF(BBDD_fashion_boutique[[#This Row],[is_returned]]="False",0,1)</f>
        <v>1</v>
      </c>
      <c r="W924">
        <f>IF(BBDD_fashion_boutique[[#This Row],[is_returned]]="True",0,BBDD_fashion_boutique[[#This Row],[current_price]])</f>
        <v>0</v>
      </c>
      <c r="X924" t="str">
        <f>IF(BBDD_fashion_boutique[[#This Row],[return_reason]]="","No return",BBDD_fashion_boutique[[#This Row],[return_reason]])</f>
        <v>Changed Mind</v>
      </c>
      <c r="Y924">
        <f>IF(IFERROR(VLOOKUP(BBDD_fashion_boutique[[#This Row],[product_id]],A925:A3100,1,FALSE),0),1,0)</f>
        <v>0</v>
      </c>
    </row>
    <row r="925" spans="1:25" x14ac:dyDescent="0.3">
      <c r="A925" t="s">
        <v>984</v>
      </c>
      <c r="B925" t="s">
        <v>44</v>
      </c>
      <c r="C925" t="s">
        <v>20</v>
      </c>
      <c r="D925" t="s">
        <v>28</v>
      </c>
      <c r="E925" t="s">
        <v>22</v>
      </c>
      <c r="F925" t="str">
        <f>IF(BBDD_fashion_boutique[[#This Row],[category]]="Accessories","Accesorio",IF(BBDD_fashion_boutique[[#This Row],[size]]="","Desconocido",BBDD_fashion_boutique[[#This Row],[size]]))</f>
        <v>XL</v>
      </c>
      <c r="G925" t="s">
        <v>46</v>
      </c>
      <c r="H925" s="2">
        <v>102.25</v>
      </c>
      <c r="I925">
        <v>0</v>
      </c>
      <c r="J925" s="5">
        <f>BBDD_fashion_boutique[[#This Row],[markdown_percentage]]/100</f>
        <v>0</v>
      </c>
      <c r="K925" s="2">
        <v>102.25</v>
      </c>
      <c r="L925" s="2">
        <f>BBDD_fashion_boutique[[#This Row],[original_price]]-BBDD_fashion_boutique[[#This Row],[current_price]]</f>
        <v>0</v>
      </c>
      <c r="M925" s="1">
        <v>45875</v>
      </c>
      <c r="N925" s="1" t="str">
        <f>PROPER(TEXT(BBDD_fashion_boutique[[#This Row],[purchase_date]],"dddd"))</f>
        <v>Miércoles</v>
      </c>
      <c r="O925" s="1" t="str">
        <f>PROPER(TEXT(BBDD_fashion_boutique[[#This Row],[purchase_date]],"mmmm"))</f>
        <v>Agosto</v>
      </c>
      <c r="P925" s="4">
        <v>6</v>
      </c>
      <c r="Q925" s="2">
        <v>3.8</v>
      </c>
      <c r="R925" t="str">
        <f>IF(BBDD_fashion_boutique[[#This Row],[stock_quantity]]&gt;9,"Ok",IF(BBDD_fashion_boutique[[#This Row],[stock_quantity]]=0,"Agotado","Pocas Unidades"))</f>
        <v>Pocas Unidades</v>
      </c>
      <c r="S925" s="3">
        <f>IF(BBDD_fashion_boutique[[#This Row],[customer_rating]]="","No valorado",BBDD_fashion_boutique[[#This Row],[customer_rating]])</f>
        <v>3.8</v>
      </c>
      <c r="T925" t="s">
        <v>24</v>
      </c>
      <c r="V925">
        <f>IF(BBDD_fashion_boutique[[#This Row],[is_returned]]="False",0,1)</f>
        <v>0</v>
      </c>
      <c r="W925">
        <f>IF(BBDD_fashion_boutique[[#This Row],[is_returned]]="True",0,BBDD_fashion_boutique[[#This Row],[current_price]])</f>
        <v>102.25</v>
      </c>
      <c r="X925" t="str">
        <f>IF(BBDD_fashion_boutique[[#This Row],[return_reason]]="","No return",BBDD_fashion_boutique[[#This Row],[return_reason]])</f>
        <v>No return</v>
      </c>
      <c r="Y925">
        <f>IF(IFERROR(VLOOKUP(BBDD_fashion_boutique[[#This Row],[product_id]],A926:A3101,1,FALSE),0),1,0)</f>
        <v>0</v>
      </c>
    </row>
    <row r="926" spans="1:25" x14ac:dyDescent="0.3">
      <c r="A926" t="s">
        <v>985</v>
      </c>
      <c r="B926" t="s">
        <v>26</v>
      </c>
      <c r="C926" t="s">
        <v>59</v>
      </c>
      <c r="D926" t="s">
        <v>68</v>
      </c>
      <c r="E926" t="s">
        <v>64</v>
      </c>
      <c r="F926" t="str">
        <f>IF(BBDD_fashion_boutique[[#This Row],[category]]="Accessories","Accesorio",IF(BBDD_fashion_boutique[[#This Row],[size]]="","Desconocido",BBDD_fashion_boutique[[#This Row],[size]]))</f>
        <v>M</v>
      </c>
      <c r="G926" t="s">
        <v>46</v>
      </c>
      <c r="H926" s="2">
        <v>76.33</v>
      </c>
      <c r="I926">
        <v>0</v>
      </c>
      <c r="J926" s="5">
        <f>BBDD_fashion_boutique[[#This Row],[markdown_percentage]]/100</f>
        <v>0</v>
      </c>
      <c r="K926" s="2">
        <v>76.33</v>
      </c>
      <c r="L926" s="2">
        <f>BBDD_fashion_boutique[[#This Row],[original_price]]-BBDD_fashion_boutique[[#This Row],[current_price]]</f>
        <v>0</v>
      </c>
      <c r="M926" s="1">
        <v>45875</v>
      </c>
      <c r="N926" s="1" t="str">
        <f>PROPER(TEXT(BBDD_fashion_boutique[[#This Row],[purchase_date]],"dddd"))</f>
        <v>Miércoles</v>
      </c>
      <c r="O926" s="1" t="str">
        <f>PROPER(TEXT(BBDD_fashion_boutique[[#This Row],[purchase_date]],"mmmm"))</f>
        <v>Agosto</v>
      </c>
      <c r="P926" s="4">
        <v>15</v>
      </c>
      <c r="Q926" s="2">
        <v>2</v>
      </c>
      <c r="R926" t="str">
        <f>IF(BBDD_fashion_boutique[[#This Row],[stock_quantity]]&gt;9,"Ok",IF(BBDD_fashion_boutique[[#This Row],[stock_quantity]]=0,"Agotado","Pocas Unidades"))</f>
        <v>Ok</v>
      </c>
      <c r="S926" s="3">
        <f>IF(BBDD_fashion_boutique[[#This Row],[customer_rating]]="","No valorado",BBDD_fashion_boutique[[#This Row],[customer_rating]])</f>
        <v>2</v>
      </c>
      <c r="T926" t="s">
        <v>41</v>
      </c>
      <c r="U926" t="s">
        <v>131</v>
      </c>
      <c r="V926">
        <f>IF(BBDD_fashion_boutique[[#This Row],[is_returned]]="False",0,1)</f>
        <v>1</v>
      </c>
      <c r="W926">
        <f>IF(BBDD_fashion_boutique[[#This Row],[is_returned]]="True",0,BBDD_fashion_boutique[[#This Row],[current_price]])</f>
        <v>0</v>
      </c>
      <c r="X926" t="str">
        <f>IF(BBDD_fashion_boutique[[#This Row],[return_reason]]="","No return",BBDD_fashion_boutique[[#This Row],[return_reason]])</f>
        <v>Wrong Item</v>
      </c>
      <c r="Y926">
        <f>IF(IFERROR(VLOOKUP(BBDD_fashion_boutique[[#This Row],[product_id]],A927:A3102,1,FALSE),0),1,0)</f>
        <v>0</v>
      </c>
    </row>
    <row r="927" spans="1:25" x14ac:dyDescent="0.3">
      <c r="A927" t="s">
        <v>986</v>
      </c>
      <c r="B927" t="s">
        <v>32</v>
      </c>
      <c r="C927" t="s">
        <v>20</v>
      </c>
      <c r="D927" t="s">
        <v>21</v>
      </c>
      <c r="F927" t="str">
        <f>IF(BBDD_fashion_boutique[[#This Row],[category]]="Accessories","Accesorio",IF(BBDD_fashion_boutique[[#This Row],[size]]="","Desconocido",BBDD_fashion_boutique[[#This Row],[size]]))</f>
        <v>Accesorio</v>
      </c>
      <c r="G927" t="s">
        <v>46</v>
      </c>
      <c r="H927" s="2">
        <v>51.79</v>
      </c>
      <c r="I927">
        <v>39</v>
      </c>
      <c r="J927" s="5">
        <f>BBDD_fashion_boutique[[#This Row],[markdown_percentage]]/100</f>
        <v>0.39</v>
      </c>
      <c r="K927" s="2">
        <v>31.59</v>
      </c>
      <c r="L927" s="2">
        <f>BBDD_fashion_boutique[[#This Row],[original_price]]-BBDD_fashion_boutique[[#This Row],[current_price]]</f>
        <v>20.2</v>
      </c>
      <c r="M927" s="1">
        <v>45733</v>
      </c>
      <c r="N927" s="1" t="str">
        <f>PROPER(TEXT(BBDD_fashion_boutique[[#This Row],[purchase_date]],"dddd"))</f>
        <v>Lunes</v>
      </c>
      <c r="O927" s="1" t="str">
        <f>PROPER(TEXT(BBDD_fashion_boutique[[#This Row],[purchase_date]],"mmmm"))</f>
        <v>Marzo</v>
      </c>
      <c r="P927" s="4">
        <v>37</v>
      </c>
      <c r="Q927" s="2">
        <v>2.5</v>
      </c>
      <c r="R927" t="str">
        <f>IF(BBDD_fashion_boutique[[#This Row],[stock_quantity]]&gt;9,"Ok",IF(BBDD_fashion_boutique[[#This Row],[stock_quantity]]=0,"Agotado","Pocas Unidades"))</f>
        <v>Ok</v>
      </c>
      <c r="S927" s="3">
        <f>IF(BBDD_fashion_boutique[[#This Row],[customer_rating]]="","No valorado",BBDD_fashion_boutique[[#This Row],[customer_rating]])</f>
        <v>2.5</v>
      </c>
      <c r="T927" t="s">
        <v>24</v>
      </c>
      <c r="V927">
        <f>IF(BBDD_fashion_boutique[[#This Row],[is_returned]]="False",0,1)</f>
        <v>0</v>
      </c>
      <c r="W927">
        <f>IF(BBDD_fashion_boutique[[#This Row],[is_returned]]="True",0,BBDD_fashion_boutique[[#This Row],[current_price]])</f>
        <v>31.59</v>
      </c>
      <c r="X927" t="str">
        <f>IF(BBDD_fashion_boutique[[#This Row],[return_reason]]="","No return",BBDD_fashion_boutique[[#This Row],[return_reason]])</f>
        <v>No return</v>
      </c>
      <c r="Y927">
        <f>IF(IFERROR(VLOOKUP(BBDD_fashion_boutique[[#This Row],[product_id]],A928:A3103,1,FALSE),0),1,0)</f>
        <v>0</v>
      </c>
    </row>
    <row r="928" spans="1:25" x14ac:dyDescent="0.3">
      <c r="A928" t="s">
        <v>987</v>
      </c>
      <c r="B928" t="s">
        <v>19</v>
      </c>
      <c r="C928" t="s">
        <v>20</v>
      </c>
      <c r="D928" t="s">
        <v>21</v>
      </c>
      <c r="E928" t="s">
        <v>55</v>
      </c>
      <c r="F928" t="str">
        <f>IF(BBDD_fashion_boutique[[#This Row],[category]]="Accessories","Accesorio",IF(BBDD_fashion_boutique[[#This Row],[size]]="","Desconocido",BBDD_fashion_boutique[[#This Row],[size]]))</f>
        <v>XXL</v>
      </c>
      <c r="G928" t="s">
        <v>30</v>
      </c>
      <c r="H928" s="2">
        <v>141.24</v>
      </c>
      <c r="I928">
        <v>12.9</v>
      </c>
      <c r="J928" s="5">
        <f>BBDD_fashion_boutique[[#This Row],[markdown_percentage]]/100</f>
        <v>0.129</v>
      </c>
      <c r="K928" s="2">
        <v>123.02</v>
      </c>
      <c r="L928" s="2">
        <f>BBDD_fashion_boutique[[#This Row],[original_price]]-BBDD_fashion_boutique[[#This Row],[current_price]]</f>
        <v>18.220000000000013</v>
      </c>
      <c r="M928" s="1">
        <v>45567</v>
      </c>
      <c r="N928" s="1" t="str">
        <f>PROPER(TEXT(BBDD_fashion_boutique[[#This Row],[purchase_date]],"dddd"))</f>
        <v>Miércoles</v>
      </c>
      <c r="O928" s="1" t="str">
        <f>PROPER(TEXT(BBDD_fashion_boutique[[#This Row],[purchase_date]],"mmmm"))</f>
        <v>Octubre</v>
      </c>
      <c r="P928" s="4">
        <v>23</v>
      </c>
      <c r="Q928" s="2">
        <v>1.7</v>
      </c>
      <c r="R928" t="str">
        <f>IF(BBDD_fashion_boutique[[#This Row],[stock_quantity]]&gt;9,"Ok",IF(BBDD_fashion_boutique[[#This Row],[stock_quantity]]=0,"Agotado","Pocas Unidades"))</f>
        <v>Ok</v>
      </c>
      <c r="S928" s="3">
        <f>IF(BBDD_fashion_boutique[[#This Row],[customer_rating]]="","No valorado",BBDD_fashion_boutique[[#This Row],[customer_rating]])</f>
        <v>1.7</v>
      </c>
      <c r="T928" t="s">
        <v>24</v>
      </c>
      <c r="V928">
        <f>IF(BBDD_fashion_boutique[[#This Row],[is_returned]]="False",0,1)</f>
        <v>0</v>
      </c>
      <c r="W928">
        <f>IF(BBDD_fashion_boutique[[#This Row],[is_returned]]="True",0,BBDD_fashion_boutique[[#This Row],[current_price]])</f>
        <v>123.02</v>
      </c>
      <c r="X928" t="str">
        <f>IF(BBDD_fashion_boutique[[#This Row],[return_reason]]="","No return",BBDD_fashion_boutique[[#This Row],[return_reason]])</f>
        <v>No return</v>
      </c>
      <c r="Y928">
        <f>IF(IFERROR(VLOOKUP(BBDD_fashion_boutique[[#This Row],[product_id]],A929:A3104,1,FALSE),0),1,0)</f>
        <v>0</v>
      </c>
    </row>
    <row r="929" spans="1:25" x14ac:dyDescent="0.3">
      <c r="A929" t="s">
        <v>988</v>
      </c>
      <c r="B929" t="s">
        <v>32</v>
      </c>
      <c r="C929" t="s">
        <v>27</v>
      </c>
      <c r="D929" t="s">
        <v>21</v>
      </c>
      <c r="F929" t="str">
        <f>IF(BBDD_fashion_boutique[[#This Row],[category]]="Accessories","Accesorio",IF(BBDD_fashion_boutique[[#This Row],[size]]="","Desconocido",BBDD_fashion_boutique[[#This Row],[size]]))</f>
        <v>Accesorio</v>
      </c>
      <c r="G929" t="s">
        <v>33</v>
      </c>
      <c r="H929" s="2">
        <v>66.180000000000007</v>
      </c>
      <c r="I929">
        <v>0</v>
      </c>
      <c r="J929" s="5">
        <f>BBDD_fashion_boutique[[#This Row],[markdown_percentage]]/100</f>
        <v>0</v>
      </c>
      <c r="K929" s="2">
        <v>66.180000000000007</v>
      </c>
      <c r="L929" s="2">
        <f>BBDD_fashion_boutique[[#This Row],[original_price]]-BBDD_fashion_boutique[[#This Row],[current_price]]</f>
        <v>0</v>
      </c>
      <c r="M929" s="1">
        <v>45800</v>
      </c>
      <c r="N929" s="1" t="str">
        <f>PROPER(TEXT(BBDD_fashion_boutique[[#This Row],[purchase_date]],"dddd"))</f>
        <v>Viernes</v>
      </c>
      <c r="O929" s="1" t="str">
        <f>PROPER(TEXT(BBDD_fashion_boutique[[#This Row],[purchase_date]],"mmmm"))</f>
        <v>Mayo</v>
      </c>
      <c r="P929" s="4">
        <v>20</v>
      </c>
      <c r="Q929" s="2">
        <v>1.7</v>
      </c>
      <c r="R929" t="str">
        <f>IF(BBDD_fashion_boutique[[#This Row],[stock_quantity]]&gt;9,"Ok",IF(BBDD_fashion_boutique[[#This Row],[stock_quantity]]=0,"Agotado","Pocas Unidades"))</f>
        <v>Ok</v>
      </c>
      <c r="S929" s="3">
        <f>IF(BBDD_fashion_boutique[[#This Row],[customer_rating]]="","No valorado",BBDD_fashion_boutique[[#This Row],[customer_rating]])</f>
        <v>1.7</v>
      </c>
      <c r="T929" t="s">
        <v>24</v>
      </c>
      <c r="V929">
        <f>IF(BBDD_fashion_boutique[[#This Row],[is_returned]]="False",0,1)</f>
        <v>0</v>
      </c>
      <c r="W929">
        <f>IF(BBDD_fashion_boutique[[#This Row],[is_returned]]="True",0,BBDD_fashion_boutique[[#This Row],[current_price]])</f>
        <v>66.180000000000007</v>
      </c>
      <c r="X929" t="str">
        <f>IF(BBDD_fashion_boutique[[#This Row],[return_reason]]="","No return",BBDD_fashion_boutique[[#This Row],[return_reason]])</f>
        <v>No return</v>
      </c>
      <c r="Y929">
        <f>IF(IFERROR(VLOOKUP(BBDD_fashion_boutique[[#This Row],[product_id]],A930:A3105,1,FALSE),0),1,0)</f>
        <v>0</v>
      </c>
    </row>
    <row r="930" spans="1:25" x14ac:dyDescent="0.3">
      <c r="A930" t="s">
        <v>989</v>
      </c>
      <c r="B930" t="s">
        <v>26</v>
      </c>
      <c r="C930" t="s">
        <v>37</v>
      </c>
      <c r="D930" t="s">
        <v>68</v>
      </c>
      <c r="E930" t="s">
        <v>64</v>
      </c>
      <c r="F930" t="str">
        <f>IF(BBDD_fashion_boutique[[#This Row],[category]]="Accessories","Accesorio",IF(BBDD_fashion_boutique[[#This Row],[size]]="","Desconocido",BBDD_fashion_boutique[[#This Row],[size]]))</f>
        <v>M</v>
      </c>
      <c r="G930" t="s">
        <v>70</v>
      </c>
      <c r="H930" s="2">
        <v>35.15</v>
      </c>
      <c r="I930">
        <v>0</v>
      </c>
      <c r="J930" s="5">
        <f>BBDD_fashion_boutique[[#This Row],[markdown_percentage]]/100</f>
        <v>0</v>
      </c>
      <c r="K930" s="2">
        <v>35.15</v>
      </c>
      <c r="L930" s="2">
        <f>BBDD_fashion_boutique[[#This Row],[original_price]]-BBDD_fashion_boutique[[#This Row],[current_price]]</f>
        <v>0</v>
      </c>
      <c r="M930" s="1">
        <v>45875</v>
      </c>
      <c r="N930" s="1" t="str">
        <f>PROPER(TEXT(BBDD_fashion_boutique[[#This Row],[purchase_date]],"dddd"))</f>
        <v>Miércoles</v>
      </c>
      <c r="O930" s="1" t="str">
        <f>PROPER(TEXT(BBDD_fashion_boutique[[#This Row],[purchase_date]],"mmmm"))</f>
        <v>Agosto</v>
      </c>
      <c r="P930" s="4">
        <v>38</v>
      </c>
      <c r="Q930" s="2">
        <v>2.2000000000000002</v>
      </c>
      <c r="R930" t="str">
        <f>IF(BBDD_fashion_boutique[[#This Row],[stock_quantity]]&gt;9,"Ok",IF(BBDD_fashion_boutique[[#This Row],[stock_quantity]]=0,"Agotado","Pocas Unidades"))</f>
        <v>Ok</v>
      </c>
      <c r="S930" s="3">
        <f>IF(BBDD_fashion_boutique[[#This Row],[customer_rating]]="","No valorado",BBDD_fashion_boutique[[#This Row],[customer_rating]])</f>
        <v>2.2000000000000002</v>
      </c>
      <c r="T930" t="s">
        <v>24</v>
      </c>
      <c r="V930">
        <f>IF(BBDD_fashion_boutique[[#This Row],[is_returned]]="False",0,1)</f>
        <v>0</v>
      </c>
      <c r="W930">
        <f>IF(BBDD_fashion_boutique[[#This Row],[is_returned]]="True",0,BBDD_fashion_boutique[[#This Row],[current_price]])</f>
        <v>35.15</v>
      </c>
      <c r="X930" t="str">
        <f>IF(BBDD_fashion_boutique[[#This Row],[return_reason]]="","No return",BBDD_fashion_boutique[[#This Row],[return_reason]])</f>
        <v>No return</v>
      </c>
      <c r="Y930">
        <f>IF(IFERROR(VLOOKUP(BBDD_fashion_boutique[[#This Row],[product_id]],A931:A3106,1,FALSE),0),1,0)</f>
        <v>0</v>
      </c>
    </row>
    <row r="931" spans="1:25" x14ac:dyDescent="0.3">
      <c r="A931" t="s">
        <v>990</v>
      </c>
      <c r="B931" t="s">
        <v>32</v>
      </c>
      <c r="C931" t="s">
        <v>54</v>
      </c>
      <c r="D931" t="s">
        <v>21</v>
      </c>
      <c r="F931" t="str">
        <f>IF(BBDD_fashion_boutique[[#This Row],[category]]="Accessories","Accesorio",IF(BBDD_fashion_boutique[[#This Row],[size]]="","Desconocido",BBDD_fashion_boutique[[#This Row],[size]]))</f>
        <v>Accesorio</v>
      </c>
      <c r="G931" t="s">
        <v>30</v>
      </c>
      <c r="H931" s="2">
        <v>35.619999999999997</v>
      </c>
      <c r="I931">
        <v>41.2</v>
      </c>
      <c r="J931" s="5">
        <f>BBDD_fashion_boutique[[#This Row],[markdown_percentage]]/100</f>
        <v>0.41200000000000003</v>
      </c>
      <c r="K931" s="2">
        <v>20.94</v>
      </c>
      <c r="L931" s="2">
        <f>BBDD_fashion_boutique[[#This Row],[original_price]]-BBDD_fashion_boutique[[#This Row],[current_price]]</f>
        <v>14.679999999999996</v>
      </c>
      <c r="M931" s="1">
        <v>45736</v>
      </c>
      <c r="N931" s="1" t="str">
        <f>PROPER(TEXT(BBDD_fashion_boutique[[#This Row],[purchase_date]],"dddd"))</f>
        <v>Jueves</v>
      </c>
      <c r="O931" s="1" t="str">
        <f>PROPER(TEXT(BBDD_fashion_boutique[[#This Row],[purchase_date]],"mmmm"))</f>
        <v>Marzo</v>
      </c>
      <c r="P931" s="4">
        <v>4</v>
      </c>
      <c r="Q931" s="2">
        <v>3.7</v>
      </c>
      <c r="R931" t="str">
        <f>IF(BBDD_fashion_boutique[[#This Row],[stock_quantity]]&gt;9,"Ok",IF(BBDD_fashion_boutique[[#This Row],[stock_quantity]]=0,"Agotado","Pocas Unidades"))</f>
        <v>Pocas Unidades</v>
      </c>
      <c r="S931" s="3">
        <f>IF(BBDD_fashion_boutique[[#This Row],[customer_rating]]="","No valorado",BBDD_fashion_boutique[[#This Row],[customer_rating]])</f>
        <v>3.7</v>
      </c>
      <c r="T931" t="s">
        <v>24</v>
      </c>
      <c r="V931">
        <f>IF(BBDD_fashion_boutique[[#This Row],[is_returned]]="False",0,1)</f>
        <v>0</v>
      </c>
      <c r="W931">
        <f>IF(BBDD_fashion_boutique[[#This Row],[is_returned]]="True",0,BBDD_fashion_boutique[[#This Row],[current_price]])</f>
        <v>20.94</v>
      </c>
      <c r="X931" t="str">
        <f>IF(BBDD_fashion_boutique[[#This Row],[return_reason]]="","No return",BBDD_fashion_boutique[[#This Row],[return_reason]])</f>
        <v>No return</v>
      </c>
      <c r="Y931">
        <f>IF(IFERROR(VLOOKUP(BBDD_fashion_boutique[[#This Row],[product_id]],A932:A3107,1,FALSE),0),1,0)</f>
        <v>0</v>
      </c>
    </row>
    <row r="932" spans="1:25" x14ac:dyDescent="0.3">
      <c r="A932" t="s">
        <v>991</v>
      </c>
      <c r="B932" t="s">
        <v>32</v>
      </c>
      <c r="C932" t="s">
        <v>81</v>
      </c>
      <c r="D932" t="s">
        <v>68</v>
      </c>
      <c r="F932" t="str">
        <f>IF(BBDD_fashion_boutique[[#This Row],[category]]="Accessories","Accesorio",IF(BBDD_fashion_boutique[[#This Row],[size]]="","Desconocido",BBDD_fashion_boutique[[#This Row],[size]]))</f>
        <v>Accesorio</v>
      </c>
      <c r="G932" t="s">
        <v>52</v>
      </c>
      <c r="H932" s="2">
        <v>35.64</v>
      </c>
      <c r="I932">
        <v>0</v>
      </c>
      <c r="J932" s="5">
        <f>BBDD_fashion_boutique[[#This Row],[markdown_percentage]]/100</f>
        <v>0</v>
      </c>
      <c r="K932" s="2">
        <v>35.64</v>
      </c>
      <c r="L932" s="2">
        <f>BBDD_fashion_boutique[[#This Row],[original_price]]-BBDD_fashion_boutique[[#This Row],[current_price]]</f>
        <v>0</v>
      </c>
      <c r="M932" s="1">
        <v>45875</v>
      </c>
      <c r="N932" s="1" t="str">
        <f>PROPER(TEXT(BBDD_fashion_boutique[[#This Row],[purchase_date]],"dddd"))</f>
        <v>Miércoles</v>
      </c>
      <c r="O932" s="1" t="str">
        <f>PROPER(TEXT(BBDD_fashion_boutique[[#This Row],[purchase_date]],"mmmm"))</f>
        <v>Agosto</v>
      </c>
      <c r="P932" s="4">
        <v>48</v>
      </c>
      <c r="Q932" s="2">
        <v>5</v>
      </c>
      <c r="R932" t="str">
        <f>IF(BBDD_fashion_boutique[[#This Row],[stock_quantity]]&gt;9,"Ok",IF(BBDD_fashion_boutique[[#This Row],[stock_quantity]]=0,"Agotado","Pocas Unidades"))</f>
        <v>Ok</v>
      </c>
      <c r="S932" s="3">
        <f>IF(BBDD_fashion_boutique[[#This Row],[customer_rating]]="","No valorado",BBDD_fashion_boutique[[#This Row],[customer_rating]])</f>
        <v>5</v>
      </c>
      <c r="T932" t="s">
        <v>41</v>
      </c>
      <c r="U932" t="s">
        <v>42</v>
      </c>
      <c r="V932">
        <f>IF(BBDD_fashion_boutique[[#This Row],[is_returned]]="False",0,1)</f>
        <v>1</v>
      </c>
      <c r="W932">
        <f>IF(BBDD_fashion_boutique[[#This Row],[is_returned]]="True",0,BBDD_fashion_boutique[[#This Row],[current_price]])</f>
        <v>0</v>
      </c>
      <c r="X932" t="str">
        <f>IF(BBDD_fashion_boutique[[#This Row],[return_reason]]="","No return",BBDD_fashion_boutique[[#This Row],[return_reason]])</f>
        <v>Color Mismatch</v>
      </c>
      <c r="Y932">
        <f>IF(IFERROR(VLOOKUP(BBDD_fashion_boutique[[#This Row],[product_id]],A933:A3108,1,FALSE),0),1,0)</f>
        <v>0</v>
      </c>
    </row>
    <row r="933" spans="1:25" x14ac:dyDescent="0.3">
      <c r="A933" t="s">
        <v>992</v>
      </c>
      <c r="B933" t="s">
        <v>44</v>
      </c>
      <c r="C933" t="s">
        <v>59</v>
      </c>
      <c r="D933" t="s">
        <v>68</v>
      </c>
      <c r="E933" t="s">
        <v>29</v>
      </c>
      <c r="F933" t="str">
        <f>IF(BBDD_fashion_boutique[[#This Row],[category]]="Accessories","Accesorio",IF(BBDD_fashion_boutique[[#This Row],[size]]="","Desconocido",BBDD_fashion_boutique[[#This Row],[size]]))</f>
        <v>L</v>
      </c>
      <c r="G933" t="s">
        <v>23</v>
      </c>
      <c r="H933" s="2">
        <v>86.68</v>
      </c>
      <c r="I933">
        <v>0</v>
      </c>
      <c r="J933" s="5">
        <f>BBDD_fashion_boutique[[#This Row],[markdown_percentage]]/100</f>
        <v>0</v>
      </c>
      <c r="K933" s="2">
        <v>86.68</v>
      </c>
      <c r="L933" s="2">
        <f>BBDD_fashion_boutique[[#This Row],[original_price]]-BBDD_fashion_boutique[[#This Row],[current_price]]</f>
        <v>0</v>
      </c>
      <c r="M933" s="1">
        <v>45875</v>
      </c>
      <c r="N933" s="1" t="str">
        <f>PROPER(TEXT(BBDD_fashion_boutique[[#This Row],[purchase_date]],"dddd"))</f>
        <v>Miércoles</v>
      </c>
      <c r="O933" s="1" t="str">
        <f>PROPER(TEXT(BBDD_fashion_boutique[[#This Row],[purchase_date]],"mmmm"))</f>
        <v>Agosto</v>
      </c>
      <c r="P933" s="4">
        <v>2</v>
      </c>
      <c r="R933" t="str">
        <f>IF(BBDD_fashion_boutique[[#This Row],[stock_quantity]]&gt;9,"Ok",IF(BBDD_fashion_boutique[[#This Row],[stock_quantity]]=0,"Agotado","Pocas Unidades"))</f>
        <v>Pocas Unidades</v>
      </c>
      <c r="S933" s="3" t="str">
        <f>IF(BBDD_fashion_boutique[[#This Row],[customer_rating]]="","No valorado",BBDD_fashion_boutique[[#This Row],[customer_rating]])</f>
        <v>No valorado</v>
      </c>
      <c r="T933" t="s">
        <v>24</v>
      </c>
      <c r="V933">
        <f>IF(BBDD_fashion_boutique[[#This Row],[is_returned]]="False",0,1)</f>
        <v>0</v>
      </c>
      <c r="W933">
        <f>IF(BBDD_fashion_boutique[[#This Row],[is_returned]]="True",0,BBDD_fashion_boutique[[#This Row],[current_price]])</f>
        <v>86.68</v>
      </c>
      <c r="X933" t="str">
        <f>IF(BBDD_fashion_boutique[[#This Row],[return_reason]]="","No return",BBDD_fashion_boutique[[#This Row],[return_reason]])</f>
        <v>No return</v>
      </c>
      <c r="Y933">
        <f>IF(IFERROR(VLOOKUP(BBDD_fashion_boutique[[#This Row],[product_id]],A934:A3109,1,FALSE),0),1,0)</f>
        <v>0</v>
      </c>
    </row>
    <row r="934" spans="1:25" x14ac:dyDescent="0.3">
      <c r="A934" t="s">
        <v>993</v>
      </c>
      <c r="B934" t="s">
        <v>32</v>
      </c>
      <c r="C934" t="s">
        <v>54</v>
      </c>
      <c r="D934" t="s">
        <v>39</v>
      </c>
      <c r="F934" t="str">
        <f>IF(BBDD_fashion_boutique[[#This Row],[category]]="Accessories","Accesorio",IF(BBDD_fashion_boutique[[#This Row],[size]]="","Desconocido",BBDD_fashion_boutique[[#This Row],[size]]))</f>
        <v>Accesorio</v>
      </c>
      <c r="G934" t="s">
        <v>30</v>
      </c>
      <c r="H934" s="2">
        <v>17.72</v>
      </c>
      <c r="I934">
        <v>0</v>
      </c>
      <c r="J934" s="5">
        <f>BBDD_fashion_boutique[[#This Row],[markdown_percentage]]/100</f>
        <v>0</v>
      </c>
      <c r="K934" s="2">
        <v>17.72</v>
      </c>
      <c r="L934" s="2">
        <f>BBDD_fashion_boutique[[#This Row],[original_price]]-BBDD_fashion_boutique[[#This Row],[current_price]]</f>
        <v>0</v>
      </c>
      <c r="M934" s="1">
        <v>45875</v>
      </c>
      <c r="N934" s="1" t="str">
        <f>PROPER(TEXT(BBDD_fashion_boutique[[#This Row],[purchase_date]],"dddd"))</f>
        <v>Miércoles</v>
      </c>
      <c r="O934" s="1" t="str">
        <f>PROPER(TEXT(BBDD_fashion_boutique[[#This Row],[purchase_date]],"mmmm"))</f>
        <v>Agosto</v>
      </c>
      <c r="P934" s="4">
        <v>9</v>
      </c>
      <c r="Q934" s="2">
        <v>1.2</v>
      </c>
      <c r="R934" t="str">
        <f>IF(BBDD_fashion_boutique[[#This Row],[stock_quantity]]&gt;9,"Ok",IF(BBDD_fashion_boutique[[#This Row],[stock_quantity]]=0,"Agotado","Pocas Unidades"))</f>
        <v>Pocas Unidades</v>
      </c>
      <c r="S934" s="3">
        <f>IF(BBDD_fashion_boutique[[#This Row],[customer_rating]]="","No valorado",BBDD_fashion_boutique[[#This Row],[customer_rating]])</f>
        <v>1.2</v>
      </c>
      <c r="T934" t="s">
        <v>24</v>
      </c>
      <c r="V934">
        <f>IF(BBDD_fashion_boutique[[#This Row],[is_returned]]="False",0,1)</f>
        <v>0</v>
      </c>
      <c r="W934">
        <f>IF(BBDD_fashion_boutique[[#This Row],[is_returned]]="True",0,BBDD_fashion_boutique[[#This Row],[current_price]])</f>
        <v>17.72</v>
      </c>
      <c r="X934" t="str">
        <f>IF(BBDD_fashion_boutique[[#This Row],[return_reason]]="","No return",BBDD_fashion_boutique[[#This Row],[return_reason]])</f>
        <v>No return</v>
      </c>
      <c r="Y934">
        <f>IF(IFERROR(VLOOKUP(BBDD_fashion_boutique[[#This Row],[product_id]],A935:A3110,1,FALSE),0),1,0)</f>
        <v>0</v>
      </c>
    </row>
    <row r="935" spans="1:25" x14ac:dyDescent="0.3">
      <c r="A935" t="s">
        <v>994</v>
      </c>
      <c r="B935" t="s">
        <v>19</v>
      </c>
      <c r="C935" t="s">
        <v>27</v>
      </c>
      <c r="D935" t="s">
        <v>39</v>
      </c>
      <c r="E935" t="s">
        <v>55</v>
      </c>
      <c r="F935" t="str">
        <f>IF(BBDD_fashion_boutique[[#This Row],[category]]="Accessories","Accesorio",IF(BBDD_fashion_boutique[[#This Row],[size]]="","Desconocido",BBDD_fashion_boutique[[#This Row],[size]]))</f>
        <v>XXL</v>
      </c>
      <c r="G935" t="s">
        <v>30</v>
      </c>
      <c r="H935" s="2">
        <v>87.95</v>
      </c>
      <c r="I935">
        <v>13.3</v>
      </c>
      <c r="J935" s="5">
        <f>BBDD_fashion_boutique[[#This Row],[markdown_percentage]]/100</f>
        <v>0.13300000000000001</v>
      </c>
      <c r="K935" s="2">
        <v>76.25</v>
      </c>
      <c r="L935" s="2">
        <f>BBDD_fashion_boutique[[#This Row],[original_price]]-BBDD_fashion_boutique[[#This Row],[current_price]]</f>
        <v>11.700000000000003</v>
      </c>
      <c r="M935" s="1">
        <v>45875</v>
      </c>
      <c r="N935" s="1" t="str">
        <f>PROPER(TEXT(BBDD_fashion_boutique[[#This Row],[purchase_date]],"dddd"))</f>
        <v>Miércoles</v>
      </c>
      <c r="O935" s="1" t="str">
        <f>PROPER(TEXT(BBDD_fashion_boutique[[#This Row],[purchase_date]],"mmmm"))</f>
        <v>Agosto</v>
      </c>
      <c r="P935" s="4">
        <v>4</v>
      </c>
      <c r="Q935" s="2">
        <v>4.5</v>
      </c>
      <c r="R935" t="str">
        <f>IF(BBDD_fashion_boutique[[#This Row],[stock_quantity]]&gt;9,"Ok",IF(BBDD_fashion_boutique[[#This Row],[stock_quantity]]=0,"Agotado","Pocas Unidades"))</f>
        <v>Pocas Unidades</v>
      </c>
      <c r="S935" s="3">
        <f>IF(BBDD_fashion_boutique[[#This Row],[customer_rating]]="","No valorado",BBDD_fashion_boutique[[#This Row],[customer_rating]])</f>
        <v>4.5</v>
      </c>
      <c r="T935" t="s">
        <v>24</v>
      </c>
      <c r="V935">
        <f>IF(BBDD_fashion_boutique[[#This Row],[is_returned]]="False",0,1)</f>
        <v>0</v>
      </c>
      <c r="W935">
        <f>IF(BBDD_fashion_boutique[[#This Row],[is_returned]]="True",0,BBDD_fashion_boutique[[#This Row],[current_price]])</f>
        <v>76.25</v>
      </c>
      <c r="X935" t="str">
        <f>IF(BBDD_fashion_boutique[[#This Row],[return_reason]]="","No return",BBDD_fashion_boutique[[#This Row],[return_reason]])</f>
        <v>No return</v>
      </c>
      <c r="Y935">
        <f>IF(IFERROR(VLOOKUP(BBDD_fashion_boutique[[#This Row],[product_id]],A936:A3111,1,FALSE),0),1,0)</f>
        <v>0</v>
      </c>
    </row>
    <row r="936" spans="1:25" x14ac:dyDescent="0.3">
      <c r="A936" t="s">
        <v>995</v>
      </c>
      <c r="B936" t="s">
        <v>19</v>
      </c>
      <c r="C936" t="s">
        <v>49</v>
      </c>
      <c r="D936" t="s">
        <v>21</v>
      </c>
      <c r="E936" t="s">
        <v>61</v>
      </c>
      <c r="F936" t="str">
        <f>IF(BBDD_fashion_boutique[[#This Row],[category]]="Accessories","Accesorio",IF(BBDD_fashion_boutique[[#This Row],[size]]="","Desconocido",BBDD_fashion_boutique[[#This Row],[size]]))</f>
        <v>XS</v>
      </c>
      <c r="G936" t="s">
        <v>46</v>
      </c>
      <c r="H936" s="2">
        <v>216.26</v>
      </c>
      <c r="I936">
        <v>0</v>
      </c>
      <c r="J936" s="5">
        <f>BBDD_fashion_boutique[[#This Row],[markdown_percentage]]/100</f>
        <v>0</v>
      </c>
      <c r="K936" s="2">
        <v>216.26</v>
      </c>
      <c r="L936" s="2">
        <f>BBDD_fashion_boutique[[#This Row],[original_price]]-BBDD_fashion_boutique[[#This Row],[current_price]]</f>
        <v>0</v>
      </c>
      <c r="M936" s="1">
        <v>45763</v>
      </c>
      <c r="N936" s="1" t="str">
        <f>PROPER(TEXT(BBDD_fashion_boutique[[#This Row],[purchase_date]],"dddd"))</f>
        <v>Miércoles</v>
      </c>
      <c r="O936" s="1" t="str">
        <f>PROPER(TEXT(BBDD_fashion_boutique[[#This Row],[purchase_date]],"mmmm"))</f>
        <v>Abril</v>
      </c>
      <c r="P936" s="4">
        <v>26</v>
      </c>
      <c r="Q936" s="2">
        <v>1.1000000000000001</v>
      </c>
      <c r="R936" t="str">
        <f>IF(BBDD_fashion_boutique[[#This Row],[stock_quantity]]&gt;9,"Ok",IF(BBDD_fashion_boutique[[#This Row],[stock_quantity]]=0,"Agotado","Pocas Unidades"))</f>
        <v>Ok</v>
      </c>
      <c r="S936" s="3">
        <f>IF(BBDD_fashion_boutique[[#This Row],[customer_rating]]="","No valorado",BBDD_fashion_boutique[[#This Row],[customer_rating]])</f>
        <v>1.1000000000000001</v>
      </c>
      <c r="T936" t="s">
        <v>24</v>
      </c>
      <c r="V936">
        <f>IF(BBDD_fashion_boutique[[#This Row],[is_returned]]="False",0,1)</f>
        <v>0</v>
      </c>
      <c r="W936">
        <f>IF(BBDD_fashion_boutique[[#This Row],[is_returned]]="True",0,BBDD_fashion_boutique[[#This Row],[current_price]])</f>
        <v>216.26</v>
      </c>
      <c r="X936" t="str">
        <f>IF(BBDD_fashion_boutique[[#This Row],[return_reason]]="","No return",BBDD_fashion_boutique[[#This Row],[return_reason]])</f>
        <v>No return</v>
      </c>
      <c r="Y936">
        <f>IF(IFERROR(VLOOKUP(BBDD_fashion_boutique[[#This Row],[product_id]],A937:A3112,1,FALSE),0),1,0)</f>
        <v>0</v>
      </c>
    </row>
    <row r="937" spans="1:25" x14ac:dyDescent="0.3">
      <c r="A937" t="s">
        <v>996</v>
      </c>
      <c r="B937" t="s">
        <v>19</v>
      </c>
      <c r="C937" t="s">
        <v>49</v>
      </c>
      <c r="D937" t="s">
        <v>68</v>
      </c>
      <c r="E937" t="s">
        <v>45</v>
      </c>
      <c r="F937" t="str">
        <f>IF(BBDD_fashion_boutique[[#This Row],[category]]="Accessories","Accesorio",IF(BBDD_fashion_boutique[[#This Row],[size]]="","Desconocido",BBDD_fashion_boutique[[#This Row],[size]]))</f>
        <v>S</v>
      </c>
      <c r="G937" t="s">
        <v>33</v>
      </c>
      <c r="H937" s="2">
        <v>238.11</v>
      </c>
      <c r="I937">
        <v>0</v>
      </c>
      <c r="J937" s="5">
        <f>BBDD_fashion_boutique[[#This Row],[markdown_percentage]]/100</f>
        <v>0</v>
      </c>
      <c r="K937" s="2">
        <v>238.11</v>
      </c>
      <c r="L937" s="2">
        <f>BBDD_fashion_boutique[[#This Row],[original_price]]-BBDD_fashion_boutique[[#This Row],[current_price]]</f>
        <v>0</v>
      </c>
      <c r="M937" s="1">
        <v>45875</v>
      </c>
      <c r="N937" s="1" t="str">
        <f>PROPER(TEXT(BBDD_fashion_boutique[[#This Row],[purchase_date]],"dddd"))</f>
        <v>Miércoles</v>
      </c>
      <c r="O937" s="1" t="str">
        <f>PROPER(TEXT(BBDD_fashion_boutique[[#This Row],[purchase_date]],"mmmm"))</f>
        <v>Agosto</v>
      </c>
      <c r="P937" s="4">
        <v>49</v>
      </c>
      <c r="R937" t="str">
        <f>IF(BBDD_fashion_boutique[[#This Row],[stock_quantity]]&gt;9,"Ok",IF(BBDD_fashion_boutique[[#This Row],[stock_quantity]]=0,"Agotado","Pocas Unidades"))</f>
        <v>Ok</v>
      </c>
      <c r="S937" s="3" t="str">
        <f>IF(BBDD_fashion_boutique[[#This Row],[customer_rating]]="","No valorado",BBDD_fashion_boutique[[#This Row],[customer_rating]])</f>
        <v>No valorado</v>
      </c>
      <c r="T937" t="s">
        <v>24</v>
      </c>
      <c r="V937">
        <f>IF(BBDD_fashion_boutique[[#This Row],[is_returned]]="False",0,1)</f>
        <v>0</v>
      </c>
      <c r="W937">
        <f>IF(BBDD_fashion_boutique[[#This Row],[is_returned]]="True",0,BBDD_fashion_boutique[[#This Row],[current_price]])</f>
        <v>238.11</v>
      </c>
      <c r="X937" t="str">
        <f>IF(BBDD_fashion_boutique[[#This Row],[return_reason]]="","No return",BBDD_fashion_boutique[[#This Row],[return_reason]])</f>
        <v>No return</v>
      </c>
      <c r="Y937">
        <f>IF(IFERROR(VLOOKUP(BBDD_fashion_boutique[[#This Row],[product_id]],A938:A3113,1,FALSE),0),1,0)</f>
        <v>0</v>
      </c>
    </row>
    <row r="938" spans="1:25" x14ac:dyDescent="0.3">
      <c r="A938" t="s">
        <v>997</v>
      </c>
      <c r="B938" t="s">
        <v>35</v>
      </c>
      <c r="C938" t="s">
        <v>27</v>
      </c>
      <c r="D938" t="s">
        <v>28</v>
      </c>
      <c r="E938" t="s">
        <v>55</v>
      </c>
      <c r="F938" t="str">
        <f>IF(BBDD_fashion_boutique[[#This Row],[category]]="Accessories","Accesorio",IF(BBDD_fashion_boutique[[#This Row],[size]]="","Desconocido",BBDD_fashion_boutique[[#This Row],[size]]))</f>
        <v>XXL</v>
      </c>
      <c r="G938" t="s">
        <v>30</v>
      </c>
      <c r="H938" s="2">
        <v>112.77</v>
      </c>
      <c r="I938">
        <v>0</v>
      </c>
      <c r="J938" s="5">
        <f>BBDD_fashion_boutique[[#This Row],[markdown_percentage]]/100</f>
        <v>0</v>
      </c>
      <c r="K938" s="2">
        <v>112.77</v>
      </c>
      <c r="L938" s="2">
        <f>BBDD_fashion_boutique[[#This Row],[original_price]]-BBDD_fashion_boutique[[#This Row],[current_price]]</f>
        <v>0</v>
      </c>
      <c r="M938" s="1">
        <v>45875</v>
      </c>
      <c r="N938" s="1" t="str">
        <f>PROPER(TEXT(BBDD_fashion_boutique[[#This Row],[purchase_date]],"dddd"))</f>
        <v>Miércoles</v>
      </c>
      <c r="O938" s="1" t="str">
        <f>PROPER(TEXT(BBDD_fashion_boutique[[#This Row],[purchase_date]],"mmmm"))</f>
        <v>Agosto</v>
      </c>
      <c r="P938" s="4">
        <v>11</v>
      </c>
      <c r="Q938" s="2">
        <v>4.0999999999999996</v>
      </c>
      <c r="R938" t="str">
        <f>IF(BBDD_fashion_boutique[[#This Row],[stock_quantity]]&gt;9,"Ok",IF(BBDD_fashion_boutique[[#This Row],[stock_quantity]]=0,"Agotado","Pocas Unidades"))</f>
        <v>Ok</v>
      </c>
      <c r="S938" s="3">
        <f>IF(BBDD_fashion_boutique[[#This Row],[customer_rating]]="","No valorado",BBDD_fashion_boutique[[#This Row],[customer_rating]])</f>
        <v>4.0999999999999996</v>
      </c>
      <c r="T938" t="s">
        <v>24</v>
      </c>
      <c r="V938">
        <f>IF(BBDD_fashion_boutique[[#This Row],[is_returned]]="False",0,1)</f>
        <v>0</v>
      </c>
      <c r="W938">
        <f>IF(BBDD_fashion_boutique[[#This Row],[is_returned]]="True",0,BBDD_fashion_boutique[[#This Row],[current_price]])</f>
        <v>112.77</v>
      </c>
      <c r="X938" t="str">
        <f>IF(BBDD_fashion_boutique[[#This Row],[return_reason]]="","No return",BBDD_fashion_boutique[[#This Row],[return_reason]])</f>
        <v>No return</v>
      </c>
      <c r="Y938">
        <f>IF(IFERROR(VLOOKUP(BBDD_fashion_boutique[[#This Row],[product_id]],A939:A3114,1,FALSE),0),1,0)</f>
        <v>0</v>
      </c>
    </row>
    <row r="939" spans="1:25" x14ac:dyDescent="0.3">
      <c r="A939" t="s">
        <v>998</v>
      </c>
      <c r="B939" t="s">
        <v>32</v>
      </c>
      <c r="C939" t="s">
        <v>67</v>
      </c>
      <c r="D939" t="s">
        <v>28</v>
      </c>
      <c r="F939" t="str">
        <f>IF(BBDD_fashion_boutique[[#This Row],[category]]="Accessories","Accesorio",IF(BBDD_fashion_boutique[[#This Row],[size]]="","Desconocido",BBDD_fashion_boutique[[#This Row],[size]]))</f>
        <v>Accesorio</v>
      </c>
      <c r="G939" t="s">
        <v>70</v>
      </c>
      <c r="H939" s="2">
        <v>39.020000000000003</v>
      </c>
      <c r="I939">
        <v>44.8</v>
      </c>
      <c r="J939" s="5">
        <f>BBDD_fashion_boutique[[#This Row],[markdown_percentage]]/100</f>
        <v>0.44799999999999995</v>
      </c>
      <c r="K939" s="2">
        <v>21.54</v>
      </c>
      <c r="L939" s="2">
        <f>BBDD_fashion_boutique[[#This Row],[original_price]]-BBDD_fashion_boutique[[#This Row],[current_price]]</f>
        <v>17.480000000000004</v>
      </c>
      <c r="M939" s="1">
        <v>45875</v>
      </c>
      <c r="N939" s="1" t="str">
        <f>PROPER(TEXT(BBDD_fashion_boutique[[#This Row],[purchase_date]],"dddd"))</f>
        <v>Miércoles</v>
      </c>
      <c r="O939" s="1" t="str">
        <f>PROPER(TEXT(BBDD_fashion_boutique[[#This Row],[purchase_date]],"mmmm"))</f>
        <v>Agosto</v>
      </c>
      <c r="P939" s="4">
        <v>29</v>
      </c>
      <c r="Q939" s="2">
        <v>3.4</v>
      </c>
      <c r="R939" t="str">
        <f>IF(BBDD_fashion_boutique[[#This Row],[stock_quantity]]&gt;9,"Ok",IF(BBDD_fashion_boutique[[#This Row],[stock_quantity]]=0,"Agotado","Pocas Unidades"))</f>
        <v>Ok</v>
      </c>
      <c r="S939" s="3">
        <f>IF(BBDD_fashion_boutique[[#This Row],[customer_rating]]="","No valorado",BBDD_fashion_boutique[[#This Row],[customer_rating]])</f>
        <v>3.4</v>
      </c>
      <c r="T939" t="s">
        <v>24</v>
      </c>
      <c r="V939">
        <f>IF(BBDD_fashion_boutique[[#This Row],[is_returned]]="False",0,1)</f>
        <v>0</v>
      </c>
      <c r="W939">
        <f>IF(BBDD_fashion_boutique[[#This Row],[is_returned]]="True",0,BBDD_fashion_boutique[[#This Row],[current_price]])</f>
        <v>21.54</v>
      </c>
      <c r="X939" t="str">
        <f>IF(BBDD_fashion_boutique[[#This Row],[return_reason]]="","No return",BBDD_fashion_boutique[[#This Row],[return_reason]])</f>
        <v>No return</v>
      </c>
      <c r="Y939">
        <f>IF(IFERROR(VLOOKUP(BBDD_fashion_boutique[[#This Row],[product_id]],A940:A3115,1,FALSE),0),1,0)</f>
        <v>0</v>
      </c>
    </row>
    <row r="940" spans="1:25" x14ac:dyDescent="0.3">
      <c r="A940" t="s">
        <v>999</v>
      </c>
      <c r="B940" t="s">
        <v>26</v>
      </c>
      <c r="C940" t="s">
        <v>59</v>
      </c>
      <c r="D940" t="s">
        <v>21</v>
      </c>
      <c r="E940" t="s">
        <v>55</v>
      </c>
      <c r="F940" t="str">
        <f>IF(BBDD_fashion_boutique[[#This Row],[category]]="Accessories","Accesorio",IF(BBDD_fashion_boutique[[#This Row],[size]]="","Desconocido",BBDD_fashion_boutique[[#This Row],[size]]))</f>
        <v>XXL</v>
      </c>
      <c r="G940" t="s">
        <v>72</v>
      </c>
      <c r="H940" s="2">
        <v>69.77</v>
      </c>
      <c r="I940">
        <v>0</v>
      </c>
      <c r="J940" s="5">
        <f>BBDD_fashion_boutique[[#This Row],[markdown_percentage]]/100</f>
        <v>0</v>
      </c>
      <c r="K940" s="2">
        <v>69.77</v>
      </c>
      <c r="L940" s="2">
        <f>BBDD_fashion_boutique[[#This Row],[original_price]]-BBDD_fashion_boutique[[#This Row],[current_price]]</f>
        <v>0</v>
      </c>
      <c r="M940" s="1">
        <v>45605</v>
      </c>
      <c r="N940" s="1" t="str">
        <f>PROPER(TEXT(BBDD_fashion_boutique[[#This Row],[purchase_date]],"dddd"))</f>
        <v>Sábado</v>
      </c>
      <c r="O940" s="1" t="str">
        <f>PROPER(TEXT(BBDD_fashion_boutique[[#This Row],[purchase_date]],"mmmm"))</f>
        <v>Noviembre</v>
      </c>
      <c r="P940" s="4">
        <v>29</v>
      </c>
      <c r="Q940" s="2">
        <v>5</v>
      </c>
      <c r="R940" t="str">
        <f>IF(BBDD_fashion_boutique[[#This Row],[stock_quantity]]&gt;9,"Ok",IF(BBDD_fashion_boutique[[#This Row],[stock_quantity]]=0,"Agotado","Pocas Unidades"))</f>
        <v>Ok</v>
      </c>
      <c r="S940" s="3">
        <f>IF(BBDD_fashion_boutique[[#This Row],[customer_rating]]="","No valorado",BBDD_fashion_boutique[[#This Row],[customer_rating]])</f>
        <v>5</v>
      </c>
      <c r="T940" t="s">
        <v>24</v>
      </c>
      <c r="V940">
        <f>IF(BBDD_fashion_boutique[[#This Row],[is_returned]]="False",0,1)</f>
        <v>0</v>
      </c>
      <c r="W940">
        <f>IF(BBDD_fashion_boutique[[#This Row],[is_returned]]="True",0,BBDD_fashion_boutique[[#This Row],[current_price]])</f>
        <v>69.77</v>
      </c>
      <c r="X940" t="str">
        <f>IF(BBDD_fashion_boutique[[#This Row],[return_reason]]="","No return",BBDD_fashion_boutique[[#This Row],[return_reason]])</f>
        <v>No return</v>
      </c>
      <c r="Y940">
        <f>IF(IFERROR(VLOOKUP(BBDD_fashion_boutique[[#This Row],[product_id]],A941:A3116,1,FALSE),0),1,0)</f>
        <v>0</v>
      </c>
    </row>
    <row r="941" spans="1:25" x14ac:dyDescent="0.3">
      <c r="A941" t="s">
        <v>1000</v>
      </c>
      <c r="B941" t="s">
        <v>48</v>
      </c>
      <c r="C941" t="s">
        <v>54</v>
      </c>
      <c r="D941" t="s">
        <v>21</v>
      </c>
      <c r="E941" t="s">
        <v>64</v>
      </c>
      <c r="F941" t="str">
        <f>IF(BBDD_fashion_boutique[[#This Row],[category]]="Accessories","Accesorio",IF(BBDD_fashion_boutique[[#This Row],[size]]="","Desconocido",BBDD_fashion_boutique[[#This Row],[size]]))</f>
        <v>M</v>
      </c>
      <c r="G941" t="s">
        <v>72</v>
      </c>
      <c r="H941" s="2">
        <v>124.92</v>
      </c>
      <c r="I941">
        <v>48.4</v>
      </c>
      <c r="J941" s="5">
        <f>BBDD_fashion_boutique[[#This Row],[markdown_percentage]]/100</f>
        <v>0.48399999999999999</v>
      </c>
      <c r="K941" s="2">
        <v>64.459999999999994</v>
      </c>
      <c r="L941" s="2">
        <f>BBDD_fashion_boutique[[#This Row],[original_price]]-BBDD_fashion_boutique[[#This Row],[current_price]]</f>
        <v>60.460000000000008</v>
      </c>
      <c r="M941" s="1">
        <v>45780</v>
      </c>
      <c r="N941" s="1" t="str">
        <f>PROPER(TEXT(BBDD_fashion_boutique[[#This Row],[purchase_date]],"dddd"))</f>
        <v>Sábado</v>
      </c>
      <c r="O941" s="1" t="str">
        <f>PROPER(TEXT(BBDD_fashion_boutique[[#This Row],[purchase_date]],"mmmm"))</f>
        <v>Mayo</v>
      </c>
      <c r="P941" s="4">
        <v>22</v>
      </c>
      <c r="Q941" s="2">
        <v>3.2</v>
      </c>
      <c r="R941" t="str">
        <f>IF(BBDD_fashion_boutique[[#This Row],[stock_quantity]]&gt;9,"Ok",IF(BBDD_fashion_boutique[[#This Row],[stock_quantity]]=0,"Agotado","Pocas Unidades"))</f>
        <v>Ok</v>
      </c>
      <c r="S941" s="3">
        <f>IF(BBDD_fashion_boutique[[#This Row],[customer_rating]]="","No valorado",BBDD_fashion_boutique[[#This Row],[customer_rating]])</f>
        <v>3.2</v>
      </c>
      <c r="T941" t="s">
        <v>24</v>
      </c>
      <c r="V941">
        <f>IF(BBDD_fashion_boutique[[#This Row],[is_returned]]="False",0,1)</f>
        <v>0</v>
      </c>
      <c r="W941">
        <f>IF(BBDD_fashion_boutique[[#This Row],[is_returned]]="True",0,BBDD_fashion_boutique[[#This Row],[current_price]])</f>
        <v>64.459999999999994</v>
      </c>
      <c r="X941" t="str">
        <f>IF(BBDD_fashion_boutique[[#This Row],[return_reason]]="","No return",BBDD_fashion_boutique[[#This Row],[return_reason]])</f>
        <v>No return</v>
      </c>
      <c r="Y941">
        <f>IF(IFERROR(VLOOKUP(BBDD_fashion_boutique[[#This Row],[product_id]],A942:A3117,1,FALSE),0),1,0)</f>
        <v>0</v>
      </c>
    </row>
    <row r="942" spans="1:25" x14ac:dyDescent="0.3">
      <c r="A942" t="s">
        <v>1001</v>
      </c>
      <c r="B942" t="s">
        <v>48</v>
      </c>
      <c r="C942" t="s">
        <v>37</v>
      </c>
      <c r="D942" t="s">
        <v>68</v>
      </c>
      <c r="F942" t="str">
        <f>IF(BBDD_fashion_boutique[[#This Row],[category]]="Accessories","Accesorio",IF(BBDD_fashion_boutique[[#This Row],[size]]="","Desconocido",BBDD_fashion_boutique[[#This Row],[size]]))</f>
        <v>Desconocido</v>
      </c>
      <c r="G942" t="s">
        <v>72</v>
      </c>
      <c r="H942" s="2">
        <v>83.92</v>
      </c>
      <c r="I942">
        <v>29.4</v>
      </c>
      <c r="J942" s="5">
        <f>BBDD_fashion_boutique[[#This Row],[markdown_percentage]]/100</f>
        <v>0.29399999999999998</v>
      </c>
      <c r="K942" s="2">
        <v>59.25</v>
      </c>
      <c r="L942" s="2">
        <f>BBDD_fashion_boutique[[#This Row],[original_price]]-BBDD_fashion_boutique[[#This Row],[current_price]]</f>
        <v>24.67</v>
      </c>
      <c r="M942" s="1">
        <v>45875</v>
      </c>
      <c r="N942" s="1" t="str">
        <f>PROPER(TEXT(BBDD_fashion_boutique[[#This Row],[purchase_date]],"dddd"))</f>
        <v>Miércoles</v>
      </c>
      <c r="O942" s="1" t="str">
        <f>PROPER(TEXT(BBDD_fashion_boutique[[#This Row],[purchase_date]],"mmmm"))</f>
        <v>Agosto</v>
      </c>
      <c r="P942" s="4">
        <v>20</v>
      </c>
      <c r="Q942" s="2">
        <v>2.1</v>
      </c>
      <c r="R942" t="str">
        <f>IF(BBDD_fashion_boutique[[#This Row],[stock_quantity]]&gt;9,"Ok",IF(BBDD_fashion_boutique[[#This Row],[stock_quantity]]=0,"Agotado","Pocas Unidades"))</f>
        <v>Ok</v>
      </c>
      <c r="S942" s="3">
        <f>IF(BBDD_fashion_boutique[[#This Row],[customer_rating]]="","No valorado",BBDD_fashion_boutique[[#This Row],[customer_rating]])</f>
        <v>2.1</v>
      </c>
      <c r="T942" t="s">
        <v>41</v>
      </c>
      <c r="U942" t="s">
        <v>89</v>
      </c>
      <c r="V942">
        <f>IF(BBDD_fashion_boutique[[#This Row],[is_returned]]="False",0,1)</f>
        <v>1</v>
      </c>
      <c r="W942">
        <f>IF(BBDD_fashion_boutique[[#This Row],[is_returned]]="True",0,BBDD_fashion_boutique[[#This Row],[current_price]])</f>
        <v>0</v>
      </c>
      <c r="X942" t="str">
        <f>IF(BBDD_fashion_boutique[[#This Row],[return_reason]]="","No return",BBDD_fashion_boutique[[#This Row],[return_reason]])</f>
        <v>Quality Issue</v>
      </c>
      <c r="Y942">
        <f>IF(IFERROR(VLOOKUP(BBDD_fashion_boutique[[#This Row],[product_id]],A943:A3118,1,FALSE),0),1,0)</f>
        <v>0</v>
      </c>
    </row>
    <row r="943" spans="1:25" x14ac:dyDescent="0.3">
      <c r="A943" t="s">
        <v>1002</v>
      </c>
      <c r="B943" t="s">
        <v>19</v>
      </c>
      <c r="C943" t="s">
        <v>81</v>
      </c>
      <c r="D943" t="s">
        <v>39</v>
      </c>
      <c r="E943" t="s">
        <v>61</v>
      </c>
      <c r="F943" t="str">
        <f>IF(BBDD_fashion_boutique[[#This Row],[category]]="Accessories","Accesorio",IF(BBDD_fashion_boutique[[#This Row],[size]]="","Desconocido",BBDD_fashion_boutique[[#This Row],[size]]))</f>
        <v>XS</v>
      </c>
      <c r="G943" t="s">
        <v>62</v>
      </c>
      <c r="H943" s="2">
        <v>180.91</v>
      </c>
      <c r="I943">
        <v>0</v>
      </c>
      <c r="J943" s="5">
        <f>BBDD_fashion_boutique[[#This Row],[markdown_percentage]]/100</f>
        <v>0</v>
      </c>
      <c r="K943" s="2">
        <v>180.91</v>
      </c>
      <c r="L943" s="2">
        <f>BBDD_fashion_boutique[[#This Row],[original_price]]-BBDD_fashion_boutique[[#This Row],[current_price]]</f>
        <v>0</v>
      </c>
      <c r="M943" s="1">
        <v>45875</v>
      </c>
      <c r="N943" s="1" t="str">
        <f>PROPER(TEXT(BBDD_fashion_boutique[[#This Row],[purchase_date]],"dddd"))</f>
        <v>Miércoles</v>
      </c>
      <c r="O943" s="1" t="str">
        <f>PROPER(TEXT(BBDD_fashion_boutique[[#This Row],[purchase_date]],"mmmm"))</f>
        <v>Agosto</v>
      </c>
      <c r="P943" s="4">
        <v>10</v>
      </c>
      <c r="Q943" s="2">
        <v>3.8</v>
      </c>
      <c r="R943" t="str">
        <f>IF(BBDD_fashion_boutique[[#This Row],[stock_quantity]]&gt;9,"Ok",IF(BBDD_fashion_boutique[[#This Row],[stock_quantity]]=0,"Agotado","Pocas Unidades"))</f>
        <v>Ok</v>
      </c>
      <c r="S943" s="3">
        <f>IF(BBDD_fashion_boutique[[#This Row],[customer_rating]]="","No valorado",BBDD_fashion_boutique[[#This Row],[customer_rating]])</f>
        <v>3.8</v>
      </c>
      <c r="T943" t="s">
        <v>24</v>
      </c>
      <c r="V943">
        <f>IF(BBDD_fashion_boutique[[#This Row],[is_returned]]="False",0,1)</f>
        <v>0</v>
      </c>
      <c r="W943">
        <f>IF(BBDD_fashion_boutique[[#This Row],[is_returned]]="True",0,BBDD_fashion_boutique[[#This Row],[current_price]])</f>
        <v>180.91</v>
      </c>
      <c r="X943" t="str">
        <f>IF(BBDD_fashion_boutique[[#This Row],[return_reason]]="","No return",BBDD_fashion_boutique[[#This Row],[return_reason]])</f>
        <v>No return</v>
      </c>
      <c r="Y943">
        <f>IF(IFERROR(VLOOKUP(BBDD_fashion_boutique[[#This Row],[product_id]],A944:A3119,1,FALSE),0),1,0)</f>
        <v>0</v>
      </c>
    </row>
    <row r="944" spans="1:25" x14ac:dyDescent="0.3">
      <c r="A944" t="s">
        <v>1003</v>
      </c>
      <c r="B944" t="s">
        <v>35</v>
      </c>
      <c r="C944" t="s">
        <v>81</v>
      </c>
      <c r="D944" t="s">
        <v>21</v>
      </c>
      <c r="E944" t="s">
        <v>55</v>
      </c>
      <c r="F944" t="str">
        <f>IF(BBDD_fashion_boutique[[#This Row],[category]]="Accessories","Accesorio",IF(BBDD_fashion_boutique[[#This Row],[size]]="","Desconocido",BBDD_fashion_boutique[[#This Row],[size]]))</f>
        <v>XXL</v>
      </c>
      <c r="G944" t="s">
        <v>76</v>
      </c>
      <c r="H944" s="2">
        <v>120.11</v>
      </c>
      <c r="I944">
        <v>0</v>
      </c>
      <c r="J944" s="5">
        <f>BBDD_fashion_boutique[[#This Row],[markdown_percentage]]/100</f>
        <v>0</v>
      </c>
      <c r="K944" s="2">
        <v>120.11</v>
      </c>
      <c r="L944" s="2">
        <f>BBDD_fashion_boutique[[#This Row],[original_price]]-BBDD_fashion_boutique[[#This Row],[current_price]]</f>
        <v>0</v>
      </c>
      <c r="M944" s="1">
        <v>45650</v>
      </c>
      <c r="N944" s="1" t="str">
        <f>PROPER(TEXT(BBDD_fashion_boutique[[#This Row],[purchase_date]],"dddd"))</f>
        <v>Martes</v>
      </c>
      <c r="O944" s="1" t="str">
        <f>PROPER(TEXT(BBDD_fashion_boutique[[#This Row],[purchase_date]],"mmmm"))</f>
        <v>Diciembre</v>
      </c>
      <c r="P944" s="4">
        <v>27</v>
      </c>
      <c r="Q944" s="2">
        <v>4.0999999999999996</v>
      </c>
      <c r="R944" t="str">
        <f>IF(BBDD_fashion_boutique[[#This Row],[stock_quantity]]&gt;9,"Ok",IF(BBDD_fashion_boutique[[#This Row],[stock_quantity]]=0,"Agotado","Pocas Unidades"))</f>
        <v>Ok</v>
      </c>
      <c r="S944" s="3">
        <f>IF(BBDD_fashion_boutique[[#This Row],[customer_rating]]="","No valorado",BBDD_fashion_boutique[[#This Row],[customer_rating]])</f>
        <v>4.0999999999999996</v>
      </c>
      <c r="T944" t="s">
        <v>24</v>
      </c>
      <c r="V944">
        <f>IF(BBDD_fashion_boutique[[#This Row],[is_returned]]="False",0,1)</f>
        <v>0</v>
      </c>
      <c r="W944">
        <f>IF(BBDD_fashion_boutique[[#This Row],[is_returned]]="True",0,BBDD_fashion_boutique[[#This Row],[current_price]])</f>
        <v>120.11</v>
      </c>
      <c r="X944" t="str">
        <f>IF(BBDD_fashion_boutique[[#This Row],[return_reason]]="","No return",BBDD_fashion_boutique[[#This Row],[return_reason]])</f>
        <v>No return</v>
      </c>
      <c r="Y944">
        <f>IF(IFERROR(VLOOKUP(BBDD_fashion_boutique[[#This Row],[product_id]],A945:A3120,1,FALSE),0),1,0)</f>
        <v>0</v>
      </c>
    </row>
    <row r="945" spans="1:25" x14ac:dyDescent="0.3">
      <c r="A945" t="s">
        <v>1004</v>
      </c>
      <c r="B945" t="s">
        <v>19</v>
      </c>
      <c r="C945" t="s">
        <v>81</v>
      </c>
      <c r="D945" t="s">
        <v>68</v>
      </c>
      <c r="E945" t="s">
        <v>22</v>
      </c>
      <c r="F945" t="str">
        <f>IF(BBDD_fashion_boutique[[#This Row],[category]]="Accessories","Accesorio",IF(BBDD_fashion_boutique[[#This Row],[size]]="","Desconocido",BBDD_fashion_boutique[[#This Row],[size]]))</f>
        <v>XL</v>
      </c>
      <c r="G945" t="s">
        <v>23</v>
      </c>
      <c r="H945" s="2">
        <v>225.01</v>
      </c>
      <c r="I945">
        <v>0</v>
      </c>
      <c r="J945" s="5">
        <f>BBDD_fashion_boutique[[#This Row],[markdown_percentage]]/100</f>
        <v>0</v>
      </c>
      <c r="K945" s="2">
        <v>225.01</v>
      </c>
      <c r="L945" s="2">
        <f>BBDD_fashion_boutique[[#This Row],[original_price]]-BBDD_fashion_boutique[[#This Row],[current_price]]</f>
        <v>0</v>
      </c>
      <c r="M945" s="1">
        <v>45875</v>
      </c>
      <c r="N945" s="1" t="str">
        <f>PROPER(TEXT(BBDD_fashion_boutique[[#This Row],[purchase_date]],"dddd"))</f>
        <v>Miércoles</v>
      </c>
      <c r="O945" s="1" t="str">
        <f>PROPER(TEXT(BBDD_fashion_boutique[[#This Row],[purchase_date]],"mmmm"))</f>
        <v>Agosto</v>
      </c>
      <c r="P945" s="4">
        <v>50</v>
      </c>
      <c r="Q945" s="2">
        <v>1.9</v>
      </c>
      <c r="R945" t="str">
        <f>IF(BBDD_fashion_boutique[[#This Row],[stock_quantity]]&gt;9,"Ok",IF(BBDD_fashion_boutique[[#This Row],[stock_quantity]]=0,"Agotado","Pocas Unidades"))</f>
        <v>Ok</v>
      </c>
      <c r="S945" s="3">
        <f>IF(BBDD_fashion_boutique[[#This Row],[customer_rating]]="","No valorado",BBDD_fashion_boutique[[#This Row],[customer_rating]])</f>
        <v>1.9</v>
      </c>
      <c r="T945" t="s">
        <v>41</v>
      </c>
      <c r="U945" t="s">
        <v>79</v>
      </c>
      <c r="V945">
        <f>IF(BBDD_fashion_boutique[[#This Row],[is_returned]]="False",0,1)</f>
        <v>1</v>
      </c>
      <c r="W945">
        <f>IF(BBDD_fashion_boutique[[#This Row],[is_returned]]="True",0,BBDD_fashion_boutique[[#This Row],[current_price]])</f>
        <v>0</v>
      </c>
      <c r="X945" t="str">
        <f>IF(BBDD_fashion_boutique[[#This Row],[return_reason]]="","No return",BBDD_fashion_boutique[[#This Row],[return_reason]])</f>
        <v>Size Issue</v>
      </c>
      <c r="Y945">
        <f>IF(IFERROR(VLOOKUP(BBDD_fashion_boutique[[#This Row],[product_id]],A946:A3121,1,FALSE),0),1,0)</f>
        <v>0</v>
      </c>
    </row>
    <row r="946" spans="1:25" x14ac:dyDescent="0.3">
      <c r="A946" t="s">
        <v>1005</v>
      </c>
      <c r="B946" t="s">
        <v>48</v>
      </c>
      <c r="C946" t="s">
        <v>49</v>
      </c>
      <c r="D946" t="s">
        <v>68</v>
      </c>
      <c r="E946" t="s">
        <v>29</v>
      </c>
      <c r="F946" t="str">
        <f>IF(BBDD_fashion_boutique[[#This Row],[category]]="Accessories","Accesorio",IF(BBDD_fashion_boutique[[#This Row],[size]]="","Desconocido",BBDD_fashion_boutique[[#This Row],[size]]))</f>
        <v>L</v>
      </c>
      <c r="G946" t="s">
        <v>52</v>
      </c>
      <c r="H946" s="2">
        <v>115.57</v>
      </c>
      <c r="I946">
        <v>0</v>
      </c>
      <c r="J946" s="5">
        <f>BBDD_fashion_boutique[[#This Row],[markdown_percentage]]/100</f>
        <v>0</v>
      </c>
      <c r="K946" s="2">
        <v>115.57</v>
      </c>
      <c r="L946" s="2">
        <f>BBDD_fashion_boutique[[#This Row],[original_price]]-BBDD_fashion_boutique[[#This Row],[current_price]]</f>
        <v>0</v>
      </c>
      <c r="M946" s="1">
        <v>45875</v>
      </c>
      <c r="N946" s="1" t="str">
        <f>PROPER(TEXT(BBDD_fashion_boutique[[#This Row],[purchase_date]],"dddd"))</f>
        <v>Miércoles</v>
      </c>
      <c r="O946" s="1" t="str">
        <f>PROPER(TEXT(BBDD_fashion_boutique[[#This Row],[purchase_date]],"mmmm"))</f>
        <v>Agosto</v>
      </c>
      <c r="P946" s="4">
        <v>32</v>
      </c>
      <c r="Q946" s="2">
        <v>3</v>
      </c>
      <c r="R946" t="str">
        <f>IF(BBDD_fashion_boutique[[#This Row],[stock_quantity]]&gt;9,"Ok",IF(BBDD_fashion_boutique[[#This Row],[stock_quantity]]=0,"Agotado","Pocas Unidades"))</f>
        <v>Ok</v>
      </c>
      <c r="S946" s="3">
        <f>IF(BBDD_fashion_boutique[[#This Row],[customer_rating]]="","No valorado",BBDD_fashion_boutique[[#This Row],[customer_rating]])</f>
        <v>3</v>
      </c>
      <c r="T946" t="s">
        <v>24</v>
      </c>
      <c r="V946">
        <f>IF(BBDD_fashion_boutique[[#This Row],[is_returned]]="False",0,1)</f>
        <v>0</v>
      </c>
      <c r="W946">
        <f>IF(BBDD_fashion_boutique[[#This Row],[is_returned]]="True",0,BBDD_fashion_boutique[[#This Row],[current_price]])</f>
        <v>115.57</v>
      </c>
      <c r="X946" t="str">
        <f>IF(BBDD_fashion_boutique[[#This Row],[return_reason]]="","No return",BBDD_fashion_boutique[[#This Row],[return_reason]])</f>
        <v>No return</v>
      </c>
      <c r="Y946">
        <f>IF(IFERROR(VLOOKUP(BBDD_fashion_boutique[[#This Row],[product_id]],A947:A3122,1,FALSE),0),1,0)</f>
        <v>0</v>
      </c>
    </row>
    <row r="947" spans="1:25" x14ac:dyDescent="0.3">
      <c r="A947" t="s">
        <v>1006</v>
      </c>
      <c r="B947" t="s">
        <v>32</v>
      </c>
      <c r="C947" t="s">
        <v>67</v>
      </c>
      <c r="D947" t="s">
        <v>39</v>
      </c>
      <c r="F947" t="str">
        <f>IF(BBDD_fashion_boutique[[#This Row],[category]]="Accessories","Accesorio",IF(BBDD_fashion_boutique[[#This Row],[size]]="","Desconocido",BBDD_fashion_boutique[[#This Row],[size]]))</f>
        <v>Accesorio</v>
      </c>
      <c r="G947" t="s">
        <v>50</v>
      </c>
      <c r="H947" s="2">
        <v>21.2</v>
      </c>
      <c r="I947">
        <v>19</v>
      </c>
      <c r="J947" s="5">
        <f>BBDD_fashion_boutique[[#This Row],[markdown_percentage]]/100</f>
        <v>0.19</v>
      </c>
      <c r="K947" s="2">
        <v>17.170000000000002</v>
      </c>
      <c r="L947" s="2">
        <f>BBDD_fashion_boutique[[#This Row],[original_price]]-BBDD_fashion_boutique[[#This Row],[current_price]]</f>
        <v>4.0299999999999976</v>
      </c>
      <c r="M947" s="1">
        <v>45875</v>
      </c>
      <c r="N947" s="1" t="str">
        <f>PROPER(TEXT(BBDD_fashion_boutique[[#This Row],[purchase_date]],"dddd"))</f>
        <v>Miércoles</v>
      </c>
      <c r="O947" s="1" t="str">
        <f>PROPER(TEXT(BBDD_fashion_boutique[[#This Row],[purchase_date]],"mmmm"))</f>
        <v>Agosto</v>
      </c>
      <c r="P947" s="4">
        <v>22</v>
      </c>
      <c r="Q947" s="2">
        <v>1.3</v>
      </c>
      <c r="R947" t="str">
        <f>IF(BBDD_fashion_boutique[[#This Row],[stock_quantity]]&gt;9,"Ok",IF(BBDD_fashion_boutique[[#This Row],[stock_quantity]]=0,"Agotado","Pocas Unidades"))</f>
        <v>Ok</v>
      </c>
      <c r="S947" s="3">
        <f>IF(BBDD_fashion_boutique[[#This Row],[customer_rating]]="","No valorado",BBDD_fashion_boutique[[#This Row],[customer_rating]])</f>
        <v>1.3</v>
      </c>
      <c r="T947" t="s">
        <v>24</v>
      </c>
      <c r="V947">
        <f>IF(BBDD_fashion_boutique[[#This Row],[is_returned]]="False",0,1)</f>
        <v>0</v>
      </c>
      <c r="W947">
        <f>IF(BBDD_fashion_boutique[[#This Row],[is_returned]]="True",0,BBDD_fashion_boutique[[#This Row],[current_price]])</f>
        <v>17.170000000000002</v>
      </c>
      <c r="X947" t="str">
        <f>IF(BBDD_fashion_boutique[[#This Row],[return_reason]]="","No return",BBDD_fashion_boutique[[#This Row],[return_reason]])</f>
        <v>No return</v>
      </c>
      <c r="Y947">
        <f>IF(IFERROR(VLOOKUP(BBDD_fashion_boutique[[#This Row],[product_id]],A948:A3123,1,FALSE),0),1,0)</f>
        <v>0</v>
      </c>
    </row>
    <row r="948" spans="1:25" x14ac:dyDescent="0.3">
      <c r="A948" t="s">
        <v>1007</v>
      </c>
      <c r="B948" t="s">
        <v>44</v>
      </c>
      <c r="C948" t="s">
        <v>20</v>
      </c>
      <c r="D948" t="s">
        <v>21</v>
      </c>
      <c r="E948" t="s">
        <v>55</v>
      </c>
      <c r="F948" t="str">
        <f>IF(BBDD_fashion_boutique[[#This Row],[category]]="Accessories","Accesorio",IF(BBDD_fashion_boutique[[#This Row],[size]]="","Desconocido",BBDD_fashion_boutique[[#This Row],[size]]))</f>
        <v>XXL</v>
      </c>
      <c r="G948" t="s">
        <v>33</v>
      </c>
      <c r="H948" s="2">
        <v>52.36</v>
      </c>
      <c r="I948">
        <v>0</v>
      </c>
      <c r="J948" s="5">
        <f>BBDD_fashion_boutique[[#This Row],[markdown_percentage]]/100</f>
        <v>0</v>
      </c>
      <c r="K948" s="2">
        <v>52.36</v>
      </c>
      <c r="L948" s="2">
        <f>BBDD_fashion_boutique[[#This Row],[original_price]]-BBDD_fashion_boutique[[#This Row],[current_price]]</f>
        <v>0</v>
      </c>
      <c r="M948" s="1">
        <v>45769</v>
      </c>
      <c r="N948" s="1" t="str">
        <f>PROPER(TEXT(BBDD_fashion_boutique[[#This Row],[purchase_date]],"dddd"))</f>
        <v>Martes</v>
      </c>
      <c r="O948" s="1" t="str">
        <f>PROPER(TEXT(BBDD_fashion_boutique[[#This Row],[purchase_date]],"mmmm"))</f>
        <v>Abril</v>
      </c>
      <c r="P948" s="4">
        <v>35</v>
      </c>
      <c r="R948" t="str">
        <f>IF(BBDD_fashion_boutique[[#This Row],[stock_quantity]]&gt;9,"Ok",IF(BBDD_fashion_boutique[[#This Row],[stock_quantity]]=0,"Agotado","Pocas Unidades"))</f>
        <v>Ok</v>
      </c>
      <c r="S948" s="3" t="str">
        <f>IF(BBDD_fashion_boutique[[#This Row],[customer_rating]]="","No valorado",BBDD_fashion_boutique[[#This Row],[customer_rating]])</f>
        <v>No valorado</v>
      </c>
      <c r="T948" t="s">
        <v>24</v>
      </c>
      <c r="V948">
        <f>IF(BBDD_fashion_boutique[[#This Row],[is_returned]]="False",0,1)</f>
        <v>0</v>
      </c>
      <c r="W948">
        <f>IF(BBDD_fashion_boutique[[#This Row],[is_returned]]="True",0,BBDD_fashion_boutique[[#This Row],[current_price]])</f>
        <v>52.36</v>
      </c>
      <c r="X948" t="str">
        <f>IF(BBDD_fashion_boutique[[#This Row],[return_reason]]="","No return",BBDD_fashion_boutique[[#This Row],[return_reason]])</f>
        <v>No return</v>
      </c>
      <c r="Y948">
        <f>IF(IFERROR(VLOOKUP(BBDD_fashion_boutique[[#This Row],[product_id]],A949:A3124,1,FALSE),0),1,0)</f>
        <v>0</v>
      </c>
    </row>
    <row r="949" spans="1:25" x14ac:dyDescent="0.3">
      <c r="A949" t="s">
        <v>1008</v>
      </c>
      <c r="B949" t="s">
        <v>32</v>
      </c>
      <c r="C949" t="s">
        <v>59</v>
      </c>
      <c r="D949" t="s">
        <v>39</v>
      </c>
      <c r="F949" t="str">
        <f>IF(BBDD_fashion_boutique[[#This Row],[category]]="Accessories","Accesorio",IF(BBDD_fashion_boutique[[#This Row],[size]]="","Desconocido",BBDD_fashion_boutique[[#This Row],[size]]))</f>
        <v>Accesorio</v>
      </c>
      <c r="G949" t="s">
        <v>46</v>
      </c>
      <c r="H949" s="2">
        <v>73.430000000000007</v>
      </c>
      <c r="I949">
        <v>0</v>
      </c>
      <c r="J949" s="5">
        <f>BBDD_fashion_boutique[[#This Row],[markdown_percentage]]/100</f>
        <v>0</v>
      </c>
      <c r="K949" s="2">
        <v>73.430000000000007</v>
      </c>
      <c r="L949" s="2">
        <f>BBDD_fashion_boutique[[#This Row],[original_price]]-BBDD_fashion_boutique[[#This Row],[current_price]]</f>
        <v>0</v>
      </c>
      <c r="M949" s="1">
        <v>45875</v>
      </c>
      <c r="N949" s="1" t="str">
        <f>PROPER(TEXT(BBDD_fashion_boutique[[#This Row],[purchase_date]],"dddd"))</f>
        <v>Miércoles</v>
      </c>
      <c r="O949" s="1" t="str">
        <f>PROPER(TEXT(BBDD_fashion_boutique[[#This Row],[purchase_date]],"mmmm"))</f>
        <v>Agosto</v>
      </c>
      <c r="P949" s="4">
        <v>22</v>
      </c>
      <c r="Q949" s="2">
        <v>2.2999999999999998</v>
      </c>
      <c r="R949" t="str">
        <f>IF(BBDD_fashion_boutique[[#This Row],[stock_quantity]]&gt;9,"Ok",IF(BBDD_fashion_boutique[[#This Row],[stock_quantity]]=0,"Agotado","Pocas Unidades"))</f>
        <v>Ok</v>
      </c>
      <c r="S949" s="3">
        <f>IF(BBDD_fashion_boutique[[#This Row],[customer_rating]]="","No valorado",BBDD_fashion_boutique[[#This Row],[customer_rating]])</f>
        <v>2.2999999999999998</v>
      </c>
      <c r="T949" t="s">
        <v>24</v>
      </c>
      <c r="V949">
        <f>IF(BBDD_fashion_boutique[[#This Row],[is_returned]]="False",0,1)</f>
        <v>0</v>
      </c>
      <c r="W949">
        <f>IF(BBDD_fashion_boutique[[#This Row],[is_returned]]="True",0,BBDD_fashion_boutique[[#This Row],[current_price]])</f>
        <v>73.430000000000007</v>
      </c>
      <c r="X949" t="str">
        <f>IF(BBDD_fashion_boutique[[#This Row],[return_reason]]="","No return",BBDD_fashion_boutique[[#This Row],[return_reason]])</f>
        <v>No return</v>
      </c>
      <c r="Y949">
        <f>IF(IFERROR(VLOOKUP(BBDD_fashion_boutique[[#This Row],[product_id]],A950:A3125,1,FALSE),0),1,0)</f>
        <v>0</v>
      </c>
    </row>
    <row r="950" spans="1:25" x14ac:dyDescent="0.3">
      <c r="A950" t="s">
        <v>1009</v>
      </c>
      <c r="B950" t="s">
        <v>32</v>
      </c>
      <c r="C950" t="s">
        <v>59</v>
      </c>
      <c r="D950" t="s">
        <v>21</v>
      </c>
      <c r="F950" t="str">
        <f>IF(BBDD_fashion_boutique[[#This Row],[category]]="Accessories","Accesorio",IF(BBDD_fashion_boutique[[#This Row],[size]]="","Desconocido",BBDD_fashion_boutique[[#This Row],[size]]))</f>
        <v>Accesorio</v>
      </c>
      <c r="G950" t="s">
        <v>72</v>
      </c>
      <c r="H950" s="2">
        <v>70.75</v>
      </c>
      <c r="I950">
        <v>0</v>
      </c>
      <c r="J950" s="5">
        <f>BBDD_fashion_boutique[[#This Row],[markdown_percentage]]/100</f>
        <v>0</v>
      </c>
      <c r="K950" s="2">
        <v>70.75</v>
      </c>
      <c r="L950" s="2">
        <f>BBDD_fashion_boutique[[#This Row],[original_price]]-BBDD_fashion_boutique[[#This Row],[current_price]]</f>
        <v>0</v>
      </c>
      <c r="M950" s="1">
        <v>45789</v>
      </c>
      <c r="N950" s="1" t="str">
        <f>PROPER(TEXT(BBDD_fashion_boutique[[#This Row],[purchase_date]],"dddd"))</f>
        <v>Lunes</v>
      </c>
      <c r="O950" s="1" t="str">
        <f>PROPER(TEXT(BBDD_fashion_boutique[[#This Row],[purchase_date]],"mmmm"))</f>
        <v>Mayo</v>
      </c>
      <c r="P950" s="4">
        <v>0</v>
      </c>
      <c r="Q950" s="2">
        <v>1.4</v>
      </c>
      <c r="R950" t="str">
        <f>IF(BBDD_fashion_boutique[[#This Row],[stock_quantity]]&gt;9,"Ok",IF(BBDD_fashion_boutique[[#This Row],[stock_quantity]]=0,"Agotado","Pocas Unidades"))</f>
        <v>Agotado</v>
      </c>
      <c r="S950" s="3">
        <f>IF(BBDD_fashion_boutique[[#This Row],[customer_rating]]="","No valorado",BBDD_fashion_boutique[[#This Row],[customer_rating]])</f>
        <v>1.4</v>
      </c>
      <c r="T950" t="s">
        <v>24</v>
      </c>
      <c r="V950">
        <f>IF(BBDD_fashion_boutique[[#This Row],[is_returned]]="False",0,1)</f>
        <v>0</v>
      </c>
      <c r="W950">
        <f>IF(BBDD_fashion_boutique[[#This Row],[is_returned]]="True",0,BBDD_fashion_boutique[[#This Row],[current_price]])</f>
        <v>70.75</v>
      </c>
      <c r="X950" t="str">
        <f>IF(BBDD_fashion_boutique[[#This Row],[return_reason]]="","No return",BBDD_fashion_boutique[[#This Row],[return_reason]])</f>
        <v>No return</v>
      </c>
      <c r="Y950">
        <f>IF(IFERROR(VLOOKUP(BBDD_fashion_boutique[[#This Row],[product_id]],A951:A3126,1,FALSE),0),1,0)</f>
        <v>0</v>
      </c>
    </row>
    <row r="951" spans="1:25" x14ac:dyDescent="0.3">
      <c r="A951" t="s">
        <v>1010</v>
      </c>
      <c r="B951" t="s">
        <v>32</v>
      </c>
      <c r="C951" t="s">
        <v>67</v>
      </c>
      <c r="D951" t="s">
        <v>39</v>
      </c>
      <c r="F951" t="str">
        <f>IF(BBDD_fashion_boutique[[#This Row],[category]]="Accessories","Accesorio",IF(BBDD_fashion_boutique[[#This Row],[size]]="","Desconocido",BBDD_fashion_boutique[[#This Row],[size]]))</f>
        <v>Accesorio</v>
      </c>
      <c r="G951" t="s">
        <v>40</v>
      </c>
      <c r="H951" s="2">
        <v>58.9</v>
      </c>
      <c r="I951">
        <v>0</v>
      </c>
      <c r="J951" s="5">
        <f>BBDD_fashion_boutique[[#This Row],[markdown_percentage]]/100</f>
        <v>0</v>
      </c>
      <c r="K951" s="2">
        <v>58.9</v>
      </c>
      <c r="L951" s="2">
        <f>BBDD_fashion_boutique[[#This Row],[original_price]]-BBDD_fashion_boutique[[#This Row],[current_price]]</f>
        <v>0</v>
      </c>
      <c r="M951" s="1">
        <v>45875</v>
      </c>
      <c r="N951" s="1" t="str">
        <f>PROPER(TEXT(BBDD_fashion_boutique[[#This Row],[purchase_date]],"dddd"))</f>
        <v>Miércoles</v>
      </c>
      <c r="O951" s="1" t="str">
        <f>PROPER(TEXT(BBDD_fashion_boutique[[#This Row],[purchase_date]],"mmmm"))</f>
        <v>Agosto</v>
      </c>
      <c r="P951" s="4">
        <v>39</v>
      </c>
      <c r="Q951" s="2">
        <v>4</v>
      </c>
      <c r="R951" t="str">
        <f>IF(BBDD_fashion_boutique[[#This Row],[stock_quantity]]&gt;9,"Ok",IF(BBDD_fashion_boutique[[#This Row],[stock_quantity]]=0,"Agotado","Pocas Unidades"))</f>
        <v>Ok</v>
      </c>
      <c r="S951" s="3">
        <f>IF(BBDD_fashion_boutique[[#This Row],[customer_rating]]="","No valorado",BBDD_fashion_boutique[[#This Row],[customer_rating]])</f>
        <v>4</v>
      </c>
      <c r="T951" t="s">
        <v>24</v>
      </c>
      <c r="V951">
        <f>IF(BBDD_fashion_boutique[[#This Row],[is_returned]]="False",0,1)</f>
        <v>0</v>
      </c>
      <c r="W951">
        <f>IF(BBDD_fashion_boutique[[#This Row],[is_returned]]="True",0,BBDD_fashion_boutique[[#This Row],[current_price]])</f>
        <v>58.9</v>
      </c>
      <c r="X951" t="str">
        <f>IF(BBDD_fashion_boutique[[#This Row],[return_reason]]="","No return",BBDD_fashion_boutique[[#This Row],[return_reason]])</f>
        <v>No return</v>
      </c>
      <c r="Y951">
        <f>IF(IFERROR(VLOOKUP(BBDD_fashion_boutique[[#This Row],[product_id]],A952:A3127,1,FALSE),0),1,0)</f>
        <v>0</v>
      </c>
    </row>
    <row r="952" spans="1:25" x14ac:dyDescent="0.3">
      <c r="A952" t="s">
        <v>1011</v>
      </c>
      <c r="B952" t="s">
        <v>19</v>
      </c>
      <c r="C952" t="s">
        <v>81</v>
      </c>
      <c r="D952" t="s">
        <v>28</v>
      </c>
      <c r="E952" t="s">
        <v>29</v>
      </c>
      <c r="F952" t="str">
        <f>IF(BBDD_fashion_boutique[[#This Row],[category]]="Accessories","Accesorio",IF(BBDD_fashion_boutique[[#This Row],[size]]="","Desconocido",BBDD_fashion_boutique[[#This Row],[size]]))</f>
        <v>L</v>
      </c>
      <c r="G952" t="s">
        <v>72</v>
      </c>
      <c r="H952" s="2">
        <v>104.78</v>
      </c>
      <c r="I952">
        <v>16.899999999999999</v>
      </c>
      <c r="J952" s="5">
        <f>BBDD_fashion_boutique[[#This Row],[markdown_percentage]]/100</f>
        <v>0.16899999999999998</v>
      </c>
      <c r="K952" s="2">
        <v>87.07</v>
      </c>
      <c r="L952" s="2">
        <f>BBDD_fashion_boutique[[#This Row],[original_price]]-BBDD_fashion_boutique[[#This Row],[current_price]]</f>
        <v>17.710000000000008</v>
      </c>
      <c r="M952" s="1">
        <v>45875</v>
      </c>
      <c r="N952" s="1" t="str">
        <f>PROPER(TEXT(BBDD_fashion_boutique[[#This Row],[purchase_date]],"dddd"))</f>
        <v>Miércoles</v>
      </c>
      <c r="O952" s="1" t="str">
        <f>PROPER(TEXT(BBDD_fashion_boutique[[#This Row],[purchase_date]],"mmmm"))</f>
        <v>Agosto</v>
      </c>
      <c r="P952" s="4">
        <v>43</v>
      </c>
      <c r="Q952" s="2">
        <v>4.3</v>
      </c>
      <c r="R952" t="str">
        <f>IF(BBDD_fashion_boutique[[#This Row],[stock_quantity]]&gt;9,"Ok",IF(BBDD_fashion_boutique[[#This Row],[stock_quantity]]=0,"Agotado","Pocas Unidades"))</f>
        <v>Ok</v>
      </c>
      <c r="S952" s="3">
        <f>IF(BBDD_fashion_boutique[[#This Row],[customer_rating]]="","No valorado",BBDD_fashion_boutique[[#This Row],[customer_rating]])</f>
        <v>4.3</v>
      </c>
      <c r="T952" t="s">
        <v>24</v>
      </c>
      <c r="V952">
        <f>IF(BBDD_fashion_boutique[[#This Row],[is_returned]]="False",0,1)</f>
        <v>0</v>
      </c>
      <c r="W952">
        <f>IF(BBDD_fashion_boutique[[#This Row],[is_returned]]="True",0,BBDD_fashion_boutique[[#This Row],[current_price]])</f>
        <v>87.07</v>
      </c>
      <c r="X952" t="str">
        <f>IF(BBDD_fashion_boutique[[#This Row],[return_reason]]="","No return",BBDD_fashion_boutique[[#This Row],[return_reason]])</f>
        <v>No return</v>
      </c>
      <c r="Y952">
        <f>IF(IFERROR(VLOOKUP(BBDD_fashion_boutique[[#This Row],[product_id]],A953:A3128,1,FALSE),0),1,0)</f>
        <v>0</v>
      </c>
    </row>
    <row r="953" spans="1:25" x14ac:dyDescent="0.3">
      <c r="A953" t="s">
        <v>1012</v>
      </c>
      <c r="B953" t="s">
        <v>32</v>
      </c>
      <c r="C953" t="s">
        <v>81</v>
      </c>
      <c r="D953" t="s">
        <v>39</v>
      </c>
      <c r="F953" t="str">
        <f>IF(BBDD_fashion_boutique[[#This Row],[category]]="Accessories","Accesorio",IF(BBDD_fashion_boutique[[#This Row],[size]]="","Desconocido",BBDD_fashion_boutique[[#This Row],[size]]))</f>
        <v>Accesorio</v>
      </c>
      <c r="G953" t="s">
        <v>50</v>
      </c>
      <c r="H953" s="2">
        <v>55.3</v>
      </c>
      <c r="I953">
        <v>0</v>
      </c>
      <c r="J953" s="5">
        <f>BBDD_fashion_boutique[[#This Row],[markdown_percentage]]/100</f>
        <v>0</v>
      </c>
      <c r="K953" s="2">
        <v>55.3</v>
      </c>
      <c r="L953" s="2">
        <f>BBDD_fashion_boutique[[#This Row],[original_price]]-BBDD_fashion_boutique[[#This Row],[current_price]]</f>
        <v>0</v>
      </c>
      <c r="M953" s="1">
        <v>45875</v>
      </c>
      <c r="N953" s="1" t="str">
        <f>PROPER(TEXT(BBDD_fashion_boutique[[#This Row],[purchase_date]],"dddd"))</f>
        <v>Miércoles</v>
      </c>
      <c r="O953" s="1" t="str">
        <f>PROPER(TEXT(BBDD_fashion_boutique[[#This Row],[purchase_date]],"mmmm"))</f>
        <v>Agosto</v>
      </c>
      <c r="P953" s="4">
        <v>17</v>
      </c>
      <c r="Q953" s="2">
        <v>2.5</v>
      </c>
      <c r="R953" t="str">
        <f>IF(BBDD_fashion_boutique[[#This Row],[stock_quantity]]&gt;9,"Ok",IF(BBDD_fashion_boutique[[#This Row],[stock_quantity]]=0,"Agotado","Pocas Unidades"))</f>
        <v>Ok</v>
      </c>
      <c r="S953" s="3">
        <f>IF(BBDD_fashion_boutique[[#This Row],[customer_rating]]="","No valorado",BBDD_fashion_boutique[[#This Row],[customer_rating]])</f>
        <v>2.5</v>
      </c>
      <c r="T953" t="s">
        <v>24</v>
      </c>
      <c r="V953">
        <f>IF(BBDD_fashion_boutique[[#This Row],[is_returned]]="False",0,1)</f>
        <v>0</v>
      </c>
      <c r="W953">
        <f>IF(BBDD_fashion_boutique[[#This Row],[is_returned]]="True",0,BBDD_fashion_boutique[[#This Row],[current_price]])</f>
        <v>55.3</v>
      </c>
      <c r="X953" t="str">
        <f>IF(BBDD_fashion_boutique[[#This Row],[return_reason]]="","No return",BBDD_fashion_boutique[[#This Row],[return_reason]])</f>
        <v>No return</v>
      </c>
      <c r="Y953">
        <f>IF(IFERROR(VLOOKUP(BBDD_fashion_boutique[[#This Row],[product_id]],A954:A3129,1,FALSE),0),1,0)</f>
        <v>0</v>
      </c>
    </row>
    <row r="954" spans="1:25" x14ac:dyDescent="0.3">
      <c r="A954" t="s">
        <v>1013</v>
      </c>
      <c r="B954" t="s">
        <v>44</v>
      </c>
      <c r="C954" t="s">
        <v>67</v>
      </c>
      <c r="D954" t="s">
        <v>68</v>
      </c>
      <c r="E954" t="s">
        <v>61</v>
      </c>
      <c r="F954" t="str">
        <f>IF(BBDD_fashion_boutique[[#This Row],[category]]="Accessories","Accesorio",IF(BBDD_fashion_boutique[[#This Row],[size]]="","Desconocido",BBDD_fashion_boutique[[#This Row],[size]]))</f>
        <v>XS</v>
      </c>
      <c r="G954" t="s">
        <v>33</v>
      </c>
      <c r="H954" s="2">
        <v>56.65</v>
      </c>
      <c r="I954">
        <v>34</v>
      </c>
      <c r="J954" s="5">
        <f>BBDD_fashion_boutique[[#This Row],[markdown_percentage]]/100</f>
        <v>0.34</v>
      </c>
      <c r="K954" s="2">
        <v>37.39</v>
      </c>
      <c r="L954" s="2">
        <f>BBDD_fashion_boutique[[#This Row],[original_price]]-BBDD_fashion_boutique[[#This Row],[current_price]]</f>
        <v>19.259999999999998</v>
      </c>
      <c r="M954" s="1">
        <v>45875</v>
      </c>
      <c r="N954" s="1" t="str">
        <f>PROPER(TEXT(BBDD_fashion_boutique[[#This Row],[purchase_date]],"dddd"))</f>
        <v>Miércoles</v>
      </c>
      <c r="O954" s="1" t="str">
        <f>PROPER(TEXT(BBDD_fashion_boutique[[#This Row],[purchase_date]],"mmmm"))</f>
        <v>Agosto</v>
      </c>
      <c r="P954" s="4">
        <v>23</v>
      </c>
      <c r="Q954" s="2">
        <v>4.3</v>
      </c>
      <c r="R954" t="str">
        <f>IF(BBDD_fashion_boutique[[#This Row],[stock_quantity]]&gt;9,"Ok",IF(BBDD_fashion_boutique[[#This Row],[stock_quantity]]=0,"Agotado","Pocas Unidades"))</f>
        <v>Ok</v>
      </c>
      <c r="S954" s="3">
        <f>IF(BBDD_fashion_boutique[[#This Row],[customer_rating]]="","No valorado",BBDD_fashion_boutique[[#This Row],[customer_rating]])</f>
        <v>4.3</v>
      </c>
      <c r="T954" t="s">
        <v>24</v>
      </c>
      <c r="V954">
        <f>IF(BBDD_fashion_boutique[[#This Row],[is_returned]]="False",0,1)</f>
        <v>0</v>
      </c>
      <c r="W954">
        <f>IF(BBDD_fashion_boutique[[#This Row],[is_returned]]="True",0,BBDD_fashion_boutique[[#This Row],[current_price]])</f>
        <v>37.39</v>
      </c>
      <c r="X954" t="str">
        <f>IF(BBDD_fashion_boutique[[#This Row],[return_reason]]="","No return",BBDD_fashion_boutique[[#This Row],[return_reason]])</f>
        <v>No return</v>
      </c>
      <c r="Y954">
        <f>IF(IFERROR(VLOOKUP(BBDD_fashion_boutique[[#This Row],[product_id]],A955:A3130,1,FALSE),0),1,0)</f>
        <v>0</v>
      </c>
    </row>
    <row r="955" spans="1:25" x14ac:dyDescent="0.3">
      <c r="A955" t="s">
        <v>1014</v>
      </c>
      <c r="B955" t="s">
        <v>35</v>
      </c>
      <c r="C955" t="s">
        <v>27</v>
      </c>
      <c r="D955" t="s">
        <v>39</v>
      </c>
      <c r="E955" t="s">
        <v>61</v>
      </c>
      <c r="F955" t="str">
        <f>IF(BBDD_fashion_boutique[[#This Row],[category]]="Accessories","Accesorio",IF(BBDD_fashion_boutique[[#This Row],[size]]="","Desconocido",BBDD_fashion_boutique[[#This Row],[size]]))</f>
        <v>XS</v>
      </c>
      <c r="G955" t="s">
        <v>30</v>
      </c>
      <c r="H955" s="2">
        <v>199.14</v>
      </c>
      <c r="I955">
        <v>0</v>
      </c>
      <c r="J955" s="5">
        <f>BBDD_fashion_boutique[[#This Row],[markdown_percentage]]/100</f>
        <v>0</v>
      </c>
      <c r="K955" s="2">
        <v>199.14</v>
      </c>
      <c r="L955" s="2">
        <f>BBDD_fashion_boutique[[#This Row],[original_price]]-BBDD_fashion_boutique[[#This Row],[current_price]]</f>
        <v>0</v>
      </c>
      <c r="M955" s="1">
        <v>45875</v>
      </c>
      <c r="N955" s="1" t="str">
        <f>PROPER(TEXT(BBDD_fashion_boutique[[#This Row],[purchase_date]],"dddd"))</f>
        <v>Miércoles</v>
      </c>
      <c r="O955" s="1" t="str">
        <f>PROPER(TEXT(BBDD_fashion_boutique[[#This Row],[purchase_date]],"mmmm"))</f>
        <v>Agosto</v>
      </c>
      <c r="P955" s="4">
        <v>18</v>
      </c>
      <c r="R955" t="str">
        <f>IF(BBDD_fashion_boutique[[#This Row],[stock_quantity]]&gt;9,"Ok",IF(BBDD_fashion_boutique[[#This Row],[stock_quantity]]=0,"Agotado","Pocas Unidades"))</f>
        <v>Ok</v>
      </c>
      <c r="S955" s="3" t="str">
        <f>IF(BBDD_fashion_boutique[[#This Row],[customer_rating]]="","No valorado",BBDD_fashion_boutique[[#This Row],[customer_rating]])</f>
        <v>No valorado</v>
      </c>
      <c r="T955" t="s">
        <v>24</v>
      </c>
      <c r="V955">
        <f>IF(BBDD_fashion_boutique[[#This Row],[is_returned]]="False",0,1)</f>
        <v>0</v>
      </c>
      <c r="W955">
        <f>IF(BBDD_fashion_boutique[[#This Row],[is_returned]]="True",0,BBDD_fashion_boutique[[#This Row],[current_price]])</f>
        <v>199.14</v>
      </c>
      <c r="X955" t="str">
        <f>IF(BBDD_fashion_boutique[[#This Row],[return_reason]]="","No return",BBDD_fashion_boutique[[#This Row],[return_reason]])</f>
        <v>No return</v>
      </c>
      <c r="Y955">
        <f>IF(IFERROR(VLOOKUP(BBDD_fashion_boutique[[#This Row],[product_id]],A956:A3131,1,FALSE),0),1,0)</f>
        <v>0</v>
      </c>
    </row>
    <row r="956" spans="1:25" x14ac:dyDescent="0.3">
      <c r="A956" t="s">
        <v>1015</v>
      </c>
      <c r="B956" t="s">
        <v>35</v>
      </c>
      <c r="C956" t="s">
        <v>20</v>
      </c>
      <c r="D956" t="s">
        <v>39</v>
      </c>
      <c r="E956" t="s">
        <v>64</v>
      </c>
      <c r="F956" t="str">
        <f>IF(BBDD_fashion_boutique[[#This Row],[category]]="Accessories","Accesorio",IF(BBDD_fashion_boutique[[#This Row],[size]]="","Desconocido",BBDD_fashion_boutique[[#This Row],[size]]))</f>
        <v>M</v>
      </c>
      <c r="G956" t="s">
        <v>30</v>
      </c>
      <c r="H956" s="2">
        <v>128.68</v>
      </c>
      <c r="I956">
        <v>0</v>
      </c>
      <c r="J956" s="5">
        <f>BBDD_fashion_boutique[[#This Row],[markdown_percentage]]/100</f>
        <v>0</v>
      </c>
      <c r="K956" s="2">
        <v>128.68</v>
      </c>
      <c r="L956" s="2">
        <f>BBDD_fashion_boutique[[#This Row],[original_price]]-BBDD_fashion_boutique[[#This Row],[current_price]]</f>
        <v>0</v>
      </c>
      <c r="M956" s="1">
        <v>45875</v>
      </c>
      <c r="N956" s="1" t="str">
        <f>PROPER(TEXT(BBDD_fashion_boutique[[#This Row],[purchase_date]],"dddd"))</f>
        <v>Miércoles</v>
      </c>
      <c r="O956" s="1" t="str">
        <f>PROPER(TEXT(BBDD_fashion_boutique[[#This Row],[purchase_date]],"mmmm"))</f>
        <v>Agosto</v>
      </c>
      <c r="P956" s="4">
        <v>8</v>
      </c>
      <c r="Q956" s="2">
        <v>2.2000000000000002</v>
      </c>
      <c r="R956" t="str">
        <f>IF(BBDD_fashion_boutique[[#This Row],[stock_quantity]]&gt;9,"Ok",IF(BBDD_fashion_boutique[[#This Row],[stock_quantity]]=0,"Agotado","Pocas Unidades"))</f>
        <v>Pocas Unidades</v>
      </c>
      <c r="S956" s="3">
        <f>IF(BBDD_fashion_boutique[[#This Row],[customer_rating]]="","No valorado",BBDD_fashion_boutique[[#This Row],[customer_rating]])</f>
        <v>2.2000000000000002</v>
      </c>
      <c r="T956" t="s">
        <v>24</v>
      </c>
      <c r="V956">
        <f>IF(BBDD_fashion_boutique[[#This Row],[is_returned]]="False",0,1)</f>
        <v>0</v>
      </c>
      <c r="W956">
        <f>IF(BBDD_fashion_boutique[[#This Row],[is_returned]]="True",0,BBDD_fashion_boutique[[#This Row],[current_price]])</f>
        <v>128.68</v>
      </c>
      <c r="X956" t="str">
        <f>IF(BBDD_fashion_boutique[[#This Row],[return_reason]]="","No return",BBDD_fashion_boutique[[#This Row],[return_reason]])</f>
        <v>No return</v>
      </c>
      <c r="Y956">
        <f>IF(IFERROR(VLOOKUP(BBDD_fashion_boutique[[#This Row],[product_id]],A957:A3132,1,FALSE),0),1,0)</f>
        <v>0</v>
      </c>
    </row>
    <row r="957" spans="1:25" x14ac:dyDescent="0.3">
      <c r="A957" t="s">
        <v>1016</v>
      </c>
      <c r="B957" t="s">
        <v>19</v>
      </c>
      <c r="C957" t="s">
        <v>27</v>
      </c>
      <c r="D957" t="s">
        <v>39</v>
      </c>
      <c r="E957" t="s">
        <v>22</v>
      </c>
      <c r="F957" t="str">
        <f>IF(BBDD_fashion_boutique[[#This Row],[category]]="Accessories","Accesorio",IF(BBDD_fashion_boutique[[#This Row],[size]]="","Desconocido",BBDD_fashion_boutique[[#This Row],[size]]))</f>
        <v>XL</v>
      </c>
      <c r="G957" t="s">
        <v>62</v>
      </c>
      <c r="H957" s="2">
        <v>150.37</v>
      </c>
      <c r="I957">
        <v>51.9</v>
      </c>
      <c r="J957" s="5">
        <f>BBDD_fashion_boutique[[#This Row],[markdown_percentage]]/100</f>
        <v>0.51900000000000002</v>
      </c>
      <c r="K957" s="2">
        <v>72.33</v>
      </c>
      <c r="L957" s="2">
        <f>BBDD_fashion_boutique[[#This Row],[original_price]]-BBDD_fashion_boutique[[#This Row],[current_price]]</f>
        <v>78.040000000000006</v>
      </c>
      <c r="M957" s="1">
        <v>45875</v>
      </c>
      <c r="N957" s="1" t="str">
        <f>PROPER(TEXT(BBDD_fashion_boutique[[#This Row],[purchase_date]],"dddd"))</f>
        <v>Miércoles</v>
      </c>
      <c r="O957" s="1" t="str">
        <f>PROPER(TEXT(BBDD_fashion_boutique[[#This Row],[purchase_date]],"mmmm"))</f>
        <v>Agosto</v>
      </c>
      <c r="P957" s="4">
        <v>15</v>
      </c>
      <c r="Q957" s="2">
        <v>5</v>
      </c>
      <c r="R957" t="str">
        <f>IF(BBDD_fashion_boutique[[#This Row],[stock_quantity]]&gt;9,"Ok",IF(BBDD_fashion_boutique[[#This Row],[stock_quantity]]=0,"Agotado","Pocas Unidades"))</f>
        <v>Ok</v>
      </c>
      <c r="S957" s="3">
        <f>IF(BBDD_fashion_boutique[[#This Row],[customer_rating]]="","No valorado",BBDD_fashion_boutique[[#This Row],[customer_rating]])</f>
        <v>5</v>
      </c>
      <c r="T957" t="s">
        <v>24</v>
      </c>
      <c r="V957">
        <f>IF(BBDD_fashion_boutique[[#This Row],[is_returned]]="False",0,1)</f>
        <v>0</v>
      </c>
      <c r="W957">
        <f>IF(BBDD_fashion_boutique[[#This Row],[is_returned]]="True",0,BBDD_fashion_boutique[[#This Row],[current_price]])</f>
        <v>72.33</v>
      </c>
      <c r="X957" t="str">
        <f>IF(BBDD_fashion_boutique[[#This Row],[return_reason]]="","No return",BBDD_fashion_boutique[[#This Row],[return_reason]])</f>
        <v>No return</v>
      </c>
      <c r="Y957">
        <f>IF(IFERROR(VLOOKUP(BBDD_fashion_boutique[[#This Row],[product_id]],A958:A3133,1,FALSE),0),1,0)</f>
        <v>0</v>
      </c>
    </row>
    <row r="958" spans="1:25" x14ac:dyDescent="0.3">
      <c r="A958" t="s">
        <v>1017</v>
      </c>
      <c r="B958" t="s">
        <v>48</v>
      </c>
      <c r="C958" t="s">
        <v>81</v>
      </c>
      <c r="D958" t="s">
        <v>28</v>
      </c>
      <c r="E958" t="s">
        <v>64</v>
      </c>
      <c r="F958" t="str">
        <f>IF(BBDD_fashion_boutique[[#This Row],[category]]="Accessories","Accesorio",IF(BBDD_fashion_boutique[[#This Row],[size]]="","Desconocido",BBDD_fashion_boutique[[#This Row],[size]]))</f>
        <v>M</v>
      </c>
      <c r="G958" t="s">
        <v>30</v>
      </c>
      <c r="H958" s="2">
        <v>162.65</v>
      </c>
      <c r="I958">
        <v>0</v>
      </c>
      <c r="J958" s="5">
        <f>BBDD_fashion_boutique[[#This Row],[markdown_percentage]]/100</f>
        <v>0</v>
      </c>
      <c r="K958" s="2">
        <v>162.65</v>
      </c>
      <c r="L958" s="2">
        <f>BBDD_fashion_boutique[[#This Row],[original_price]]-BBDD_fashion_boutique[[#This Row],[current_price]]</f>
        <v>0</v>
      </c>
      <c r="M958" s="1">
        <v>45875</v>
      </c>
      <c r="N958" s="1" t="str">
        <f>PROPER(TEXT(BBDD_fashion_boutique[[#This Row],[purchase_date]],"dddd"))</f>
        <v>Miércoles</v>
      </c>
      <c r="O958" s="1" t="str">
        <f>PROPER(TEXT(BBDD_fashion_boutique[[#This Row],[purchase_date]],"mmmm"))</f>
        <v>Agosto</v>
      </c>
      <c r="P958" s="4">
        <v>36</v>
      </c>
      <c r="Q958" s="2">
        <v>1.4</v>
      </c>
      <c r="R958" t="str">
        <f>IF(BBDD_fashion_boutique[[#This Row],[stock_quantity]]&gt;9,"Ok",IF(BBDD_fashion_boutique[[#This Row],[stock_quantity]]=0,"Agotado","Pocas Unidades"))</f>
        <v>Ok</v>
      </c>
      <c r="S958" s="3">
        <f>IF(BBDD_fashion_boutique[[#This Row],[customer_rating]]="","No valorado",BBDD_fashion_boutique[[#This Row],[customer_rating]])</f>
        <v>1.4</v>
      </c>
      <c r="T958" t="s">
        <v>24</v>
      </c>
      <c r="V958">
        <f>IF(BBDD_fashion_boutique[[#This Row],[is_returned]]="False",0,1)</f>
        <v>0</v>
      </c>
      <c r="W958">
        <f>IF(BBDD_fashion_boutique[[#This Row],[is_returned]]="True",0,BBDD_fashion_boutique[[#This Row],[current_price]])</f>
        <v>162.65</v>
      </c>
      <c r="X958" t="str">
        <f>IF(BBDD_fashion_boutique[[#This Row],[return_reason]]="","No return",BBDD_fashion_boutique[[#This Row],[return_reason]])</f>
        <v>No return</v>
      </c>
      <c r="Y958">
        <f>IF(IFERROR(VLOOKUP(BBDD_fashion_boutique[[#This Row],[product_id]],A959:A3134,1,FALSE),0),1,0)</f>
        <v>0</v>
      </c>
    </row>
    <row r="959" spans="1:25" x14ac:dyDescent="0.3">
      <c r="A959" t="s">
        <v>1018</v>
      </c>
      <c r="B959" t="s">
        <v>44</v>
      </c>
      <c r="C959" t="s">
        <v>49</v>
      </c>
      <c r="D959" t="s">
        <v>68</v>
      </c>
      <c r="E959" t="s">
        <v>55</v>
      </c>
      <c r="F959" t="str">
        <f>IF(BBDD_fashion_boutique[[#This Row],[category]]="Accessories","Accesorio",IF(BBDD_fashion_boutique[[#This Row],[size]]="","Desconocido",BBDD_fashion_boutique[[#This Row],[size]]))</f>
        <v>XXL</v>
      </c>
      <c r="G959" t="s">
        <v>40</v>
      </c>
      <c r="H959" s="2">
        <v>28.9</v>
      </c>
      <c r="I959">
        <v>0</v>
      </c>
      <c r="J959" s="5">
        <f>BBDD_fashion_boutique[[#This Row],[markdown_percentage]]/100</f>
        <v>0</v>
      </c>
      <c r="K959" s="2">
        <v>28.9</v>
      </c>
      <c r="L959" s="2">
        <f>BBDD_fashion_boutique[[#This Row],[original_price]]-BBDD_fashion_boutique[[#This Row],[current_price]]</f>
        <v>0</v>
      </c>
      <c r="M959" s="1">
        <v>45875</v>
      </c>
      <c r="N959" s="1" t="str">
        <f>PROPER(TEXT(BBDD_fashion_boutique[[#This Row],[purchase_date]],"dddd"))</f>
        <v>Miércoles</v>
      </c>
      <c r="O959" s="1" t="str">
        <f>PROPER(TEXT(BBDD_fashion_boutique[[#This Row],[purchase_date]],"mmmm"))</f>
        <v>Agosto</v>
      </c>
      <c r="P959" s="4">
        <v>5</v>
      </c>
      <c r="Q959" s="2">
        <v>4.5999999999999996</v>
      </c>
      <c r="R959" t="str">
        <f>IF(BBDD_fashion_boutique[[#This Row],[stock_quantity]]&gt;9,"Ok",IF(BBDD_fashion_boutique[[#This Row],[stock_quantity]]=0,"Agotado","Pocas Unidades"))</f>
        <v>Pocas Unidades</v>
      </c>
      <c r="S959" s="3">
        <f>IF(BBDD_fashion_boutique[[#This Row],[customer_rating]]="","No valorado",BBDD_fashion_boutique[[#This Row],[customer_rating]])</f>
        <v>4.5999999999999996</v>
      </c>
      <c r="T959" t="s">
        <v>24</v>
      </c>
      <c r="V959">
        <f>IF(BBDD_fashion_boutique[[#This Row],[is_returned]]="False",0,1)</f>
        <v>0</v>
      </c>
      <c r="W959">
        <f>IF(BBDD_fashion_boutique[[#This Row],[is_returned]]="True",0,BBDD_fashion_boutique[[#This Row],[current_price]])</f>
        <v>28.9</v>
      </c>
      <c r="X959" t="str">
        <f>IF(BBDD_fashion_boutique[[#This Row],[return_reason]]="","No return",BBDD_fashion_boutique[[#This Row],[return_reason]])</f>
        <v>No return</v>
      </c>
      <c r="Y959">
        <f>IF(IFERROR(VLOOKUP(BBDD_fashion_boutique[[#This Row],[product_id]],A960:A3135,1,FALSE),0),1,0)</f>
        <v>0</v>
      </c>
    </row>
    <row r="960" spans="1:25" x14ac:dyDescent="0.3">
      <c r="A960" t="s">
        <v>1019</v>
      </c>
      <c r="B960" t="s">
        <v>32</v>
      </c>
      <c r="C960" t="s">
        <v>81</v>
      </c>
      <c r="D960" t="s">
        <v>21</v>
      </c>
      <c r="F960" t="str">
        <f>IF(BBDD_fashion_boutique[[#This Row],[category]]="Accessories","Accesorio",IF(BBDD_fashion_boutique[[#This Row],[size]]="","Desconocido",BBDD_fashion_boutique[[#This Row],[size]]))</f>
        <v>Accesorio</v>
      </c>
      <c r="G960" t="s">
        <v>30</v>
      </c>
      <c r="H960" s="2">
        <v>75.59</v>
      </c>
      <c r="I960">
        <v>38.799999999999997</v>
      </c>
      <c r="J960" s="5">
        <f>BBDD_fashion_boutique[[#This Row],[markdown_percentage]]/100</f>
        <v>0.38799999999999996</v>
      </c>
      <c r="K960" s="2">
        <v>46.26</v>
      </c>
      <c r="L960" s="2">
        <f>BBDD_fashion_boutique[[#This Row],[original_price]]-BBDD_fashion_boutique[[#This Row],[current_price]]</f>
        <v>29.330000000000005</v>
      </c>
      <c r="M960" s="1">
        <v>45745</v>
      </c>
      <c r="N960" s="1" t="str">
        <f>PROPER(TEXT(BBDD_fashion_boutique[[#This Row],[purchase_date]],"dddd"))</f>
        <v>Sábado</v>
      </c>
      <c r="O960" s="1" t="str">
        <f>PROPER(TEXT(BBDD_fashion_boutique[[#This Row],[purchase_date]],"mmmm"))</f>
        <v>Marzo</v>
      </c>
      <c r="P960" s="4">
        <v>43</v>
      </c>
      <c r="Q960" s="2">
        <v>1.1000000000000001</v>
      </c>
      <c r="R960" t="str">
        <f>IF(BBDD_fashion_boutique[[#This Row],[stock_quantity]]&gt;9,"Ok",IF(BBDD_fashion_boutique[[#This Row],[stock_quantity]]=0,"Agotado","Pocas Unidades"))</f>
        <v>Ok</v>
      </c>
      <c r="S960" s="3">
        <f>IF(BBDD_fashion_boutique[[#This Row],[customer_rating]]="","No valorado",BBDD_fashion_boutique[[#This Row],[customer_rating]])</f>
        <v>1.1000000000000001</v>
      </c>
      <c r="T960" t="s">
        <v>24</v>
      </c>
      <c r="V960">
        <f>IF(BBDD_fashion_boutique[[#This Row],[is_returned]]="False",0,1)</f>
        <v>0</v>
      </c>
      <c r="W960">
        <f>IF(BBDD_fashion_boutique[[#This Row],[is_returned]]="True",0,BBDD_fashion_boutique[[#This Row],[current_price]])</f>
        <v>46.26</v>
      </c>
      <c r="X960" t="str">
        <f>IF(BBDD_fashion_boutique[[#This Row],[return_reason]]="","No return",BBDD_fashion_boutique[[#This Row],[return_reason]])</f>
        <v>No return</v>
      </c>
      <c r="Y960">
        <f>IF(IFERROR(VLOOKUP(BBDD_fashion_boutique[[#This Row],[product_id]],A961:A3136,1,FALSE),0),1,0)</f>
        <v>0</v>
      </c>
    </row>
    <row r="961" spans="1:25" x14ac:dyDescent="0.3">
      <c r="A961" t="s">
        <v>1020</v>
      </c>
      <c r="B961" t="s">
        <v>26</v>
      </c>
      <c r="C961" t="s">
        <v>20</v>
      </c>
      <c r="D961" t="s">
        <v>21</v>
      </c>
      <c r="E961" t="s">
        <v>45</v>
      </c>
      <c r="F961" t="str">
        <f>IF(BBDD_fashion_boutique[[#This Row],[category]]="Accessories","Accesorio",IF(BBDD_fashion_boutique[[#This Row],[size]]="","Desconocido",BBDD_fashion_boutique[[#This Row],[size]]))</f>
        <v>S</v>
      </c>
      <c r="G961" t="s">
        <v>76</v>
      </c>
      <c r="H961" s="2">
        <v>30.9</v>
      </c>
      <c r="I961">
        <v>5.5</v>
      </c>
      <c r="J961" s="5">
        <f>BBDD_fashion_boutique[[#This Row],[markdown_percentage]]/100</f>
        <v>5.5E-2</v>
      </c>
      <c r="K961" s="2">
        <v>29.2</v>
      </c>
      <c r="L961" s="2">
        <f>BBDD_fashion_boutique[[#This Row],[original_price]]-BBDD_fashion_boutique[[#This Row],[current_price]]</f>
        <v>1.6999999999999993</v>
      </c>
      <c r="M961" s="1">
        <v>45602</v>
      </c>
      <c r="N961" s="1" t="str">
        <f>PROPER(TEXT(BBDD_fashion_boutique[[#This Row],[purchase_date]],"dddd"))</f>
        <v>Miércoles</v>
      </c>
      <c r="O961" s="1" t="str">
        <f>PROPER(TEXT(BBDD_fashion_boutique[[#This Row],[purchase_date]],"mmmm"))</f>
        <v>Noviembre</v>
      </c>
      <c r="P961" s="4">
        <v>25</v>
      </c>
      <c r="Q961" s="2">
        <v>1.4</v>
      </c>
      <c r="R961" t="str">
        <f>IF(BBDD_fashion_boutique[[#This Row],[stock_quantity]]&gt;9,"Ok",IF(BBDD_fashion_boutique[[#This Row],[stock_quantity]]=0,"Agotado","Pocas Unidades"))</f>
        <v>Ok</v>
      </c>
      <c r="S961" s="3">
        <f>IF(BBDD_fashion_boutique[[#This Row],[customer_rating]]="","No valorado",BBDD_fashion_boutique[[#This Row],[customer_rating]])</f>
        <v>1.4</v>
      </c>
      <c r="T961" t="s">
        <v>24</v>
      </c>
      <c r="V961">
        <f>IF(BBDD_fashion_boutique[[#This Row],[is_returned]]="False",0,1)</f>
        <v>0</v>
      </c>
      <c r="W961">
        <f>IF(BBDD_fashion_boutique[[#This Row],[is_returned]]="True",0,BBDD_fashion_boutique[[#This Row],[current_price]])</f>
        <v>29.2</v>
      </c>
      <c r="X961" t="str">
        <f>IF(BBDD_fashion_boutique[[#This Row],[return_reason]]="","No return",BBDD_fashion_boutique[[#This Row],[return_reason]])</f>
        <v>No return</v>
      </c>
      <c r="Y961">
        <f>IF(IFERROR(VLOOKUP(BBDD_fashion_boutique[[#This Row],[product_id]],A962:A3137,1,FALSE),0),1,0)</f>
        <v>0</v>
      </c>
    </row>
    <row r="962" spans="1:25" x14ac:dyDescent="0.3">
      <c r="A962" t="s">
        <v>1021</v>
      </c>
      <c r="B962" t="s">
        <v>19</v>
      </c>
      <c r="C962" t="s">
        <v>49</v>
      </c>
      <c r="D962" t="s">
        <v>68</v>
      </c>
      <c r="E962" t="s">
        <v>45</v>
      </c>
      <c r="F962" t="str">
        <f>IF(BBDD_fashion_boutique[[#This Row],[category]]="Accessories","Accesorio",IF(BBDD_fashion_boutique[[#This Row],[size]]="","Desconocido",BBDD_fashion_boutique[[#This Row],[size]]))</f>
        <v>S</v>
      </c>
      <c r="G962" t="s">
        <v>50</v>
      </c>
      <c r="H962" s="2">
        <v>101.04</v>
      </c>
      <c r="I962">
        <v>0</v>
      </c>
      <c r="J962" s="5">
        <f>BBDD_fashion_boutique[[#This Row],[markdown_percentage]]/100</f>
        <v>0</v>
      </c>
      <c r="K962" s="2">
        <v>101.04</v>
      </c>
      <c r="L962" s="2">
        <f>BBDD_fashion_boutique[[#This Row],[original_price]]-BBDD_fashion_boutique[[#This Row],[current_price]]</f>
        <v>0</v>
      </c>
      <c r="M962" s="1">
        <v>45875</v>
      </c>
      <c r="N962" s="1" t="str">
        <f>PROPER(TEXT(BBDD_fashion_boutique[[#This Row],[purchase_date]],"dddd"))</f>
        <v>Miércoles</v>
      </c>
      <c r="O962" s="1" t="str">
        <f>PROPER(TEXT(BBDD_fashion_boutique[[#This Row],[purchase_date]],"mmmm"))</f>
        <v>Agosto</v>
      </c>
      <c r="P962" s="4">
        <v>35</v>
      </c>
      <c r="Q962" s="2">
        <v>3.5</v>
      </c>
      <c r="R962" t="str">
        <f>IF(BBDD_fashion_boutique[[#This Row],[stock_quantity]]&gt;9,"Ok",IF(BBDD_fashion_boutique[[#This Row],[stock_quantity]]=0,"Agotado","Pocas Unidades"))</f>
        <v>Ok</v>
      </c>
      <c r="S962" s="3">
        <f>IF(BBDD_fashion_boutique[[#This Row],[customer_rating]]="","No valorado",BBDD_fashion_boutique[[#This Row],[customer_rating]])</f>
        <v>3.5</v>
      </c>
      <c r="T962" t="s">
        <v>24</v>
      </c>
      <c r="V962">
        <f>IF(BBDD_fashion_boutique[[#This Row],[is_returned]]="False",0,1)</f>
        <v>0</v>
      </c>
      <c r="W962">
        <f>IF(BBDD_fashion_boutique[[#This Row],[is_returned]]="True",0,BBDD_fashion_boutique[[#This Row],[current_price]])</f>
        <v>101.04</v>
      </c>
      <c r="X962" t="str">
        <f>IF(BBDD_fashion_boutique[[#This Row],[return_reason]]="","No return",BBDD_fashion_boutique[[#This Row],[return_reason]])</f>
        <v>No return</v>
      </c>
      <c r="Y962">
        <f>IF(IFERROR(VLOOKUP(BBDD_fashion_boutique[[#This Row],[product_id]],A963:A3138,1,FALSE),0),1,0)</f>
        <v>0</v>
      </c>
    </row>
    <row r="963" spans="1:25" x14ac:dyDescent="0.3">
      <c r="A963" t="s">
        <v>1022</v>
      </c>
      <c r="B963" t="s">
        <v>48</v>
      </c>
      <c r="C963" t="s">
        <v>81</v>
      </c>
      <c r="D963" t="s">
        <v>39</v>
      </c>
      <c r="E963" t="s">
        <v>45</v>
      </c>
      <c r="F963" t="str">
        <f>IF(BBDD_fashion_boutique[[#This Row],[category]]="Accessories","Accesorio",IF(BBDD_fashion_boutique[[#This Row],[size]]="","Desconocido",BBDD_fashion_boutique[[#This Row],[size]]))</f>
        <v>S</v>
      </c>
      <c r="G963" t="s">
        <v>40</v>
      </c>
      <c r="H963" s="2">
        <v>54.81</v>
      </c>
      <c r="I963">
        <v>0</v>
      </c>
      <c r="J963" s="5">
        <f>BBDD_fashion_boutique[[#This Row],[markdown_percentage]]/100</f>
        <v>0</v>
      </c>
      <c r="K963" s="2">
        <v>54.81</v>
      </c>
      <c r="L963" s="2">
        <f>BBDD_fashion_boutique[[#This Row],[original_price]]-BBDD_fashion_boutique[[#This Row],[current_price]]</f>
        <v>0</v>
      </c>
      <c r="M963" s="1">
        <v>45875</v>
      </c>
      <c r="N963" s="1" t="str">
        <f>PROPER(TEXT(BBDD_fashion_boutique[[#This Row],[purchase_date]],"dddd"))</f>
        <v>Miércoles</v>
      </c>
      <c r="O963" s="1" t="str">
        <f>PROPER(TEXT(BBDD_fashion_boutique[[#This Row],[purchase_date]],"mmmm"))</f>
        <v>Agosto</v>
      </c>
      <c r="P963" s="4">
        <v>41</v>
      </c>
      <c r="Q963" s="2">
        <v>1.2</v>
      </c>
      <c r="R963" t="str">
        <f>IF(BBDD_fashion_boutique[[#This Row],[stock_quantity]]&gt;9,"Ok",IF(BBDD_fashion_boutique[[#This Row],[stock_quantity]]=0,"Agotado","Pocas Unidades"))</f>
        <v>Ok</v>
      </c>
      <c r="S963" s="3">
        <f>IF(BBDD_fashion_boutique[[#This Row],[customer_rating]]="","No valorado",BBDD_fashion_boutique[[#This Row],[customer_rating]])</f>
        <v>1.2</v>
      </c>
      <c r="T963" t="s">
        <v>41</v>
      </c>
      <c r="U963" t="s">
        <v>131</v>
      </c>
      <c r="V963">
        <f>IF(BBDD_fashion_boutique[[#This Row],[is_returned]]="False",0,1)</f>
        <v>1</v>
      </c>
      <c r="W963">
        <f>IF(BBDD_fashion_boutique[[#This Row],[is_returned]]="True",0,BBDD_fashion_boutique[[#This Row],[current_price]])</f>
        <v>0</v>
      </c>
      <c r="X963" t="str">
        <f>IF(BBDD_fashion_boutique[[#This Row],[return_reason]]="","No return",BBDD_fashion_boutique[[#This Row],[return_reason]])</f>
        <v>Wrong Item</v>
      </c>
      <c r="Y963">
        <f>IF(IFERROR(VLOOKUP(BBDD_fashion_boutique[[#This Row],[product_id]],A964:A3139,1,FALSE),0),1,0)</f>
        <v>0</v>
      </c>
    </row>
    <row r="964" spans="1:25" x14ac:dyDescent="0.3">
      <c r="A964" t="s">
        <v>1023</v>
      </c>
      <c r="B964" t="s">
        <v>35</v>
      </c>
      <c r="C964" t="s">
        <v>54</v>
      </c>
      <c r="D964" t="s">
        <v>68</v>
      </c>
      <c r="E964" t="s">
        <v>64</v>
      </c>
      <c r="F964" t="str">
        <f>IF(BBDD_fashion_boutique[[#This Row],[category]]="Accessories","Accesorio",IF(BBDD_fashion_boutique[[#This Row],[size]]="","Desconocido",BBDD_fashion_boutique[[#This Row],[size]]))</f>
        <v>M</v>
      </c>
      <c r="G964" t="s">
        <v>70</v>
      </c>
      <c r="H964" s="2">
        <v>191.61</v>
      </c>
      <c r="I964">
        <v>42.1</v>
      </c>
      <c r="J964" s="5">
        <f>BBDD_fashion_boutique[[#This Row],[markdown_percentage]]/100</f>
        <v>0.42100000000000004</v>
      </c>
      <c r="K964" s="2">
        <v>110.94</v>
      </c>
      <c r="L964" s="2">
        <f>BBDD_fashion_boutique[[#This Row],[original_price]]-BBDD_fashion_boutique[[#This Row],[current_price]]</f>
        <v>80.670000000000016</v>
      </c>
      <c r="M964" s="1">
        <v>45875</v>
      </c>
      <c r="N964" s="1" t="str">
        <f>PROPER(TEXT(BBDD_fashion_boutique[[#This Row],[purchase_date]],"dddd"))</f>
        <v>Miércoles</v>
      </c>
      <c r="O964" s="1" t="str">
        <f>PROPER(TEXT(BBDD_fashion_boutique[[#This Row],[purchase_date]],"mmmm"))</f>
        <v>Agosto</v>
      </c>
      <c r="P964" s="4">
        <v>28</v>
      </c>
      <c r="Q964" s="2">
        <v>4</v>
      </c>
      <c r="R964" t="str">
        <f>IF(BBDD_fashion_boutique[[#This Row],[stock_quantity]]&gt;9,"Ok",IF(BBDD_fashion_boutique[[#This Row],[stock_quantity]]=0,"Agotado","Pocas Unidades"))</f>
        <v>Ok</v>
      </c>
      <c r="S964" s="3">
        <f>IF(BBDD_fashion_boutique[[#This Row],[customer_rating]]="","No valorado",BBDD_fashion_boutique[[#This Row],[customer_rating]])</f>
        <v>4</v>
      </c>
      <c r="T964" t="s">
        <v>24</v>
      </c>
      <c r="V964">
        <f>IF(BBDD_fashion_boutique[[#This Row],[is_returned]]="False",0,1)</f>
        <v>0</v>
      </c>
      <c r="W964">
        <f>IF(BBDD_fashion_boutique[[#This Row],[is_returned]]="True",0,BBDD_fashion_boutique[[#This Row],[current_price]])</f>
        <v>110.94</v>
      </c>
      <c r="X964" t="str">
        <f>IF(BBDD_fashion_boutique[[#This Row],[return_reason]]="","No return",BBDD_fashion_boutique[[#This Row],[return_reason]])</f>
        <v>No return</v>
      </c>
      <c r="Y964">
        <f>IF(IFERROR(VLOOKUP(BBDD_fashion_boutique[[#This Row],[product_id]],A965:A3140,1,FALSE),0),1,0)</f>
        <v>0</v>
      </c>
    </row>
    <row r="965" spans="1:25" x14ac:dyDescent="0.3">
      <c r="A965" t="s">
        <v>1024</v>
      </c>
      <c r="B965" t="s">
        <v>26</v>
      </c>
      <c r="C965" t="s">
        <v>49</v>
      </c>
      <c r="D965" t="s">
        <v>68</v>
      </c>
      <c r="E965" t="s">
        <v>55</v>
      </c>
      <c r="F965" t="str">
        <f>IF(BBDD_fashion_boutique[[#This Row],[category]]="Accessories","Accesorio",IF(BBDD_fashion_boutique[[#This Row],[size]]="","Desconocido",BBDD_fashion_boutique[[#This Row],[size]]))</f>
        <v>XXL</v>
      </c>
      <c r="G965" t="s">
        <v>30</v>
      </c>
      <c r="H965" s="2">
        <v>100.5</v>
      </c>
      <c r="I965">
        <v>0</v>
      </c>
      <c r="J965" s="5">
        <f>BBDD_fashion_boutique[[#This Row],[markdown_percentage]]/100</f>
        <v>0</v>
      </c>
      <c r="K965" s="2">
        <v>100.5</v>
      </c>
      <c r="L965" s="2">
        <f>BBDD_fashion_boutique[[#This Row],[original_price]]-BBDD_fashion_boutique[[#This Row],[current_price]]</f>
        <v>0</v>
      </c>
      <c r="M965" s="1">
        <v>45875</v>
      </c>
      <c r="N965" s="1" t="str">
        <f>PROPER(TEXT(BBDD_fashion_boutique[[#This Row],[purchase_date]],"dddd"))</f>
        <v>Miércoles</v>
      </c>
      <c r="O965" s="1" t="str">
        <f>PROPER(TEXT(BBDD_fashion_boutique[[#This Row],[purchase_date]],"mmmm"))</f>
        <v>Agosto</v>
      </c>
      <c r="P965" s="4">
        <v>12</v>
      </c>
      <c r="Q965" s="2">
        <v>2.7</v>
      </c>
      <c r="R965" t="str">
        <f>IF(BBDD_fashion_boutique[[#This Row],[stock_quantity]]&gt;9,"Ok",IF(BBDD_fashion_boutique[[#This Row],[stock_quantity]]=0,"Agotado","Pocas Unidades"))</f>
        <v>Ok</v>
      </c>
      <c r="S965" s="3">
        <f>IF(BBDD_fashion_boutique[[#This Row],[customer_rating]]="","No valorado",BBDD_fashion_boutique[[#This Row],[customer_rating]])</f>
        <v>2.7</v>
      </c>
      <c r="T965" t="s">
        <v>41</v>
      </c>
      <c r="U965" t="s">
        <v>84</v>
      </c>
      <c r="V965">
        <f>IF(BBDD_fashion_boutique[[#This Row],[is_returned]]="False",0,1)</f>
        <v>1</v>
      </c>
      <c r="W965">
        <f>IF(BBDD_fashion_boutique[[#This Row],[is_returned]]="True",0,BBDD_fashion_boutique[[#This Row],[current_price]])</f>
        <v>0</v>
      </c>
      <c r="X965" t="str">
        <f>IF(BBDD_fashion_boutique[[#This Row],[return_reason]]="","No return",BBDD_fashion_boutique[[#This Row],[return_reason]])</f>
        <v>Damaged</v>
      </c>
      <c r="Y965">
        <f>IF(IFERROR(VLOOKUP(BBDD_fashion_boutique[[#This Row],[product_id]],A966:A3141,1,FALSE),0),1,0)</f>
        <v>0</v>
      </c>
    </row>
    <row r="966" spans="1:25" x14ac:dyDescent="0.3">
      <c r="A966" t="s">
        <v>1025</v>
      </c>
      <c r="B966" t="s">
        <v>35</v>
      </c>
      <c r="C966" t="s">
        <v>49</v>
      </c>
      <c r="D966" t="s">
        <v>21</v>
      </c>
      <c r="E966" t="s">
        <v>55</v>
      </c>
      <c r="F966" t="str">
        <f>IF(BBDD_fashion_boutique[[#This Row],[category]]="Accessories","Accesorio",IF(BBDD_fashion_boutique[[#This Row],[size]]="","Desconocido",BBDD_fashion_boutique[[#This Row],[size]]))</f>
        <v>XXL</v>
      </c>
      <c r="G966" t="s">
        <v>52</v>
      </c>
      <c r="H966" s="2">
        <v>92.35</v>
      </c>
      <c r="I966">
        <v>23.6</v>
      </c>
      <c r="J966" s="5">
        <f>BBDD_fashion_boutique[[#This Row],[markdown_percentage]]/100</f>
        <v>0.23600000000000002</v>
      </c>
      <c r="K966" s="2">
        <v>70.56</v>
      </c>
      <c r="L966" s="2">
        <f>BBDD_fashion_boutique[[#This Row],[original_price]]-BBDD_fashion_boutique[[#This Row],[current_price]]</f>
        <v>21.789999999999992</v>
      </c>
      <c r="M966" s="1">
        <v>45624</v>
      </c>
      <c r="N966" s="1" t="str">
        <f>PROPER(TEXT(BBDD_fashion_boutique[[#This Row],[purchase_date]],"dddd"))</f>
        <v>Jueves</v>
      </c>
      <c r="O966" s="1" t="str">
        <f>PROPER(TEXT(BBDD_fashion_boutique[[#This Row],[purchase_date]],"mmmm"))</f>
        <v>Noviembre</v>
      </c>
      <c r="P966" s="4">
        <v>32</v>
      </c>
      <c r="Q966" s="2">
        <v>2.2000000000000002</v>
      </c>
      <c r="R966" t="str">
        <f>IF(BBDD_fashion_boutique[[#This Row],[stock_quantity]]&gt;9,"Ok",IF(BBDD_fashion_boutique[[#This Row],[stock_quantity]]=0,"Agotado","Pocas Unidades"))</f>
        <v>Ok</v>
      </c>
      <c r="S966" s="3">
        <f>IF(BBDD_fashion_boutique[[#This Row],[customer_rating]]="","No valorado",BBDD_fashion_boutique[[#This Row],[customer_rating]])</f>
        <v>2.2000000000000002</v>
      </c>
      <c r="T966" t="s">
        <v>24</v>
      </c>
      <c r="V966">
        <f>IF(BBDD_fashion_boutique[[#This Row],[is_returned]]="False",0,1)</f>
        <v>0</v>
      </c>
      <c r="W966">
        <f>IF(BBDD_fashion_boutique[[#This Row],[is_returned]]="True",0,BBDD_fashion_boutique[[#This Row],[current_price]])</f>
        <v>70.56</v>
      </c>
      <c r="X966" t="str">
        <f>IF(BBDD_fashion_boutique[[#This Row],[return_reason]]="","No return",BBDD_fashion_boutique[[#This Row],[return_reason]])</f>
        <v>No return</v>
      </c>
      <c r="Y966">
        <f>IF(IFERROR(VLOOKUP(BBDD_fashion_boutique[[#This Row],[product_id]],A967:A3142,1,FALSE),0),1,0)</f>
        <v>0</v>
      </c>
    </row>
    <row r="967" spans="1:25" x14ac:dyDescent="0.3">
      <c r="A967" t="s">
        <v>1026</v>
      </c>
      <c r="B967" t="s">
        <v>35</v>
      </c>
      <c r="C967" t="s">
        <v>59</v>
      </c>
      <c r="D967" t="s">
        <v>68</v>
      </c>
      <c r="E967" t="s">
        <v>64</v>
      </c>
      <c r="F967" t="str">
        <f>IF(BBDD_fashion_boutique[[#This Row],[category]]="Accessories","Accesorio",IF(BBDD_fashion_boutique[[#This Row],[size]]="","Desconocido",BBDD_fashion_boutique[[#This Row],[size]]))</f>
        <v>M</v>
      </c>
      <c r="G967" t="s">
        <v>46</v>
      </c>
      <c r="H967" s="2">
        <v>161.24</v>
      </c>
      <c r="I967">
        <v>56.6</v>
      </c>
      <c r="J967" s="5">
        <f>BBDD_fashion_boutique[[#This Row],[markdown_percentage]]/100</f>
        <v>0.56600000000000006</v>
      </c>
      <c r="K967" s="2">
        <v>69.98</v>
      </c>
      <c r="L967" s="2">
        <f>BBDD_fashion_boutique[[#This Row],[original_price]]-BBDD_fashion_boutique[[#This Row],[current_price]]</f>
        <v>91.26</v>
      </c>
      <c r="M967" s="1">
        <v>45875</v>
      </c>
      <c r="N967" s="1" t="str">
        <f>PROPER(TEXT(BBDD_fashion_boutique[[#This Row],[purchase_date]],"dddd"))</f>
        <v>Miércoles</v>
      </c>
      <c r="O967" s="1" t="str">
        <f>PROPER(TEXT(BBDD_fashion_boutique[[#This Row],[purchase_date]],"mmmm"))</f>
        <v>Agosto</v>
      </c>
      <c r="P967" s="4">
        <v>8</v>
      </c>
      <c r="Q967" s="2">
        <v>2.1</v>
      </c>
      <c r="R967" t="str">
        <f>IF(BBDD_fashion_boutique[[#This Row],[stock_quantity]]&gt;9,"Ok",IF(BBDD_fashion_boutique[[#This Row],[stock_quantity]]=0,"Agotado","Pocas Unidades"))</f>
        <v>Pocas Unidades</v>
      </c>
      <c r="S967" s="3">
        <f>IF(BBDD_fashion_boutique[[#This Row],[customer_rating]]="","No valorado",BBDD_fashion_boutique[[#This Row],[customer_rating]])</f>
        <v>2.1</v>
      </c>
      <c r="T967" t="s">
        <v>24</v>
      </c>
      <c r="V967">
        <f>IF(BBDD_fashion_boutique[[#This Row],[is_returned]]="False",0,1)</f>
        <v>0</v>
      </c>
      <c r="W967">
        <f>IF(BBDD_fashion_boutique[[#This Row],[is_returned]]="True",0,BBDD_fashion_boutique[[#This Row],[current_price]])</f>
        <v>69.98</v>
      </c>
      <c r="X967" t="str">
        <f>IF(BBDD_fashion_boutique[[#This Row],[return_reason]]="","No return",BBDD_fashion_boutique[[#This Row],[return_reason]])</f>
        <v>No return</v>
      </c>
      <c r="Y967">
        <f>IF(IFERROR(VLOOKUP(BBDD_fashion_boutique[[#This Row],[product_id]],A968:A3143,1,FALSE),0),1,0)</f>
        <v>0</v>
      </c>
    </row>
    <row r="968" spans="1:25" x14ac:dyDescent="0.3">
      <c r="A968" t="s">
        <v>1027</v>
      </c>
      <c r="B968" t="s">
        <v>48</v>
      </c>
      <c r="C968" t="s">
        <v>49</v>
      </c>
      <c r="D968" t="s">
        <v>28</v>
      </c>
      <c r="E968" t="s">
        <v>61</v>
      </c>
      <c r="F968" t="str">
        <f>IF(BBDD_fashion_boutique[[#This Row],[category]]="Accessories","Accesorio",IF(BBDD_fashion_boutique[[#This Row],[size]]="","Desconocido",BBDD_fashion_boutique[[#This Row],[size]]))</f>
        <v>XS</v>
      </c>
      <c r="G968" t="s">
        <v>46</v>
      </c>
      <c r="H968" s="2">
        <v>68.03</v>
      </c>
      <c r="I968">
        <v>6.3</v>
      </c>
      <c r="J968" s="5">
        <f>BBDD_fashion_boutique[[#This Row],[markdown_percentage]]/100</f>
        <v>6.3E-2</v>
      </c>
      <c r="K968" s="2">
        <v>63.74</v>
      </c>
      <c r="L968" s="2">
        <f>BBDD_fashion_boutique[[#This Row],[original_price]]-BBDD_fashion_boutique[[#This Row],[current_price]]</f>
        <v>4.2899999999999991</v>
      </c>
      <c r="M968" s="1">
        <v>45875</v>
      </c>
      <c r="N968" s="1" t="str">
        <f>PROPER(TEXT(BBDD_fashion_boutique[[#This Row],[purchase_date]],"dddd"))</f>
        <v>Miércoles</v>
      </c>
      <c r="O968" s="1" t="str">
        <f>PROPER(TEXT(BBDD_fashion_boutique[[#This Row],[purchase_date]],"mmmm"))</f>
        <v>Agosto</v>
      </c>
      <c r="P968" s="4">
        <v>43</v>
      </c>
      <c r="Q968" s="2">
        <v>3.4</v>
      </c>
      <c r="R968" t="str">
        <f>IF(BBDD_fashion_boutique[[#This Row],[stock_quantity]]&gt;9,"Ok",IF(BBDD_fashion_boutique[[#This Row],[stock_quantity]]=0,"Agotado","Pocas Unidades"))</f>
        <v>Ok</v>
      </c>
      <c r="S968" s="3">
        <f>IF(BBDD_fashion_boutique[[#This Row],[customer_rating]]="","No valorado",BBDD_fashion_boutique[[#This Row],[customer_rating]])</f>
        <v>3.4</v>
      </c>
      <c r="T968" t="s">
        <v>24</v>
      </c>
      <c r="V968">
        <f>IF(BBDD_fashion_boutique[[#This Row],[is_returned]]="False",0,1)</f>
        <v>0</v>
      </c>
      <c r="W968">
        <f>IF(BBDD_fashion_boutique[[#This Row],[is_returned]]="True",0,BBDD_fashion_boutique[[#This Row],[current_price]])</f>
        <v>63.74</v>
      </c>
      <c r="X968" t="str">
        <f>IF(BBDD_fashion_boutique[[#This Row],[return_reason]]="","No return",BBDD_fashion_boutique[[#This Row],[return_reason]])</f>
        <v>No return</v>
      </c>
      <c r="Y968">
        <f>IF(IFERROR(VLOOKUP(BBDD_fashion_boutique[[#This Row],[product_id]],A969:A3144,1,FALSE),0),1,0)</f>
        <v>0</v>
      </c>
    </row>
    <row r="969" spans="1:25" x14ac:dyDescent="0.3">
      <c r="A969" t="s">
        <v>1028</v>
      </c>
      <c r="B969" t="s">
        <v>35</v>
      </c>
      <c r="C969" t="s">
        <v>59</v>
      </c>
      <c r="D969" t="s">
        <v>39</v>
      </c>
      <c r="E969" t="s">
        <v>61</v>
      </c>
      <c r="F969" t="str">
        <f>IF(BBDD_fashion_boutique[[#This Row],[category]]="Accessories","Accesorio",IF(BBDD_fashion_boutique[[#This Row],[size]]="","Desconocido",BBDD_fashion_boutique[[#This Row],[size]]))</f>
        <v>XS</v>
      </c>
      <c r="G969" t="s">
        <v>72</v>
      </c>
      <c r="H969" s="2">
        <v>121.21</v>
      </c>
      <c r="I969">
        <v>47.4</v>
      </c>
      <c r="J969" s="5">
        <f>BBDD_fashion_boutique[[#This Row],[markdown_percentage]]/100</f>
        <v>0.47399999999999998</v>
      </c>
      <c r="K969" s="2">
        <v>63.76</v>
      </c>
      <c r="L969" s="2">
        <f>BBDD_fashion_boutique[[#This Row],[original_price]]-BBDD_fashion_boutique[[#This Row],[current_price]]</f>
        <v>57.449999999999996</v>
      </c>
      <c r="M969" s="1">
        <v>45875</v>
      </c>
      <c r="N969" s="1" t="str">
        <f>PROPER(TEXT(BBDD_fashion_boutique[[#This Row],[purchase_date]],"dddd"))</f>
        <v>Miércoles</v>
      </c>
      <c r="O969" s="1" t="str">
        <f>PROPER(TEXT(BBDD_fashion_boutique[[#This Row],[purchase_date]],"mmmm"))</f>
        <v>Agosto</v>
      </c>
      <c r="P969" s="4">
        <v>45</v>
      </c>
      <c r="Q969" s="2">
        <v>3</v>
      </c>
      <c r="R969" t="str">
        <f>IF(BBDD_fashion_boutique[[#This Row],[stock_quantity]]&gt;9,"Ok",IF(BBDD_fashion_boutique[[#This Row],[stock_quantity]]=0,"Agotado","Pocas Unidades"))</f>
        <v>Ok</v>
      </c>
      <c r="S969" s="3">
        <f>IF(BBDD_fashion_boutique[[#This Row],[customer_rating]]="","No valorado",BBDD_fashion_boutique[[#This Row],[customer_rating]])</f>
        <v>3</v>
      </c>
      <c r="T969" t="s">
        <v>41</v>
      </c>
      <c r="U969" t="s">
        <v>121</v>
      </c>
      <c r="V969">
        <f>IF(BBDD_fashion_boutique[[#This Row],[is_returned]]="False",0,1)</f>
        <v>1</v>
      </c>
      <c r="W969">
        <f>IF(BBDD_fashion_boutique[[#This Row],[is_returned]]="True",0,BBDD_fashion_boutique[[#This Row],[current_price]])</f>
        <v>0</v>
      </c>
      <c r="X969" t="str">
        <f>IF(BBDD_fashion_boutique[[#This Row],[return_reason]]="","No return",BBDD_fashion_boutique[[#This Row],[return_reason]])</f>
        <v>Changed Mind</v>
      </c>
      <c r="Y969">
        <f>IF(IFERROR(VLOOKUP(BBDD_fashion_boutique[[#This Row],[product_id]],A970:A3145,1,FALSE),0),1,0)</f>
        <v>0</v>
      </c>
    </row>
    <row r="970" spans="1:25" x14ac:dyDescent="0.3">
      <c r="A970" t="s">
        <v>1029</v>
      </c>
      <c r="B970" t="s">
        <v>26</v>
      </c>
      <c r="C970" t="s">
        <v>20</v>
      </c>
      <c r="D970" t="s">
        <v>28</v>
      </c>
      <c r="E970" t="s">
        <v>29</v>
      </c>
      <c r="F970" t="str">
        <f>IF(BBDD_fashion_boutique[[#This Row],[category]]="Accessories","Accesorio",IF(BBDD_fashion_boutique[[#This Row],[size]]="","Desconocido",BBDD_fashion_boutique[[#This Row],[size]]))</f>
        <v>L</v>
      </c>
      <c r="G970" t="s">
        <v>50</v>
      </c>
      <c r="H970" s="2">
        <v>69.599999999999994</v>
      </c>
      <c r="I970">
        <v>28.8</v>
      </c>
      <c r="J970" s="5">
        <f>BBDD_fashion_boutique[[#This Row],[markdown_percentage]]/100</f>
        <v>0.28800000000000003</v>
      </c>
      <c r="K970" s="2">
        <v>49.56</v>
      </c>
      <c r="L970" s="2">
        <f>BBDD_fashion_boutique[[#This Row],[original_price]]-BBDD_fashion_boutique[[#This Row],[current_price]]</f>
        <v>20.039999999999992</v>
      </c>
      <c r="M970" s="1">
        <v>45875</v>
      </c>
      <c r="N970" s="1" t="str">
        <f>PROPER(TEXT(BBDD_fashion_boutique[[#This Row],[purchase_date]],"dddd"))</f>
        <v>Miércoles</v>
      </c>
      <c r="O970" s="1" t="str">
        <f>PROPER(TEXT(BBDD_fashion_boutique[[#This Row],[purchase_date]],"mmmm"))</f>
        <v>Agosto</v>
      </c>
      <c r="P970" s="4">
        <v>42</v>
      </c>
      <c r="Q970" s="2">
        <v>3.7</v>
      </c>
      <c r="R970" t="str">
        <f>IF(BBDD_fashion_boutique[[#This Row],[stock_quantity]]&gt;9,"Ok",IF(BBDD_fashion_boutique[[#This Row],[stock_quantity]]=0,"Agotado","Pocas Unidades"))</f>
        <v>Ok</v>
      </c>
      <c r="S970" s="3">
        <f>IF(BBDD_fashion_boutique[[#This Row],[customer_rating]]="","No valorado",BBDD_fashion_boutique[[#This Row],[customer_rating]])</f>
        <v>3.7</v>
      </c>
      <c r="T970" t="s">
        <v>24</v>
      </c>
      <c r="V970">
        <f>IF(BBDD_fashion_boutique[[#This Row],[is_returned]]="False",0,1)</f>
        <v>0</v>
      </c>
      <c r="W970">
        <f>IF(BBDD_fashion_boutique[[#This Row],[is_returned]]="True",0,BBDD_fashion_boutique[[#This Row],[current_price]])</f>
        <v>49.56</v>
      </c>
      <c r="X970" t="str">
        <f>IF(BBDD_fashion_boutique[[#This Row],[return_reason]]="","No return",BBDD_fashion_boutique[[#This Row],[return_reason]])</f>
        <v>No return</v>
      </c>
      <c r="Y970">
        <f>IF(IFERROR(VLOOKUP(BBDD_fashion_boutique[[#This Row],[product_id]],A971:A3146,1,FALSE),0),1,0)</f>
        <v>0</v>
      </c>
    </row>
    <row r="971" spans="1:25" x14ac:dyDescent="0.3">
      <c r="A971" t="s">
        <v>1030</v>
      </c>
      <c r="B971" t="s">
        <v>19</v>
      </c>
      <c r="C971" t="s">
        <v>37</v>
      </c>
      <c r="D971" t="s">
        <v>28</v>
      </c>
      <c r="E971" t="s">
        <v>61</v>
      </c>
      <c r="F971" t="str">
        <f>IF(BBDD_fashion_boutique[[#This Row],[category]]="Accessories","Accesorio",IF(BBDD_fashion_boutique[[#This Row],[size]]="","Desconocido",BBDD_fashion_boutique[[#This Row],[size]]))</f>
        <v>XS</v>
      </c>
      <c r="G971" t="s">
        <v>40</v>
      </c>
      <c r="H971" s="2">
        <v>222.5</v>
      </c>
      <c r="I971">
        <v>18.7</v>
      </c>
      <c r="J971" s="5">
        <f>BBDD_fashion_boutique[[#This Row],[markdown_percentage]]/100</f>
        <v>0.187</v>
      </c>
      <c r="K971" s="2">
        <v>180.89</v>
      </c>
      <c r="L971" s="2">
        <f>BBDD_fashion_boutique[[#This Row],[original_price]]-BBDD_fashion_boutique[[#This Row],[current_price]]</f>
        <v>41.610000000000014</v>
      </c>
      <c r="M971" s="1">
        <v>45875</v>
      </c>
      <c r="N971" s="1" t="str">
        <f>PROPER(TEXT(BBDD_fashion_boutique[[#This Row],[purchase_date]],"dddd"))</f>
        <v>Miércoles</v>
      </c>
      <c r="O971" s="1" t="str">
        <f>PROPER(TEXT(BBDD_fashion_boutique[[#This Row],[purchase_date]],"mmmm"))</f>
        <v>Agosto</v>
      </c>
      <c r="P971" s="4">
        <v>47</v>
      </c>
      <c r="R971" t="str">
        <f>IF(BBDD_fashion_boutique[[#This Row],[stock_quantity]]&gt;9,"Ok",IF(BBDD_fashion_boutique[[#This Row],[stock_quantity]]=0,"Agotado","Pocas Unidades"))</f>
        <v>Ok</v>
      </c>
      <c r="S971" s="3" t="str">
        <f>IF(BBDD_fashion_boutique[[#This Row],[customer_rating]]="","No valorado",BBDD_fashion_boutique[[#This Row],[customer_rating]])</f>
        <v>No valorado</v>
      </c>
      <c r="T971" t="s">
        <v>24</v>
      </c>
      <c r="V971">
        <f>IF(BBDD_fashion_boutique[[#This Row],[is_returned]]="False",0,1)</f>
        <v>0</v>
      </c>
      <c r="W971">
        <f>IF(BBDD_fashion_boutique[[#This Row],[is_returned]]="True",0,BBDD_fashion_boutique[[#This Row],[current_price]])</f>
        <v>180.89</v>
      </c>
      <c r="X971" t="str">
        <f>IF(BBDD_fashion_boutique[[#This Row],[return_reason]]="","No return",BBDD_fashion_boutique[[#This Row],[return_reason]])</f>
        <v>No return</v>
      </c>
      <c r="Y971">
        <f>IF(IFERROR(VLOOKUP(BBDD_fashion_boutique[[#This Row],[product_id]],A972:A3147,1,FALSE),0),1,0)</f>
        <v>0</v>
      </c>
    </row>
    <row r="972" spans="1:25" x14ac:dyDescent="0.3">
      <c r="A972" t="s">
        <v>1031</v>
      </c>
      <c r="B972" t="s">
        <v>44</v>
      </c>
      <c r="C972" t="s">
        <v>81</v>
      </c>
      <c r="D972" t="s">
        <v>39</v>
      </c>
      <c r="E972" t="s">
        <v>55</v>
      </c>
      <c r="F972" t="str">
        <f>IF(BBDD_fashion_boutique[[#This Row],[category]]="Accessories","Accesorio",IF(BBDD_fashion_boutique[[#This Row],[size]]="","Desconocido",BBDD_fashion_boutique[[#This Row],[size]]))</f>
        <v>XXL</v>
      </c>
      <c r="G972" t="s">
        <v>30</v>
      </c>
      <c r="H972" s="2">
        <v>25.58</v>
      </c>
      <c r="I972">
        <v>54.5</v>
      </c>
      <c r="J972" s="5">
        <f>BBDD_fashion_boutique[[#This Row],[markdown_percentage]]/100</f>
        <v>0.54500000000000004</v>
      </c>
      <c r="K972" s="2">
        <v>11.64</v>
      </c>
      <c r="L972" s="2">
        <f>BBDD_fashion_boutique[[#This Row],[original_price]]-BBDD_fashion_boutique[[#This Row],[current_price]]</f>
        <v>13.939999999999998</v>
      </c>
      <c r="M972" s="1">
        <v>45875</v>
      </c>
      <c r="N972" s="1" t="str">
        <f>PROPER(TEXT(BBDD_fashion_boutique[[#This Row],[purchase_date]],"dddd"))</f>
        <v>Miércoles</v>
      </c>
      <c r="O972" s="1" t="str">
        <f>PROPER(TEXT(BBDD_fashion_boutique[[#This Row],[purchase_date]],"mmmm"))</f>
        <v>Agosto</v>
      </c>
      <c r="P972" s="4">
        <v>34</v>
      </c>
      <c r="Q972" s="2">
        <v>2.4</v>
      </c>
      <c r="R972" t="str">
        <f>IF(BBDD_fashion_boutique[[#This Row],[stock_quantity]]&gt;9,"Ok",IF(BBDD_fashion_boutique[[#This Row],[stock_quantity]]=0,"Agotado","Pocas Unidades"))</f>
        <v>Ok</v>
      </c>
      <c r="S972" s="3">
        <f>IF(BBDD_fashion_boutique[[#This Row],[customer_rating]]="","No valorado",BBDD_fashion_boutique[[#This Row],[customer_rating]])</f>
        <v>2.4</v>
      </c>
      <c r="T972" t="s">
        <v>24</v>
      </c>
      <c r="V972">
        <f>IF(BBDD_fashion_boutique[[#This Row],[is_returned]]="False",0,1)</f>
        <v>0</v>
      </c>
      <c r="W972">
        <f>IF(BBDD_fashion_boutique[[#This Row],[is_returned]]="True",0,BBDD_fashion_boutique[[#This Row],[current_price]])</f>
        <v>11.64</v>
      </c>
      <c r="X972" t="str">
        <f>IF(BBDD_fashion_boutique[[#This Row],[return_reason]]="","No return",BBDD_fashion_boutique[[#This Row],[return_reason]])</f>
        <v>No return</v>
      </c>
      <c r="Y972">
        <f>IF(IFERROR(VLOOKUP(BBDD_fashion_boutique[[#This Row],[product_id]],A973:A3148,1,FALSE),0),1,0)</f>
        <v>0</v>
      </c>
    </row>
    <row r="973" spans="1:25" x14ac:dyDescent="0.3">
      <c r="A973" t="s">
        <v>1032</v>
      </c>
      <c r="B973" t="s">
        <v>48</v>
      </c>
      <c r="C973" t="s">
        <v>49</v>
      </c>
      <c r="D973" t="s">
        <v>68</v>
      </c>
      <c r="E973" t="s">
        <v>22</v>
      </c>
      <c r="F973" t="str">
        <f>IF(BBDD_fashion_boutique[[#This Row],[category]]="Accessories","Accesorio",IF(BBDD_fashion_boutique[[#This Row],[size]]="","Desconocido",BBDD_fashion_boutique[[#This Row],[size]]))</f>
        <v>XL</v>
      </c>
      <c r="G973" t="s">
        <v>50</v>
      </c>
      <c r="H973" s="2">
        <v>54.46</v>
      </c>
      <c r="I973">
        <v>6.6</v>
      </c>
      <c r="J973" s="5">
        <f>BBDD_fashion_boutique[[#This Row],[markdown_percentage]]/100</f>
        <v>6.6000000000000003E-2</v>
      </c>
      <c r="K973" s="2">
        <v>50.87</v>
      </c>
      <c r="L973" s="2">
        <f>BBDD_fashion_boutique[[#This Row],[original_price]]-BBDD_fashion_boutique[[#This Row],[current_price]]</f>
        <v>3.5900000000000034</v>
      </c>
      <c r="M973" s="1">
        <v>45875</v>
      </c>
      <c r="N973" s="1" t="str">
        <f>PROPER(TEXT(BBDD_fashion_boutique[[#This Row],[purchase_date]],"dddd"))</f>
        <v>Miércoles</v>
      </c>
      <c r="O973" s="1" t="str">
        <f>PROPER(TEXT(BBDD_fashion_boutique[[#This Row],[purchase_date]],"mmmm"))</f>
        <v>Agosto</v>
      </c>
      <c r="P973" s="4">
        <v>17</v>
      </c>
      <c r="Q973" s="2">
        <v>1.7</v>
      </c>
      <c r="R973" t="str">
        <f>IF(BBDD_fashion_boutique[[#This Row],[stock_quantity]]&gt;9,"Ok",IF(BBDD_fashion_boutique[[#This Row],[stock_quantity]]=0,"Agotado","Pocas Unidades"))</f>
        <v>Ok</v>
      </c>
      <c r="S973" s="3">
        <f>IF(BBDD_fashion_boutique[[#This Row],[customer_rating]]="","No valorado",BBDD_fashion_boutique[[#This Row],[customer_rating]])</f>
        <v>1.7</v>
      </c>
      <c r="T973" t="s">
        <v>24</v>
      </c>
      <c r="V973">
        <f>IF(BBDD_fashion_boutique[[#This Row],[is_returned]]="False",0,1)</f>
        <v>0</v>
      </c>
      <c r="W973">
        <f>IF(BBDD_fashion_boutique[[#This Row],[is_returned]]="True",0,BBDD_fashion_boutique[[#This Row],[current_price]])</f>
        <v>50.87</v>
      </c>
      <c r="X973" t="str">
        <f>IF(BBDD_fashion_boutique[[#This Row],[return_reason]]="","No return",BBDD_fashion_boutique[[#This Row],[return_reason]])</f>
        <v>No return</v>
      </c>
      <c r="Y973">
        <f>IF(IFERROR(VLOOKUP(BBDD_fashion_boutique[[#This Row],[product_id]],A974:A3149,1,FALSE),0),1,0)</f>
        <v>0</v>
      </c>
    </row>
    <row r="974" spans="1:25" x14ac:dyDescent="0.3">
      <c r="A974" t="s">
        <v>1033</v>
      </c>
      <c r="B974" t="s">
        <v>44</v>
      </c>
      <c r="C974" t="s">
        <v>81</v>
      </c>
      <c r="D974" t="s">
        <v>28</v>
      </c>
      <c r="E974" t="s">
        <v>45</v>
      </c>
      <c r="F974" t="str">
        <f>IF(BBDD_fashion_boutique[[#This Row],[category]]="Accessories","Accesorio",IF(BBDD_fashion_boutique[[#This Row],[size]]="","Desconocido",BBDD_fashion_boutique[[#This Row],[size]]))</f>
        <v>S</v>
      </c>
      <c r="G974" t="s">
        <v>30</v>
      </c>
      <c r="H974" s="2">
        <v>43.32</v>
      </c>
      <c r="I974">
        <v>0</v>
      </c>
      <c r="J974" s="5">
        <f>BBDD_fashion_boutique[[#This Row],[markdown_percentage]]/100</f>
        <v>0</v>
      </c>
      <c r="K974" s="2">
        <v>43.32</v>
      </c>
      <c r="L974" s="2">
        <f>BBDD_fashion_boutique[[#This Row],[original_price]]-BBDD_fashion_boutique[[#This Row],[current_price]]</f>
        <v>0</v>
      </c>
      <c r="M974" s="1">
        <v>45875</v>
      </c>
      <c r="N974" s="1" t="str">
        <f>PROPER(TEXT(BBDD_fashion_boutique[[#This Row],[purchase_date]],"dddd"))</f>
        <v>Miércoles</v>
      </c>
      <c r="O974" s="1" t="str">
        <f>PROPER(TEXT(BBDD_fashion_boutique[[#This Row],[purchase_date]],"mmmm"))</f>
        <v>Agosto</v>
      </c>
      <c r="P974" s="4">
        <v>0</v>
      </c>
      <c r="Q974" s="2">
        <v>2.6</v>
      </c>
      <c r="R974" t="str">
        <f>IF(BBDD_fashion_boutique[[#This Row],[stock_quantity]]&gt;9,"Ok",IF(BBDD_fashion_boutique[[#This Row],[stock_quantity]]=0,"Agotado","Pocas Unidades"))</f>
        <v>Agotado</v>
      </c>
      <c r="S974" s="3">
        <f>IF(BBDD_fashion_boutique[[#This Row],[customer_rating]]="","No valorado",BBDD_fashion_boutique[[#This Row],[customer_rating]])</f>
        <v>2.6</v>
      </c>
      <c r="T974" t="s">
        <v>24</v>
      </c>
      <c r="V974">
        <f>IF(BBDD_fashion_boutique[[#This Row],[is_returned]]="False",0,1)</f>
        <v>0</v>
      </c>
      <c r="W974">
        <f>IF(BBDD_fashion_boutique[[#This Row],[is_returned]]="True",0,BBDD_fashion_boutique[[#This Row],[current_price]])</f>
        <v>43.32</v>
      </c>
      <c r="X974" t="str">
        <f>IF(BBDD_fashion_boutique[[#This Row],[return_reason]]="","No return",BBDD_fashion_boutique[[#This Row],[return_reason]])</f>
        <v>No return</v>
      </c>
      <c r="Y974">
        <f>IF(IFERROR(VLOOKUP(BBDD_fashion_boutique[[#This Row],[product_id]],A975:A3150,1,FALSE),0),1,0)</f>
        <v>0</v>
      </c>
    </row>
    <row r="975" spans="1:25" x14ac:dyDescent="0.3">
      <c r="A975" t="s">
        <v>1034</v>
      </c>
      <c r="B975" t="s">
        <v>32</v>
      </c>
      <c r="C975" t="s">
        <v>81</v>
      </c>
      <c r="D975" t="s">
        <v>28</v>
      </c>
      <c r="F975" t="str">
        <f>IF(BBDD_fashion_boutique[[#This Row],[category]]="Accessories","Accesorio",IF(BBDD_fashion_boutique[[#This Row],[size]]="","Desconocido",BBDD_fashion_boutique[[#This Row],[size]]))</f>
        <v>Accesorio</v>
      </c>
      <c r="G975" t="s">
        <v>23</v>
      </c>
      <c r="H975" s="2">
        <v>75.09</v>
      </c>
      <c r="I975">
        <v>0</v>
      </c>
      <c r="J975" s="5">
        <f>BBDD_fashion_boutique[[#This Row],[markdown_percentage]]/100</f>
        <v>0</v>
      </c>
      <c r="K975" s="2">
        <v>75.09</v>
      </c>
      <c r="L975" s="2">
        <f>BBDD_fashion_boutique[[#This Row],[original_price]]-BBDD_fashion_boutique[[#This Row],[current_price]]</f>
        <v>0</v>
      </c>
      <c r="M975" s="1">
        <v>45875</v>
      </c>
      <c r="N975" s="1" t="str">
        <f>PROPER(TEXT(BBDD_fashion_boutique[[#This Row],[purchase_date]],"dddd"))</f>
        <v>Miércoles</v>
      </c>
      <c r="O975" s="1" t="str">
        <f>PROPER(TEXT(BBDD_fashion_boutique[[#This Row],[purchase_date]],"mmmm"))</f>
        <v>Agosto</v>
      </c>
      <c r="P975" s="4">
        <v>41</v>
      </c>
      <c r="Q975" s="2">
        <v>3.5</v>
      </c>
      <c r="R975" t="str">
        <f>IF(BBDD_fashion_boutique[[#This Row],[stock_quantity]]&gt;9,"Ok",IF(BBDD_fashion_boutique[[#This Row],[stock_quantity]]=0,"Agotado","Pocas Unidades"))</f>
        <v>Ok</v>
      </c>
      <c r="S975" s="3">
        <f>IF(BBDD_fashion_boutique[[#This Row],[customer_rating]]="","No valorado",BBDD_fashion_boutique[[#This Row],[customer_rating]])</f>
        <v>3.5</v>
      </c>
      <c r="T975" t="s">
        <v>24</v>
      </c>
      <c r="V975">
        <f>IF(BBDD_fashion_boutique[[#This Row],[is_returned]]="False",0,1)</f>
        <v>0</v>
      </c>
      <c r="W975">
        <f>IF(BBDD_fashion_boutique[[#This Row],[is_returned]]="True",0,BBDD_fashion_boutique[[#This Row],[current_price]])</f>
        <v>75.09</v>
      </c>
      <c r="X975" t="str">
        <f>IF(BBDD_fashion_boutique[[#This Row],[return_reason]]="","No return",BBDD_fashion_boutique[[#This Row],[return_reason]])</f>
        <v>No return</v>
      </c>
      <c r="Y975">
        <f>IF(IFERROR(VLOOKUP(BBDD_fashion_boutique[[#This Row],[product_id]],A976:A3151,1,FALSE),0),1,0)</f>
        <v>0</v>
      </c>
    </row>
    <row r="976" spans="1:25" x14ac:dyDescent="0.3">
      <c r="A976" t="s">
        <v>1035</v>
      </c>
      <c r="B976" t="s">
        <v>48</v>
      </c>
      <c r="C976" t="s">
        <v>27</v>
      </c>
      <c r="D976" t="s">
        <v>21</v>
      </c>
      <c r="E976" t="s">
        <v>61</v>
      </c>
      <c r="F976" t="str">
        <f>IF(BBDD_fashion_boutique[[#This Row],[category]]="Accessories","Accesorio",IF(BBDD_fashion_boutique[[#This Row],[size]]="","Desconocido",BBDD_fashion_boutique[[#This Row],[size]]))</f>
        <v>XS</v>
      </c>
      <c r="G976" t="s">
        <v>23</v>
      </c>
      <c r="H976" s="2">
        <v>167.46</v>
      </c>
      <c r="I976">
        <v>0</v>
      </c>
      <c r="J976" s="5">
        <f>BBDD_fashion_boutique[[#This Row],[markdown_percentage]]/100</f>
        <v>0</v>
      </c>
      <c r="K976" s="2">
        <v>167.46</v>
      </c>
      <c r="L976" s="2">
        <f>BBDD_fashion_boutique[[#This Row],[original_price]]-BBDD_fashion_boutique[[#This Row],[current_price]]</f>
        <v>0</v>
      </c>
      <c r="M976" s="1">
        <v>45522</v>
      </c>
      <c r="N976" s="1" t="str">
        <f>PROPER(TEXT(BBDD_fashion_boutique[[#This Row],[purchase_date]],"dddd"))</f>
        <v>Domingo</v>
      </c>
      <c r="O976" s="1" t="str">
        <f>PROPER(TEXT(BBDD_fashion_boutique[[#This Row],[purchase_date]],"mmmm"))</f>
        <v>Agosto</v>
      </c>
      <c r="P976" s="4">
        <v>4</v>
      </c>
      <c r="Q976" s="2">
        <v>1.3</v>
      </c>
      <c r="R976" t="str">
        <f>IF(BBDD_fashion_boutique[[#This Row],[stock_quantity]]&gt;9,"Ok",IF(BBDD_fashion_boutique[[#This Row],[stock_quantity]]=0,"Agotado","Pocas Unidades"))</f>
        <v>Pocas Unidades</v>
      </c>
      <c r="S976" s="3">
        <f>IF(BBDD_fashion_boutique[[#This Row],[customer_rating]]="","No valorado",BBDD_fashion_boutique[[#This Row],[customer_rating]])</f>
        <v>1.3</v>
      </c>
      <c r="T976" t="s">
        <v>24</v>
      </c>
      <c r="V976">
        <f>IF(BBDD_fashion_boutique[[#This Row],[is_returned]]="False",0,1)</f>
        <v>0</v>
      </c>
      <c r="W976">
        <f>IF(BBDD_fashion_boutique[[#This Row],[is_returned]]="True",0,BBDD_fashion_boutique[[#This Row],[current_price]])</f>
        <v>167.46</v>
      </c>
      <c r="X976" t="str">
        <f>IF(BBDD_fashion_boutique[[#This Row],[return_reason]]="","No return",BBDD_fashion_boutique[[#This Row],[return_reason]])</f>
        <v>No return</v>
      </c>
      <c r="Y976">
        <f>IF(IFERROR(VLOOKUP(BBDD_fashion_boutique[[#This Row],[product_id]],A977:A3152,1,FALSE),0),1,0)</f>
        <v>0</v>
      </c>
    </row>
    <row r="977" spans="1:25" x14ac:dyDescent="0.3">
      <c r="A977" t="s">
        <v>1036</v>
      </c>
      <c r="B977" t="s">
        <v>35</v>
      </c>
      <c r="C977" t="s">
        <v>37</v>
      </c>
      <c r="D977" t="s">
        <v>39</v>
      </c>
      <c r="E977" t="s">
        <v>29</v>
      </c>
      <c r="F977" t="str">
        <f>IF(BBDD_fashion_boutique[[#This Row],[category]]="Accessories","Accesorio",IF(BBDD_fashion_boutique[[#This Row],[size]]="","Desconocido",BBDD_fashion_boutique[[#This Row],[size]]))</f>
        <v>L</v>
      </c>
      <c r="G977" t="s">
        <v>50</v>
      </c>
      <c r="H977" s="2">
        <v>111.24</v>
      </c>
      <c r="I977">
        <v>34.299999999999997</v>
      </c>
      <c r="J977" s="5">
        <f>BBDD_fashion_boutique[[#This Row],[markdown_percentage]]/100</f>
        <v>0.34299999999999997</v>
      </c>
      <c r="K977" s="2">
        <v>73.08</v>
      </c>
      <c r="L977" s="2">
        <f>BBDD_fashion_boutique[[#This Row],[original_price]]-BBDD_fashion_boutique[[#This Row],[current_price]]</f>
        <v>38.159999999999997</v>
      </c>
      <c r="M977" s="1">
        <v>45875</v>
      </c>
      <c r="N977" s="1" t="str">
        <f>PROPER(TEXT(BBDD_fashion_boutique[[#This Row],[purchase_date]],"dddd"))</f>
        <v>Miércoles</v>
      </c>
      <c r="O977" s="1" t="str">
        <f>PROPER(TEXT(BBDD_fashion_boutique[[#This Row],[purchase_date]],"mmmm"))</f>
        <v>Agosto</v>
      </c>
      <c r="P977" s="4">
        <v>3</v>
      </c>
      <c r="Q977" s="2">
        <v>2.2000000000000002</v>
      </c>
      <c r="R977" t="str">
        <f>IF(BBDD_fashion_boutique[[#This Row],[stock_quantity]]&gt;9,"Ok",IF(BBDD_fashion_boutique[[#This Row],[stock_quantity]]=0,"Agotado","Pocas Unidades"))</f>
        <v>Pocas Unidades</v>
      </c>
      <c r="S977" s="3">
        <f>IF(BBDD_fashion_boutique[[#This Row],[customer_rating]]="","No valorado",BBDD_fashion_boutique[[#This Row],[customer_rating]])</f>
        <v>2.2000000000000002</v>
      </c>
      <c r="T977" t="s">
        <v>24</v>
      </c>
      <c r="V977">
        <f>IF(BBDD_fashion_boutique[[#This Row],[is_returned]]="False",0,1)</f>
        <v>0</v>
      </c>
      <c r="W977">
        <f>IF(BBDD_fashion_boutique[[#This Row],[is_returned]]="True",0,BBDD_fashion_boutique[[#This Row],[current_price]])</f>
        <v>73.08</v>
      </c>
      <c r="X977" t="str">
        <f>IF(BBDD_fashion_boutique[[#This Row],[return_reason]]="","No return",BBDD_fashion_boutique[[#This Row],[return_reason]])</f>
        <v>No return</v>
      </c>
      <c r="Y977">
        <f>IF(IFERROR(VLOOKUP(BBDD_fashion_boutique[[#This Row],[product_id]],A978:A3153,1,FALSE),0),1,0)</f>
        <v>0</v>
      </c>
    </row>
    <row r="978" spans="1:25" x14ac:dyDescent="0.3">
      <c r="A978" t="s">
        <v>1037</v>
      </c>
      <c r="B978" t="s">
        <v>44</v>
      </c>
      <c r="C978" t="s">
        <v>27</v>
      </c>
      <c r="D978" t="s">
        <v>39</v>
      </c>
      <c r="E978" t="s">
        <v>55</v>
      </c>
      <c r="F978" t="str">
        <f>IF(BBDD_fashion_boutique[[#This Row],[category]]="Accessories","Accesorio",IF(BBDD_fashion_boutique[[#This Row],[size]]="","Desconocido",BBDD_fashion_boutique[[#This Row],[size]]))</f>
        <v>XXL</v>
      </c>
      <c r="G978" t="s">
        <v>70</v>
      </c>
      <c r="H978" s="2">
        <v>59.36</v>
      </c>
      <c r="I978">
        <v>0</v>
      </c>
      <c r="J978" s="5">
        <f>BBDD_fashion_boutique[[#This Row],[markdown_percentage]]/100</f>
        <v>0</v>
      </c>
      <c r="K978" s="2">
        <v>59.36</v>
      </c>
      <c r="L978" s="2">
        <f>BBDD_fashion_boutique[[#This Row],[original_price]]-BBDD_fashion_boutique[[#This Row],[current_price]]</f>
        <v>0</v>
      </c>
      <c r="M978" s="1">
        <v>45875</v>
      </c>
      <c r="N978" s="1" t="str">
        <f>PROPER(TEXT(BBDD_fashion_boutique[[#This Row],[purchase_date]],"dddd"))</f>
        <v>Miércoles</v>
      </c>
      <c r="O978" s="1" t="str">
        <f>PROPER(TEXT(BBDD_fashion_boutique[[#This Row],[purchase_date]],"mmmm"))</f>
        <v>Agosto</v>
      </c>
      <c r="P978" s="4">
        <v>16</v>
      </c>
      <c r="R978" t="str">
        <f>IF(BBDD_fashion_boutique[[#This Row],[stock_quantity]]&gt;9,"Ok",IF(BBDD_fashion_boutique[[#This Row],[stock_quantity]]=0,"Agotado","Pocas Unidades"))</f>
        <v>Ok</v>
      </c>
      <c r="S978" s="3" t="str">
        <f>IF(BBDD_fashion_boutique[[#This Row],[customer_rating]]="","No valorado",BBDD_fashion_boutique[[#This Row],[customer_rating]])</f>
        <v>No valorado</v>
      </c>
      <c r="T978" t="s">
        <v>24</v>
      </c>
      <c r="V978">
        <f>IF(BBDD_fashion_boutique[[#This Row],[is_returned]]="False",0,1)</f>
        <v>0</v>
      </c>
      <c r="W978">
        <f>IF(BBDD_fashion_boutique[[#This Row],[is_returned]]="True",0,BBDD_fashion_boutique[[#This Row],[current_price]])</f>
        <v>59.36</v>
      </c>
      <c r="X978" t="str">
        <f>IF(BBDD_fashion_boutique[[#This Row],[return_reason]]="","No return",BBDD_fashion_boutique[[#This Row],[return_reason]])</f>
        <v>No return</v>
      </c>
      <c r="Y978">
        <f>IF(IFERROR(VLOOKUP(BBDD_fashion_boutique[[#This Row],[product_id]],A979:A3154,1,FALSE),0),1,0)</f>
        <v>0</v>
      </c>
    </row>
    <row r="979" spans="1:25" x14ac:dyDescent="0.3">
      <c r="A979" t="s">
        <v>1038</v>
      </c>
      <c r="B979" t="s">
        <v>35</v>
      </c>
      <c r="C979" t="s">
        <v>37</v>
      </c>
      <c r="D979" t="s">
        <v>39</v>
      </c>
      <c r="E979" t="s">
        <v>45</v>
      </c>
      <c r="F979" t="str">
        <f>IF(BBDD_fashion_boutique[[#This Row],[category]]="Accessories","Accesorio",IF(BBDD_fashion_boutique[[#This Row],[size]]="","Desconocido",BBDD_fashion_boutique[[#This Row],[size]]))</f>
        <v>S</v>
      </c>
      <c r="G979" t="s">
        <v>70</v>
      </c>
      <c r="H979" s="2">
        <v>199.46</v>
      </c>
      <c r="I979">
        <v>0</v>
      </c>
      <c r="J979" s="5">
        <f>BBDD_fashion_boutique[[#This Row],[markdown_percentage]]/100</f>
        <v>0</v>
      </c>
      <c r="K979" s="2">
        <v>199.46</v>
      </c>
      <c r="L979" s="2">
        <f>BBDD_fashion_boutique[[#This Row],[original_price]]-BBDD_fashion_boutique[[#This Row],[current_price]]</f>
        <v>0</v>
      </c>
      <c r="M979" s="1">
        <v>45875</v>
      </c>
      <c r="N979" s="1" t="str">
        <f>PROPER(TEXT(BBDD_fashion_boutique[[#This Row],[purchase_date]],"dddd"))</f>
        <v>Miércoles</v>
      </c>
      <c r="O979" s="1" t="str">
        <f>PROPER(TEXT(BBDD_fashion_boutique[[#This Row],[purchase_date]],"mmmm"))</f>
        <v>Agosto</v>
      </c>
      <c r="P979" s="4">
        <v>15</v>
      </c>
      <c r="Q979" s="2">
        <v>1.4</v>
      </c>
      <c r="R979" t="str">
        <f>IF(BBDD_fashion_boutique[[#This Row],[stock_quantity]]&gt;9,"Ok",IF(BBDD_fashion_boutique[[#This Row],[stock_quantity]]=0,"Agotado","Pocas Unidades"))</f>
        <v>Ok</v>
      </c>
      <c r="S979" s="3">
        <f>IF(BBDD_fashion_boutique[[#This Row],[customer_rating]]="","No valorado",BBDD_fashion_boutique[[#This Row],[customer_rating]])</f>
        <v>1.4</v>
      </c>
      <c r="T979" t="s">
        <v>24</v>
      </c>
      <c r="V979">
        <f>IF(BBDD_fashion_boutique[[#This Row],[is_returned]]="False",0,1)</f>
        <v>0</v>
      </c>
      <c r="W979">
        <f>IF(BBDD_fashion_boutique[[#This Row],[is_returned]]="True",0,BBDD_fashion_boutique[[#This Row],[current_price]])</f>
        <v>199.46</v>
      </c>
      <c r="X979" t="str">
        <f>IF(BBDD_fashion_boutique[[#This Row],[return_reason]]="","No return",BBDD_fashion_boutique[[#This Row],[return_reason]])</f>
        <v>No return</v>
      </c>
      <c r="Y979">
        <f>IF(IFERROR(VLOOKUP(BBDD_fashion_boutique[[#This Row],[product_id]],A980:A3155,1,FALSE),0),1,0)</f>
        <v>0</v>
      </c>
    </row>
    <row r="980" spans="1:25" x14ac:dyDescent="0.3">
      <c r="A980" t="s">
        <v>1039</v>
      </c>
      <c r="B980" t="s">
        <v>35</v>
      </c>
      <c r="C980" t="s">
        <v>81</v>
      </c>
      <c r="D980" t="s">
        <v>39</v>
      </c>
      <c r="E980" t="s">
        <v>64</v>
      </c>
      <c r="F980" t="str">
        <f>IF(BBDD_fashion_boutique[[#This Row],[category]]="Accessories","Accesorio",IF(BBDD_fashion_boutique[[#This Row],[size]]="","Desconocido",BBDD_fashion_boutique[[#This Row],[size]]))</f>
        <v>M</v>
      </c>
      <c r="G980" t="s">
        <v>40</v>
      </c>
      <c r="H980" s="2">
        <v>72.75</v>
      </c>
      <c r="I980">
        <v>50.2</v>
      </c>
      <c r="J980" s="5">
        <f>BBDD_fashion_boutique[[#This Row],[markdown_percentage]]/100</f>
        <v>0.502</v>
      </c>
      <c r="K980" s="2">
        <v>36.229999999999997</v>
      </c>
      <c r="L980" s="2">
        <f>BBDD_fashion_boutique[[#This Row],[original_price]]-BBDD_fashion_boutique[[#This Row],[current_price]]</f>
        <v>36.520000000000003</v>
      </c>
      <c r="M980" s="1">
        <v>45875</v>
      </c>
      <c r="N980" s="1" t="str">
        <f>PROPER(TEXT(BBDD_fashion_boutique[[#This Row],[purchase_date]],"dddd"))</f>
        <v>Miércoles</v>
      </c>
      <c r="O980" s="1" t="str">
        <f>PROPER(TEXT(BBDD_fashion_boutique[[#This Row],[purchase_date]],"mmmm"))</f>
        <v>Agosto</v>
      </c>
      <c r="P980" s="4">
        <v>28</v>
      </c>
      <c r="Q980" s="2">
        <v>3.6</v>
      </c>
      <c r="R980" t="str">
        <f>IF(BBDD_fashion_boutique[[#This Row],[stock_quantity]]&gt;9,"Ok",IF(BBDD_fashion_boutique[[#This Row],[stock_quantity]]=0,"Agotado","Pocas Unidades"))</f>
        <v>Ok</v>
      </c>
      <c r="S980" s="3">
        <f>IF(BBDD_fashion_boutique[[#This Row],[customer_rating]]="","No valorado",BBDD_fashion_boutique[[#This Row],[customer_rating]])</f>
        <v>3.6</v>
      </c>
      <c r="T980" t="s">
        <v>24</v>
      </c>
      <c r="V980">
        <f>IF(BBDD_fashion_boutique[[#This Row],[is_returned]]="False",0,1)</f>
        <v>0</v>
      </c>
      <c r="W980">
        <f>IF(BBDD_fashion_boutique[[#This Row],[is_returned]]="True",0,BBDD_fashion_boutique[[#This Row],[current_price]])</f>
        <v>36.229999999999997</v>
      </c>
      <c r="X980" t="str">
        <f>IF(BBDD_fashion_boutique[[#This Row],[return_reason]]="","No return",BBDD_fashion_boutique[[#This Row],[return_reason]])</f>
        <v>No return</v>
      </c>
      <c r="Y980">
        <f>IF(IFERROR(VLOOKUP(BBDD_fashion_boutique[[#This Row],[product_id]],A981:A3156,1,FALSE),0),1,0)</f>
        <v>0</v>
      </c>
    </row>
    <row r="981" spans="1:25" x14ac:dyDescent="0.3">
      <c r="A981" t="s">
        <v>1040</v>
      </c>
      <c r="B981" t="s">
        <v>44</v>
      </c>
      <c r="C981" t="s">
        <v>49</v>
      </c>
      <c r="D981" t="s">
        <v>39</v>
      </c>
      <c r="E981" t="s">
        <v>61</v>
      </c>
      <c r="F981" t="str">
        <f>IF(BBDD_fashion_boutique[[#This Row],[category]]="Accessories","Accesorio",IF(BBDD_fashion_boutique[[#This Row],[size]]="","Desconocido",BBDD_fashion_boutique[[#This Row],[size]]))</f>
        <v>XS</v>
      </c>
      <c r="G981" t="s">
        <v>30</v>
      </c>
      <c r="H981" s="2">
        <v>86.52</v>
      </c>
      <c r="I981">
        <v>27.6</v>
      </c>
      <c r="J981" s="5">
        <f>BBDD_fashion_boutique[[#This Row],[markdown_percentage]]/100</f>
        <v>0.27600000000000002</v>
      </c>
      <c r="K981" s="2">
        <v>62.64</v>
      </c>
      <c r="L981" s="2">
        <f>BBDD_fashion_boutique[[#This Row],[original_price]]-BBDD_fashion_boutique[[#This Row],[current_price]]</f>
        <v>23.879999999999995</v>
      </c>
      <c r="M981" s="1">
        <v>45875</v>
      </c>
      <c r="N981" s="1" t="str">
        <f>PROPER(TEXT(BBDD_fashion_boutique[[#This Row],[purchase_date]],"dddd"))</f>
        <v>Miércoles</v>
      </c>
      <c r="O981" s="1" t="str">
        <f>PROPER(TEXT(BBDD_fashion_boutique[[#This Row],[purchase_date]],"mmmm"))</f>
        <v>Agosto</v>
      </c>
      <c r="P981" s="4">
        <v>47</v>
      </c>
      <c r="Q981" s="2">
        <v>1.1000000000000001</v>
      </c>
      <c r="R981" t="str">
        <f>IF(BBDD_fashion_boutique[[#This Row],[stock_quantity]]&gt;9,"Ok",IF(BBDD_fashion_boutique[[#This Row],[stock_quantity]]=0,"Agotado","Pocas Unidades"))</f>
        <v>Ok</v>
      </c>
      <c r="S981" s="3">
        <f>IF(BBDD_fashion_boutique[[#This Row],[customer_rating]]="","No valorado",BBDD_fashion_boutique[[#This Row],[customer_rating]])</f>
        <v>1.1000000000000001</v>
      </c>
      <c r="T981" t="s">
        <v>24</v>
      </c>
      <c r="V981">
        <f>IF(BBDD_fashion_boutique[[#This Row],[is_returned]]="False",0,1)</f>
        <v>0</v>
      </c>
      <c r="W981">
        <f>IF(BBDD_fashion_boutique[[#This Row],[is_returned]]="True",0,BBDD_fashion_boutique[[#This Row],[current_price]])</f>
        <v>62.64</v>
      </c>
      <c r="X981" t="str">
        <f>IF(BBDD_fashion_boutique[[#This Row],[return_reason]]="","No return",BBDD_fashion_boutique[[#This Row],[return_reason]])</f>
        <v>No return</v>
      </c>
      <c r="Y981">
        <f>IF(IFERROR(VLOOKUP(BBDD_fashion_boutique[[#This Row],[product_id]],A982:A3157,1,FALSE),0),1,0)</f>
        <v>0</v>
      </c>
    </row>
    <row r="982" spans="1:25" x14ac:dyDescent="0.3">
      <c r="A982" t="s">
        <v>1041</v>
      </c>
      <c r="B982" t="s">
        <v>32</v>
      </c>
      <c r="C982" t="s">
        <v>81</v>
      </c>
      <c r="D982" t="s">
        <v>21</v>
      </c>
      <c r="F982" t="str">
        <f>IF(BBDD_fashion_boutique[[#This Row],[category]]="Accessories","Accesorio",IF(BBDD_fashion_boutique[[#This Row],[size]]="","Desconocido",BBDD_fashion_boutique[[#This Row],[size]]))</f>
        <v>Accesorio</v>
      </c>
      <c r="G982" t="s">
        <v>50</v>
      </c>
      <c r="H982" s="2">
        <v>52.69</v>
      </c>
      <c r="I982">
        <v>40.200000000000003</v>
      </c>
      <c r="J982" s="5">
        <f>BBDD_fashion_boutique[[#This Row],[markdown_percentage]]/100</f>
        <v>0.40200000000000002</v>
      </c>
      <c r="K982" s="2">
        <v>31.51</v>
      </c>
      <c r="L982" s="2">
        <f>BBDD_fashion_boutique[[#This Row],[original_price]]-BBDD_fashion_boutique[[#This Row],[current_price]]</f>
        <v>21.179999999999996</v>
      </c>
      <c r="M982" s="1">
        <v>45611</v>
      </c>
      <c r="N982" s="1" t="str">
        <f>PROPER(TEXT(BBDD_fashion_boutique[[#This Row],[purchase_date]],"dddd"))</f>
        <v>Viernes</v>
      </c>
      <c r="O982" s="1" t="str">
        <f>PROPER(TEXT(BBDD_fashion_boutique[[#This Row],[purchase_date]],"mmmm"))</f>
        <v>Noviembre</v>
      </c>
      <c r="P982" s="4">
        <v>7</v>
      </c>
      <c r="Q982" s="2">
        <v>2.7</v>
      </c>
      <c r="R982" t="str">
        <f>IF(BBDD_fashion_boutique[[#This Row],[stock_quantity]]&gt;9,"Ok",IF(BBDD_fashion_boutique[[#This Row],[stock_quantity]]=0,"Agotado","Pocas Unidades"))</f>
        <v>Pocas Unidades</v>
      </c>
      <c r="S982" s="3">
        <f>IF(BBDD_fashion_boutique[[#This Row],[customer_rating]]="","No valorado",BBDD_fashion_boutique[[#This Row],[customer_rating]])</f>
        <v>2.7</v>
      </c>
      <c r="T982" t="s">
        <v>24</v>
      </c>
      <c r="V982">
        <f>IF(BBDD_fashion_boutique[[#This Row],[is_returned]]="False",0,1)</f>
        <v>0</v>
      </c>
      <c r="W982">
        <f>IF(BBDD_fashion_boutique[[#This Row],[is_returned]]="True",0,BBDD_fashion_boutique[[#This Row],[current_price]])</f>
        <v>31.51</v>
      </c>
      <c r="X982" t="str">
        <f>IF(BBDD_fashion_boutique[[#This Row],[return_reason]]="","No return",BBDD_fashion_boutique[[#This Row],[return_reason]])</f>
        <v>No return</v>
      </c>
      <c r="Y982">
        <f>IF(IFERROR(VLOOKUP(BBDD_fashion_boutique[[#This Row],[product_id]],A983:A3158,1,FALSE),0),1,0)</f>
        <v>0</v>
      </c>
    </row>
    <row r="983" spans="1:25" x14ac:dyDescent="0.3">
      <c r="A983" t="s">
        <v>1042</v>
      </c>
      <c r="B983" t="s">
        <v>19</v>
      </c>
      <c r="C983" t="s">
        <v>37</v>
      </c>
      <c r="D983" t="s">
        <v>39</v>
      </c>
      <c r="E983" t="s">
        <v>29</v>
      </c>
      <c r="F983" t="str">
        <f>IF(BBDD_fashion_boutique[[#This Row],[category]]="Accessories","Accesorio",IF(BBDD_fashion_boutique[[#This Row],[size]]="","Desconocido",BBDD_fashion_boutique[[#This Row],[size]]))</f>
        <v>L</v>
      </c>
      <c r="G983" t="s">
        <v>33</v>
      </c>
      <c r="H983" s="2">
        <v>104.18</v>
      </c>
      <c r="I983">
        <v>0</v>
      </c>
      <c r="J983" s="5">
        <f>BBDD_fashion_boutique[[#This Row],[markdown_percentage]]/100</f>
        <v>0</v>
      </c>
      <c r="K983" s="2">
        <v>104.18</v>
      </c>
      <c r="L983" s="2">
        <f>BBDD_fashion_boutique[[#This Row],[original_price]]-BBDD_fashion_boutique[[#This Row],[current_price]]</f>
        <v>0</v>
      </c>
      <c r="M983" s="1">
        <v>45875</v>
      </c>
      <c r="N983" s="1" t="str">
        <f>PROPER(TEXT(BBDD_fashion_boutique[[#This Row],[purchase_date]],"dddd"))</f>
        <v>Miércoles</v>
      </c>
      <c r="O983" s="1" t="str">
        <f>PROPER(TEXT(BBDD_fashion_boutique[[#This Row],[purchase_date]],"mmmm"))</f>
        <v>Agosto</v>
      </c>
      <c r="P983" s="4">
        <v>12</v>
      </c>
      <c r="Q983" s="2">
        <v>5</v>
      </c>
      <c r="R983" t="str">
        <f>IF(BBDD_fashion_boutique[[#This Row],[stock_quantity]]&gt;9,"Ok",IF(BBDD_fashion_boutique[[#This Row],[stock_quantity]]=0,"Agotado","Pocas Unidades"))</f>
        <v>Ok</v>
      </c>
      <c r="S983" s="3">
        <f>IF(BBDD_fashion_boutique[[#This Row],[customer_rating]]="","No valorado",BBDD_fashion_boutique[[#This Row],[customer_rating]])</f>
        <v>5</v>
      </c>
      <c r="T983" t="s">
        <v>24</v>
      </c>
      <c r="V983">
        <f>IF(BBDD_fashion_boutique[[#This Row],[is_returned]]="False",0,1)</f>
        <v>0</v>
      </c>
      <c r="W983">
        <f>IF(BBDD_fashion_boutique[[#This Row],[is_returned]]="True",0,BBDD_fashion_boutique[[#This Row],[current_price]])</f>
        <v>104.18</v>
      </c>
      <c r="X983" t="str">
        <f>IF(BBDD_fashion_boutique[[#This Row],[return_reason]]="","No return",BBDD_fashion_boutique[[#This Row],[return_reason]])</f>
        <v>No return</v>
      </c>
      <c r="Y983">
        <f>IF(IFERROR(VLOOKUP(BBDD_fashion_boutique[[#This Row],[product_id]],A984:A3159,1,FALSE),0),1,0)</f>
        <v>0</v>
      </c>
    </row>
    <row r="984" spans="1:25" x14ac:dyDescent="0.3">
      <c r="A984" t="s">
        <v>1043</v>
      </c>
      <c r="B984" t="s">
        <v>19</v>
      </c>
      <c r="C984" t="s">
        <v>54</v>
      </c>
      <c r="D984" t="s">
        <v>28</v>
      </c>
      <c r="E984" t="s">
        <v>29</v>
      </c>
      <c r="F984" t="str">
        <f>IF(BBDD_fashion_boutique[[#This Row],[category]]="Accessories","Accesorio",IF(BBDD_fashion_boutique[[#This Row],[size]]="","Desconocido",BBDD_fashion_boutique[[#This Row],[size]]))</f>
        <v>L</v>
      </c>
      <c r="G984" t="s">
        <v>23</v>
      </c>
      <c r="H984" s="2">
        <v>132.38</v>
      </c>
      <c r="I984">
        <v>58.2</v>
      </c>
      <c r="J984" s="5">
        <f>BBDD_fashion_boutique[[#This Row],[markdown_percentage]]/100</f>
        <v>0.58200000000000007</v>
      </c>
      <c r="K984" s="2">
        <v>55.33</v>
      </c>
      <c r="L984" s="2">
        <f>BBDD_fashion_boutique[[#This Row],[original_price]]-BBDD_fashion_boutique[[#This Row],[current_price]]</f>
        <v>77.05</v>
      </c>
      <c r="M984" s="1">
        <v>45875</v>
      </c>
      <c r="N984" s="1" t="str">
        <f>PROPER(TEXT(BBDD_fashion_boutique[[#This Row],[purchase_date]],"dddd"))</f>
        <v>Miércoles</v>
      </c>
      <c r="O984" s="1" t="str">
        <f>PROPER(TEXT(BBDD_fashion_boutique[[#This Row],[purchase_date]],"mmmm"))</f>
        <v>Agosto</v>
      </c>
      <c r="P984" s="4">
        <v>24</v>
      </c>
      <c r="R984" t="str">
        <f>IF(BBDD_fashion_boutique[[#This Row],[stock_quantity]]&gt;9,"Ok",IF(BBDD_fashion_boutique[[#This Row],[stock_quantity]]=0,"Agotado","Pocas Unidades"))</f>
        <v>Ok</v>
      </c>
      <c r="S984" s="3" t="str">
        <f>IF(BBDD_fashion_boutique[[#This Row],[customer_rating]]="","No valorado",BBDD_fashion_boutique[[#This Row],[customer_rating]])</f>
        <v>No valorado</v>
      </c>
      <c r="T984" t="s">
        <v>24</v>
      </c>
      <c r="V984">
        <f>IF(BBDD_fashion_boutique[[#This Row],[is_returned]]="False",0,1)</f>
        <v>0</v>
      </c>
      <c r="W984">
        <f>IF(BBDD_fashion_boutique[[#This Row],[is_returned]]="True",0,BBDD_fashion_boutique[[#This Row],[current_price]])</f>
        <v>55.33</v>
      </c>
      <c r="X984" t="str">
        <f>IF(BBDD_fashion_boutique[[#This Row],[return_reason]]="","No return",BBDD_fashion_boutique[[#This Row],[return_reason]])</f>
        <v>No return</v>
      </c>
      <c r="Y984">
        <f>IF(IFERROR(VLOOKUP(BBDD_fashion_boutique[[#This Row],[product_id]],A985:A3160,1,FALSE),0),1,0)</f>
        <v>0</v>
      </c>
    </row>
    <row r="985" spans="1:25" x14ac:dyDescent="0.3">
      <c r="A985" t="s">
        <v>1044</v>
      </c>
      <c r="B985" t="s">
        <v>35</v>
      </c>
      <c r="C985" t="s">
        <v>54</v>
      </c>
      <c r="D985" t="s">
        <v>39</v>
      </c>
      <c r="E985" t="s">
        <v>22</v>
      </c>
      <c r="F985" t="str">
        <f>IF(BBDD_fashion_boutique[[#This Row],[category]]="Accessories","Accesorio",IF(BBDD_fashion_boutique[[#This Row],[size]]="","Desconocido",BBDD_fashion_boutique[[#This Row],[size]]))</f>
        <v>XL</v>
      </c>
      <c r="G985" t="s">
        <v>30</v>
      </c>
      <c r="H985" s="2">
        <v>64.400000000000006</v>
      </c>
      <c r="I985">
        <v>0</v>
      </c>
      <c r="J985" s="5">
        <f>BBDD_fashion_boutique[[#This Row],[markdown_percentage]]/100</f>
        <v>0</v>
      </c>
      <c r="K985" s="2">
        <v>64.400000000000006</v>
      </c>
      <c r="L985" s="2">
        <f>BBDD_fashion_boutique[[#This Row],[original_price]]-BBDD_fashion_boutique[[#This Row],[current_price]]</f>
        <v>0</v>
      </c>
      <c r="M985" s="1">
        <v>45875</v>
      </c>
      <c r="N985" s="1" t="str">
        <f>PROPER(TEXT(BBDD_fashion_boutique[[#This Row],[purchase_date]],"dddd"))</f>
        <v>Miércoles</v>
      </c>
      <c r="O985" s="1" t="str">
        <f>PROPER(TEXT(BBDD_fashion_boutique[[#This Row],[purchase_date]],"mmmm"))</f>
        <v>Agosto</v>
      </c>
      <c r="P985" s="4">
        <v>40</v>
      </c>
      <c r="Q985" s="2">
        <v>4.9000000000000004</v>
      </c>
      <c r="R985" t="str">
        <f>IF(BBDD_fashion_boutique[[#This Row],[stock_quantity]]&gt;9,"Ok",IF(BBDD_fashion_boutique[[#This Row],[stock_quantity]]=0,"Agotado","Pocas Unidades"))</f>
        <v>Ok</v>
      </c>
      <c r="S985" s="3">
        <f>IF(BBDD_fashion_boutique[[#This Row],[customer_rating]]="","No valorado",BBDD_fashion_boutique[[#This Row],[customer_rating]])</f>
        <v>4.9000000000000004</v>
      </c>
      <c r="T985" t="s">
        <v>24</v>
      </c>
      <c r="V985">
        <f>IF(BBDD_fashion_boutique[[#This Row],[is_returned]]="False",0,1)</f>
        <v>0</v>
      </c>
      <c r="W985">
        <f>IF(BBDD_fashion_boutique[[#This Row],[is_returned]]="True",0,BBDD_fashion_boutique[[#This Row],[current_price]])</f>
        <v>64.400000000000006</v>
      </c>
      <c r="X985" t="str">
        <f>IF(BBDD_fashion_boutique[[#This Row],[return_reason]]="","No return",BBDD_fashion_boutique[[#This Row],[return_reason]])</f>
        <v>No return</v>
      </c>
      <c r="Y985">
        <f>IF(IFERROR(VLOOKUP(BBDD_fashion_boutique[[#This Row],[product_id]],A986:A3161,1,FALSE),0),1,0)</f>
        <v>0</v>
      </c>
    </row>
    <row r="986" spans="1:25" x14ac:dyDescent="0.3">
      <c r="A986" t="s">
        <v>1045</v>
      </c>
      <c r="B986" t="s">
        <v>44</v>
      </c>
      <c r="C986" t="s">
        <v>20</v>
      </c>
      <c r="D986" t="s">
        <v>68</v>
      </c>
      <c r="E986" t="s">
        <v>22</v>
      </c>
      <c r="F986" t="str">
        <f>IF(BBDD_fashion_boutique[[#This Row],[category]]="Accessories","Accesorio",IF(BBDD_fashion_boutique[[#This Row],[size]]="","Desconocido",BBDD_fashion_boutique[[#This Row],[size]]))</f>
        <v>XL</v>
      </c>
      <c r="G986" t="s">
        <v>46</v>
      </c>
      <c r="H986" s="2">
        <v>34.07</v>
      </c>
      <c r="I986">
        <v>0</v>
      </c>
      <c r="J986" s="5">
        <f>BBDD_fashion_boutique[[#This Row],[markdown_percentage]]/100</f>
        <v>0</v>
      </c>
      <c r="K986" s="2">
        <v>34.07</v>
      </c>
      <c r="L986" s="2">
        <f>BBDD_fashion_boutique[[#This Row],[original_price]]-BBDD_fashion_boutique[[#This Row],[current_price]]</f>
        <v>0</v>
      </c>
      <c r="M986" s="1">
        <v>45875</v>
      </c>
      <c r="N986" s="1" t="str">
        <f>PROPER(TEXT(BBDD_fashion_boutique[[#This Row],[purchase_date]],"dddd"))</f>
        <v>Miércoles</v>
      </c>
      <c r="O986" s="1" t="str">
        <f>PROPER(TEXT(BBDD_fashion_boutique[[#This Row],[purchase_date]],"mmmm"))</f>
        <v>Agosto</v>
      </c>
      <c r="P986" s="4">
        <v>25</v>
      </c>
      <c r="Q986" s="2">
        <v>4.2</v>
      </c>
      <c r="R986" t="str">
        <f>IF(BBDD_fashion_boutique[[#This Row],[stock_quantity]]&gt;9,"Ok",IF(BBDD_fashion_boutique[[#This Row],[stock_quantity]]=0,"Agotado","Pocas Unidades"))</f>
        <v>Ok</v>
      </c>
      <c r="S986" s="3">
        <f>IF(BBDD_fashion_boutique[[#This Row],[customer_rating]]="","No valorado",BBDD_fashion_boutique[[#This Row],[customer_rating]])</f>
        <v>4.2</v>
      </c>
      <c r="T986" t="s">
        <v>41</v>
      </c>
      <c r="U986" t="s">
        <v>131</v>
      </c>
      <c r="V986">
        <f>IF(BBDD_fashion_boutique[[#This Row],[is_returned]]="False",0,1)</f>
        <v>1</v>
      </c>
      <c r="W986">
        <f>IF(BBDD_fashion_boutique[[#This Row],[is_returned]]="True",0,BBDD_fashion_boutique[[#This Row],[current_price]])</f>
        <v>0</v>
      </c>
      <c r="X986" t="str">
        <f>IF(BBDD_fashion_boutique[[#This Row],[return_reason]]="","No return",BBDD_fashion_boutique[[#This Row],[return_reason]])</f>
        <v>Wrong Item</v>
      </c>
      <c r="Y986">
        <f>IF(IFERROR(VLOOKUP(BBDD_fashion_boutique[[#This Row],[product_id]],A987:A3162,1,FALSE),0),1,0)</f>
        <v>0</v>
      </c>
    </row>
    <row r="987" spans="1:25" x14ac:dyDescent="0.3">
      <c r="A987" t="s">
        <v>1046</v>
      </c>
      <c r="B987" t="s">
        <v>44</v>
      </c>
      <c r="C987" t="s">
        <v>20</v>
      </c>
      <c r="D987" t="s">
        <v>28</v>
      </c>
      <c r="E987" t="s">
        <v>55</v>
      </c>
      <c r="F987" t="str">
        <f>IF(BBDD_fashion_boutique[[#This Row],[category]]="Accessories","Accesorio",IF(BBDD_fashion_boutique[[#This Row],[size]]="","Desconocido",BBDD_fashion_boutique[[#This Row],[size]]))</f>
        <v>XXL</v>
      </c>
      <c r="G987" t="s">
        <v>23</v>
      </c>
      <c r="H987" s="2">
        <v>43.33</v>
      </c>
      <c r="I987">
        <v>45.3</v>
      </c>
      <c r="J987" s="5">
        <f>BBDD_fashion_boutique[[#This Row],[markdown_percentage]]/100</f>
        <v>0.45299999999999996</v>
      </c>
      <c r="K987" s="2">
        <v>23.7</v>
      </c>
      <c r="L987" s="2">
        <f>BBDD_fashion_boutique[[#This Row],[original_price]]-BBDD_fashion_boutique[[#This Row],[current_price]]</f>
        <v>19.63</v>
      </c>
      <c r="M987" s="1">
        <v>45875</v>
      </c>
      <c r="N987" s="1" t="str">
        <f>PROPER(TEXT(BBDD_fashion_boutique[[#This Row],[purchase_date]],"dddd"))</f>
        <v>Miércoles</v>
      </c>
      <c r="O987" s="1" t="str">
        <f>PROPER(TEXT(BBDD_fashion_boutique[[#This Row],[purchase_date]],"mmmm"))</f>
        <v>Agosto</v>
      </c>
      <c r="P987" s="4">
        <v>1</v>
      </c>
      <c r="Q987" s="2">
        <v>3.4</v>
      </c>
      <c r="R987" t="str">
        <f>IF(BBDD_fashion_boutique[[#This Row],[stock_quantity]]&gt;9,"Ok",IF(BBDD_fashion_boutique[[#This Row],[stock_quantity]]=0,"Agotado","Pocas Unidades"))</f>
        <v>Pocas Unidades</v>
      </c>
      <c r="S987" s="3">
        <f>IF(BBDD_fashion_boutique[[#This Row],[customer_rating]]="","No valorado",BBDD_fashion_boutique[[#This Row],[customer_rating]])</f>
        <v>3.4</v>
      </c>
      <c r="T987" t="s">
        <v>24</v>
      </c>
      <c r="V987">
        <f>IF(BBDD_fashion_boutique[[#This Row],[is_returned]]="False",0,1)</f>
        <v>0</v>
      </c>
      <c r="W987">
        <f>IF(BBDD_fashion_boutique[[#This Row],[is_returned]]="True",0,BBDD_fashion_boutique[[#This Row],[current_price]])</f>
        <v>23.7</v>
      </c>
      <c r="X987" t="str">
        <f>IF(BBDD_fashion_boutique[[#This Row],[return_reason]]="","No return",BBDD_fashion_boutique[[#This Row],[return_reason]])</f>
        <v>No return</v>
      </c>
      <c r="Y987">
        <f>IF(IFERROR(VLOOKUP(BBDD_fashion_boutique[[#This Row],[product_id]],A988:A3163,1,FALSE),0),1,0)</f>
        <v>0</v>
      </c>
    </row>
    <row r="988" spans="1:25" x14ac:dyDescent="0.3">
      <c r="A988" t="s">
        <v>1047</v>
      </c>
      <c r="B988" t="s">
        <v>19</v>
      </c>
      <c r="C988" t="s">
        <v>27</v>
      </c>
      <c r="D988" t="s">
        <v>21</v>
      </c>
      <c r="E988" t="s">
        <v>22</v>
      </c>
      <c r="F988" t="str">
        <f>IF(BBDD_fashion_boutique[[#This Row],[category]]="Accessories","Accesorio",IF(BBDD_fashion_boutique[[#This Row],[size]]="","Desconocido",BBDD_fashion_boutique[[#This Row],[size]]))</f>
        <v>XL</v>
      </c>
      <c r="G988" t="s">
        <v>40</v>
      </c>
      <c r="H988" s="2">
        <v>122.92</v>
      </c>
      <c r="I988">
        <v>0</v>
      </c>
      <c r="J988" s="5">
        <f>BBDD_fashion_boutique[[#This Row],[markdown_percentage]]/100</f>
        <v>0</v>
      </c>
      <c r="K988" s="2">
        <v>122.92</v>
      </c>
      <c r="L988" s="2">
        <f>BBDD_fashion_boutique[[#This Row],[original_price]]-BBDD_fashion_boutique[[#This Row],[current_price]]</f>
        <v>0</v>
      </c>
      <c r="M988" s="1">
        <v>45602</v>
      </c>
      <c r="N988" s="1" t="str">
        <f>PROPER(TEXT(BBDD_fashion_boutique[[#This Row],[purchase_date]],"dddd"))</f>
        <v>Miércoles</v>
      </c>
      <c r="O988" s="1" t="str">
        <f>PROPER(TEXT(BBDD_fashion_boutique[[#This Row],[purchase_date]],"mmmm"))</f>
        <v>Noviembre</v>
      </c>
      <c r="P988" s="4">
        <v>41</v>
      </c>
      <c r="Q988" s="2">
        <v>2.9</v>
      </c>
      <c r="R988" t="str">
        <f>IF(BBDD_fashion_boutique[[#This Row],[stock_quantity]]&gt;9,"Ok",IF(BBDD_fashion_boutique[[#This Row],[stock_quantity]]=0,"Agotado","Pocas Unidades"))</f>
        <v>Ok</v>
      </c>
      <c r="S988" s="3">
        <f>IF(BBDD_fashion_boutique[[#This Row],[customer_rating]]="","No valorado",BBDD_fashion_boutique[[#This Row],[customer_rating]])</f>
        <v>2.9</v>
      </c>
      <c r="T988" t="s">
        <v>24</v>
      </c>
      <c r="V988">
        <f>IF(BBDD_fashion_boutique[[#This Row],[is_returned]]="False",0,1)</f>
        <v>0</v>
      </c>
      <c r="W988">
        <f>IF(BBDD_fashion_boutique[[#This Row],[is_returned]]="True",0,BBDD_fashion_boutique[[#This Row],[current_price]])</f>
        <v>122.92</v>
      </c>
      <c r="X988" t="str">
        <f>IF(BBDD_fashion_boutique[[#This Row],[return_reason]]="","No return",BBDD_fashion_boutique[[#This Row],[return_reason]])</f>
        <v>No return</v>
      </c>
      <c r="Y988">
        <f>IF(IFERROR(VLOOKUP(BBDD_fashion_boutique[[#This Row],[product_id]],A989:A3164,1,FALSE),0),1,0)</f>
        <v>0</v>
      </c>
    </row>
    <row r="989" spans="1:25" x14ac:dyDescent="0.3">
      <c r="A989" t="s">
        <v>1048</v>
      </c>
      <c r="B989" t="s">
        <v>35</v>
      </c>
      <c r="C989" t="s">
        <v>20</v>
      </c>
      <c r="D989" t="s">
        <v>21</v>
      </c>
      <c r="E989" t="s">
        <v>45</v>
      </c>
      <c r="F989" t="str">
        <f>IF(BBDD_fashion_boutique[[#This Row],[category]]="Accessories","Accesorio",IF(BBDD_fashion_boutique[[#This Row],[size]]="","Desconocido",BBDD_fashion_boutique[[#This Row],[size]]))</f>
        <v>S</v>
      </c>
      <c r="G989" t="s">
        <v>46</v>
      </c>
      <c r="H989" s="2">
        <v>142.84</v>
      </c>
      <c r="I989">
        <v>0</v>
      </c>
      <c r="J989" s="5">
        <f>BBDD_fashion_boutique[[#This Row],[markdown_percentage]]/100</f>
        <v>0</v>
      </c>
      <c r="K989" s="2">
        <v>142.84</v>
      </c>
      <c r="L989" s="2">
        <f>BBDD_fashion_boutique[[#This Row],[original_price]]-BBDD_fashion_boutique[[#This Row],[current_price]]</f>
        <v>0</v>
      </c>
      <c r="M989" s="1">
        <v>45702</v>
      </c>
      <c r="N989" s="1" t="str">
        <f>PROPER(TEXT(BBDD_fashion_boutique[[#This Row],[purchase_date]],"dddd"))</f>
        <v>Viernes</v>
      </c>
      <c r="O989" s="1" t="str">
        <f>PROPER(TEXT(BBDD_fashion_boutique[[#This Row],[purchase_date]],"mmmm"))</f>
        <v>Febrero</v>
      </c>
      <c r="P989" s="4">
        <v>36</v>
      </c>
      <c r="R989" t="str">
        <f>IF(BBDD_fashion_boutique[[#This Row],[stock_quantity]]&gt;9,"Ok",IF(BBDD_fashion_boutique[[#This Row],[stock_quantity]]=0,"Agotado","Pocas Unidades"))</f>
        <v>Ok</v>
      </c>
      <c r="S989" s="3" t="str">
        <f>IF(BBDD_fashion_boutique[[#This Row],[customer_rating]]="","No valorado",BBDD_fashion_boutique[[#This Row],[customer_rating]])</f>
        <v>No valorado</v>
      </c>
      <c r="T989" t="s">
        <v>24</v>
      </c>
      <c r="V989">
        <f>IF(BBDD_fashion_boutique[[#This Row],[is_returned]]="False",0,1)</f>
        <v>0</v>
      </c>
      <c r="W989">
        <f>IF(BBDD_fashion_boutique[[#This Row],[is_returned]]="True",0,BBDD_fashion_boutique[[#This Row],[current_price]])</f>
        <v>142.84</v>
      </c>
      <c r="X989" t="str">
        <f>IF(BBDD_fashion_boutique[[#This Row],[return_reason]]="","No return",BBDD_fashion_boutique[[#This Row],[return_reason]])</f>
        <v>No return</v>
      </c>
      <c r="Y989">
        <f>IF(IFERROR(VLOOKUP(BBDD_fashion_boutique[[#This Row],[product_id]],A990:A3165,1,FALSE),0),1,0)</f>
        <v>0</v>
      </c>
    </row>
    <row r="990" spans="1:25" x14ac:dyDescent="0.3">
      <c r="A990" t="s">
        <v>1049</v>
      </c>
      <c r="B990" t="s">
        <v>35</v>
      </c>
      <c r="C990" t="s">
        <v>67</v>
      </c>
      <c r="D990" t="s">
        <v>68</v>
      </c>
      <c r="E990" t="s">
        <v>55</v>
      </c>
      <c r="F990" t="str">
        <f>IF(BBDD_fashion_boutique[[#This Row],[category]]="Accessories","Accesorio",IF(BBDD_fashion_boutique[[#This Row],[size]]="","Desconocido",BBDD_fashion_boutique[[#This Row],[size]]))</f>
        <v>XXL</v>
      </c>
      <c r="G990" t="s">
        <v>33</v>
      </c>
      <c r="H990" s="2">
        <v>131.55000000000001</v>
      </c>
      <c r="I990">
        <v>0</v>
      </c>
      <c r="J990" s="5">
        <f>BBDD_fashion_boutique[[#This Row],[markdown_percentage]]/100</f>
        <v>0</v>
      </c>
      <c r="K990" s="2">
        <v>131.55000000000001</v>
      </c>
      <c r="L990" s="2">
        <f>BBDD_fashion_boutique[[#This Row],[original_price]]-BBDD_fashion_boutique[[#This Row],[current_price]]</f>
        <v>0</v>
      </c>
      <c r="M990" s="1">
        <v>45875</v>
      </c>
      <c r="N990" s="1" t="str">
        <f>PROPER(TEXT(BBDD_fashion_boutique[[#This Row],[purchase_date]],"dddd"))</f>
        <v>Miércoles</v>
      </c>
      <c r="O990" s="1" t="str">
        <f>PROPER(TEXT(BBDD_fashion_boutique[[#This Row],[purchase_date]],"mmmm"))</f>
        <v>Agosto</v>
      </c>
      <c r="P990" s="4">
        <v>45</v>
      </c>
      <c r="Q990" s="2">
        <v>1.8</v>
      </c>
      <c r="R990" t="str">
        <f>IF(BBDD_fashion_boutique[[#This Row],[stock_quantity]]&gt;9,"Ok",IF(BBDD_fashion_boutique[[#This Row],[stock_quantity]]=0,"Agotado","Pocas Unidades"))</f>
        <v>Ok</v>
      </c>
      <c r="S990" s="3">
        <f>IF(BBDD_fashion_boutique[[#This Row],[customer_rating]]="","No valorado",BBDD_fashion_boutique[[#This Row],[customer_rating]])</f>
        <v>1.8</v>
      </c>
      <c r="T990" t="s">
        <v>24</v>
      </c>
      <c r="V990">
        <f>IF(BBDD_fashion_boutique[[#This Row],[is_returned]]="False",0,1)</f>
        <v>0</v>
      </c>
      <c r="W990">
        <f>IF(BBDD_fashion_boutique[[#This Row],[is_returned]]="True",0,BBDD_fashion_boutique[[#This Row],[current_price]])</f>
        <v>131.55000000000001</v>
      </c>
      <c r="X990" t="str">
        <f>IF(BBDD_fashion_boutique[[#This Row],[return_reason]]="","No return",BBDD_fashion_boutique[[#This Row],[return_reason]])</f>
        <v>No return</v>
      </c>
      <c r="Y990">
        <f>IF(IFERROR(VLOOKUP(BBDD_fashion_boutique[[#This Row],[product_id]],A991:A3166,1,FALSE),0),1,0)</f>
        <v>0</v>
      </c>
    </row>
    <row r="991" spans="1:25" x14ac:dyDescent="0.3">
      <c r="A991" t="s">
        <v>1050</v>
      </c>
      <c r="B991" t="s">
        <v>19</v>
      </c>
      <c r="C991" t="s">
        <v>20</v>
      </c>
      <c r="D991" t="s">
        <v>21</v>
      </c>
      <c r="E991" t="s">
        <v>45</v>
      </c>
      <c r="F991" t="str">
        <f>IF(BBDD_fashion_boutique[[#This Row],[category]]="Accessories","Accesorio",IF(BBDD_fashion_boutique[[#This Row],[size]]="","Desconocido",BBDD_fashion_boutique[[#This Row],[size]]))</f>
        <v>S</v>
      </c>
      <c r="G991" t="s">
        <v>23</v>
      </c>
      <c r="H991" s="2">
        <v>192.58</v>
      </c>
      <c r="I991">
        <v>0</v>
      </c>
      <c r="J991" s="5">
        <f>BBDD_fashion_boutique[[#This Row],[markdown_percentage]]/100</f>
        <v>0</v>
      </c>
      <c r="K991" s="2">
        <v>192.58</v>
      </c>
      <c r="L991" s="2">
        <f>BBDD_fashion_boutique[[#This Row],[original_price]]-BBDD_fashion_boutique[[#This Row],[current_price]]</f>
        <v>0</v>
      </c>
      <c r="M991" s="1">
        <v>45764</v>
      </c>
      <c r="N991" s="1" t="str">
        <f>PROPER(TEXT(BBDD_fashion_boutique[[#This Row],[purchase_date]],"dddd"))</f>
        <v>Jueves</v>
      </c>
      <c r="O991" s="1" t="str">
        <f>PROPER(TEXT(BBDD_fashion_boutique[[#This Row],[purchase_date]],"mmmm"))</f>
        <v>Abril</v>
      </c>
      <c r="P991" s="4">
        <v>16</v>
      </c>
      <c r="Q991" s="2">
        <v>1.2</v>
      </c>
      <c r="R991" t="str">
        <f>IF(BBDD_fashion_boutique[[#This Row],[stock_quantity]]&gt;9,"Ok",IF(BBDD_fashion_boutique[[#This Row],[stock_quantity]]=0,"Agotado","Pocas Unidades"))</f>
        <v>Ok</v>
      </c>
      <c r="S991" s="3">
        <f>IF(BBDD_fashion_boutique[[#This Row],[customer_rating]]="","No valorado",BBDD_fashion_boutique[[#This Row],[customer_rating]])</f>
        <v>1.2</v>
      </c>
      <c r="T991" t="s">
        <v>24</v>
      </c>
      <c r="V991">
        <f>IF(BBDD_fashion_boutique[[#This Row],[is_returned]]="False",0,1)</f>
        <v>0</v>
      </c>
      <c r="W991">
        <f>IF(BBDD_fashion_boutique[[#This Row],[is_returned]]="True",0,BBDD_fashion_boutique[[#This Row],[current_price]])</f>
        <v>192.58</v>
      </c>
      <c r="X991" t="str">
        <f>IF(BBDD_fashion_boutique[[#This Row],[return_reason]]="","No return",BBDD_fashion_boutique[[#This Row],[return_reason]])</f>
        <v>No return</v>
      </c>
      <c r="Y991">
        <f>IF(IFERROR(VLOOKUP(BBDD_fashion_boutique[[#This Row],[product_id]],A992:A3167,1,FALSE),0),1,0)</f>
        <v>0</v>
      </c>
    </row>
    <row r="992" spans="1:25" x14ac:dyDescent="0.3">
      <c r="A992" t="s">
        <v>1051</v>
      </c>
      <c r="B992" t="s">
        <v>32</v>
      </c>
      <c r="C992" t="s">
        <v>59</v>
      </c>
      <c r="D992" t="s">
        <v>21</v>
      </c>
      <c r="F992" t="str">
        <f>IF(BBDD_fashion_boutique[[#This Row],[category]]="Accessories","Accesorio",IF(BBDD_fashion_boutique[[#This Row],[size]]="","Desconocido",BBDD_fashion_boutique[[#This Row],[size]]))</f>
        <v>Accesorio</v>
      </c>
      <c r="G992" t="s">
        <v>72</v>
      </c>
      <c r="H992" s="2">
        <v>33.56</v>
      </c>
      <c r="I992">
        <v>0</v>
      </c>
      <c r="J992" s="5">
        <f>BBDD_fashion_boutique[[#This Row],[markdown_percentage]]/100</f>
        <v>0</v>
      </c>
      <c r="K992" s="2">
        <v>33.56</v>
      </c>
      <c r="L992" s="2">
        <f>BBDD_fashion_boutique[[#This Row],[original_price]]-BBDD_fashion_boutique[[#This Row],[current_price]]</f>
        <v>0</v>
      </c>
      <c r="M992" s="1">
        <v>45743</v>
      </c>
      <c r="N992" s="1" t="str">
        <f>PROPER(TEXT(BBDD_fashion_boutique[[#This Row],[purchase_date]],"dddd"))</f>
        <v>Jueves</v>
      </c>
      <c r="O992" s="1" t="str">
        <f>PROPER(TEXT(BBDD_fashion_boutique[[#This Row],[purchase_date]],"mmmm"))</f>
        <v>Marzo</v>
      </c>
      <c r="P992" s="4">
        <v>24</v>
      </c>
      <c r="Q992" s="2">
        <v>3</v>
      </c>
      <c r="R992" t="str">
        <f>IF(BBDD_fashion_boutique[[#This Row],[stock_quantity]]&gt;9,"Ok",IF(BBDD_fashion_boutique[[#This Row],[stock_quantity]]=0,"Agotado","Pocas Unidades"))</f>
        <v>Ok</v>
      </c>
      <c r="S992" s="3">
        <f>IF(BBDD_fashion_boutique[[#This Row],[customer_rating]]="","No valorado",BBDD_fashion_boutique[[#This Row],[customer_rating]])</f>
        <v>3</v>
      </c>
      <c r="T992" t="s">
        <v>24</v>
      </c>
      <c r="V992">
        <f>IF(BBDD_fashion_boutique[[#This Row],[is_returned]]="False",0,1)</f>
        <v>0</v>
      </c>
      <c r="W992">
        <f>IF(BBDD_fashion_boutique[[#This Row],[is_returned]]="True",0,BBDD_fashion_boutique[[#This Row],[current_price]])</f>
        <v>33.56</v>
      </c>
      <c r="X992" t="str">
        <f>IF(BBDD_fashion_boutique[[#This Row],[return_reason]]="","No return",BBDD_fashion_boutique[[#This Row],[return_reason]])</f>
        <v>No return</v>
      </c>
      <c r="Y992">
        <f>IF(IFERROR(VLOOKUP(BBDD_fashion_boutique[[#This Row],[product_id]],A993:A3168,1,FALSE),0),1,0)</f>
        <v>0</v>
      </c>
    </row>
    <row r="993" spans="1:25" x14ac:dyDescent="0.3">
      <c r="A993" t="s">
        <v>1052</v>
      </c>
      <c r="B993" t="s">
        <v>32</v>
      </c>
      <c r="C993" t="s">
        <v>27</v>
      </c>
      <c r="D993" t="s">
        <v>68</v>
      </c>
      <c r="F993" t="str">
        <f>IF(BBDD_fashion_boutique[[#This Row],[category]]="Accessories","Accesorio",IF(BBDD_fashion_boutique[[#This Row],[size]]="","Desconocido",BBDD_fashion_boutique[[#This Row],[size]]))</f>
        <v>Accesorio</v>
      </c>
      <c r="G993" t="s">
        <v>50</v>
      </c>
      <c r="H993" s="2">
        <v>59.1</v>
      </c>
      <c r="I993">
        <v>0</v>
      </c>
      <c r="J993" s="5">
        <f>BBDD_fashion_boutique[[#This Row],[markdown_percentage]]/100</f>
        <v>0</v>
      </c>
      <c r="K993" s="2">
        <v>59.1</v>
      </c>
      <c r="L993" s="2">
        <f>BBDD_fashion_boutique[[#This Row],[original_price]]-BBDD_fashion_boutique[[#This Row],[current_price]]</f>
        <v>0</v>
      </c>
      <c r="M993" s="1">
        <v>45875</v>
      </c>
      <c r="N993" s="1" t="str">
        <f>PROPER(TEXT(BBDD_fashion_boutique[[#This Row],[purchase_date]],"dddd"))</f>
        <v>Miércoles</v>
      </c>
      <c r="O993" s="1" t="str">
        <f>PROPER(TEXT(BBDD_fashion_boutique[[#This Row],[purchase_date]],"mmmm"))</f>
        <v>Agosto</v>
      </c>
      <c r="P993" s="4">
        <v>29</v>
      </c>
      <c r="Q993" s="2">
        <v>1.3</v>
      </c>
      <c r="R993" t="str">
        <f>IF(BBDD_fashion_boutique[[#This Row],[stock_quantity]]&gt;9,"Ok",IF(BBDD_fashion_boutique[[#This Row],[stock_quantity]]=0,"Agotado","Pocas Unidades"))</f>
        <v>Ok</v>
      </c>
      <c r="S993" s="3">
        <f>IF(BBDD_fashion_boutique[[#This Row],[customer_rating]]="","No valorado",BBDD_fashion_boutique[[#This Row],[customer_rating]])</f>
        <v>1.3</v>
      </c>
      <c r="T993" t="s">
        <v>24</v>
      </c>
      <c r="V993">
        <f>IF(BBDD_fashion_boutique[[#This Row],[is_returned]]="False",0,1)</f>
        <v>0</v>
      </c>
      <c r="W993">
        <f>IF(BBDD_fashion_boutique[[#This Row],[is_returned]]="True",0,BBDD_fashion_boutique[[#This Row],[current_price]])</f>
        <v>59.1</v>
      </c>
      <c r="X993" t="str">
        <f>IF(BBDD_fashion_boutique[[#This Row],[return_reason]]="","No return",BBDD_fashion_boutique[[#This Row],[return_reason]])</f>
        <v>No return</v>
      </c>
      <c r="Y993">
        <f>IF(IFERROR(VLOOKUP(BBDD_fashion_boutique[[#This Row],[product_id]],A994:A3169,1,FALSE),0),1,0)</f>
        <v>0</v>
      </c>
    </row>
    <row r="994" spans="1:25" x14ac:dyDescent="0.3">
      <c r="A994" t="s">
        <v>1053</v>
      </c>
      <c r="B994" t="s">
        <v>35</v>
      </c>
      <c r="C994" t="s">
        <v>67</v>
      </c>
      <c r="D994" t="s">
        <v>39</v>
      </c>
      <c r="E994" t="s">
        <v>45</v>
      </c>
      <c r="F994" t="str">
        <f>IF(BBDD_fashion_boutique[[#This Row],[category]]="Accessories","Accesorio",IF(BBDD_fashion_boutique[[#This Row],[size]]="","Desconocido",BBDD_fashion_boutique[[#This Row],[size]]))</f>
        <v>S</v>
      </c>
      <c r="G994" t="s">
        <v>46</v>
      </c>
      <c r="H994" s="2">
        <v>109.15</v>
      </c>
      <c r="I994">
        <v>20.7</v>
      </c>
      <c r="J994" s="5">
        <f>BBDD_fashion_boutique[[#This Row],[markdown_percentage]]/100</f>
        <v>0.20699999999999999</v>
      </c>
      <c r="K994" s="2">
        <v>86.56</v>
      </c>
      <c r="L994" s="2">
        <f>BBDD_fashion_boutique[[#This Row],[original_price]]-BBDD_fashion_boutique[[#This Row],[current_price]]</f>
        <v>22.590000000000003</v>
      </c>
      <c r="M994" s="1">
        <v>45875</v>
      </c>
      <c r="N994" s="1" t="str">
        <f>PROPER(TEXT(BBDD_fashion_boutique[[#This Row],[purchase_date]],"dddd"))</f>
        <v>Miércoles</v>
      </c>
      <c r="O994" s="1" t="str">
        <f>PROPER(TEXT(BBDD_fashion_boutique[[#This Row],[purchase_date]],"mmmm"))</f>
        <v>Agosto</v>
      </c>
      <c r="P994" s="4">
        <v>28</v>
      </c>
      <c r="Q994" s="2">
        <v>2</v>
      </c>
      <c r="R994" t="str">
        <f>IF(BBDD_fashion_boutique[[#This Row],[stock_quantity]]&gt;9,"Ok",IF(BBDD_fashion_boutique[[#This Row],[stock_quantity]]=0,"Agotado","Pocas Unidades"))</f>
        <v>Ok</v>
      </c>
      <c r="S994" s="3">
        <f>IF(BBDD_fashion_boutique[[#This Row],[customer_rating]]="","No valorado",BBDD_fashion_boutique[[#This Row],[customer_rating]])</f>
        <v>2</v>
      </c>
      <c r="T994" t="s">
        <v>41</v>
      </c>
      <c r="U994" t="s">
        <v>121</v>
      </c>
      <c r="V994">
        <f>IF(BBDD_fashion_boutique[[#This Row],[is_returned]]="False",0,1)</f>
        <v>1</v>
      </c>
      <c r="W994">
        <f>IF(BBDD_fashion_boutique[[#This Row],[is_returned]]="True",0,BBDD_fashion_boutique[[#This Row],[current_price]])</f>
        <v>0</v>
      </c>
      <c r="X994" t="str">
        <f>IF(BBDD_fashion_boutique[[#This Row],[return_reason]]="","No return",BBDD_fashion_boutique[[#This Row],[return_reason]])</f>
        <v>Changed Mind</v>
      </c>
      <c r="Y994">
        <f>IF(IFERROR(VLOOKUP(BBDD_fashion_boutique[[#This Row],[product_id]],A995:A3170,1,FALSE),0),1,0)</f>
        <v>0</v>
      </c>
    </row>
    <row r="995" spans="1:25" x14ac:dyDescent="0.3">
      <c r="A995" t="s">
        <v>1054</v>
      </c>
      <c r="B995" t="s">
        <v>44</v>
      </c>
      <c r="C995" t="s">
        <v>59</v>
      </c>
      <c r="D995" t="s">
        <v>39</v>
      </c>
      <c r="F995" t="str">
        <f>IF(BBDD_fashion_boutique[[#This Row],[category]]="Accessories","Accesorio",IF(BBDD_fashion_boutique[[#This Row],[size]]="","Desconocido",BBDD_fashion_boutique[[#This Row],[size]]))</f>
        <v>Desconocido</v>
      </c>
      <c r="G995" t="s">
        <v>62</v>
      </c>
      <c r="H995" s="2">
        <v>59.1</v>
      </c>
      <c r="I995">
        <v>0</v>
      </c>
      <c r="J995" s="5">
        <f>BBDD_fashion_boutique[[#This Row],[markdown_percentage]]/100</f>
        <v>0</v>
      </c>
      <c r="K995" s="2">
        <v>59.1</v>
      </c>
      <c r="L995" s="2">
        <f>BBDD_fashion_boutique[[#This Row],[original_price]]-BBDD_fashion_boutique[[#This Row],[current_price]]</f>
        <v>0</v>
      </c>
      <c r="M995" s="1">
        <v>45875</v>
      </c>
      <c r="N995" s="1" t="str">
        <f>PROPER(TEXT(BBDD_fashion_boutique[[#This Row],[purchase_date]],"dddd"))</f>
        <v>Miércoles</v>
      </c>
      <c r="O995" s="1" t="str">
        <f>PROPER(TEXT(BBDD_fashion_boutique[[#This Row],[purchase_date]],"mmmm"))</f>
        <v>Agosto</v>
      </c>
      <c r="P995" s="4">
        <v>47</v>
      </c>
      <c r="Q995" s="2">
        <v>4.5999999999999996</v>
      </c>
      <c r="R995" t="str">
        <f>IF(BBDD_fashion_boutique[[#This Row],[stock_quantity]]&gt;9,"Ok",IF(BBDD_fashion_boutique[[#This Row],[stock_quantity]]=0,"Agotado","Pocas Unidades"))</f>
        <v>Ok</v>
      </c>
      <c r="S995" s="3">
        <f>IF(BBDD_fashion_boutique[[#This Row],[customer_rating]]="","No valorado",BBDD_fashion_boutique[[#This Row],[customer_rating]])</f>
        <v>4.5999999999999996</v>
      </c>
      <c r="T995" t="s">
        <v>24</v>
      </c>
      <c r="V995">
        <f>IF(BBDD_fashion_boutique[[#This Row],[is_returned]]="False",0,1)</f>
        <v>0</v>
      </c>
      <c r="W995">
        <f>IF(BBDD_fashion_boutique[[#This Row],[is_returned]]="True",0,BBDD_fashion_boutique[[#This Row],[current_price]])</f>
        <v>59.1</v>
      </c>
      <c r="X995" t="str">
        <f>IF(BBDD_fashion_boutique[[#This Row],[return_reason]]="","No return",BBDD_fashion_boutique[[#This Row],[return_reason]])</f>
        <v>No return</v>
      </c>
      <c r="Y995">
        <f>IF(IFERROR(VLOOKUP(BBDD_fashion_boutique[[#This Row],[product_id]],A996:A3171,1,FALSE),0),1,0)</f>
        <v>0</v>
      </c>
    </row>
    <row r="996" spans="1:25" x14ac:dyDescent="0.3">
      <c r="A996" t="s">
        <v>1055</v>
      </c>
      <c r="B996" t="s">
        <v>35</v>
      </c>
      <c r="C996" t="s">
        <v>67</v>
      </c>
      <c r="D996" t="s">
        <v>21</v>
      </c>
      <c r="E996" t="s">
        <v>64</v>
      </c>
      <c r="F996" t="str">
        <f>IF(BBDD_fashion_boutique[[#This Row],[category]]="Accessories","Accesorio",IF(BBDD_fashion_boutique[[#This Row],[size]]="","Desconocido",BBDD_fashion_boutique[[#This Row],[size]]))</f>
        <v>M</v>
      </c>
      <c r="G996" t="s">
        <v>72</v>
      </c>
      <c r="H996" s="2">
        <v>99.33</v>
      </c>
      <c r="I996">
        <v>0</v>
      </c>
      <c r="J996" s="5">
        <f>BBDD_fashion_boutique[[#This Row],[markdown_percentage]]/100</f>
        <v>0</v>
      </c>
      <c r="K996" s="2">
        <v>99.33</v>
      </c>
      <c r="L996" s="2">
        <f>BBDD_fashion_boutique[[#This Row],[original_price]]-BBDD_fashion_boutique[[#This Row],[current_price]]</f>
        <v>0</v>
      </c>
      <c r="M996" s="1">
        <v>45798</v>
      </c>
      <c r="N996" s="1" t="str">
        <f>PROPER(TEXT(BBDD_fashion_boutique[[#This Row],[purchase_date]],"dddd"))</f>
        <v>Miércoles</v>
      </c>
      <c r="O996" s="1" t="str">
        <f>PROPER(TEXT(BBDD_fashion_boutique[[#This Row],[purchase_date]],"mmmm"))</f>
        <v>Mayo</v>
      </c>
      <c r="P996" s="4">
        <v>16</v>
      </c>
      <c r="Q996" s="2">
        <v>3.9</v>
      </c>
      <c r="R996" t="str">
        <f>IF(BBDD_fashion_boutique[[#This Row],[stock_quantity]]&gt;9,"Ok",IF(BBDD_fashion_boutique[[#This Row],[stock_quantity]]=0,"Agotado","Pocas Unidades"))</f>
        <v>Ok</v>
      </c>
      <c r="S996" s="3">
        <f>IF(BBDD_fashion_boutique[[#This Row],[customer_rating]]="","No valorado",BBDD_fashion_boutique[[#This Row],[customer_rating]])</f>
        <v>3.9</v>
      </c>
      <c r="T996" t="s">
        <v>24</v>
      </c>
      <c r="V996">
        <f>IF(BBDD_fashion_boutique[[#This Row],[is_returned]]="False",0,1)</f>
        <v>0</v>
      </c>
      <c r="W996">
        <f>IF(BBDD_fashion_boutique[[#This Row],[is_returned]]="True",0,BBDD_fashion_boutique[[#This Row],[current_price]])</f>
        <v>99.33</v>
      </c>
      <c r="X996" t="str">
        <f>IF(BBDD_fashion_boutique[[#This Row],[return_reason]]="","No return",BBDD_fashion_boutique[[#This Row],[return_reason]])</f>
        <v>No return</v>
      </c>
      <c r="Y996">
        <f>IF(IFERROR(VLOOKUP(BBDD_fashion_boutique[[#This Row],[product_id]],A997:A3172,1,FALSE),0),1,0)</f>
        <v>0</v>
      </c>
    </row>
    <row r="997" spans="1:25" x14ac:dyDescent="0.3">
      <c r="A997" t="s">
        <v>1056</v>
      </c>
      <c r="B997" t="s">
        <v>48</v>
      </c>
      <c r="C997" t="s">
        <v>59</v>
      </c>
      <c r="D997" t="s">
        <v>28</v>
      </c>
      <c r="E997" t="s">
        <v>22</v>
      </c>
      <c r="F997" t="str">
        <f>IF(BBDD_fashion_boutique[[#This Row],[category]]="Accessories","Accesorio",IF(BBDD_fashion_boutique[[#This Row],[size]]="","Desconocido",BBDD_fashion_boutique[[#This Row],[size]]))</f>
        <v>XL</v>
      </c>
      <c r="G997" t="s">
        <v>70</v>
      </c>
      <c r="H997" s="2">
        <v>92.75</v>
      </c>
      <c r="I997">
        <v>0</v>
      </c>
      <c r="J997" s="5">
        <f>BBDD_fashion_boutique[[#This Row],[markdown_percentage]]/100</f>
        <v>0</v>
      </c>
      <c r="K997" s="2">
        <v>92.75</v>
      </c>
      <c r="L997" s="2">
        <f>BBDD_fashion_boutique[[#This Row],[original_price]]-BBDD_fashion_boutique[[#This Row],[current_price]]</f>
        <v>0</v>
      </c>
      <c r="M997" s="1">
        <v>45875</v>
      </c>
      <c r="N997" s="1" t="str">
        <f>PROPER(TEXT(BBDD_fashion_boutique[[#This Row],[purchase_date]],"dddd"))</f>
        <v>Miércoles</v>
      </c>
      <c r="O997" s="1" t="str">
        <f>PROPER(TEXT(BBDD_fashion_boutique[[#This Row],[purchase_date]],"mmmm"))</f>
        <v>Agosto</v>
      </c>
      <c r="P997" s="4">
        <v>29</v>
      </c>
      <c r="R997" t="str">
        <f>IF(BBDD_fashion_boutique[[#This Row],[stock_quantity]]&gt;9,"Ok",IF(BBDD_fashion_boutique[[#This Row],[stock_quantity]]=0,"Agotado","Pocas Unidades"))</f>
        <v>Ok</v>
      </c>
      <c r="S997" s="3" t="str">
        <f>IF(BBDD_fashion_boutique[[#This Row],[customer_rating]]="","No valorado",BBDD_fashion_boutique[[#This Row],[customer_rating]])</f>
        <v>No valorado</v>
      </c>
      <c r="T997" t="s">
        <v>41</v>
      </c>
      <c r="U997" t="s">
        <v>121</v>
      </c>
      <c r="V997">
        <f>IF(BBDD_fashion_boutique[[#This Row],[is_returned]]="False",0,1)</f>
        <v>1</v>
      </c>
      <c r="W997">
        <f>IF(BBDD_fashion_boutique[[#This Row],[is_returned]]="True",0,BBDD_fashion_boutique[[#This Row],[current_price]])</f>
        <v>0</v>
      </c>
      <c r="X997" t="str">
        <f>IF(BBDD_fashion_boutique[[#This Row],[return_reason]]="","No return",BBDD_fashion_boutique[[#This Row],[return_reason]])</f>
        <v>Changed Mind</v>
      </c>
      <c r="Y997">
        <f>IF(IFERROR(VLOOKUP(BBDD_fashion_boutique[[#This Row],[product_id]],A998:A3173,1,FALSE),0),1,0)</f>
        <v>0</v>
      </c>
    </row>
    <row r="998" spans="1:25" x14ac:dyDescent="0.3">
      <c r="A998" t="s">
        <v>1057</v>
      </c>
      <c r="B998" t="s">
        <v>26</v>
      </c>
      <c r="C998" t="s">
        <v>20</v>
      </c>
      <c r="D998" t="s">
        <v>68</v>
      </c>
      <c r="E998" t="s">
        <v>45</v>
      </c>
      <c r="F998" t="str">
        <f>IF(BBDD_fashion_boutique[[#This Row],[category]]="Accessories","Accesorio",IF(BBDD_fashion_boutique[[#This Row],[size]]="","Desconocido",BBDD_fashion_boutique[[#This Row],[size]]))</f>
        <v>S</v>
      </c>
      <c r="G998" t="s">
        <v>62</v>
      </c>
      <c r="H998" s="2">
        <v>116.82</v>
      </c>
      <c r="I998">
        <v>0</v>
      </c>
      <c r="J998" s="5">
        <f>BBDD_fashion_boutique[[#This Row],[markdown_percentage]]/100</f>
        <v>0</v>
      </c>
      <c r="K998" s="2">
        <v>116.82</v>
      </c>
      <c r="L998" s="2">
        <f>BBDD_fashion_boutique[[#This Row],[original_price]]-BBDD_fashion_boutique[[#This Row],[current_price]]</f>
        <v>0</v>
      </c>
      <c r="M998" s="1">
        <v>45875</v>
      </c>
      <c r="N998" s="1" t="str">
        <f>PROPER(TEXT(BBDD_fashion_boutique[[#This Row],[purchase_date]],"dddd"))</f>
        <v>Miércoles</v>
      </c>
      <c r="O998" s="1" t="str">
        <f>PROPER(TEXT(BBDD_fashion_boutique[[#This Row],[purchase_date]],"mmmm"))</f>
        <v>Agosto</v>
      </c>
      <c r="P998" s="4">
        <v>34</v>
      </c>
      <c r="R998" t="str">
        <f>IF(BBDD_fashion_boutique[[#This Row],[stock_quantity]]&gt;9,"Ok",IF(BBDD_fashion_boutique[[#This Row],[stock_quantity]]=0,"Agotado","Pocas Unidades"))</f>
        <v>Ok</v>
      </c>
      <c r="S998" s="3" t="str">
        <f>IF(BBDD_fashion_boutique[[#This Row],[customer_rating]]="","No valorado",BBDD_fashion_boutique[[#This Row],[customer_rating]])</f>
        <v>No valorado</v>
      </c>
      <c r="T998" t="s">
        <v>24</v>
      </c>
      <c r="V998">
        <f>IF(BBDD_fashion_boutique[[#This Row],[is_returned]]="False",0,1)</f>
        <v>0</v>
      </c>
      <c r="W998">
        <f>IF(BBDD_fashion_boutique[[#This Row],[is_returned]]="True",0,BBDD_fashion_boutique[[#This Row],[current_price]])</f>
        <v>116.82</v>
      </c>
      <c r="X998" t="str">
        <f>IF(BBDD_fashion_boutique[[#This Row],[return_reason]]="","No return",BBDD_fashion_boutique[[#This Row],[return_reason]])</f>
        <v>No return</v>
      </c>
      <c r="Y998">
        <f>IF(IFERROR(VLOOKUP(BBDD_fashion_boutique[[#This Row],[product_id]],A999:A3174,1,FALSE),0),1,0)</f>
        <v>0</v>
      </c>
    </row>
    <row r="999" spans="1:25" x14ac:dyDescent="0.3">
      <c r="A999" t="s">
        <v>1058</v>
      </c>
      <c r="B999" t="s">
        <v>19</v>
      </c>
      <c r="C999" t="s">
        <v>59</v>
      </c>
      <c r="D999" t="s">
        <v>68</v>
      </c>
      <c r="E999" t="s">
        <v>22</v>
      </c>
      <c r="F999" t="str">
        <f>IF(BBDD_fashion_boutique[[#This Row],[category]]="Accessories","Accesorio",IF(BBDD_fashion_boutique[[#This Row],[size]]="","Desconocido",BBDD_fashion_boutique[[#This Row],[size]]))</f>
        <v>XL</v>
      </c>
      <c r="G999" t="s">
        <v>52</v>
      </c>
      <c r="H999" s="2">
        <v>129.78</v>
      </c>
      <c r="I999">
        <v>9.5</v>
      </c>
      <c r="J999" s="5">
        <f>BBDD_fashion_boutique[[#This Row],[markdown_percentage]]/100</f>
        <v>9.5000000000000001E-2</v>
      </c>
      <c r="K999" s="2">
        <v>117.45</v>
      </c>
      <c r="L999" s="2">
        <f>BBDD_fashion_boutique[[#This Row],[original_price]]-BBDD_fashion_boutique[[#This Row],[current_price]]</f>
        <v>12.329999999999998</v>
      </c>
      <c r="M999" s="1">
        <v>45875</v>
      </c>
      <c r="N999" s="1" t="str">
        <f>PROPER(TEXT(BBDD_fashion_boutique[[#This Row],[purchase_date]],"dddd"))</f>
        <v>Miércoles</v>
      </c>
      <c r="O999" s="1" t="str">
        <f>PROPER(TEXT(BBDD_fashion_boutique[[#This Row],[purchase_date]],"mmmm"))</f>
        <v>Agosto</v>
      </c>
      <c r="P999" s="4">
        <v>17</v>
      </c>
      <c r="Q999" s="2">
        <v>4</v>
      </c>
      <c r="R999" t="str">
        <f>IF(BBDD_fashion_boutique[[#This Row],[stock_quantity]]&gt;9,"Ok",IF(BBDD_fashion_boutique[[#This Row],[stock_quantity]]=0,"Agotado","Pocas Unidades"))</f>
        <v>Ok</v>
      </c>
      <c r="S999" s="3">
        <f>IF(BBDD_fashion_boutique[[#This Row],[customer_rating]]="","No valorado",BBDD_fashion_boutique[[#This Row],[customer_rating]])</f>
        <v>4</v>
      </c>
      <c r="T999" t="s">
        <v>24</v>
      </c>
      <c r="V999">
        <f>IF(BBDD_fashion_boutique[[#This Row],[is_returned]]="False",0,1)</f>
        <v>0</v>
      </c>
      <c r="W999">
        <f>IF(BBDD_fashion_boutique[[#This Row],[is_returned]]="True",0,BBDD_fashion_boutique[[#This Row],[current_price]])</f>
        <v>117.45</v>
      </c>
      <c r="X999" t="str">
        <f>IF(BBDD_fashion_boutique[[#This Row],[return_reason]]="","No return",BBDD_fashion_boutique[[#This Row],[return_reason]])</f>
        <v>No return</v>
      </c>
      <c r="Y999">
        <f>IF(IFERROR(VLOOKUP(BBDD_fashion_boutique[[#This Row],[product_id]],A1000:A3175,1,FALSE),0),1,0)</f>
        <v>0</v>
      </c>
    </row>
    <row r="1000" spans="1:25" x14ac:dyDescent="0.3">
      <c r="A1000" t="s">
        <v>1059</v>
      </c>
      <c r="B1000" t="s">
        <v>48</v>
      </c>
      <c r="C1000" t="s">
        <v>37</v>
      </c>
      <c r="D1000" t="s">
        <v>21</v>
      </c>
      <c r="E1000" t="s">
        <v>61</v>
      </c>
      <c r="F1000" t="str">
        <f>IF(BBDD_fashion_boutique[[#This Row],[category]]="Accessories","Accesorio",IF(BBDD_fashion_boutique[[#This Row],[size]]="","Desconocido",BBDD_fashion_boutique[[#This Row],[size]]))</f>
        <v>XS</v>
      </c>
      <c r="G1000" t="s">
        <v>76</v>
      </c>
      <c r="H1000" s="2">
        <v>135.69</v>
      </c>
      <c r="I1000">
        <v>3</v>
      </c>
      <c r="J1000" s="5">
        <f>BBDD_fashion_boutique[[#This Row],[markdown_percentage]]/100</f>
        <v>0.03</v>
      </c>
      <c r="K1000" s="2">
        <v>131.62</v>
      </c>
      <c r="L1000" s="2">
        <f>BBDD_fashion_boutique[[#This Row],[original_price]]-BBDD_fashion_boutique[[#This Row],[current_price]]</f>
        <v>4.0699999999999932</v>
      </c>
      <c r="M1000" s="1">
        <v>45533</v>
      </c>
      <c r="N1000" s="1" t="str">
        <f>PROPER(TEXT(BBDD_fashion_boutique[[#This Row],[purchase_date]],"dddd"))</f>
        <v>Jueves</v>
      </c>
      <c r="O1000" s="1" t="str">
        <f>PROPER(TEXT(BBDD_fashion_boutique[[#This Row],[purchase_date]],"mmmm"))</f>
        <v>Agosto</v>
      </c>
      <c r="P1000" s="4">
        <v>16</v>
      </c>
      <c r="R1000" t="str">
        <f>IF(BBDD_fashion_boutique[[#This Row],[stock_quantity]]&gt;9,"Ok",IF(BBDD_fashion_boutique[[#This Row],[stock_quantity]]=0,"Agotado","Pocas Unidades"))</f>
        <v>Ok</v>
      </c>
      <c r="S1000" s="3" t="str">
        <f>IF(BBDD_fashion_boutique[[#This Row],[customer_rating]]="","No valorado",BBDD_fashion_boutique[[#This Row],[customer_rating]])</f>
        <v>No valorado</v>
      </c>
      <c r="T1000" t="s">
        <v>24</v>
      </c>
      <c r="V1000">
        <f>IF(BBDD_fashion_boutique[[#This Row],[is_returned]]="False",0,1)</f>
        <v>0</v>
      </c>
      <c r="W1000">
        <f>IF(BBDD_fashion_boutique[[#This Row],[is_returned]]="True",0,BBDD_fashion_boutique[[#This Row],[current_price]])</f>
        <v>131.62</v>
      </c>
      <c r="X1000" t="str">
        <f>IF(BBDD_fashion_boutique[[#This Row],[return_reason]]="","No return",BBDD_fashion_boutique[[#This Row],[return_reason]])</f>
        <v>No return</v>
      </c>
      <c r="Y1000">
        <f>IF(IFERROR(VLOOKUP(BBDD_fashion_boutique[[#This Row],[product_id]],A1001:A3176,1,FALSE),0),1,0)</f>
        <v>0</v>
      </c>
    </row>
    <row r="1001" spans="1:25" x14ac:dyDescent="0.3">
      <c r="A1001" t="s">
        <v>1060</v>
      </c>
      <c r="B1001" t="s">
        <v>48</v>
      </c>
      <c r="C1001" t="s">
        <v>67</v>
      </c>
      <c r="D1001" t="s">
        <v>39</v>
      </c>
      <c r="F1001" t="str">
        <f>IF(BBDD_fashion_boutique[[#This Row],[category]]="Accessories","Accesorio",IF(BBDD_fashion_boutique[[#This Row],[size]]="","Desconocido",BBDD_fashion_boutique[[#This Row],[size]]))</f>
        <v>Desconocido</v>
      </c>
      <c r="G1001" t="s">
        <v>23</v>
      </c>
      <c r="H1001" s="2">
        <v>48.14</v>
      </c>
      <c r="I1001">
        <v>28.3</v>
      </c>
      <c r="J1001" s="5">
        <f>BBDD_fashion_boutique[[#This Row],[markdown_percentage]]/100</f>
        <v>0.28300000000000003</v>
      </c>
      <c r="K1001" s="2">
        <v>34.520000000000003</v>
      </c>
      <c r="L1001" s="2">
        <f>BBDD_fashion_boutique[[#This Row],[original_price]]-BBDD_fashion_boutique[[#This Row],[current_price]]</f>
        <v>13.619999999999997</v>
      </c>
      <c r="M1001" s="1">
        <v>45875</v>
      </c>
      <c r="N1001" s="1" t="str">
        <f>PROPER(TEXT(BBDD_fashion_boutique[[#This Row],[purchase_date]],"dddd"))</f>
        <v>Miércoles</v>
      </c>
      <c r="O1001" s="1" t="str">
        <f>PROPER(TEXT(BBDD_fashion_boutique[[#This Row],[purchase_date]],"mmmm"))</f>
        <v>Agosto</v>
      </c>
      <c r="P1001" s="4">
        <v>41</v>
      </c>
      <c r="R1001" t="str">
        <f>IF(BBDD_fashion_boutique[[#This Row],[stock_quantity]]&gt;9,"Ok",IF(BBDD_fashion_boutique[[#This Row],[stock_quantity]]=0,"Agotado","Pocas Unidades"))</f>
        <v>Ok</v>
      </c>
      <c r="S1001" s="3" t="str">
        <f>IF(BBDD_fashion_boutique[[#This Row],[customer_rating]]="","No valorado",BBDD_fashion_boutique[[#This Row],[customer_rating]])</f>
        <v>No valorado</v>
      </c>
      <c r="T1001" t="s">
        <v>24</v>
      </c>
      <c r="V1001">
        <f>IF(BBDD_fashion_boutique[[#This Row],[is_returned]]="False",0,1)</f>
        <v>0</v>
      </c>
      <c r="W1001">
        <f>IF(BBDD_fashion_boutique[[#This Row],[is_returned]]="True",0,BBDD_fashion_boutique[[#This Row],[current_price]])</f>
        <v>34.520000000000003</v>
      </c>
      <c r="X1001" t="str">
        <f>IF(BBDD_fashion_boutique[[#This Row],[return_reason]]="","No return",BBDD_fashion_boutique[[#This Row],[return_reason]])</f>
        <v>No return</v>
      </c>
      <c r="Y1001">
        <f>IF(IFERROR(VLOOKUP(BBDD_fashion_boutique[[#This Row],[product_id]],A1002:A3177,1,FALSE),0),1,0)</f>
        <v>0</v>
      </c>
    </row>
    <row r="1002" spans="1:25" x14ac:dyDescent="0.3">
      <c r="A1002" t="s">
        <v>1061</v>
      </c>
      <c r="B1002" t="s">
        <v>48</v>
      </c>
      <c r="C1002" t="s">
        <v>49</v>
      </c>
      <c r="D1002" t="s">
        <v>39</v>
      </c>
      <c r="E1002" t="s">
        <v>61</v>
      </c>
      <c r="F1002" t="str">
        <f>IF(BBDD_fashion_boutique[[#This Row],[category]]="Accessories","Accesorio",IF(BBDD_fashion_boutique[[#This Row],[size]]="","Desconocido",BBDD_fashion_boutique[[#This Row],[size]]))</f>
        <v>XS</v>
      </c>
      <c r="G1002" t="s">
        <v>50</v>
      </c>
      <c r="H1002" s="2">
        <v>142.96</v>
      </c>
      <c r="I1002">
        <v>47.7</v>
      </c>
      <c r="J1002" s="5">
        <f>BBDD_fashion_boutique[[#This Row],[markdown_percentage]]/100</f>
        <v>0.47700000000000004</v>
      </c>
      <c r="K1002" s="2">
        <v>74.77</v>
      </c>
      <c r="L1002" s="2">
        <f>BBDD_fashion_boutique[[#This Row],[original_price]]-BBDD_fashion_boutique[[#This Row],[current_price]]</f>
        <v>68.190000000000012</v>
      </c>
      <c r="M1002" s="1">
        <v>45875</v>
      </c>
      <c r="N1002" s="1" t="str">
        <f>PROPER(TEXT(BBDD_fashion_boutique[[#This Row],[purchase_date]],"dddd"))</f>
        <v>Miércoles</v>
      </c>
      <c r="O1002" s="1" t="str">
        <f>PROPER(TEXT(BBDD_fashion_boutique[[#This Row],[purchase_date]],"mmmm"))</f>
        <v>Agosto</v>
      </c>
      <c r="P1002" s="4">
        <v>7</v>
      </c>
      <c r="R1002" t="str">
        <f>IF(BBDD_fashion_boutique[[#This Row],[stock_quantity]]&gt;9,"Ok",IF(BBDD_fashion_boutique[[#This Row],[stock_quantity]]=0,"Agotado","Pocas Unidades"))</f>
        <v>Pocas Unidades</v>
      </c>
      <c r="S1002" s="3" t="str">
        <f>IF(BBDD_fashion_boutique[[#This Row],[customer_rating]]="","No valorado",BBDD_fashion_boutique[[#This Row],[customer_rating]])</f>
        <v>No valorado</v>
      </c>
      <c r="T1002" t="s">
        <v>24</v>
      </c>
      <c r="V1002">
        <f>IF(BBDD_fashion_boutique[[#This Row],[is_returned]]="False",0,1)</f>
        <v>0</v>
      </c>
      <c r="W1002">
        <f>IF(BBDD_fashion_boutique[[#This Row],[is_returned]]="True",0,BBDD_fashion_boutique[[#This Row],[current_price]])</f>
        <v>74.77</v>
      </c>
      <c r="X1002" t="str">
        <f>IF(BBDD_fashion_boutique[[#This Row],[return_reason]]="","No return",BBDD_fashion_boutique[[#This Row],[return_reason]])</f>
        <v>No return</v>
      </c>
      <c r="Y1002">
        <f>IF(IFERROR(VLOOKUP(BBDD_fashion_boutique[[#This Row],[product_id]],A1003:A3178,1,FALSE),0),1,0)</f>
        <v>0</v>
      </c>
    </row>
    <row r="1003" spans="1:25" x14ac:dyDescent="0.3">
      <c r="A1003" t="s">
        <v>1062</v>
      </c>
      <c r="B1003" t="s">
        <v>26</v>
      </c>
      <c r="C1003" t="s">
        <v>81</v>
      </c>
      <c r="D1003" t="s">
        <v>21</v>
      </c>
      <c r="E1003" t="s">
        <v>29</v>
      </c>
      <c r="F1003" t="str">
        <f>IF(BBDD_fashion_boutique[[#This Row],[category]]="Accessories","Accesorio",IF(BBDD_fashion_boutique[[#This Row],[size]]="","Desconocido",BBDD_fashion_boutique[[#This Row],[size]]))</f>
        <v>L</v>
      </c>
      <c r="G1003" t="s">
        <v>62</v>
      </c>
      <c r="H1003" s="2">
        <v>51.72</v>
      </c>
      <c r="I1003">
        <v>0</v>
      </c>
      <c r="J1003" s="5">
        <f>BBDD_fashion_boutique[[#This Row],[markdown_percentage]]/100</f>
        <v>0</v>
      </c>
      <c r="K1003" s="2">
        <v>51.72</v>
      </c>
      <c r="L1003" s="2">
        <f>BBDD_fashion_boutique[[#This Row],[original_price]]-BBDD_fashion_boutique[[#This Row],[current_price]]</f>
        <v>0</v>
      </c>
      <c r="M1003" s="1">
        <v>45702</v>
      </c>
      <c r="N1003" s="1" t="str">
        <f>PROPER(TEXT(BBDD_fashion_boutique[[#This Row],[purchase_date]],"dddd"))</f>
        <v>Viernes</v>
      </c>
      <c r="O1003" s="1" t="str">
        <f>PROPER(TEXT(BBDD_fashion_boutique[[#This Row],[purchase_date]],"mmmm"))</f>
        <v>Febrero</v>
      </c>
      <c r="P1003" s="4">
        <v>50</v>
      </c>
      <c r="R1003" t="str">
        <f>IF(BBDD_fashion_boutique[[#This Row],[stock_quantity]]&gt;9,"Ok",IF(BBDD_fashion_boutique[[#This Row],[stock_quantity]]=0,"Agotado","Pocas Unidades"))</f>
        <v>Ok</v>
      </c>
      <c r="S1003" s="3" t="str">
        <f>IF(BBDD_fashion_boutique[[#This Row],[customer_rating]]="","No valorado",BBDD_fashion_boutique[[#This Row],[customer_rating]])</f>
        <v>No valorado</v>
      </c>
      <c r="T1003" t="s">
        <v>24</v>
      </c>
      <c r="V1003">
        <f>IF(BBDD_fashion_boutique[[#This Row],[is_returned]]="False",0,1)</f>
        <v>0</v>
      </c>
      <c r="W1003">
        <f>IF(BBDD_fashion_boutique[[#This Row],[is_returned]]="True",0,BBDD_fashion_boutique[[#This Row],[current_price]])</f>
        <v>51.72</v>
      </c>
      <c r="X1003" t="str">
        <f>IF(BBDD_fashion_boutique[[#This Row],[return_reason]]="","No return",BBDD_fashion_boutique[[#This Row],[return_reason]])</f>
        <v>No return</v>
      </c>
      <c r="Y1003">
        <f>IF(IFERROR(VLOOKUP(BBDD_fashion_boutique[[#This Row],[product_id]],A1004:A3179,1,FALSE),0),1,0)</f>
        <v>0</v>
      </c>
    </row>
    <row r="1004" spans="1:25" x14ac:dyDescent="0.3">
      <c r="A1004" t="s">
        <v>1063</v>
      </c>
      <c r="B1004" t="s">
        <v>32</v>
      </c>
      <c r="C1004" t="s">
        <v>20</v>
      </c>
      <c r="D1004" t="s">
        <v>39</v>
      </c>
      <c r="F1004" t="str">
        <f>IF(BBDD_fashion_boutique[[#This Row],[category]]="Accessories","Accesorio",IF(BBDD_fashion_boutique[[#This Row],[size]]="","Desconocido",BBDD_fashion_boutique[[#This Row],[size]]))</f>
        <v>Accesorio</v>
      </c>
      <c r="G1004" t="s">
        <v>76</v>
      </c>
      <c r="H1004" s="2">
        <v>18.3</v>
      </c>
      <c r="I1004">
        <v>38.299999999999997</v>
      </c>
      <c r="J1004" s="5">
        <f>BBDD_fashion_boutique[[#This Row],[markdown_percentage]]/100</f>
        <v>0.38299999999999995</v>
      </c>
      <c r="K1004" s="2">
        <v>11.29</v>
      </c>
      <c r="L1004" s="2">
        <f>BBDD_fashion_boutique[[#This Row],[original_price]]-BBDD_fashion_boutique[[#This Row],[current_price]]</f>
        <v>7.0100000000000016</v>
      </c>
      <c r="M1004" s="1">
        <v>45875</v>
      </c>
      <c r="N1004" s="1" t="str">
        <f>PROPER(TEXT(BBDD_fashion_boutique[[#This Row],[purchase_date]],"dddd"))</f>
        <v>Miércoles</v>
      </c>
      <c r="O1004" s="1" t="str">
        <f>PROPER(TEXT(BBDD_fashion_boutique[[#This Row],[purchase_date]],"mmmm"))</f>
        <v>Agosto</v>
      </c>
      <c r="P1004" s="4">
        <v>14</v>
      </c>
      <c r="Q1004" s="2">
        <v>1.1000000000000001</v>
      </c>
      <c r="R1004" t="str">
        <f>IF(BBDD_fashion_boutique[[#This Row],[stock_quantity]]&gt;9,"Ok",IF(BBDD_fashion_boutique[[#This Row],[stock_quantity]]=0,"Agotado","Pocas Unidades"))</f>
        <v>Ok</v>
      </c>
      <c r="S1004" s="3">
        <f>IF(BBDD_fashion_boutique[[#This Row],[customer_rating]]="","No valorado",BBDD_fashion_boutique[[#This Row],[customer_rating]])</f>
        <v>1.1000000000000001</v>
      </c>
      <c r="T1004" t="s">
        <v>24</v>
      </c>
      <c r="V1004">
        <f>IF(BBDD_fashion_boutique[[#This Row],[is_returned]]="False",0,1)</f>
        <v>0</v>
      </c>
      <c r="W1004">
        <f>IF(BBDD_fashion_boutique[[#This Row],[is_returned]]="True",0,BBDD_fashion_boutique[[#This Row],[current_price]])</f>
        <v>11.29</v>
      </c>
      <c r="X1004" t="str">
        <f>IF(BBDD_fashion_boutique[[#This Row],[return_reason]]="","No return",BBDD_fashion_boutique[[#This Row],[return_reason]])</f>
        <v>No return</v>
      </c>
      <c r="Y1004">
        <f>IF(IFERROR(VLOOKUP(BBDD_fashion_boutique[[#This Row],[product_id]],A1005:A3180,1,FALSE),0),1,0)</f>
        <v>0</v>
      </c>
    </row>
    <row r="1005" spans="1:25" x14ac:dyDescent="0.3">
      <c r="A1005" t="s">
        <v>1064</v>
      </c>
      <c r="B1005" t="s">
        <v>19</v>
      </c>
      <c r="C1005" t="s">
        <v>49</v>
      </c>
      <c r="D1005" t="s">
        <v>21</v>
      </c>
      <c r="E1005" t="s">
        <v>29</v>
      </c>
      <c r="F1005" t="str">
        <f>IF(BBDD_fashion_boutique[[#This Row],[category]]="Accessories","Accesorio",IF(BBDD_fashion_boutique[[#This Row],[size]]="","Desconocido",BBDD_fashion_boutique[[#This Row],[size]]))</f>
        <v>L</v>
      </c>
      <c r="G1005" t="s">
        <v>70</v>
      </c>
      <c r="H1005" s="2">
        <v>214.99</v>
      </c>
      <c r="I1005">
        <v>29</v>
      </c>
      <c r="J1005" s="5">
        <f>BBDD_fashion_boutique[[#This Row],[markdown_percentage]]/100</f>
        <v>0.28999999999999998</v>
      </c>
      <c r="K1005" s="2">
        <v>152.63999999999999</v>
      </c>
      <c r="L1005" s="2">
        <f>BBDD_fashion_boutique[[#This Row],[original_price]]-BBDD_fashion_boutique[[#This Row],[current_price]]</f>
        <v>62.350000000000023</v>
      </c>
      <c r="M1005" s="1">
        <v>45541</v>
      </c>
      <c r="N1005" s="1" t="str">
        <f>PROPER(TEXT(BBDD_fashion_boutique[[#This Row],[purchase_date]],"dddd"))</f>
        <v>Viernes</v>
      </c>
      <c r="O1005" s="1" t="str">
        <f>PROPER(TEXT(BBDD_fashion_boutique[[#This Row],[purchase_date]],"mmmm"))</f>
        <v>Septiembre</v>
      </c>
      <c r="P1005" s="4">
        <v>32</v>
      </c>
      <c r="Q1005" s="2">
        <v>2.8</v>
      </c>
      <c r="R1005" t="str">
        <f>IF(BBDD_fashion_boutique[[#This Row],[stock_quantity]]&gt;9,"Ok",IF(BBDD_fashion_boutique[[#This Row],[stock_quantity]]=0,"Agotado","Pocas Unidades"))</f>
        <v>Ok</v>
      </c>
      <c r="S1005" s="3">
        <f>IF(BBDD_fashion_boutique[[#This Row],[customer_rating]]="","No valorado",BBDD_fashion_boutique[[#This Row],[customer_rating]])</f>
        <v>2.8</v>
      </c>
      <c r="T1005" t="s">
        <v>41</v>
      </c>
      <c r="U1005" t="s">
        <v>131</v>
      </c>
      <c r="V1005">
        <f>IF(BBDD_fashion_boutique[[#This Row],[is_returned]]="False",0,1)</f>
        <v>1</v>
      </c>
      <c r="W1005">
        <f>IF(BBDD_fashion_boutique[[#This Row],[is_returned]]="True",0,BBDD_fashion_boutique[[#This Row],[current_price]])</f>
        <v>0</v>
      </c>
      <c r="X1005" t="str">
        <f>IF(BBDD_fashion_boutique[[#This Row],[return_reason]]="","No return",BBDD_fashion_boutique[[#This Row],[return_reason]])</f>
        <v>Wrong Item</v>
      </c>
      <c r="Y1005">
        <f>IF(IFERROR(VLOOKUP(BBDD_fashion_boutique[[#This Row],[product_id]],A1006:A3181,1,FALSE),0),1,0)</f>
        <v>0</v>
      </c>
    </row>
    <row r="1006" spans="1:25" x14ac:dyDescent="0.3">
      <c r="A1006" t="s">
        <v>1065</v>
      </c>
      <c r="B1006" t="s">
        <v>32</v>
      </c>
      <c r="C1006" t="s">
        <v>67</v>
      </c>
      <c r="D1006" t="s">
        <v>21</v>
      </c>
      <c r="F1006" t="str">
        <f>IF(BBDD_fashion_boutique[[#This Row],[category]]="Accessories","Accesorio",IF(BBDD_fashion_boutique[[#This Row],[size]]="","Desconocido",BBDD_fashion_boutique[[#This Row],[size]]))</f>
        <v>Accesorio</v>
      </c>
      <c r="G1006" t="s">
        <v>23</v>
      </c>
      <c r="H1006" s="2">
        <v>20.77</v>
      </c>
      <c r="I1006">
        <v>0</v>
      </c>
      <c r="J1006" s="5">
        <f>BBDD_fashion_boutique[[#This Row],[markdown_percentage]]/100</f>
        <v>0</v>
      </c>
      <c r="K1006" s="2">
        <v>20.77</v>
      </c>
      <c r="L1006" s="2">
        <f>BBDD_fashion_boutique[[#This Row],[original_price]]-BBDD_fashion_boutique[[#This Row],[current_price]]</f>
        <v>0</v>
      </c>
      <c r="M1006" s="1">
        <v>45521</v>
      </c>
      <c r="N1006" s="1" t="str">
        <f>PROPER(TEXT(BBDD_fashion_boutique[[#This Row],[purchase_date]],"dddd"))</f>
        <v>Sábado</v>
      </c>
      <c r="O1006" s="1" t="str">
        <f>PROPER(TEXT(BBDD_fashion_boutique[[#This Row],[purchase_date]],"mmmm"))</f>
        <v>Agosto</v>
      </c>
      <c r="P1006" s="4">
        <v>31</v>
      </c>
      <c r="Q1006" s="2">
        <v>2</v>
      </c>
      <c r="R1006" t="str">
        <f>IF(BBDD_fashion_boutique[[#This Row],[stock_quantity]]&gt;9,"Ok",IF(BBDD_fashion_boutique[[#This Row],[stock_quantity]]=0,"Agotado","Pocas Unidades"))</f>
        <v>Ok</v>
      </c>
      <c r="S1006" s="3">
        <f>IF(BBDD_fashion_boutique[[#This Row],[customer_rating]]="","No valorado",BBDD_fashion_boutique[[#This Row],[customer_rating]])</f>
        <v>2</v>
      </c>
      <c r="T1006" t="s">
        <v>24</v>
      </c>
      <c r="V1006">
        <f>IF(BBDD_fashion_boutique[[#This Row],[is_returned]]="False",0,1)</f>
        <v>0</v>
      </c>
      <c r="W1006">
        <f>IF(BBDD_fashion_boutique[[#This Row],[is_returned]]="True",0,BBDD_fashion_boutique[[#This Row],[current_price]])</f>
        <v>20.77</v>
      </c>
      <c r="X1006" t="str">
        <f>IF(BBDD_fashion_boutique[[#This Row],[return_reason]]="","No return",BBDD_fashion_boutique[[#This Row],[return_reason]])</f>
        <v>No return</v>
      </c>
      <c r="Y1006">
        <f>IF(IFERROR(VLOOKUP(BBDD_fashion_boutique[[#This Row],[product_id]],A1007:A3182,1,FALSE),0),1,0)</f>
        <v>0</v>
      </c>
    </row>
    <row r="1007" spans="1:25" x14ac:dyDescent="0.3">
      <c r="A1007" t="s">
        <v>1066</v>
      </c>
      <c r="B1007" t="s">
        <v>32</v>
      </c>
      <c r="C1007" t="s">
        <v>67</v>
      </c>
      <c r="D1007" t="s">
        <v>68</v>
      </c>
      <c r="F1007" t="str">
        <f>IF(BBDD_fashion_boutique[[#This Row],[category]]="Accessories","Accesorio",IF(BBDD_fashion_boutique[[#This Row],[size]]="","Desconocido",BBDD_fashion_boutique[[#This Row],[size]]))</f>
        <v>Accesorio</v>
      </c>
      <c r="G1007" t="s">
        <v>30</v>
      </c>
      <c r="H1007" s="2">
        <v>77.959999999999994</v>
      </c>
      <c r="I1007">
        <v>0</v>
      </c>
      <c r="J1007" s="5">
        <f>BBDD_fashion_boutique[[#This Row],[markdown_percentage]]/100</f>
        <v>0</v>
      </c>
      <c r="K1007" s="2">
        <v>77.959999999999994</v>
      </c>
      <c r="L1007" s="2">
        <f>BBDD_fashion_boutique[[#This Row],[original_price]]-BBDD_fashion_boutique[[#This Row],[current_price]]</f>
        <v>0</v>
      </c>
      <c r="M1007" s="1">
        <v>45875</v>
      </c>
      <c r="N1007" s="1" t="str">
        <f>PROPER(TEXT(BBDD_fashion_boutique[[#This Row],[purchase_date]],"dddd"))</f>
        <v>Miércoles</v>
      </c>
      <c r="O1007" s="1" t="str">
        <f>PROPER(TEXT(BBDD_fashion_boutique[[#This Row],[purchase_date]],"mmmm"))</f>
        <v>Agosto</v>
      </c>
      <c r="P1007" s="4">
        <v>39</v>
      </c>
      <c r="Q1007" s="2">
        <v>4.8</v>
      </c>
      <c r="R1007" t="str">
        <f>IF(BBDD_fashion_boutique[[#This Row],[stock_quantity]]&gt;9,"Ok",IF(BBDD_fashion_boutique[[#This Row],[stock_quantity]]=0,"Agotado","Pocas Unidades"))</f>
        <v>Ok</v>
      </c>
      <c r="S1007" s="3">
        <f>IF(BBDD_fashion_boutique[[#This Row],[customer_rating]]="","No valorado",BBDD_fashion_boutique[[#This Row],[customer_rating]])</f>
        <v>4.8</v>
      </c>
      <c r="T1007" t="s">
        <v>24</v>
      </c>
      <c r="V1007">
        <f>IF(BBDD_fashion_boutique[[#This Row],[is_returned]]="False",0,1)</f>
        <v>0</v>
      </c>
      <c r="W1007">
        <f>IF(BBDD_fashion_boutique[[#This Row],[is_returned]]="True",0,BBDD_fashion_boutique[[#This Row],[current_price]])</f>
        <v>77.959999999999994</v>
      </c>
      <c r="X1007" t="str">
        <f>IF(BBDD_fashion_boutique[[#This Row],[return_reason]]="","No return",BBDD_fashion_boutique[[#This Row],[return_reason]])</f>
        <v>No return</v>
      </c>
      <c r="Y1007">
        <f>IF(IFERROR(VLOOKUP(BBDD_fashion_boutique[[#This Row],[product_id]],A1008:A3183,1,FALSE),0),1,0)</f>
        <v>0</v>
      </c>
    </row>
    <row r="1008" spans="1:25" x14ac:dyDescent="0.3">
      <c r="A1008" t="s">
        <v>1067</v>
      </c>
      <c r="B1008" t="s">
        <v>32</v>
      </c>
      <c r="C1008" t="s">
        <v>20</v>
      </c>
      <c r="D1008" t="s">
        <v>39</v>
      </c>
      <c r="F1008" t="str">
        <f>IF(BBDD_fashion_boutique[[#This Row],[category]]="Accessories","Accesorio",IF(BBDD_fashion_boutique[[#This Row],[size]]="","Desconocido",BBDD_fashion_boutique[[#This Row],[size]]))</f>
        <v>Accesorio</v>
      </c>
      <c r="G1008" t="s">
        <v>72</v>
      </c>
      <c r="H1008" s="2">
        <v>73.33</v>
      </c>
      <c r="I1008">
        <v>34.6</v>
      </c>
      <c r="J1008" s="5">
        <f>BBDD_fashion_boutique[[#This Row],[markdown_percentage]]/100</f>
        <v>0.34600000000000003</v>
      </c>
      <c r="K1008" s="2">
        <v>47.96</v>
      </c>
      <c r="L1008" s="2">
        <f>BBDD_fashion_boutique[[#This Row],[original_price]]-BBDD_fashion_boutique[[#This Row],[current_price]]</f>
        <v>25.369999999999997</v>
      </c>
      <c r="M1008" s="1">
        <v>45875</v>
      </c>
      <c r="N1008" s="1" t="str">
        <f>PROPER(TEXT(BBDD_fashion_boutique[[#This Row],[purchase_date]],"dddd"))</f>
        <v>Miércoles</v>
      </c>
      <c r="O1008" s="1" t="str">
        <f>PROPER(TEXT(BBDD_fashion_boutique[[#This Row],[purchase_date]],"mmmm"))</f>
        <v>Agosto</v>
      </c>
      <c r="P1008" s="4">
        <v>45</v>
      </c>
      <c r="Q1008" s="2">
        <v>2.1</v>
      </c>
      <c r="R1008" t="str">
        <f>IF(BBDD_fashion_boutique[[#This Row],[stock_quantity]]&gt;9,"Ok",IF(BBDD_fashion_boutique[[#This Row],[stock_quantity]]=0,"Agotado","Pocas Unidades"))</f>
        <v>Ok</v>
      </c>
      <c r="S1008" s="3">
        <f>IF(BBDD_fashion_boutique[[#This Row],[customer_rating]]="","No valorado",BBDD_fashion_boutique[[#This Row],[customer_rating]])</f>
        <v>2.1</v>
      </c>
      <c r="T1008" t="s">
        <v>24</v>
      </c>
      <c r="V1008">
        <f>IF(BBDD_fashion_boutique[[#This Row],[is_returned]]="False",0,1)</f>
        <v>0</v>
      </c>
      <c r="W1008">
        <f>IF(BBDD_fashion_boutique[[#This Row],[is_returned]]="True",0,BBDD_fashion_boutique[[#This Row],[current_price]])</f>
        <v>47.96</v>
      </c>
      <c r="X1008" t="str">
        <f>IF(BBDD_fashion_boutique[[#This Row],[return_reason]]="","No return",BBDD_fashion_boutique[[#This Row],[return_reason]])</f>
        <v>No return</v>
      </c>
      <c r="Y1008">
        <f>IF(IFERROR(VLOOKUP(BBDD_fashion_boutique[[#This Row],[product_id]],A1009:A3184,1,FALSE),0),1,0)</f>
        <v>0</v>
      </c>
    </row>
    <row r="1009" spans="1:25" x14ac:dyDescent="0.3">
      <c r="A1009" t="s">
        <v>1068</v>
      </c>
      <c r="B1009" t="s">
        <v>32</v>
      </c>
      <c r="C1009" t="s">
        <v>81</v>
      </c>
      <c r="D1009" t="s">
        <v>39</v>
      </c>
      <c r="F1009" t="str">
        <f>IF(BBDD_fashion_boutique[[#This Row],[category]]="Accessories","Accesorio",IF(BBDD_fashion_boutique[[#This Row],[size]]="","Desconocido",BBDD_fashion_boutique[[#This Row],[size]]))</f>
        <v>Accesorio</v>
      </c>
      <c r="G1009" t="s">
        <v>72</v>
      </c>
      <c r="H1009" s="2">
        <v>75.22</v>
      </c>
      <c r="I1009">
        <v>25.9</v>
      </c>
      <c r="J1009" s="5">
        <f>BBDD_fashion_boutique[[#This Row],[markdown_percentage]]/100</f>
        <v>0.25900000000000001</v>
      </c>
      <c r="K1009" s="2">
        <v>55.74</v>
      </c>
      <c r="L1009" s="2">
        <f>BBDD_fashion_boutique[[#This Row],[original_price]]-BBDD_fashion_boutique[[#This Row],[current_price]]</f>
        <v>19.479999999999997</v>
      </c>
      <c r="M1009" s="1">
        <v>45875</v>
      </c>
      <c r="N1009" s="1" t="str">
        <f>PROPER(TEXT(BBDD_fashion_boutique[[#This Row],[purchase_date]],"dddd"))</f>
        <v>Miércoles</v>
      </c>
      <c r="O1009" s="1" t="str">
        <f>PROPER(TEXT(BBDD_fashion_boutique[[#This Row],[purchase_date]],"mmmm"))</f>
        <v>Agosto</v>
      </c>
      <c r="P1009" s="4">
        <v>31</v>
      </c>
      <c r="Q1009" s="2">
        <v>1.9</v>
      </c>
      <c r="R1009" t="str">
        <f>IF(BBDD_fashion_boutique[[#This Row],[stock_quantity]]&gt;9,"Ok",IF(BBDD_fashion_boutique[[#This Row],[stock_quantity]]=0,"Agotado","Pocas Unidades"))</f>
        <v>Ok</v>
      </c>
      <c r="S1009" s="3">
        <f>IF(BBDD_fashion_boutique[[#This Row],[customer_rating]]="","No valorado",BBDD_fashion_boutique[[#This Row],[customer_rating]])</f>
        <v>1.9</v>
      </c>
      <c r="T1009" t="s">
        <v>41</v>
      </c>
      <c r="U1009" t="s">
        <v>42</v>
      </c>
      <c r="V1009">
        <f>IF(BBDD_fashion_boutique[[#This Row],[is_returned]]="False",0,1)</f>
        <v>1</v>
      </c>
      <c r="W1009">
        <f>IF(BBDD_fashion_boutique[[#This Row],[is_returned]]="True",0,BBDD_fashion_boutique[[#This Row],[current_price]])</f>
        <v>0</v>
      </c>
      <c r="X1009" t="str">
        <f>IF(BBDD_fashion_boutique[[#This Row],[return_reason]]="","No return",BBDD_fashion_boutique[[#This Row],[return_reason]])</f>
        <v>Color Mismatch</v>
      </c>
      <c r="Y1009">
        <f>IF(IFERROR(VLOOKUP(BBDD_fashion_boutique[[#This Row],[product_id]],A1010:A3185,1,FALSE),0),1,0)</f>
        <v>0</v>
      </c>
    </row>
    <row r="1010" spans="1:25" x14ac:dyDescent="0.3">
      <c r="A1010" t="s">
        <v>1069</v>
      </c>
      <c r="B1010" t="s">
        <v>44</v>
      </c>
      <c r="C1010" t="s">
        <v>67</v>
      </c>
      <c r="D1010" t="s">
        <v>39</v>
      </c>
      <c r="E1010" t="s">
        <v>61</v>
      </c>
      <c r="F1010" t="str">
        <f>IF(BBDD_fashion_boutique[[#This Row],[category]]="Accessories","Accesorio",IF(BBDD_fashion_boutique[[#This Row],[size]]="","Desconocido",BBDD_fashion_boutique[[#This Row],[size]]))</f>
        <v>XS</v>
      </c>
      <c r="G1010" t="s">
        <v>33</v>
      </c>
      <c r="H1010" s="2">
        <v>46.65</v>
      </c>
      <c r="I1010">
        <v>24.2</v>
      </c>
      <c r="J1010" s="5">
        <f>BBDD_fashion_boutique[[#This Row],[markdown_percentage]]/100</f>
        <v>0.24199999999999999</v>
      </c>
      <c r="K1010" s="2">
        <v>35.36</v>
      </c>
      <c r="L1010" s="2">
        <f>BBDD_fashion_boutique[[#This Row],[original_price]]-BBDD_fashion_boutique[[#This Row],[current_price]]</f>
        <v>11.29</v>
      </c>
      <c r="M1010" s="1">
        <v>45875</v>
      </c>
      <c r="N1010" s="1" t="str">
        <f>PROPER(TEXT(BBDD_fashion_boutique[[#This Row],[purchase_date]],"dddd"))</f>
        <v>Miércoles</v>
      </c>
      <c r="O1010" s="1" t="str">
        <f>PROPER(TEXT(BBDD_fashion_boutique[[#This Row],[purchase_date]],"mmmm"))</f>
        <v>Agosto</v>
      </c>
      <c r="P1010" s="4">
        <v>8</v>
      </c>
      <c r="Q1010" s="2">
        <v>3.2</v>
      </c>
      <c r="R1010" t="str">
        <f>IF(BBDD_fashion_boutique[[#This Row],[stock_quantity]]&gt;9,"Ok",IF(BBDD_fashion_boutique[[#This Row],[stock_quantity]]=0,"Agotado","Pocas Unidades"))</f>
        <v>Pocas Unidades</v>
      </c>
      <c r="S1010" s="3">
        <f>IF(BBDD_fashion_boutique[[#This Row],[customer_rating]]="","No valorado",BBDD_fashion_boutique[[#This Row],[customer_rating]])</f>
        <v>3.2</v>
      </c>
      <c r="T1010" t="s">
        <v>24</v>
      </c>
      <c r="V1010">
        <f>IF(BBDD_fashion_boutique[[#This Row],[is_returned]]="False",0,1)</f>
        <v>0</v>
      </c>
      <c r="W1010">
        <f>IF(BBDD_fashion_boutique[[#This Row],[is_returned]]="True",0,BBDD_fashion_boutique[[#This Row],[current_price]])</f>
        <v>35.36</v>
      </c>
      <c r="X1010" t="str">
        <f>IF(BBDD_fashion_boutique[[#This Row],[return_reason]]="","No return",BBDD_fashion_boutique[[#This Row],[return_reason]])</f>
        <v>No return</v>
      </c>
      <c r="Y1010">
        <f>IF(IFERROR(VLOOKUP(BBDD_fashion_boutique[[#This Row],[product_id]],A1011:A3186,1,FALSE),0),1,0)</f>
        <v>0</v>
      </c>
    </row>
    <row r="1011" spans="1:25" x14ac:dyDescent="0.3">
      <c r="A1011" t="s">
        <v>1070</v>
      </c>
      <c r="B1011" t="s">
        <v>48</v>
      </c>
      <c r="C1011" t="s">
        <v>49</v>
      </c>
      <c r="D1011" t="s">
        <v>39</v>
      </c>
      <c r="E1011" t="s">
        <v>55</v>
      </c>
      <c r="F1011" t="str">
        <f>IF(BBDD_fashion_boutique[[#This Row],[category]]="Accessories","Accesorio",IF(BBDD_fashion_boutique[[#This Row],[size]]="","Desconocido",BBDD_fashion_boutique[[#This Row],[size]]))</f>
        <v>XXL</v>
      </c>
      <c r="G1011" t="s">
        <v>30</v>
      </c>
      <c r="H1011" s="2">
        <v>108.19</v>
      </c>
      <c r="I1011">
        <v>0</v>
      </c>
      <c r="J1011" s="5">
        <f>BBDD_fashion_boutique[[#This Row],[markdown_percentage]]/100</f>
        <v>0</v>
      </c>
      <c r="K1011" s="2">
        <v>108.19</v>
      </c>
      <c r="L1011" s="2">
        <f>BBDD_fashion_boutique[[#This Row],[original_price]]-BBDD_fashion_boutique[[#This Row],[current_price]]</f>
        <v>0</v>
      </c>
      <c r="M1011" s="1">
        <v>45875</v>
      </c>
      <c r="N1011" s="1" t="str">
        <f>PROPER(TEXT(BBDD_fashion_boutique[[#This Row],[purchase_date]],"dddd"))</f>
        <v>Miércoles</v>
      </c>
      <c r="O1011" s="1" t="str">
        <f>PROPER(TEXT(BBDD_fashion_boutique[[#This Row],[purchase_date]],"mmmm"))</f>
        <v>Agosto</v>
      </c>
      <c r="P1011" s="4">
        <v>21</v>
      </c>
      <c r="R1011" t="str">
        <f>IF(BBDD_fashion_boutique[[#This Row],[stock_quantity]]&gt;9,"Ok",IF(BBDD_fashion_boutique[[#This Row],[stock_quantity]]=0,"Agotado","Pocas Unidades"))</f>
        <v>Ok</v>
      </c>
      <c r="S1011" s="3" t="str">
        <f>IF(BBDD_fashion_boutique[[#This Row],[customer_rating]]="","No valorado",BBDD_fashion_boutique[[#This Row],[customer_rating]])</f>
        <v>No valorado</v>
      </c>
      <c r="T1011" t="s">
        <v>24</v>
      </c>
      <c r="V1011">
        <f>IF(BBDD_fashion_boutique[[#This Row],[is_returned]]="False",0,1)</f>
        <v>0</v>
      </c>
      <c r="W1011">
        <f>IF(BBDD_fashion_boutique[[#This Row],[is_returned]]="True",0,BBDD_fashion_boutique[[#This Row],[current_price]])</f>
        <v>108.19</v>
      </c>
      <c r="X1011" t="str">
        <f>IF(BBDD_fashion_boutique[[#This Row],[return_reason]]="","No return",BBDD_fashion_boutique[[#This Row],[return_reason]])</f>
        <v>No return</v>
      </c>
      <c r="Y1011">
        <f>IF(IFERROR(VLOOKUP(BBDD_fashion_boutique[[#This Row],[product_id]],A1012:A3187,1,FALSE),0),1,0)</f>
        <v>0</v>
      </c>
    </row>
    <row r="1012" spans="1:25" x14ac:dyDescent="0.3">
      <c r="A1012" t="s">
        <v>1071</v>
      </c>
      <c r="B1012" t="s">
        <v>48</v>
      </c>
      <c r="C1012" t="s">
        <v>20</v>
      </c>
      <c r="D1012" t="s">
        <v>21</v>
      </c>
      <c r="E1012" t="s">
        <v>29</v>
      </c>
      <c r="F1012" t="str">
        <f>IF(BBDD_fashion_boutique[[#This Row],[category]]="Accessories","Accesorio",IF(BBDD_fashion_boutique[[#This Row],[size]]="","Desconocido",BBDD_fashion_boutique[[#This Row],[size]]))</f>
        <v>L</v>
      </c>
      <c r="G1012" t="s">
        <v>23</v>
      </c>
      <c r="H1012" s="2">
        <v>62.82</v>
      </c>
      <c r="I1012">
        <v>0</v>
      </c>
      <c r="J1012" s="5">
        <f>BBDD_fashion_boutique[[#This Row],[markdown_percentage]]/100</f>
        <v>0</v>
      </c>
      <c r="K1012" s="2">
        <v>62.82</v>
      </c>
      <c r="L1012" s="2">
        <f>BBDD_fashion_boutique[[#This Row],[original_price]]-BBDD_fashion_boutique[[#This Row],[current_price]]</f>
        <v>0</v>
      </c>
      <c r="M1012" s="1">
        <v>45573</v>
      </c>
      <c r="N1012" s="1" t="str">
        <f>PROPER(TEXT(BBDD_fashion_boutique[[#This Row],[purchase_date]],"dddd"))</f>
        <v>Martes</v>
      </c>
      <c r="O1012" s="1" t="str">
        <f>PROPER(TEXT(BBDD_fashion_boutique[[#This Row],[purchase_date]],"mmmm"))</f>
        <v>Octubre</v>
      </c>
      <c r="P1012" s="4">
        <v>36</v>
      </c>
      <c r="Q1012" s="2">
        <v>2.1</v>
      </c>
      <c r="R1012" t="str">
        <f>IF(BBDD_fashion_boutique[[#This Row],[stock_quantity]]&gt;9,"Ok",IF(BBDD_fashion_boutique[[#This Row],[stock_quantity]]=0,"Agotado","Pocas Unidades"))</f>
        <v>Ok</v>
      </c>
      <c r="S1012" s="3">
        <f>IF(BBDD_fashion_boutique[[#This Row],[customer_rating]]="","No valorado",BBDD_fashion_boutique[[#This Row],[customer_rating]])</f>
        <v>2.1</v>
      </c>
      <c r="T1012" t="s">
        <v>24</v>
      </c>
      <c r="V1012">
        <f>IF(BBDD_fashion_boutique[[#This Row],[is_returned]]="False",0,1)</f>
        <v>0</v>
      </c>
      <c r="W1012">
        <f>IF(BBDD_fashion_boutique[[#This Row],[is_returned]]="True",0,BBDD_fashion_boutique[[#This Row],[current_price]])</f>
        <v>62.82</v>
      </c>
      <c r="X1012" t="str">
        <f>IF(BBDD_fashion_boutique[[#This Row],[return_reason]]="","No return",BBDD_fashion_boutique[[#This Row],[return_reason]])</f>
        <v>No return</v>
      </c>
      <c r="Y1012">
        <f>IF(IFERROR(VLOOKUP(BBDD_fashion_boutique[[#This Row],[product_id]],A1013:A3188,1,FALSE),0),1,0)</f>
        <v>0</v>
      </c>
    </row>
    <row r="1013" spans="1:25" x14ac:dyDescent="0.3">
      <c r="A1013" t="s">
        <v>1072</v>
      </c>
      <c r="B1013" t="s">
        <v>26</v>
      </c>
      <c r="C1013" t="s">
        <v>20</v>
      </c>
      <c r="D1013" t="s">
        <v>68</v>
      </c>
      <c r="E1013" t="s">
        <v>45</v>
      </c>
      <c r="F1013" t="str">
        <f>IF(BBDD_fashion_boutique[[#This Row],[category]]="Accessories","Accesorio",IF(BBDD_fashion_boutique[[#This Row],[size]]="","Desconocido",BBDD_fashion_boutique[[#This Row],[size]]))</f>
        <v>S</v>
      </c>
      <c r="G1013" t="s">
        <v>30</v>
      </c>
      <c r="H1013" s="2">
        <v>57.32</v>
      </c>
      <c r="I1013">
        <v>57.4</v>
      </c>
      <c r="J1013" s="5">
        <f>BBDD_fashion_boutique[[#This Row],[markdown_percentage]]/100</f>
        <v>0.57399999999999995</v>
      </c>
      <c r="K1013" s="2">
        <v>24.42</v>
      </c>
      <c r="L1013" s="2">
        <f>BBDD_fashion_boutique[[#This Row],[original_price]]-BBDD_fashion_boutique[[#This Row],[current_price]]</f>
        <v>32.9</v>
      </c>
      <c r="M1013" s="1">
        <v>45875</v>
      </c>
      <c r="N1013" s="1" t="str">
        <f>PROPER(TEXT(BBDD_fashion_boutique[[#This Row],[purchase_date]],"dddd"))</f>
        <v>Miércoles</v>
      </c>
      <c r="O1013" s="1" t="str">
        <f>PROPER(TEXT(BBDD_fashion_boutique[[#This Row],[purchase_date]],"mmmm"))</f>
        <v>Agosto</v>
      </c>
      <c r="P1013" s="4">
        <v>46</v>
      </c>
      <c r="Q1013" s="2">
        <v>3.1</v>
      </c>
      <c r="R1013" t="str">
        <f>IF(BBDD_fashion_boutique[[#This Row],[stock_quantity]]&gt;9,"Ok",IF(BBDD_fashion_boutique[[#This Row],[stock_quantity]]=0,"Agotado","Pocas Unidades"))</f>
        <v>Ok</v>
      </c>
      <c r="S1013" s="3">
        <f>IF(BBDD_fashion_boutique[[#This Row],[customer_rating]]="","No valorado",BBDD_fashion_boutique[[#This Row],[customer_rating]])</f>
        <v>3.1</v>
      </c>
      <c r="T1013" t="s">
        <v>24</v>
      </c>
      <c r="V1013">
        <f>IF(BBDD_fashion_boutique[[#This Row],[is_returned]]="False",0,1)</f>
        <v>0</v>
      </c>
      <c r="W1013">
        <f>IF(BBDD_fashion_boutique[[#This Row],[is_returned]]="True",0,BBDD_fashion_boutique[[#This Row],[current_price]])</f>
        <v>24.42</v>
      </c>
      <c r="X1013" t="str">
        <f>IF(BBDD_fashion_boutique[[#This Row],[return_reason]]="","No return",BBDD_fashion_boutique[[#This Row],[return_reason]])</f>
        <v>No return</v>
      </c>
      <c r="Y1013">
        <f>IF(IFERROR(VLOOKUP(BBDD_fashion_boutique[[#This Row],[product_id]],A1014:A3189,1,FALSE),0),1,0)</f>
        <v>0</v>
      </c>
    </row>
    <row r="1014" spans="1:25" x14ac:dyDescent="0.3">
      <c r="A1014" t="s">
        <v>1073</v>
      </c>
      <c r="B1014" t="s">
        <v>19</v>
      </c>
      <c r="C1014" t="s">
        <v>54</v>
      </c>
      <c r="D1014" t="s">
        <v>28</v>
      </c>
      <c r="E1014" t="s">
        <v>55</v>
      </c>
      <c r="F1014" t="str">
        <f>IF(BBDD_fashion_boutique[[#This Row],[category]]="Accessories","Accesorio",IF(BBDD_fashion_boutique[[#This Row],[size]]="","Desconocido",BBDD_fashion_boutique[[#This Row],[size]]))</f>
        <v>XXL</v>
      </c>
      <c r="G1014" t="s">
        <v>52</v>
      </c>
      <c r="H1014" s="2">
        <v>153.59</v>
      </c>
      <c r="I1014">
        <v>0</v>
      </c>
      <c r="J1014" s="5">
        <f>BBDD_fashion_boutique[[#This Row],[markdown_percentage]]/100</f>
        <v>0</v>
      </c>
      <c r="K1014" s="2">
        <v>153.59</v>
      </c>
      <c r="L1014" s="2">
        <f>BBDD_fashion_boutique[[#This Row],[original_price]]-BBDD_fashion_boutique[[#This Row],[current_price]]</f>
        <v>0</v>
      </c>
      <c r="M1014" s="1">
        <v>45875</v>
      </c>
      <c r="N1014" s="1" t="str">
        <f>PROPER(TEXT(BBDD_fashion_boutique[[#This Row],[purchase_date]],"dddd"))</f>
        <v>Miércoles</v>
      </c>
      <c r="O1014" s="1" t="str">
        <f>PROPER(TEXT(BBDD_fashion_boutique[[#This Row],[purchase_date]],"mmmm"))</f>
        <v>Agosto</v>
      </c>
      <c r="P1014" s="4">
        <v>31</v>
      </c>
      <c r="Q1014" s="2">
        <v>2.9</v>
      </c>
      <c r="R1014" t="str">
        <f>IF(BBDD_fashion_boutique[[#This Row],[stock_quantity]]&gt;9,"Ok",IF(BBDD_fashion_boutique[[#This Row],[stock_quantity]]=0,"Agotado","Pocas Unidades"))</f>
        <v>Ok</v>
      </c>
      <c r="S1014" s="3">
        <f>IF(BBDD_fashion_boutique[[#This Row],[customer_rating]]="","No valorado",BBDD_fashion_boutique[[#This Row],[customer_rating]])</f>
        <v>2.9</v>
      </c>
      <c r="T1014" t="s">
        <v>41</v>
      </c>
      <c r="U1014" t="s">
        <v>84</v>
      </c>
      <c r="V1014">
        <f>IF(BBDD_fashion_boutique[[#This Row],[is_returned]]="False",0,1)</f>
        <v>1</v>
      </c>
      <c r="W1014">
        <f>IF(BBDD_fashion_boutique[[#This Row],[is_returned]]="True",0,BBDD_fashion_boutique[[#This Row],[current_price]])</f>
        <v>0</v>
      </c>
      <c r="X1014" t="str">
        <f>IF(BBDD_fashion_boutique[[#This Row],[return_reason]]="","No return",BBDD_fashion_boutique[[#This Row],[return_reason]])</f>
        <v>Damaged</v>
      </c>
      <c r="Y1014">
        <f>IF(IFERROR(VLOOKUP(BBDD_fashion_boutique[[#This Row],[product_id]],A1015:A3190,1,FALSE),0),1,0)</f>
        <v>0</v>
      </c>
    </row>
    <row r="1015" spans="1:25" x14ac:dyDescent="0.3">
      <c r="A1015" t="s">
        <v>1074</v>
      </c>
      <c r="B1015" t="s">
        <v>35</v>
      </c>
      <c r="C1015" t="s">
        <v>49</v>
      </c>
      <c r="D1015" t="s">
        <v>28</v>
      </c>
      <c r="E1015" t="s">
        <v>22</v>
      </c>
      <c r="F1015" t="str">
        <f>IF(BBDD_fashion_boutique[[#This Row],[category]]="Accessories","Accesorio",IF(BBDD_fashion_boutique[[#This Row],[size]]="","Desconocido",BBDD_fashion_boutique[[#This Row],[size]]))</f>
        <v>XL</v>
      </c>
      <c r="G1015" t="s">
        <v>72</v>
      </c>
      <c r="H1015" s="2">
        <v>101.14</v>
      </c>
      <c r="I1015">
        <v>0</v>
      </c>
      <c r="J1015" s="5">
        <f>BBDD_fashion_boutique[[#This Row],[markdown_percentage]]/100</f>
        <v>0</v>
      </c>
      <c r="K1015" s="2">
        <v>101.14</v>
      </c>
      <c r="L1015" s="2">
        <f>BBDD_fashion_boutique[[#This Row],[original_price]]-BBDD_fashion_boutique[[#This Row],[current_price]]</f>
        <v>0</v>
      </c>
      <c r="M1015" s="1">
        <v>45875</v>
      </c>
      <c r="N1015" s="1" t="str">
        <f>PROPER(TEXT(BBDD_fashion_boutique[[#This Row],[purchase_date]],"dddd"))</f>
        <v>Miércoles</v>
      </c>
      <c r="O1015" s="1" t="str">
        <f>PROPER(TEXT(BBDD_fashion_boutique[[#This Row],[purchase_date]],"mmmm"))</f>
        <v>Agosto</v>
      </c>
      <c r="P1015" s="4">
        <v>43</v>
      </c>
      <c r="Q1015" s="2">
        <v>2.8</v>
      </c>
      <c r="R1015" t="str">
        <f>IF(BBDD_fashion_boutique[[#This Row],[stock_quantity]]&gt;9,"Ok",IF(BBDD_fashion_boutique[[#This Row],[stock_quantity]]=0,"Agotado","Pocas Unidades"))</f>
        <v>Ok</v>
      </c>
      <c r="S1015" s="3">
        <f>IF(BBDD_fashion_boutique[[#This Row],[customer_rating]]="","No valorado",BBDD_fashion_boutique[[#This Row],[customer_rating]])</f>
        <v>2.8</v>
      </c>
      <c r="T1015" t="s">
        <v>24</v>
      </c>
      <c r="V1015">
        <f>IF(BBDD_fashion_boutique[[#This Row],[is_returned]]="False",0,1)</f>
        <v>0</v>
      </c>
      <c r="W1015">
        <f>IF(BBDD_fashion_boutique[[#This Row],[is_returned]]="True",0,BBDD_fashion_boutique[[#This Row],[current_price]])</f>
        <v>101.14</v>
      </c>
      <c r="X1015" t="str">
        <f>IF(BBDD_fashion_boutique[[#This Row],[return_reason]]="","No return",BBDD_fashion_boutique[[#This Row],[return_reason]])</f>
        <v>No return</v>
      </c>
      <c r="Y1015">
        <f>IF(IFERROR(VLOOKUP(BBDD_fashion_boutique[[#This Row],[product_id]],A1016:A3191,1,FALSE),0),1,0)</f>
        <v>0</v>
      </c>
    </row>
    <row r="1016" spans="1:25" x14ac:dyDescent="0.3">
      <c r="A1016" t="s">
        <v>1075</v>
      </c>
      <c r="B1016" t="s">
        <v>44</v>
      </c>
      <c r="C1016" t="s">
        <v>59</v>
      </c>
      <c r="D1016" t="s">
        <v>21</v>
      </c>
      <c r="E1016" t="s">
        <v>55</v>
      </c>
      <c r="F1016" t="str">
        <f>IF(BBDD_fashion_boutique[[#This Row],[category]]="Accessories","Accesorio",IF(BBDD_fashion_boutique[[#This Row],[size]]="","Desconocido",BBDD_fashion_boutique[[#This Row],[size]]))</f>
        <v>XXL</v>
      </c>
      <c r="G1016" t="s">
        <v>76</v>
      </c>
      <c r="H1016" s="2">
        <v>43.89</v>
      </c>
      <c r="I1016">
        <v>15.6</v>
      </c>
      <c r="J1016" s="5">
        <f>BBDD_fashion_boutique[[#This Row],[markdown_percentage]]/100</f>
        <v>0.156</v>
      </c>
      <c r="K1016" s="2">
        <v>37.04</v>
      </c>
      <c r="L1016" s="2">
        <f>BBDD_fashion_boutique[[#This Row],[original_price]]-BBDD_fashion_boutique[[#This Row],[current_price]]</f>
        <v>6.8500000000000014</v>
      </c>
      <c r="M1016" s="1">
        <v>45777</v>
      </c>
      <c r="N1016" s="1" t="str">
        <f>PROPER(TEXT(BBDD_fashion_boutique[[#This Row],[purchase_date]],"dddd"))</f>
        <v>Miércoles</v>
      </c>
      <c r="O1016" s="1" t="str">
        <f>PROPER(TEXT(BBDD_fashion_boutique[[#This Row],[purchase_date]],"mmmm"))</f>
        <v>Abril</v>
      </c>
      <c r="P1016" s="4">
        <v>31</v>
      </c>
      <c r="Q1016" s="2">
        <v>1.7</v>
      </c>
      <c r="R1016" t="str">
        <f>IF(BBDD_fashion_boutique[[#This Row],[stock_quantity]]&gt;9,"Ok",IF(BBDD_fashion_boutique[[#This Row],[stock_quantity]]=0,"Agotado","Pocas Unidades"))</f>
        <v>Ok</v>
      </c>
      <c r="S1016" s="3">
        <f>IF(BBDD_fashion_boutique[[#This Row],[customer_rating]]="","No valorado",BBDD_fashion_boutique[[#This Row],[customer_rating]])</f>
        <v>1.7</v>
      </c>
      <c r="T1016" t="s">
        <v>41</v>
      </c>
      <c r="U1016" t="s">
        <v>131</v>
      </c>
      <c r="V1016">
        <f>IF(BBDD_fashion_boutique[[#This Row],[is_returned]]="False",0,1)</f>
        <v>1</v>
      </c>
      <c r="W1016">
        <f>IF(BBDD_fashion_boutique[[#This Row],[is_returned]]="True",0,BBDD_fashion_boutique[[#This Row],[current_price]])</f>
        <v>0</v>
      </c>
      <c r="X1016" t="str">
        <f>IF(BBDD_fashion_boutique[[#This Row],[return_reason]]="","No return",BBDD_fashion_boutique[[#This Row],[return_reason]])</f>
        <v>Wrong Item</v>
      </c>
      <c r="Y1016">
        <f>IF(IFERROR(VLOOKUP(BBDD_fashion_boutique[[#This Row],[product_id]],A1017:A3192,1,FALSE),0),1,0)</f>
        <v>0</v>
      </c>
    </row>
    <row r="1017" spans="1:25" x14ac:dyDescent="0.3">
      <c r="A1017" t="s">
        <v>1076</v>
      </c>
      <c r="B1017" t="s">
        <v>19</v>
      </c>
      <c r="C1017" t="s">
        <v>20</v>
      </c>
      <c r="D1017" t="s">
        <v>28</v>
      </c>
      <c r="E1017" t="s">
        <v>45</v>
      </c>
      <c r="F1017" t="str">
        <f>IF(BBDD_fashion_boutique[[#This Row],[category]]="Accessories","Accesorio",IF(BBDD_fashion_boutique[[#This Row],[size]]="","Desconocido",BBDD_fashion_boutique[[#This Row],[size]]))</f>
        <v>S</v>
      </c>
      <c r="G1017" t="s">
        <v>46</v>
      </c>
      <c r="H1017" s="2">
        <v>130.16</v>
      </c>
      <c r="I1017">
        <v>47.5</v>
      </c>
      <c r="J1017" s="5">
        <f>BBDD_fashion_boutique[[#This Row],[markdown_percentage]]/100</f>
        <v>0.47499999999999998</v>
      </c>
      <c r="K1017" s="2">
        <v>68.33</v>
      </c>
      <c r="L1017" s="2">
        <f>BBDD_fashion_boutique[[#This Row],[original_price]]-BBDD_fashion_boutique[[#This Row],[current_price]]</f>
        <v>61.83</v>
      </c>
      <c r="M1017" s="1">
        <v>45875</v>
      </c>
      <c r="N1017" s="1" t="str">
        <f>PROPER(TEXT(BBDD_fashion_boutique[[#This Row],[purchase_date]],"dddd"))</f>
        <v>Miércoles</v>
      </c>
      <c r="O1017" s="1" t="str">
        <f>PROPER(TEXT(BBDD_fashion_boutique[[#This Row],[purchase_date]],"mmmm"))</f>
        <v>Agosto</v>
      </c>
      <c r="P1017" s="4">
        <v>21</v>
      </c>
      <c r="R1017" t="str">
        <f>IF(BBDD_fashion_boutique[[#This Row],[stock_quantity]]&gt;9,"Ok",IF(BBDD_fashion_boutique[[#This Row],[stock_quantity]]=0,"Agotado","Pocas Unidades"))</f>
        <v>Ok</v>
      </c>
      <c r="S1017" s="3" t="str">
        <f>IF(BBDD_fashion_boutique[[#This Row],[customer_rating]]="","No valorado",BBDD_fashion_boutique[[#This Row],[customer_rating]])</f>
        <v>No valorado</v>
      </c>
      <c r="T1017" t="s">
        <v>24</v>
      </c>
      <c r="V1017">
        <f>IF(BBDD_fashion_boutique[[#This Row],[is_returned]]="False",0,1)</f>
        <v>0</v>
      </c>
      <c r="W1017">
        <f>IF(BBDD_fashion_boutique[[#This Row],[is_returned]]="True",0,BBDD_fashion_boutique[[#This Row],[current_price]])</f>
        <v>68.33</v>
      </c>
      <c r="X1017" t="str">
        <f>IF(BBDD_fashion_boutique[[#This Row],[return_reason]]="","No return",BBDD_fashion_boutique[[#This Row],[return_reason]])</f>
        <v>No return</v>
      </c>
      <c r="Y1017">
        <f>IF(IFERROR(VLOOKUP(BBDD_fashion_boutique[[#This Row],[product_id]],A1018:A3193,1,FALSE),0),1,0)</f>
        <v>0</v>
      </c>
    </row>
    <row r="1018" spans="1:25" x14ac:dyDescent="0.3">
      <c r="A1018" t="s">
        <v>1077</v>
      </c>
      <c r="B1018" t="s">
        <v>48</v>
      </c>
      <c r="C1018" t="s">
        <v>67</v>
      </c>
      <c r="D1018" t="s">
        <v>28</v>
      </c>
      <c r="E1018" t="s">
        <v>29</v>
      </c>
      <c r="F1018" t="str">
        <f>IF(BBDD_fashion_boutique[[#This Row],[category]]="Accessories","Accesorio",IF(BBDD_fashion_boutique[[#This Row],[size]]="","Desconocido",BBDD_fashion_boutique[[#This Row],[size]]))</f>
        <v>L</v>
      </c>
      <c r="G1018" t="s">
        <v>33</v>
      </c>
      <c r="H1018" s="2">
        <v>153.12</v>
      </c>
      <c r="I1018">
        <v>0</v>
      </c>
      <c r="J1018" s="5">
        <f>BBDD_fashion_boutique[[#This Row],[markdown_percentage]]/100</f>
        <v>0</v>
      </c>
      <c r="K1018" s="2">
        <v>153.12</v>
      </c>
      <c r="L1018" s="2">
        <f>BBDD_fashion_boutique[[#This Row],[original_price]]-BBDD_fashion_boutique[[#This Row],[current_price]]</f>
        <v>0</v>
      </c>
      <c r="M1018" s="1">
        <v>45875</v>
      </c>
      <c r="N1018" s="1" t="str">
        <f>PROPER(TEXT(BBDD_fashion_boutique[[#This Row],[purchase_date]],"dddd"))</f>
        <v>Miércoles</v>
      </c>
      <c r="O1018" s="1" t="str">
        <f>PROPER(TEXT(BBDD_fashion_boutique[[#This Row],[purchase_date]],"mmmm"))</f>
        <v>Agosto</v>
      </c>
      <c r="P1018" s="4">
        <v>27</v>
      </c>
      <c r="Q1018" s="2">
        <v>3.3</v>
      </c>
      <c r="R1018" t="str">
        <f>IF(BBDD_fashion_boutique[[#This Row],[stock_quantity]]&gt;9,"Ok",IF(BBDD_fashion_boutique[[#This Row],[stock_quantity]]=0,"Agotado","Pocas Unidades"))</f>
        <v>Ok</v>
      </c>
      <c r="S1018" s="3">
        <f>IF(BBDD_fashion_boutique[[#This Row],[customer_rating]]="","No valorado",BBDD_fashion_boutique[[#This Row],[customer_rating]])</f>
        <v>3.3</v>
      </c>
      <c r="T1018" t="s">
        <v>24</v>
      </c>
      <c r="V1018">
        <f>IF(BBDD_fashion_boutique[[#This Row],[is_returned]]="False",0,1)</f>
        <v>0</v>
      </c>
      <c r="W1018">
        <f>IF(BBDD_fashion_boutique[[#This Row],[is_returned]]="True",0,BBDD_fashion_boutique[[#This Row],[current_price]])</f>
        <v>153.12</v>
      </c>
      <c r="X1018" t="str">
        <f>IF(BBDD_fashion_boutique[[#This Row],[return_reason]]="","No return",BBDD_fashion_boutique[[#This Row],[return_reason]])</f>
        <v>No return</v>
      </c>
      <c r="Y1018">
        <f>IF(IFERROR(VLOOKUP(BBDD_fashion_boutique[[#This Row],[product_id]],A1019:A3194,1,FALSE),0),1,0)</f>
        <v>0</v>
      </c>
    </row>
    <row r="1019" spans="1:25" x14ac:dyDescent="0.3">
      <c r="A1019" t="s">
        <v>1078</v>
      </c>
      <c r="B1019" t="s">
        <v>26</v>
      </c>
      <c r="C1019" t="s">
        <v>81</v>
      </c>
      <c r="D1019" t="s">
        <v>68</v>
      </c>
      <c r="E1019" t="s">
        <v>55</v>
      </c>
      <c r="F1019" t="str">
        <f>IF(BBDD_fashion_boutique[[#This Row],[category]]="Accessories","Accesorio",IF(BBDD_fashion_boutique[[#This Row],[size]]="","Desconocido",BBDD_fashion_boutique[[#This Row],[size]]))</f>
        <v>XXL</v>
      </c>
      <c r="G1019" t="s">
        <v>50</v>
      </c>
      <c r="H1019" s="2">
        <v>37.119999999999997</v>
      </c>
      <c r="I1019">
        <v>12.1</v>
      </c>
      <c r="J1019" s="5">
        <f>BBDD_fashion_boutique[[#This Row],[markdown_percentage]]/100</f>
        <v>0.121</v>
      </c>
      <c r="K1019" s="2">
        <v>32.630000000000003</v>
      </c>
      <c r="L1019" s="2">
        <f>BBDD_fashion_boutique[[#This Row],[original_price]]-BBDD_fashion_boutique[[#This Row],[current_price]]</f>
        <v>4.4899999999999949</v>
      </c>
      <c r="M1019" s="1">
        <v>45875</v>
      </c>
      <c r="N1019" s="1" t="str">
        <f>PROPER(TEXT(BBDD_fashion_boutique[[#This Row],[purchase_date]],"dddd"))</f>
        <v>Miércoles</v>
      </c>
      <c r="O1019" s="1" t="str">
        <f>PROPER(TEXT(BBDD_fashion_boutique[[#This Row],[purchase_date]],"mmmm"))</f>
        <v>Agosto</v>
      </c>
      <c r="P1019" s="4">
        <v>43</v>
      </c>
      <c r="Q1019" s="2">
        <v>3.2</v>
      </c>
      <c r="R1019" t="str">
        <f>IF(BBDD_fashion_boutique[[#This Row],[stock_quantity]]&gt;9,"Ok",IF(BBDD_fashion_boutique[[#This Row],[stock_quantity]]=0,"Agotado","Pocas Unidades"))</f>
        <v>Ok</v>
      </c>
      <c r="S1019" s="3">
        <f>IF(BBDD_fashion_boutique[[#This Row],[customer_rating]]="","No valorado",BBDD_fashion_boutique[[#This Row],[customer_rating]])</f>
        <v>3.2</v>
      </c>
      <c r="T1019" t="s">
        <v>24</v>
      </c>
      <c r="V1019">
        <f>IF(BBDD_fashion_boutique[[#This Row],[is_returned]]="False",0,1)</f>
        <v>0</v>
      </c>
      <c r="W1019">
        <f>IF(BBDD_fashion_boutique[[#This Row],[is_returned]]="True",0,BBDD_fashion_boutique[[#This Row],[current_price]])</f>
        <v>32.630000000000003</v>
      </c>
      <c r="X1019" t="str">
        <f>IF(BBDD_fashion_boutique[[#This Row],[return_reason]]="","No return",BBDD_fashion_boutique[[#This Row],[return_reason]])</f>
        <v>No return</v>
      </c>
      <c r="Y1019">
        <f>IF(IFERROR(VLOOKUP(BBDD_fashion_boutique[[#This Row],[product_id]],A1020:A3195,1,FALSE),0),1,0)</f>
        <v>0</v>
      </c>
    </row>
    <row r="1020" spans="1:25" x14ac:dyDescent="0.3">
      <c r="A1020" t="s">
        <v>1079</v>
      </c>
      <c r="B1020" t="s">
        <v>26</v>
      </c>
      <c r="C1020" t="s">
        <v>49</v>
      </c>
      <c r="D1020" t="s">
        <v>68</v>
      </c>
      <c r="E1020" t="s">
        <v>55</v>
      </c>
      <c r="F1020" t="str">
        <f>IF(BBDD_fashion_boutique[[#This Row],[category]]="Accessories","Accesorio",IF(BBDD_fashion_boutique[[#This Row],[size]]="","Desconocido",BBDD_fashion_boutique[[#This Row],[size]]))</f>
        <v>XXL</v>
      </c>
      <c r="G1020" t="s">
        <v>72</v>
      </c>
      <c r="H1020" s="2">
        <v>41.05</v>
      </c>
      <c r="I1020">
        <v>0</v>
      </c>
      <c r="J1020" s="5">
        <f>BBDD_fashion_boutique[[#This Row],[markdown_percentage]]/100</f>
        <v>0</v>
      </c>
      <c r="K1020" s="2">
        <v>41.05</v>
      </c>
      <c r="L1020" s="2">
        <f>BBDD_fashion_boutique[[#This Row],[original_price]]-BBDD_fashion_boutique[[#This Row],[current_price]]</f>
        <v>0</v>
      </c>
      <c r="M1020" s="1">
        <v>45875</v>
      </c>
      <c r="N1020" s="1" t="str">
        <f>PROPER(TEXT(BBDD_fashion_boutique[[#This Row],[purchase_date]],"dddd"))</f>
        <v>Miércoles</v>
      </c>
      <c r="O1020" s="1" t="str">
        <f>PROPER(TEXT(BBDD_fashion_boutique[[#This Row],[purchase_date]],"mmmm"))</f>
        <v>Agosto</v>
      </c>
      <c r="P1020" s="4">
        <v>24</v>
      </c>
      <c r="R1020" t="str">
        <f>IF(BBDD_fashion_boutique[[#This Row],[stock_quantity]]&gt;9,"Ok",IF(BBDD_fashion_boutique[[#This Row],[stock_quantity]]=0,"Agotado","Pocas Unidades"))</f>
        <v>Ok</v>
      </c>
      <c r="S1020" s="3" t="str">
        <f>IF(BBDD_fashion_boutique[[#This Row],[customer_rating]]="","No valorado",BBDD_fashion_boutique[[#This Row],[customer_rating]])</f>
        <v>No valorado</v>
      </c>
      <c r="T1020" t="s">
        <v>24</v>
      </c>
      <c r="V1020">
        <f>IF(BBDD_fashion_boutique[[#This Row],[is_returned]]="False",0,1)</f>
        <v>0</v>
      </c>
      <c r="W1020">
        <f>IF(BBDD_fashion_boutique[[#This Row],[is_returned]]="True",0,BBDD_fashion_boutique[[#This Row],[current_price]])</f>
        <v>41.05</v>
      </c>
      <c r="X1020" t="str">
        <f>IF(BBDD_fashion_boutique[[#This Row],[return_reason]]="","No return",BBDD_fashion_boutique[[#This Row],[return_reason]])</f>
        <v>No return</v>
      </c>
      <c r="Y1020">
        <f>IF(IFERROR(VLOOKUP(BBDD_fashion_boutique[[#This Row],[product_id]],A1021:A3196,1,FALSE),0),1,0)</f>
        <v>0</v>
      </c>
    </row>
    <row r="1021" spans="1:25" x14ac:dyDescent="0.3">
      <c r="A1021" t="s">
        <v>1080</v>
      </c>
      <c r="B1021" t="s">
        <v>35</v>
      </c>
      <c r="C1021" t="s">
        <v>81</v>
      </c>
      <c r="D1021" t="s">
        <v>39</v>
      </c>
      <c r="E1021" t="s">
        <v>64</v>
      </c>
      <c r="F1021" t="str">
        <f>IF(BBDD_fashion_boutique[[#This Row],[category]]="Accessories","Accesorio",IF(BBDD_fashion_boutique[[#This Row],[size]]="","Desconocido",BBDD_fashion_boutique[[#This Row],[size]]))</f>
        <v>M</v>
      </c>
      <c r="G1021" t="s">
        <v>70</v>
      </c>
      <c r="H1021" s="2">
        <v>61.04</v>
      </c>
      <c r="I1021">
        <v>0</v>
      </c>
      <c r="J1021" s="5">
        <f>BBDD_fashion_boutique[[#This Row],[markdown_percentage]]/100</f>
        <v>0</v>
      </c>
      <c r="K1021" s="2">
        <v>61.04</v>
      </c>
      <c r="L1021" s="2">
        <f>BBDD_fashion_boutique[[#This Row],[original_price]]-BBDD_fashion_boutique[[#This Row],[current_price]]</f>
        <v>0</v>
      </c>
      <c r="M1021" s="1">
        <v>45875</v>
      </c>
      <c r="N1021" s="1" t="str">
        <f>PROPER(TEXT(BBDD_fashion_boutique[[#This Row],[purchase_date]],"dddd"))</f>
        <v>Miércoles</v>
      </c>
      <c r="O1021" s="1" t="str">
        <f>PROPER(TEXT(BBDD_fashion_boutique[[#This Row],[purchase_date]],"mmmm"))</f>
        <v>Agosto</v>
      </c>
      <c r="P1021" s="4">
        <v>43</v>
      </c>
      <c r="Q1021" s="2">
        <v>1.9</v>
      </c>
      <c r="R1021" t="str">
        <f>IF(BBDD_fashion_boutique[[#This Row],[stock_quantity]]&gt;9,"Ok",IF(BBDD_fashion_boutique[[#This Row],[stock_quantity]]=0,"Agotado","Pocas Unidades"))</f>
        <v>Ok</v>
      </c>
      <c r="S1021" s="3">
        <f>IF(BBDD_fashion_boutique[[#This Row],[customer_rating]]="","No valorado",BBDD_fashion_boutique[[#This Row],[customer_rating]])</f>
        <v>1.9</v>
      </c>
      <c r="T1021" t="s">
        <v>24</v>
      </c>
      <c r="V1021">
        <f>IF(BBDD_fashion_boutique[[#This Row],[is_returned]]="False",0,1)</f>
        <v>0</v>
      </c>
      <c r="W1021">
        <f>IF(BBDD_fashion_boutique[[#This Row],[is_returned]]="True",0,BBDD_fashion_boutique[[#This Row],[current_price]])</f>
        <v>61.04</v>
      </c>
      <c r="X1021" t="str">
        <f>IF(BBDD_fashion_boutique[[#This Row],[return_reason]]="","No return",BBDD_fashion_boutique[[#This Row],[return_reason]])</f>
        <v>No return</v>
      </c>
      <c r="Y1021">
        <f>IF(IFERROR(VLOOKUP(BBDD_fashion_boutique[[#This Row],[product_id]],A1022:A3197,1,FALSE),0),1,0)</f>
        <v>0</v>
      </c>
    </row>
    <row r="1022" spans="1:25" x14ac:dyDescent="0.3">
      <c r="A1022" t="s">
        <v>1081</v>
      </c>
      <c r="B1022" t="s">
        <v>26</v>
      </c>
      <c r="C1022" t="s">
        <v>59</v>
      </c>
      <c r="D1022" t="s">
        <v>68</v>
      </c>
      <c r="E1022" t="s">
        <v>45</v>
      </c>
      <c r="F1022" t="str">
        <f>IF(BBDD_fashion_boutique[[#This Row],[category]]="Accessories","Accesorio",IF(BBDD_fashion_boutique[[#This Row],[size]]="","Desconocido",BBDD_fashion_boutique[[#This Row],[size]]))</f>
        <v>S</v>
      </c>
      <c r="G1022" t="s">
        <v>33</v>
      </c>
      <c r="H1022" s="2">
        <v>97.17</v>
      </c>
      <c r="I1022">
        <v>0</v>
      </c>
      <c r="J1022" s="5">
        <f>BBDD_fashion_boutique[[#This Row],[markdown_percentage]]/100</f>
        <v>0</v>
      </c>
      <c r="K1022" s="2">
        <v>97.17</v>
      </c>
      <c r="L1022" s="2">
        <f>BBDD_fashion_boutique[[#This Row],[original_price]]-BBDD_fashion_boutique[[#This Row],[current_price]]</f>
        <v>0</v>
      </c>
      <c r="M1022" s="1">
        <v>45875</v>
      </c>
      <c r="N1022" s="1" t="str">
        <f>PROPER(TEXT(BBDD_fashion_boutique[[#This Row],[purchase_date]],"dddd"))</f>
        <v>Miércoles</v>
      </c>
      <c r="O1022" s="1" t="str">
        <f>PROPER(TEXT(BBDD_fashion_boutique[[#This Row],[purchase_date]],"mmmm"))</f>
        <v>Agosto</v>
      </c>
      <c r="P1022" s="4">
        <v>35</v>
      </c>
      <c r="Q1022" s="2">
        <v>3</v>
      </c>
      <c r="R1022" t="str">
        <f>IF(BBDD_fashion_boutique[[#This Row],[stock_quantity]]&gt;9,"Ok",IF(BBDD_fashion_boutique[[#This Row],[stock_quantity]]=0,"Agotado","Pocas Unidades"))</f>
        <v>Ok</v>
      </c>
      <c r="S1022" s="3">
        <f>IF(BBDD_fashion_boutique[[#This Row],[customer_rating]]="","No valorado",BBDD_fashion_boutique[[#This Row],[customer_rating]])</f>
        <v>3</v>
      </c>
      <c r="T1022" t="s">
        <v>24</v>
      </c>
      <c r="V1022">
        <f>IF(BBDD_fashion_boutique[[#This Row],[is_returned]]="False",0,1)</f>
        <v>0</v>
      </c>
      <c r="W1022">
        <f>IF(BBDD_fashion_boutique[[#This Row],[is_returned]]="True",0,BBDD_fashion_boutique[[#This Row],[current_price]])</f>
        <v>97.17</v>
      </c>
      <c r="X1022" t="str">
        <f>IF(BBDD_fashion_boutique[[#This Row],[return_reason]]="","No return",BBDD_fashion_boutique[[#This Row],[return_reason]])</f>
        <v>No return</v>
      </c>
      <c r="Y1022">
        <f>IF(IFERROR(VLOOKUP(BBDD_fashion_boutique[[#This Row],[product_id]],A1023:A3198,1,FALSE),0),1,0)</f>
        <v>0</v>
      </c>
    </row>
    <row r="1023" spans="1:25" x14ac:dyDescent="0.3">
      <c r="A1023" t="s">
        <v>1082</v>
      </c>
      <c r="B1023" t="s">
        <v>32</v>
      </c>
      <c r="C1023" t="s">
        <v>27</v>
      </c>
      <c r="D1023" t="s">
        <v>68</v>
      </c>
      <c r="F1023" t="str">
        <f>IF(BBDD_fashion_boutique[[#This Row],[category]]="Accessories","Accesorio",IF(BBDD_fashion_boutique[[#This Row],[size]]="","Desconocido",BBDD_fashion_boutique[[#This Row],[size]]))</f>
        <v>Accesorio</v>
      </c>
      <c r="G1023" t="s">
        <v>23</v>
      </c>
      <c r="H1023" s="2">
        <v>63.45</v>
      </c>
      <c r="I1023">
        <v>0</v>
      </c>
      <c r="J1023" s="5">
        <f>BBDD_fashion_boutique[[#This Row],[markdown_percentage]]/100</f>
        <v>0</v>
      </c>
      <c r="K1023" s="2">
        <v>63.45</v>
      </c>
      <c r="L1023" s="2">
        <f>BBDD_fashion_boutique[[#This Row],[original_price]]-BBDD_fashion_boutique[[#This Row],[current_price]]</f>
        <v>0</v>
      </c>
      <c r="M1023" s="1">
        <v>45875</v>
      </c>
      <c r="N1023" s="1" t="str">
        <f>PROPER(TEXT(BBDD_fashion_boutique[[#This Row],[purchase_date]],"dddd"))</f>
        <v>Miércoles</v>
      </c>
      <c r="O1023" s="1" t="str">
        <f>PROPER(TEXT(BBDD_fashion_boutique[[#This Row],[purchase_date]],"mmmm"))</f>
        <v>Agosto</v>
      </c>
      <c r="P1023" s="4">
        <v>4</v>
      </c>
      <c r="Q1023" s="2">
        <v>3.9</v>
      </c>
      <c r="R1023" t="str">
        <f>IF(BBDD_fashion_boutique[[#This Row],[stock_quantity]]&gt;9,"Ok",IF(BBDD_fashion_boutique[[#This Row],[stock_quantity]]=0,"Agotado","Pocas Unidades"))</f>
        <v>Pocas Unidades</v>
      </c>
      <c r="S1023" s="3">
        <f>IF(BBDD_fashion_boutique[[#This Row],[customer_rating]]="","No valorado",BBDD_fashion_boutique[[#This Row],[customer_rating]])</f>
        <v>3.9</v>
      </c>
      <c r="T1023" t="s">
        <v>24</v>
      </c>
      <c r="V1023">
        <f>IF(BBDD_fashion_boutique[[#This Row],[is_returned]]="False",0,1)</f>
        <v>0</v>
      </c>
      <c r="W1023">
        <f>IF(BBDD_fashion_boutique[[#This Row],[is_returned]]="True",0,BBDD_fashion_boutique[[#This Row],[current_price]])</f>
        <v>63.45</v>
      </c>
      <c r="X1023" t="str">
        <f>IF(BBDD_fashion_boutique[[#This Row],[return_reason]]="","No return",BBDD_fashion_boutique[[#This Row],[return_reason]])</f>
        <v>No return</v>
      </c>
      <c r="Y1023">
        <f>IF(IFERROR(VLOOKUP(BBDD_fashion_boutique[[#This Row],[product_id]],A1024:A3199,1,FALSE),0),1,0)</f>
        <v>0</v>
      </c>
    </row>
    <row r="1024" spans="1:25" x14ac:dyDescent="0.3">
      <c r="A1024" t="s">
        <v>1083</v>
      </c>
      <c r="B1024" t="s">
        <v>26</v>
      </c>
      <c r="C1024" t="s">
        <v>49</v>
      </c>
      <c r="D1024" t="s">
        <v>39</v>
      </c>
      <c r="F1024" t="str">
        <f>IF(BBDD_fashion_boutique[[#This Row],[category]]="Accessories","Accesorio",IF(BBDD_fashion_boutique[[#This Row],[size]]="","Desconocido",BBDD_fashion_boutique[[#This Row],[size]]))</f>
        <v>Desconocido</v>
      </c>
      <c r="G1024" t="s">
        <v>46</v>
      </c>
      <c r="H1024" s="2">
        <v>117.39</v>
      </c>
      <c r="I1024">
        <v>0</v>
      </c>
      <c r="J1024" s="5">
        <f>BBDD_fashion_boutique[[#This Row],[markdown_percentage]]/100</f>
        <v>0</v>
      </c>
      <c r="K1024" s="2">
        <v>117.39</v>
      </c>
      <c r="L1024" s="2">
        <f>BBDD_fashion_boutique[[#This Row],[original_price]]-BBDD_fashion_boutique[[#This Row],[current_price]]</f>
        <v>0</v>
      </c>
      <c r="M1024" s="1">
        <v>45875</v>
      </c>
      <c r="N1024" s="1" t="str">
        <f>PROPER(TEXT(BBDD_fashion_boutique[[#This Row],[purchase_date]],"dddd"))</f>
        <v>Miércoles</v>
      </c>
      <c r="O1024" s="1" t="str">
        <f>PROPER(TEXT(BBDD_fashion_boutique[[#This Row],[purchase_date]],"mmmm"))</f>
        <v>Agosto</v>
      </c>
      <c r="P1024" s="4">
        <v>14</v>
      </c>
      <c r="Q1024" s="2">
        <v>3.2</v>
      </c>
      <c r="R1024" t="str">
        <f>IF(BBDD_fashion_boutique[[#This Row],[stock_quantity]]&gt;9,"Ok",IF(BBDD_fashion_boutique[[#This Row],[stock_quantity]]=0,"Agotado","Pocas Unidades"))</f>
        <v>Ok</v>
      </c>
      <c r="S1024" s="3">
        <f>IF(BBDD_fashion_boutique[[#This Row],[customer_rating]]="","No valorado",BBDD_fashion_boutique[[#This Row],[customer_rating]])</f>
        <v>3.2</v>
      </c>
      <c r="T1024" t="s">
        <v>24</v>
      </c>
      <c r="V1024">
        <f>IF(BBDD_fashion_boutique[[#This Row],[is_returned]]="False",0,1)</f>
        <v>0</v>
      </c>
      <c r="W1024">
        <f>IF(BBDD_fashion_boutique[[#This Row],[is_returned]]="True",0,BBDD_fashion_boutique[[#This Row],[current_price]])</f>
        <v>117.39</v>
      </c>
      <c r="X1024" t="str">
        <f>IF(BBDD_fashion_boutique[[#This Row],[return_reason]]="","No return",BBDD_fashion_boutique[[#This Row],[return_reason]])</f>
        <v>No return</v>
      </c>
      <c r="Y1024">
        <f>IF(IFERROR(VLOOKUP(BBDD_fashion_boutique[[#This Row],[product_id]],A1025:A3200,1,FALSE),0),1,0)</f>
        <v>0</v>
      </c>
    </row>
    <row r="1025" spans="1:25" x14ac:dyDescent="0.3">
      <c r="A1025" t="s">
        <v>1084</v>
      </c>
      <c r="B1025" t="s">
        <v>26</v>
      </c>
      <c r="C1025" t="s">
        <v>37</v>
      </c>
      <c r="D1025" t="s">
        <v>21</v>
      </c>
      <c r="E1025" t="s">
        <v>45</v>
      </c>
      <c r="F1025" t="str">
        <f>IF(BBDD_fashion_boutique[[#This Row],[category]]="Accessories","Accesorio",IF(BBDD_fashion_boutique[[#This Row],[size]]="","Desconocido",BBDD_fashion_boutique[[#This Row],[size]]))</f>
        <v>S</v>
      </c>
      <c r="G1025" t="s">
        <v>76</v>
      </c>
      <c r="H1025" s="2">
        <v>32.89</v>
      </c>
      <c r="I1025">
        <v>0</v>
      </c>
      <c r="J1025" s="5">
        <f>BBDD_fashion_boutique[[#This Row],[markdown_percentage]]/100</f>
        <v>0</v>
      </c>
      <c r="K1025" s="2">
        <v>32.89</v>
      </c>
      <c r="L1025" s="2">
        <f>BBDD_fashion_boutique[[#This Row],[original_price]]-BBDD_fashion_boutique[[#This Row],[current_price]]</f>
        <v>0</v>
      </c>
      <c r="M1025" s="1">
        <v>45846</v>
      </c>
      <c r="N1025" s="1" t="str">
        <f>PROPER(TEXT(BBDD_fashion_boutique[[#This Row],[purchase_date]],"dddd"))</f>
        <v>Martes</v>
      </c>
      <c r="O1025" s="1" t="str">
        <f>PROPER(TEXT(BBDD_fashion_boutique[[#This Row],[purchase_date]],"mmmm"))</f>
        <v>Julio</v>
      </c>
      <c r="P1025" s="4">
        <v>6</v>
      </c>
      <c r="Q1025" s="2">
        <v>4.5999999999999996</v>
      </c>
      <c r="R1025" t="str">
        <f>IF(BBDD_fashion_boutique[[#This Row],[stock_quantity]]&gt;9,"Ok",IF(BBDD_fashion_boutique[[#This Row],[stock_quantity]]=0,"Agotado","Pocas Unidades"))</f>
        <v>Pocas Unidades</v>
      </c>
      <c r="S1025" s="3">
        <f>IF(BBDD_fashion_boutique[[#This Row],[customer_rating]]="","No valorado",BBDD_fashion_boutique[[#This Row],[customer_rating]])</f>
        <v>4.5999999999999996</v>
      </c>
      <c r="T1025" t="s">
        <v>24</v>
      </c>
      <c r="V1025">
        <f>IF(BBDD_fashion_boutique[[#This Row],[is_returned]]="False",0,1)</f>
        <v>0</v>
      </c>
      <c r="W1025">
        <f>IF(BBDD_fashion_boutique[[#This Row],[is_returned]]="True",0,BBDD_fashion_boutique[[#This Row],[current_price]])</f>
        <v>32.89</v>
      </c>
      <c r="X1025" t="str">
        <f>IF(BBDD_fashion_boutique[[#This Row],[return_reason]]="","No return",BBDD_fashion_boutique[[#This Row],[return_reason]])</f>
        <v>No return</v>
      </c>
      <c r="Y1025">
        <f>IF(IFERROR(VLOOKUP(BBDD_fashion_boutique[[#This Row],[product_id]],A1026:A3201,1,FALSE),0),1,0)</f>
        <v>0</v>
      </c>
    </row>
    <row r="1026" spans="1:25" x14ac:dyDescent="0.3">
      <c r="A1026" t="s">
        <v>1085</v>
      </c>
      <c r="B1026" t="s">
        <v>44</v>
      </c>
      <c r="C1026" t="s">
        <v>59</v>
      </c>
      <c r="D1026" t="s">
        <v>21</v>
      </c>
      <c r="E1026" t="s">
        <v>29</v>
      </c>
      <c r="F1026" t="str">
        <f>IF(BBDD_fashion_boutique[[#This Row],[category]]="Accessories","Accesorio",IF(BBDD_fashion_boutique[[#This Row],[size]]="","Desconocido",BBDD_fashion_boutique[[#This Row],[size]]))</f>
        <v>L</v>
      </c>
      <c r="G1026" t="s">
        <v>50</v>
      </c>
      <c r="H1026" s="2">
        <v>102.6</v>
      </c>
      <c r="I1026">
        <v>38.6</v>
      </c>
      <c r="J1026" s="5">
        <f>BBDD_fashion_boutique[[#This Row],[markdown_percentage]]/100</f>
        <v>0.38600000000000001</v>
      </c>
      <c r="K1026" s="2">
        <v>63</v>
      </c>
      <c r="L1026" s="2">
        <f>BBDD_fashion_boutique[[#This Row],[original_price]]-BBDD_fashion_boutique[[#This Row],[current_price]]</f>
        <v>39.599999999999994</v>
      </c>
      <c r="M1026" s="1">
        <v>45787</v>
      </c>
      <c r="N1026" s="1" t="str">
        <f>PROPER(TEXT(BBDD_fashion_boutique[[#This Row],[purchase_date]],"dddd"))</f>
        <v>Sábado</v>
      </c>
      <c r="O1026" s="1" t="str">
        <f>PROPER(TEXT(BBDD_fashion_boutique[[#This Row],[purchase_date]],"mmmm"))</f>
        <v>Mayo</v>
      </c>
      <c r="P1026" s="4">
        <v>14</v>
      </c>
      <c r="Q1026" s="2">
        <v>4</v>
      </c>
      <c r="R1026" t="str">
        <f>IF(BBDD_fashion_boutique[[#This Row],[stock_quantity]]&gt;9,"Ok",IF(BBDD_fashion_boutique[[#This Row],[stock_quantity]]=0,"Agotado","Pocas Unidades"))</f>
        <v>Ok</v>
      </c>
      <c r="S1026" s="3">
        <f>IF(BBDD_fashion_boutique[[#This Row],[customer_rating]]="","No valorado",BBDD_fashion_boutique[[#This Row],[customer_rating]])</f>
        <v>4</v>
      </c>
      <c r="T1026" t="s">
        <v>24</v>
      </c>
      <c r="V1026">
        <f>IF(BBDD_fashion_boutique[[#This Row],[is_returned]]="False",0,1)</f>
        <v>0</v>
      </c>
      <c r="W1026">
        <f>IF(BBDD_fashion_boutique[[#This Row],[is_returned]]="True",0,BBDD_fashion_boutique[[#This Row],[current_price]])</f>
        <v>63</v>
      </c>
      <c r="X1026" t="str">
        <f>IF(BBDD_fashion_boutique[[#This Row],[return_reason]]="","No return",BBDD_fashion_boutique[[#This Row],[return_reason]])</f>
        <v>No return</v>
      </c>
      <c r="Y1026">
        <f>IF(IFERROR(VLOOKUP(BBDD_fashion_boutique[[#This Row],[product_id]],A1027:A3202,1,FALSE),0),1,0)</f>
        <v>0</v>
      </c>
    </row>
    <row r="1027" spans="1:25" x14ac:dyDescent="0.3">
      <c r="A1027" t="s">
        <v>1086</v>
      </c>
      <c r="B1027" t="s">
        <v>35</v>
      </c>
      <c r="C1027" t="s">
        <v>67</v>
      </c>
      <c r="D1027" t="s">
        <v>21</v>
      </c>
      <c r="E1027" t="s">
        <v>55</v>
      </c>
      <c r="F1027" t="str">
        <f>IF(BBDD_fashion_boutique[[#This Row],[category]]="Accessories","Accesorio",IF(BBDD_fashion_boutique[[#This Row],[size]]="","Desconocido",BBDD_fashion_boutique[[#This Row],[size]]))</f>
        <v>XXL</v>
      </c>
      <c r="G1027" t="s">
        <v>70</v>
      </c>
      <c r="H1027" s="2">
        <v>155.91999999999999</v>
      </c>
      <c r="I1027">
        <v>32.200000000000003</v>
      </c>
      <c r="J1027" s="5">
        <f>BBDD_fashion_boutique[[#This Row],[markdown_percentage]]/100</f>
        <v>0.32200000000000001</v>
      </c>
      <c r="K1027" s="2">
        <v>105.71</v>
      </c>
      <c r="L1027" s="2">
        <f>BBDD_fashion_boutique[[#This Row],[original_price]]-BBDD_fashion_boutique[[#This Row],[current_price]]</f>
        <v>50.209999999999994</v>
      </c>
      <c r="M1027" s="1">
        <v>45567</v>
      </c>
      <c r="N1027" s="1" t="str">
        <f>PROPER(TEXT(BBDD_fashion_boutique[[#This Row],[purchase_date]],"dddd"))</f>
        <v>Miércoles</v>
      </c>
      <c r="O1027" s="1" t="str">
        <f>PROPER(TEXT(BBDD_fashion_boutique[[#This Row],[purchase_date]],"mmmm"))</f>
        <v>Octubre</v>
      </c>
      <c r="P1027" s="4">
        <v>5</v>
      </c>
      <c r="Q1027" s="2">
        <v>2</v>
      </c>
      <c r="R1027" t="str">
        <f>IF(BBDD_fashion_boutique[[#This Row],[stock_quantity]]&gt;9,"Ok",IF(BBDD_fashion_boutique[[#This Row],[stock_quantity]]=0,"Agotado","Pocas Unidades"))</f>
        <v>Pocas Unidades</v>
      </c>
      <c r="S1027" s="3">
        <f>IF(BBDD_fashion_boutique[[#This Row],[customer_rating]]="","No valorado",BBDD_fashion_boutique[[#This Row],[customer_rating]])</f>
        <v>2</v>
      </c>
      <c r="T1027" t="s">
        <v>24</v>
      </c>
      <c r="V1027">
        <f>IF(BBDD_fashion_boutique[[#This Row],[is_returned]]="False",0,1)</f>
        <v>0</v>
      </c>
      <c r="W1027">
        <f>IF(BBDD_fashion_boutique[[#This Row],[is_returned]]="True",0,BBDD_fashion_boutique[[#This Row],[current_price]])</f>
        <v>105.71</v>
      </c>
      <c r="X1027" t="str">
        <f>IF(BBDD_fashion_boutique[[#This Row],[return_reason]]="","No return",BBDD_fashion_boutique[[#This Row],[return_reason]])</f>
        <v>No return</v>
      </c>
      <c r="Y1027">
        <f>IF(IFERROR(VLOOKUP(BBDD_fashion_boutique[[#This Row],[product_id]],A1028:A3203,1,FALSE),0),1,0)</f>
        <v>0</v>
      </c>
    </row>
    <row r="1028" spans="1:25" x14ac:dyDescent="0.3">
      <c r="A1028" t="s">
        <v>1087</v>
      </c>
      <c r="B1028" t="s">
        <v>19</v>
      </c>
      <c r="C1028" t="s">
        <v>67</v>
      </c>
      <c r="D1028" t="s">
        <v>39</v>
      </c>
      <c r="E1028" t="s">
        <v>29</v>
      </c>
      <c r="F1028" t="str">
        <f>IF(BBDD_fashion_boutique[[#This Row],[category]]="Accessories","Accesorio",IF(BBDD_fashion_boutique[[#This Row],[size]]="","Desconocido",BBDD_fashion_boutique[[#This Row],[size]]))</f>
        <v>L</v>
      </c>
      <c r="G1028" t="s">
        <v>72</v>
      </c>
      <c r="H1028" s="2">
        <v>178.39</v>
      </c>
      <c r="I1028">
        <v>0</v>
      </c>
      <c r="J1028" s="5">
        <f>BBDD_fashion_boutique[[#This Row],[markdown_percentage]]/100</f>
        <v>0</v>
      </c>
      <c r="K1028" s="2">
        <v>178.39</v>
      </c>
      <c r="L1028" s="2">
        <f>BBDD_fashion_boutique[[#This Row],[original_price]]-BBDD_fashion_boutique[[#This Row],[current_price]]</f>
        <v>0</v>
      </c>
      <c r="M1028" s="1">
        <v>45875</v>
      </c>
      <c r="N1028" s="1" t="str">
        <f>PROPER(TEXT(BBDD_fashion_boutique[[#This Row],[purchase_date]],"dddd"))</f>
        <v>Miércoles</v>
      </c>
      <c r="O1028" s="1" t="str">
        <f>PROPER(TEXT(BBDD_fashion_boutique[[#This Row],[purchase_date]],"mmmm"))</f>
        <v>Agosto</v>
      </c>
      <c r="P1028" s="4">
        <v>29</v>
      </c>
      <c r="Q1028" s="2">
        <v>4.2</v>
      </c>
      <c r="R1028" t="str">
        <f>IF(BBDD_fashion_boutique[[#This Row],[stock_quantity]]&gt;9,"Ok",IF(BBDD_fashion_boutique[[#This Row],[stock_quantity]]=0,"Agotado","Pocas Unidades"))</f>
        <v>Ok</v>
      </c>
      <c r="S1028" s="3">
        <f>IF(BBDD_fashion_boutique[[#This Row],[customer_rating]]="","No valorado",BBDD_fashion_boutique[[#This Row],[customer_rating]])</f>
        <v>4.2</v>
      </c>
      <c r="T1028" t="s">
        <v>24</v>
      </c>
      <c r="V1028">
        <f>IF(BBDD_fashion_boutique[[#This Row],[is_returned]]="False",0,1)</f>
        <v>0</v>
      </c>
      <c r="W1028">
        <f>IF(BBDD_fashion_boutique[[#This Row],[is_returned]]="True",0,BBDD_fashion_boutique[[#This Row],[current_price]])</f>
        <v>178.39</v>
      </c>
      <c r="X1028" t="str">
        <f>IF(BBDD_fashion_boutique[[#This Row],[return_reason]]="","No return",BBDD_fashion_boutique[[#This Row],[return_reason]])</f>
        <v>No return</v>
      </c>
      <c r="Y1028">
        <f>IF(IFERROR(VLOOKUP(BBDD_fashion_boutique[[#This Row],[product_id]],A1029:A3204,1,FALSE),0),1,0)</f>
        <v>0</v>
      </c>
    </row>
    <row r="1029" spans="1:25" x14ac:dyDescent="0.3">
      <c r="A1029" t="s">
        <v>1088</v>
      </c>
      <c r="B1029" t="s">
        <v>19</v>
      </c>
      <c r="C1029" t="s">
        <v>54</v>
      </c>
      <c r="D1029" t="s">
        <v>21</v>
      </c>
      <c r="E1029" t="s">
        <v>22</v>
      </c>
      <c r="F1029" t="str">
        <f>IF(BBDD_fashion_boutique[[#This Row],[category]]="Accessories","Accesorio",IF(BBDD_fashion_boutique[[#This Row],[size]]="","Desconocido",BBDD_fashion_boutique[[#This Row],[size]]))</f>
        <v>XL</v>
      </c>
      <c r="G1029" t="s">
        <v>46</v>
      </c>
      <c r="H1029" s="2">
        <v>151.1</v>
      </c>
      <c r="I1029">
        <v>0</v>
      </c>
      <c r="J1029" s="5">
        <f>BBDD_fashion_boutique[[#This Row],[markdown_percentage]]/100</f>
        <v>0</v>
      </c>
      <c r="K1029" s="2">
        <v>151.1</v>
      </c>
      <c r="L1029" s="2">
        <f>BBDD_fashion_boutique[[#This Row],[original_price]]-BBDD_fashion_boutique[[#This Row],[current_price]]</f>
        <v>0</v>
      </c>
      <c r="M1029" s="1">
        <v>45738</v>
      </c>
      <c r="N1029" s="1" t="str">
        <f>PROPER(TEXT(BBDD_fashion_boutique[[#This Row],[purchase_date]],"dddd"))</f>
        <v>Sábado</v>
      </c>
      <c r="O1029" s="1" t="str">
        <f>PROPER(TEXT(BBDD_fashion_boutique[[#This Row],[purchase_date]],"mmmm"))</f>
        <v>Marzo</v>
      </c>
      <c r="P1029" s="4">
        <v>24</v>
      </c>
      <c r="Q1029" s="2">
        <v>2.4</v>
      </c>
      <c r="R1029" t="str">
        <f>IF(BBDD_fashion_boutique[[#This Row],[stock_quantity]]&gt;9,"Ok",IF(BBDD_fashion_boutique[[#This Row],[stock_quantity]]=0,"Agotado","Pocas Unidades"))</f>
        <v>Ok</v>
      </c>
      <c r="S1029" s="3">
        <f>IF(BBDD_fashion_boutique[[#This Row],[customer_rating]]="","No valorado",BBDD_fashion_boutique[[#This Row],[customer_rating]])</f>
        <v>2.4</v>
      </c>
      <c r="T1029" t="s">
        <v>24</v>
      </c>
      <c r="V1029">
        <f>IF(BBDD_fashion_boutique[[#This Row],[is_returned]]="False",0,1)</f>
        <v>0</v>
      </c>
      <c r="W1029">
        <f>IF(BBDD_fashion_boutique[[#This Row],[is_returned]]="True",0,BBDD_fashion_boutique[[#This Row],[current_price]])</f>
        <v>151.1</v>
      </c>
      <c r="X1029" t="str">
        <f>IF(BBDD_fashion_boutique[[#This Row],[return_reason]]="","No return",BBDD_fashion_boutique[[#This Row],[return_reason]])</f>
        <v>No return</v>
      </c>
      <c r="Y1029">
        <f>IF(IFERROR(VLOOKUP(BBDD_fashion_boutique[[#This Row],[product_id]],A1030:A3205,1,FALSE),0),1,0)</f>
        <v>0</v>
      </c>
    </row>
    <row r="1030" spans="1:25" x14ac:dyDescent="0.3">
      <c r="A1030" t="s">
        <v>1089</v>
      </c>
      <c r="B1030" t="s">
        <v>26</v>
      </c>
      <c r="C1030" t="s">
        <v>81</v>
      </c>
      <c r="D1030" t="s">
        <v>68</v>
      </c>
      <c r="E1030" t="s">
        <v>55</v>
      </c>
      <c r="F1030" t="str">
        <f>IF(BBDD_fashion_boutique[[#This Row],[category]]="Accessories","Accesorio",IF(BBDD_fashion_boutique[[#This Row],[size]]="","Desconocido",BBDD_fashion_boutique[[#This Row],[size]]))</f>
        <v>XXL</v>
      </c>
      <c r="G1030" t="s">
        <v>62</v>
      </c>
      <c r="H1030" s="2">
        <v>91.03</v>
      </c>
      <c r="I1030">
        <v>55.4</v>
      </c>
      <c r="J1030" s="5">
        <f>BBDD_fashion_boutique[[#This Row],[markdown_percentage]]/100</f>
        <v>0.55399999999999994</v>
      </c>
      <c r="K1030" s="2">
        <v>40.6</v>
      </c>
      <c r="L1030" s="2">
        <f>BBDD_fashion_boutique[[#This Row],[original_price]]-BBDD_fashion_boutique[[#This Row],[current_price]]</f>
        <v>50.43</v>
      </c>
      <c r="M1030" s="1">
        <v>45875</v>
      </c>
      <c r="N1030" s="1" t="str">
        <f>PROPER(TEXT(BBDD_fashion_boutique[[#This Row],[purchase_date]],"dddd"))</f>
        <v>Miércoles</v>
      </c>
      <c r="O1030" s="1" t="str">
        <f>PROPER(TEXT(BBDD_fashion_boutique[[#This Row],[purchase_date]],"mmmm"))</f>
        <v>Agosto</v>
      </c>
      <c r="P1030" s="4">
        <v>2</v>
      </c>
      <c r="Q1030" s="2">
        <v>2.5</v>
      </c>
      <c r="R1030" t="str">
        <f>IF(BBDD_fashion_boutique[[#This Row],[stock_quantity]]&gt;9,"Ok",IF(BBDD_fashion_boutique[[#This Row],[stock_quantity]]=0,"Agotado","Pocas Unidades"))</f>
        <v>Pocas Unidades</v>
      </c>
      <c r="S1030" s="3">
        <f>IF(BBDD_fashion_boutique[[#This Row],[customer_rating]]="","No valorado",BBDD_fashion_boutique[[#This Row],[customer_rating]])</f>
        <v>2.5</v>
      </c>
      <c r="T1030" t="s">
        <v>24</v>
      </c>
      <c r="V1030">
        <f>IF(BBDD_fashion_boutique[[#This Row],[is_returned]]="False",0,1)</f>
        <v>0</v>
      </c>
      <c r="W1030">
        <f>IF(BBDD_fashion_boutique[[#This Row],[is_returned]]="True",0,BBDD_fashion_boutique[[#This Row],[current_price]])</f>
        <v>40.6</v>
      </c>
      <c r="X1030" t="str">
        <f>IF(BBDD_fashion_boutique[[#This Row],[return_reason]]="","No return",BBDD_fashion_boutique[[#This Row],[return_reason]])</f>
        <v>No return</v>
      </c>
      <c r="Y1030">
        <f>IF(IFERROR(VLOOKUP(BBDD_fashion_boutique[[#This Row],[product_id]],A1031:A3206,1,FALSE),0),1,0)</f>
        <v>0</v>
      </c>
    </row>
    <row r="1031" spans="1:25" x14ac:dyDescent="0.3">
      <c r="A1031" t="s">
        <v>1090</v>
      </c>
      <c r="B1031" t="s">
        <v>26</v>
      </c>
      <c r="C1031" t="s">
        <v>54</v>
      </c>
      <c r="D1031" t="s">
        <v>39</v>
      </c>
      <c r="E1031" t="s">
        <v>64</v>
      </c>
      <c r="F1031" t="str">
        <f>IF(BBDD_fashion_boutique[[#This Row],[category]]="Accessories","Accesorio",IF(BBDD_fashion_boutique[[#This Row],[size]]="","Desconocido",BBDD_fashion_boutique[[#This Row],[size]]))</f>
        <v>M</v>
      </c>
      <c r="G1031" t="s">
        <v>46</v>
      </c>
      <c r="H1031" s="2">
        <v>89.03</v>
      </c>
      <c r="I1031">
        <v>41.3</v>
      </c>
      <c r="J1031" s="5">
        <f>BBDD_fashion_boutique[[#This Row],[markdown_percentage]]/100</f>
        <v>0.41299999999999998</v>
      </c>
      <c r="K1031" s="2">
        <v>52.26</v>
      </c>
      <c r="L1031" s="2">
        <f>BBDD_fashion_boutique[[#This Row],[original_price]]-BBDD_fashion_boutique[[#This Row],[current_price]]</f>
        <v>36.770000000000003</v>
      </c>
      <c r="M1031" s="1">
        <v>45875</v>
      </c>
      <c r="N1031" s="1" t="str">
        <f>PROPER(TEXT(BBDD_fashion_boutique[[#This Row],[purchase_date]],"dddd"))</f>
        <v>Miércoles</v>
      </c>
      <c r="O1031" s="1" t="str">
        <f>PROPER(TEXT(BBDD_fashion_boutique[[#This Row],[purchase_date]],"mmmm"))</f>
        <v>Agosto</v>
      </c>
      <c r="P1031" s="4">
        <v>50</v>
      </c>
      <c r="R1031" t="str">
        <f>IF(BBDD_fashion_boutique[[#This Row],[stock_quantity]]&gt;9,"Ok",IF(BBDD_fashion_boutique[[#This Row],[stock_quantity]]=0,"Agotado","Pocas Unidades"))</f>
        <v>Ok</v>
      </c>
      <c r="S1031" s="3" t="str">
        <f>IF(BBDD_fashion_boutique[[#This Row],[customer_rating]]="","No valorado",BBDD_fashion_boutique[[#This Row],[customer_rating]])</f>
        <v>No valorado</v>
      </c>
      <c r="T1031" t="s">
        <v>24</v>
      </c>
      <c r="V1031">
        <f>IF(BBDD_fashion_boutique[[#This Row],[is_returned]]="False",0,1)</f>
        <v>0</v>
      </c>
      <c r="W1031">
        <f>IF(BBDD_fashion_boutique[[#This Row],[is_returned]]="True",0,BBDD_fashion_boutique[[#This Row],[current_price]])</f>
        <v>52.26</v>
      </c>
      <c r="X1031" t="str">
        <f>IF(BBDD_fashion_boutique[[#This Row],[return_reason]]="","No return",BBDD_fashion_boutique[[#This Row],[return_reason]])</f>
        <v>No return</v>
      </c>
      <c r="Y1031">
        <f>IF(IFERROR(VLOOKUP(BBDD_fashion_boutique[[#This Row],[product_id]],A1032:A3207,1,FALSE),0),1,0)</f>
        <v>0</v>
      </c>
    </row>
    <row r="1032" spans="1:25" x14ac:dyDescent="0.3">
      <c r="A1032" t="s">
        <v>1091</v>
      </c>
      <c r="B1032" t="s">
        <v>48</v>
      </c>
      <c r="C1032" t="s">
        <v>59</v>
      </c>
      <c r="D1032" t="s">
        <v>68</v>
      </c>
      <c r="E1032" t="s">
        <v>45</v>
      </c>
      <c r="F1032" t="str">
        <f>IF(BBDD_fashion_boutique[[#This Row],[category]]="Accessories","Accesorio",IF(BBDD_fashion_boutique[[#This Row],[size]]="","Desconocido",BBDD_fashion_boutique[[#This Row],[size]]))</f>
        <v>S</v>
      </c>
      <c r="G1032" t="s">
        <v>52</v>
      </c>
      <c r="H1032" s="2">
        <v>147.58000000000001</v>
      </c>
      <c r="I1032">
        <v>0</v>
      </c>
      <c r="J1032" s="5">
        <f>BBDD_fashion_boutique[[#This Row],[markdown_percentage]]/100</f>
        <v>0</v>
      </c>
      <c r="K1032" s="2">
        <v>147.58000000000001</v>
      </c>
      <c r="L1032" s="2">
        <f>BBDD_fashion_boutique[[#This Row],[original_price]]-BBDD_fashion_boutique[[#This Row],[current_price]]</f>
        <v>0</v>
      </c>
      <c r="M1032" s="1">
        <v>45875</v>
      </c>
      <c r="N1032" s="1" t="str">
        <f>PROPER(TEXT(BBDD_fashion_boutique[[#This Row],[purchase_date]],"dddd"))</f>
        <v>Miércoles</v>
      </c>
      <c r="O1032" s="1" t="str">
        <f>PROPER(TEXT(BBDD_fashion_boutique[[#This Row],[purchase_date]],"mmmm"))</f>
        <v>Agosto</v>
      </c>
      <c r="P1032" s="4">
        <v>10</v>
      </c>
      <c r="Q1032" s="2">
        <v>4.3</v>
      </c>
      <c r="R1032" t="str">
        <f>IF(BBDD_fashion_boutique[[#This Row],[stock_quantity]]&gt;9,"Ok",IF(BBDD_fashion_boutique[[#This Row],[stock_quantity]]=0,"Agotado","Pocas Unidades"))</f>
        <v>Ok</v>
      </c>
      <c r="S1032" s="3">
        <f>IF(BBDD_fashion_boutique[[#This Row],[customer_rating]]="","No valorado",BBDD_fashion_boutique[[#This Row],[customer_rating]])</f>
        <v>4.3</v>
      </c>
      <c r="T1032" t="s">
        <v>24</v>
      </c>
      <c r="V1032">
        <f>IF(BBDD_fashion_boutique[[#This Row],[is_returned]]="False",0,1)</f>
        <v>0</v>
      </c>
      <c r="W1032">
        <f>IF(BBDD_fashion_boutique[[#This Row],[is_returned]]="True",0,BBDD_fashion_boutique[[#This Row],[current_price]])</f>
        <v>147.58000000000001</v>
      </c>
      <c r="X1032" t="str">
        <f>IF(BBDD_fashion_boutique[[#This Row],[return_reason]]="","No return",BBDD_fashion_boutique[[#This Row],[return_reason]])</f>
        <v>No return</v>
      </c>
      <c r="Y1032">
        <f>IF(IFERROR(VLOOKUP(BBDD_fashion_boutique[[#This Row],[product_id]],A1033:A3208,1,FALSE),0),1,0)</f>
        <v>0</v>
      </c>
    </row>
    <row r="1033" spans="1:25" x14ac:dyDescent="0.3">
      <c r="A1033" t="s">
        <v>1092</v>
      </c>
      <c r="B1033" t="s">
        <v>48</v>
      </c>
      <c r="C1033" t="s">
        <v>37</v>
      </c>
      <c r="D1033" t="s">
        <v>68</v>
      </c>
      <c r="E1033" t="s">
        <v>22</v>
      </c>
      <c r="F1033" t="str">
        <f>IF(BBDD_fashion_boutique[[#This Row],[category]]="Accessories","Accesorio",IF(BBDD_fashion_boutique[[#This Row],[size]]="","Desconocido",BBDD_fashion_boutique[[#This Row],[size]]))</f>
        <v>XL</v>
      </c>
      <c r="G1033" t="s">
        <v>50</v>
      </c>
      <c r="H1033" s="2">
        <v>79.98</v>
      </c>
      <c r="I1033">
        <v>0</v>
      </c>
      <c r="J1033" s="5">
        <f>BBDD_fashion_boutique[[#This Row],[markdown_percentage]]/100</f>
        <v>0</v>
      </c>
      <c r="K1033" s="2">
        <v>79.98</v>
      </c>
      <c r="L1033" s="2">
        <f>BBDD_fashion_boutique[[#This Row],[original_price]]-BBDD_fashion_boutique[[#This Row],[current_price]]</f>
        <v>0</v>
      </c>
      <c r="M1033" s="1">
        <v>45875</v>
      </c>
      <c r="N1033" s="1" t="str">
        <f>PROPER(TEXT(BBDD_fashion_boutique[[#This Row],[purchase_date]],"dddd"))</f>
        <v>Miércoles</v>
      </c>
      <c r="O1033" s="1" t="str">
        <f>PROPER(TEXT(BBDD_fashion_boutique[[#This Row],[purchase_date]],"mmmm"))</f>
        <v>Agosto</v>
      </c>
      <c r="P1033" s="4">
        <v>25</v>
      </c>
      <c r="Q1033" s="2">
        <v>1.5</v>
      </c>
      <c r="R1033" t="str">
        <f>IF(BBDD_fashion_boutique[[#This Row],[stock_quantity]]&gt;9,"Ok",IF(BBDD_fashion_boutique[[#This Row],[stock_quantity]]=0,"Agotado","Pocas Unidades"))</f>
        <v>Ok</v>
      </c>
      <c r="S1033" s="3">
        <f>IF(BBDD_fashion_boutique[[#This Row],[customer_rating]]="","No valorado",BBDD_fashion_boutique[[#This Row],[customer_rating]])</f>
        <v>1.5</v>
      </c>
      <c r="T1033" t="s">
        <v>24</v>
      </c>
      <c r="V1033">
        <f>IF(BBDD_fashion_boutique[[#This Row],[is_returned]]="False",0,1)</f>
        <v>0</v>
      </c>
      <c r="W1033">
        <f>IF(BBDD_fashion_boutique[[#This Row],[is_returned]]="True",0,BBDD_fashion_boutique[[#This Row],[current_price]])</f>
        <v>79.98</v>
      </c>
      <c r="X1033" t="str">
        <f>IF(BBDD_fashion_boutique[[#This Row],[return_reason]]="","No return",BBDD_fashion_boutique[[#This Row],[return_reason]])</f>
        <v>No return</v>
      </c>
      <c r="Y1033">
        <f>IF(IFERROR(VLOOKUP(BBDD_fashion_boutique[[#This Row],[product_id]],A1034:A3209,1,FALSE),0),1,0)</f>
        <v>0</v>
      </c>
    </row>
    <row r="1034" spans="1:25" x14ac:dyDescent="0.3">
      <c r="A1034" t="s">
        <v>1093</v>
      </c>
      <c r="B1034" t="s">
        <v>48</v>
      </c>
      <c r="C1034" t="s">
        <v>54</v>
      </c>
      <c r="D1034" t="s">
        <v>39</v>
      </c>
      <c r="E1034" t="s">
        <v>61</v>
      </c>
      <c r="F1034" t="str">
        <f>IF(BBDD_fashion_boutique[[#This Row],[category]]="Accessories","Accesorio",IF(BBDD_fashion_boutique[[#This Row],[size]]="","Desconocido",BBDD_fashion_boutique[[#This Row],[size]]))</f>
        <v>XS</v>
      </c>
      <c r="G1034" t="s">
        <v>62</v>
      </c>
      <c r="H1034" s="2">
        <v>86.38</v>
      </c>
      <c r="I1034">
        <v>0</v>
      </c>
      <c r="J1034" s="5">
        <f>BBDD_fashion_boutique[[#This Row],[markdown_percentage]]/100</f>
        <v>0</v>
      </c>
      <c r="K1034" s="2">
        <v>86.38</v>
      </c>
      <c r="L1034" s="2">
        <f>BBDD_fashion_boutique[[#This Row],[original_price]]-BBDD_fashion_boutique[[#This Row],[current_price]]</f>
        <v>0</v>
      </c>
      <c r="M1034" s="1">
        <v>45875</v>
      </c>
      <c r="N1034" s="1" t="str">
        <f>PROPER(TEXT(BBDD_fashion_boutique[[#This Row],[purchase_date]],"dddd"))</f>
        <v>Miércoles</v>
      </c>
      <c r="O1034" s="1" t="str">
        <f>PROPER(TEXT(BBDD_fashion_boutique[[#This Row],[purchase_date]],"mmmm"))</f>
        <v>Agosto</v>
      </c>
      <c r="P1034" s="4">
        <v>40</v>
      </c>
      <c r="Q1034" s="2">
        <v>2.7</v>
      </c>
      <c r="R1034" t="str">
        <f>IF(BBDD_fashion_boutique[[#This Row],[stock_quantity]]&gt;9,"Ok",IF(BBDD_fashion_boutique[[#This Row],[stock_quantity]]=0,"Agotado","Pocas Unidades"))</f>
        <v>Ok</v>
      </c>
      <c r="S1034" s="3">
        <f>IF(BBDD_fashion_boutique[[#This Row],[customer_rating]]="","No valorado",BBDD_fashion_boutique[[#This Row],[customer_rating]])</f>
        <v>2.7</v>
      </c>
      <c r="T1034" t="s">
        <v>24</v>
      </c>
      <c r="V1034">
        <f>IF(BBDD_fashion_boutique[[#This Row],[is_returned]]="False",0,1)</f>
        <v>0</v>
      </c>
      <c r="W1034">
        <f>IF(BBDD_fashion_boutique[[#This Row],[is_returned]]="True",0,BBDD_fashion_boutique[[#This Row],[current_price]])</f>
        <v>86.38</v>
      </c>
      <c r="X1034" t="str">
        <f>IF(BBDD_fashion_boutique[[#This Row],[return_reason]]="","No return",BBDD_fashion_boutique[[#This Row],[return_reason]])</f>
        <v>No return</v>
      </c>
      <c r="Y1034">
        <f>IF(IFERROR(VLOOKUP(BBDD_fashion_boutique[[#This Row],[product_id]],A1035:A3210,1,FALSE),0),1,0)</f>
        <v>0</v>
      </c>
    </row>
    <row r="1035" spans="1:25" x14ac:dyDescent="0.3">
      <c r="A1035" t="s">
        <v>1094</v>
      </c>
      <c r="B1035" t="s">
        <v>26</v>
      </c>
      <c r="C1035" t="s">
        <v>37</v>
      </c>
      <c r="D1035" t="s">
        <v>68</v>
      </c>
      <c r="E1035" t="s">
        <v>55</v>
      </c>
      <c r="F1035" t="str">
        <f>IF(BBDD_fashion_boutique[[#This Row],[category]]="Accessories","Accesorio",IF(BBDD_fashion_boutique[[#This Row],[size]]="","Desconocido",BBDD_fashion_boutique[[#This Row],[size]]))</f>
        <v>XXL</v>
      </c>
      <c r="G1035" t="s">
        <v>76</v>
      </c>
      <c r="H1035" s="2">
        <v>47.29</v>
      </c>
      <c r="I1035">
        <v>40.4</v>
      </c>
      <c r="J1035" s="5">
        <f>BBDD_fashion_boutique[[#This Row],[markdown_percentage]]/100</f>
        <v>0.40399999999999997</v>
      </c>
      <c r="K1035" s="2">
        <v>28.18</v>
      </c>
      <c r="L1035" s="2">
        <f>BBDD_fashion_boutique[[#This Row],[original_price]]-BBDD_fashion_boutique[[#This Row],[current_price]]</f>
        <v>19.11</v>
      </c>
      <c r="M1035" s="1">
        <v>45875</v>
      </c>
      <c r="N1035" s="1" t="str">
        <f>PROPER(TEXT(BBDD_fashion_boutique[[#This Row],[purchase_date]],"dddd"))</f>
        <v>Miércoles</v>
      </c>
      <c r="O1035" s="1" t="str">
        <f>PROPER(TEXT(BBDD_fashion_boutique[[#This Row],[purchase_date]],"mmmm"))</f>
        <v>Agosto</v>
      </c>
      <c r="P1035" s="4">
        <v>26</v>
      </c>
      <c r="Q1035" s="2">
        <v>4.4000000000000004</v>
      </c>
      <c r="R1035" t="str">
        <f>IF(BBDD_fashion_boutique[[#This Row],[stock_quantity]]&gt;9,"Ok",IF(BBDD_fashion_boutique[[#This Row],[stock_quantity]]=0,"Agotado","Pocas Unidades"))</f>
        <v>Ok</v>
      </c>
      <c r="S1035" s="3">
        <f>IF(BBDD_fashion_boutique[[#This Row],[customer_rating]]="","No valorado",BBDD_fashion_boutique[[#This Row],[customer_rating]])</f>
        <v>4.4000000000000004</v>
      </c>
      <c r="T1035" t="s">
        <v>24</v>
      </c>
      <c r="V1035">
        <f>IF(BBDD_fashion_boutique[[#This Row],[is_returned]]="False",0,1)</f>
        <v>0</v>
      </c>
      <c r="W1035">
        <f>IF(BBDD_fashion_boutique[[#This Row],[is_returned]]="True",0,BBDD_fashion_boutique[[#This Row],[current_price]])</f>
        <v>28.18</v>
      </c>
      <c r="X1035" t="str">
        <f>IF(BBDD_fashion_boutique[[#This Row],[return_reason]]="","No return",BBDD_fashion_boutique[[#This Row],[return_reason]])</f>
        <v>No return</v>
      </c>
      <c r="Y1035">
        <f>IF(IFERROR(VLOOKUP(BBDD_fashion_boutique[[#This Row],[product_id]],A1036:A3211,1,FALSE),0),1,0)</f>
        <v>0</v>
      </c>
    </row>
    <row r="1036" spans="1:25" x14ac:dyDescent="0.3">
      <c r="A1036" t="s">
        <v>1095</v>
      </c>
      <c r="B1036" t="s">
        <v>19</v>
      </c>
      <c r="C1036" t="s">
        <v>81</v>
      </c>
      <c r="D1036" t="s">
        <v>21</v>
      </c>
      <c r="E1036" t="s">
        <v>29</v>
      </c>
      <c r="F1036" t="str">
        <f>IF(BBDD_fashion_boutique[[#This Row],[category]]="Accessories","Accesorio",IF(BBDD_fashion_boutique[[#This Row],[size]]="","Desconocido",BBDD_fashion_boutique[[#This Row],[size]]))</f>
        <v>L</v>
      </c>
      <c r="G1036" t="s">
        <v>70</v>
      </c>
      <c r="H1036" s="2">
        <v>196.54</v>
      </c>
      <c r="I1036">
        <v>22.6</v>
      </c>
      <c r="J1036" s="5">
        <f>BBDD_fashion_boutique[[#This Row],[markdown_percentage]]/100</f>
        <v>0.22600000000000001</v>
      </c>
      <c r="K1036" s="2">
        <v>152.12</v>
      </c>
      <c r="L1036" s="2">
        <f>BBDD_fashion_boutique[[#This Row],[original_price]]-BBDD_fashion_boutique[[#This Row],[current_price]]</f>
        <v>44.419999999999987</v>
      </c>
      <c r="M1036" s="1">
        <v>45789</v>
      </c>
      <c r="N1036" s="1" t="str">
        <f>PROPER(TEXT(BBDD_fashion_boutique[[#This Row],[purchase_date]],"dddd"))</f>
        <v>Lunes</v>
      </c>
      <c r="O1036" s="1" t="str">
        <f>PROPER(TEXT(BBDD_fashion_boutique[[#This Row],[purchase_date]],"mmmm"))</f>
        <v>Mayo</v>
      </c>
      <c r="P1036" s="4">
        <v>33</v>
      </c>
      <c r="Q1036" s="2">
        <v>1.4</v>
      </c>
      <c r="R1036" t="str">
        <f>IF(BBDD_fashion_boutique[[#This Row],[stock_quantity]]&gt;9,"Ok",IF(BBDD_fashion_boutique[[#This Row],[stock_quantity]]=0,"Agotado","Pocas Unidades"))</f>
        <v>Ok</v>
      </c>
      <c r="S1036" s="3">
        <f>IF(BBDD_fashion_boutique[[#This Row],[customer_rating]]="","No valorado",BBDD_fashion_boutique[[#This Row],[customer_rating]])</f>
        <v>1.4</v>
      </c>
      <c r="T1036" t="s">
        <v>24</v>
      </c>
      <c r="V1036">
        <f>IF(BBDD_fashion_boutique[[#This Row],[is_returned]]="False",0,1)</f>
        <v>0</v>
      </c>
      <c r="W1036">
        <f>IF(BBDD_fashion_boutique[[#This Row],[is_returned]]="True",0,BBDD_fashion_boutique[[#This Row],[current_price]])</f>
        <v>152.12</v>
      </c>
      <c r="X1036" t="str">
        <f>IF(BBDD_fashion_boutique[[#This Row],[return_reason]]="","No return",BBDD_fashion_boutique[[#This Row],[return_reason]])</f>
        <v>No return</v>
      </c>
      <c r="Y1036">
        <f>IF(IFERROR(VLOOKUP(BBDD_fashion_boutique[[#This Row],[product_id]],A1037:A3212,1,FALSE),0),1,0)</f>
        <v>0</v>
      </c>
    </row>
    <row r="1037" spans="1:25" x14ac:dyDescent="0.3">
      <c r="A1037" t="s">
        <v>1096</v>
      </c>
      <c r="B1037" t="s">
        <v>26</v>
      </c>
      <c r="C1037" t="s">
        <v>20</v>
      </c>
      <c r="D1037" t="s">
        <v>21</v>
      </c>
      <c r="E1037" t="s">
        <v>55</v>
      </c>
      <c r="F1037" t="str">
        <f>IF(BBDD_fashion_boutique[[#This Row],[category]]="Accessories","Accesorio",IF(BBDD_fashion_boutique[[#This Row],[size]]="","Desconocido",BBDD_fashion_boutique[[#This Row],[size]]))</f>
        <v>XXL</v>
      </c>
      <c r="G1037" t="s">
        <v>46</v>
      </c>
      <c r="H1037" s="2">
        <v>72.72</v>
      </c>
      <c r="I1037">
        <v>0</v>
      </c>
      <c r="J1037" s="5">
        <f>BBDD_fashion_boutique[[#This Row],[markdown_percentage]]/100</f>
        <v>0</v>
      </c>
      <c r="K1037" s="2">
        <v>72.72</v>
      </c>
      <c r="L1037" s="2">
        <f>BBDD_fashion_boutique[[#This Row],[original_price]]-BBDD_fashion_boutique[[#This Row],[current_price]]</f>
        <v>0</v>
      </c>
      <c r="M1037" s="1">
        <v>45688</v>
      </c>
      <c r="N1037" s="1" t="str">
        <f>PROPER(TEXT(BBDD_fashion_boutique[[#This Row],[purchase_date]],"dddd"))</f>
        <v>Viernes</v>
      </c>
      <c r="O1037" s="1" t="str">
        <f>PROPER(TEXT(BBDD_fashion_boutique[[#This Row],[purchase_date]],"mmmm"))</f>
        <v>Enero</v>
      </c>
      <c r="P1037" s="4">
        <v>23</v>
      </c>
      <c r="Q1037" s="2">
        <v>1.6</v>
      </c>
      <c r="R1037" t="str">
        <f>IF(BBDD_fashion_boutique[[#This Row],[stock_quantity]]&gt;9,"Ok",IF(BBDD_fashion_boutique[[#This Row],[stock_quantity]]=0,"Agotado","Pocas Unidades"))</f>
        <v>Ok</v>
      </c>
      <c r="S1037" s="3">
        <f>IF(BBDD_fashion_boutique[[#This Row],[customer_rating]]="","No valorado",BBDD_fashion_boutique[[#This Row],[customer_rating]])</f>
        <v>1.6</v>
      </c>
      <c r="T1037" t="s">
        <v>24</v>
      </c>
      <c r="V1037">
        <f>IF(BBDD_fashion_boutique[[#This Row],[is_returned]]="False",0,1)</f>
        <v>0</v>
      </c>
      <c r="W1037">
        <f>IF(BBDD_fashion_boutique[[#This Row],[is_returned]]="True",0,BBDD_fashion_boutique[[#This Row],[current_price]])</f>
        <v>72.72</v>
      </c>
      <c r="X1037" t="str">
        <f>IF(BBDD_fashion_boutique[[#This Row],[return_reason]]="","No return",BBDD_fashion_boutique[[#This Row],[return_reason]])</f>
        <v>No return</v>
      </c>
      <c r="Y1037">
        <f>IF(IFERROR(VLOOKUP(BBDD_fashion_boutique[[#This Row],[product_id]],A1038:A3213,1,FALSE),0),1,0)</f>
        <v>0</v>
      </c>
    </row>
    <row r="1038" spans="1:25" x14ac:dyDescent="0.3">
      <c r="A1038" t="s">
        <v>1097</v>
      </c>
      <c r="B1038" t="s">
        <v>26</v>
      </c>
      <c r="C1038" t="s">
        <v>67</v>
      </c>
      <c r="D1038" t="s">
        <v>68</v>
      </c>
      <c r="E1038" t="s">
        <v>55</v>
      </c>
      <c r="F1038" t="str">
        <f>IF(BBDD_fashion_boutique[[#This Row],[category]]="Accessories","Accesorio",IF(BBDD_fashion_boutique[[#This Row],[size]]="","Desconocido",BBDD_fashion_boutique[[#This Row],[size]]))</f>
        <v>XXL</v>
      </c>
      <c r="G1038" t="s">
        <v>62</v>
      </c>
      <c r="H1038" s="2">
        <v>115.5</v>
      </c>
      <c r="I1038">
        <v>0</v>
      </c>
      <c r="J1038" s="5">
        <f>BBDD_fashion_boutique[[#This Row],[markdown_percentage]]/100</f>
        <v>0</v>
      </c>
      <c r="K1038" s="2">
        <v>115.5</v>
      </c>
      <c r="L1038" s="2">
        <f>BBDD_fashion_boutique[[#This Row],[original_price]]-BBDD_fashion_boutique[[#This Row],[current_price]]</f>
        <v>0</v>
      </c>
      <c r="M1038" s="1">
        <v>45875</v>
      </c>
      <c r="N1038" s="1" t="str">
        <f>PROPER(TEXT(BBDD_fashion_boutique[[#This Row],[purchase_date]],"dddd"))</f>
        <v>Miércoles</v>
      </c>
      <c r="O1038" s="1" t="str">
        <f>PROPER(TEXT(BBDD_fashion_boutique[[#This Row],[purchase_date]],"mmmm"))</f>
        <v>Agosto</v>
      </c>
      <c r="P1038" s="4">
        <v>36</v>
      </c>
      <c r="R1038" t="str">
        <f>IF(BBDD_fashion_boutique[[#This Row],[stock_quantity]]&gt;9,"Ok",IF(BBDD_fashion_boutique[[#This Row],[stock_quantity]]=0,"Agotado","Pocas Unidades"))</f>
        <v>Ok</v>
      </c>
      <c r="S1038" s="3" t="str">
        <f>IF(BBDD_fashion_boutique[[#This Row],[customer_rating]]="","No valorado",BBDD_fashion_boutique[[#This Row],[customer_rating]])</f>
        <v>No valorado</v>
      </c>
      <c r="T1038" t="s">
        <v>41</v>
      </c>
      <c r="U1038" t="s">
        <v>89</v>
      </c>
      <c r="V1038">
        <f>IF(BBDD_fashion_boutique[[#This Row],[is_returned]]="False",0,1)</f>
        <v>1</v>
      </c>
      <c r="W1038">
        <f>IF(BBDD_fashion_boutique[[#This Row],[is_returned]]="True",0,BBDD_fashion_boutique[[#This Row],[current_price]])</f>
        <v>0</v>
      </c>
      <c r="X1038" t="str">
        <f>IF(BBDD_fashion_boutique[[#This Row],[return_reason]]="","No return",BBDD_fashion_boutique[[#This Row],[return_reason]])</f>
        <v>Quality Issue</v>
      </c>
      <c r="Y1038">
        <f>IF(IFERROR(VLOOKUP(BBDD_fashion_boutique[[#This Row],[product_id]],A1039:A3214,1,FALSE),0),1,0)</f>
        <v>0</v>
      </c>
    </row>
    <row r="1039" spans="1:25" x14ac:dyDescent="0.3">
      <c r="A1039" t="s">
        <v>1098</v>
      </c>
      <c r="B1039" t="s">
        <v>32</v>
      </c>
      <c r="C1039" t="s">
        <v>54</v>
      </c>
      <c r="D1039" t="s">
        <v>68</v>
      </c>
      <c r="F1039" t="str">
        <f>IF(BBDD_fashion_boutique[[#This Row],[category]]="Accessories","Accesorio",IF(BBDD_fashion_boutique[[#This Row],[size]]="","Desconocido",BBDD_fashion_boutique[[#This Row],[size]]))</f>
        <v>Accesorio</v>
      </c>
      <c r="G1039" t="s">
        <v>46</v>
      </c>
      <c r="H1039" s="2">
        <v>68.22</v>
      </c>
      <c r="I1039">
        <v>8.1</v>
      </c>
      <c r="J1039" s="5">
        <f>BBDD_fashion_boutique[[#This Row],[markdown_percentage]]/100</f>
        <v>8.1000000000000003E-2</v>
      </c>
      <c r="K1039" s="2">
        <v>62.69</v>
      </c>
      <c r="L1039" s="2">
        <f>BBDD_fashion_boutique[[#This Row],[original_price]]-BBDD_fashion_boutique[[#This Row],[current_price]]</f>
        <v>5.5300000000000011</v>
      </c>
      <c r="M1039" s="1">
        <v>45875</v>
      </c>
      <c r="N1039" s="1" t="str">
        <f>PROPER(TEXT(BBDD_fashion_boutique[[#This Row],[purchase_date]],"dddd"))</f>
        <v>Miércoles</v>
      </c>
      <c r="O1039" s="1" t="str">
        <f>PROPER(TEXT(BBDD_fashion_boutique[[#This Row],[purchase_date]],"mmmm"))</f>
        <v>Agosto</v>
      </c>
      <c r="P1039" s="4">
        <v>28</v>
      </c>
      <c r="Q1039" s="2">
        <v>4</v>
      </c>
      <c r="R1039" t="str">
        <f>IF(BBDD_fashion_boutique[[#This Row],[stock_quantity]]&gt;9,"Ok",IF(BBDD_fashion_boutique[[#This Row],[stock_quantity]]=0,"Agotado","Pocas Unidades"))</f>
        <v>Ok</v>
      </c>
      <c r="S1039" s="3">
        <f>IF(BBDD_fashion_boutique[[#This Row],[customer_rating]]="","No valorado",BBDD_fashion_boutique[[#This Row],[customer_rating]])</f>
        <v>4</v>
      </c>
      <c r="T1039" t="s">
        <v>24</v>
      </c>
      <c r="V1039">
        <f>IF(BBDD_fashion_boutique[[#This Row],[is_returned]]="False",0,1)</f>
        <v>0</v>
      </c>
      <c r="W1039">
        <f>IF(BBDD_fashion_boutique[[#This Row],[is_returned]]="True",0,BBDD_fashion_boutique[[#This Row],[current_price]])</f>
        <v>62.69</v>
      </c>
      <c r="X1039" t="str">
        <f>IF(BBDD_fashion_boutique[[#This Row],[return_reason]]="","No return",BBDD_fashion_boutique[[#This Row],[return_reason]])</f>
        <v>No return</v>
      </c>
      <c r="Y1039">
        <f>IF(IFERROR(VLOOKUP(BBDD_fashion_boutique[[#This Row],[product_id]],A1040:A3215,1,FALSE),0),1,0)</f>
        <v>0</v>
      </c>
    </row>
    <row r="1040" spans="1:25" x14ac:dyDescent="0.3">
      <c r="A1040" t="s">
        <v>1099</v>
      </c>
      <c r="B1040" t="s">
        <v>26</v>
      </c>
      <c r="C1040" t="s">
        <v>49</v>
      </c>
      <c r="D1040" t="s">
        <v>39</v>
      </c>
      <c r="E1040" t="s">
        <v>55</v>
      </c>
      <c r="F1040" t="str">
        <f>IF(BBDD_fashion_boutique[[#This Row],[category]]="Accessories","Accesorio",IF(BBDD_fashion_boutique[[#This Row],[size]]="","Desconocido",BBDD_fashion_boutique[[#This Row],[size]]))</f>
        <v>XXL</v>
      </c>
      <c r="G1040" t="s">
        <v>33</v>
      </c>
      <c r="H1040" s="2">
        <v>91.03</v>
      </c>
      <c r="I1040">
        <v>0</v>
      </c>
      <c r="J1040" s="5">
        <f>BBDD_fashion_boutique[[#This Row],[markdown_percentage]]/100</f>
        <v>0</v>
      </c>
      <c r="K1040" s="2">
        <v>91.03</v>
      </c>
      <c r="L1040" s="2">
        <f>BBDD_fashion_boutique[[#This Row],[original_price]]-BBDD_fashion_boutique[[#This Row],[current_price]]</f>
        <v>0</v>
      </c>
      <c r="M1040" s="1">
        <v>45875</v>
      </c>
      <c r="N1040" s="1" t="str">
        <f>PROPER(TEXT(BBDD_fashion_boutique[[#This Row],[purchase_date]],"dddd"))</f>
        <v>Miércoles</v>
      </c>
      <c r="O1040" s="1" t="str">
        <f>PROPER(TEXT(BBDD_fashion_boutique[[#This Row],[purchase_date]],"mmmm"))</f>
        <v>Agosto</v>
      </c>
      <c r="P1040" s="4">
        <v>20</v>
      </c>
      <c r="Q1040" s="2">
        <v>2.1</v>
      </c>
      <c r="R1040" t="str">
        <f>IF(BBDD_fashion_boutique[[#This Row],[stock_quantity]]&gt;9,"Ok",IF(BBDD_fashion_boutique[[#This Row],[stock_quantity]]=0,"Agotado","Pocas Unidades"))</f>
        <v>Ok</v>
      </c>
      <c r="S1040" s="3">
        <f>IF(BBDD_fashion_boutique[[#This Row],[customer_rating]]="","No valorado",BBDD_fashion_boutique[[#This Row],[customer_rating]])</f>
        <v>2.1</v>
      </c>
      <c r="T1040" t="s">
        <v>24</v>
      </c>
      <c r="V1040">
        <f>IF(BBDD_fashion_boutique[[#This Row],[is_returned]]="False",0,1)</f>
        <v>0</v>
      </c>
      <c r="W1040">
        <f>IF(BBDD_fashion_boutique[[#This Row],[is_returned]]="True",0,BBDD_fashion_boutique[[#This Row],[current_price]])</f>
        <v>91.03</v>
      </c>
      <c r="X1040" t="str">
        <f>IF(BBDD_fashion_boutique[[#This Row],[return_reason]]="","No return",BBDD_fashion_boutique[[#This Row],[return_reason]])</f>
        <v>No return</v>
      </c>
      <c r="Y1040">
        <f>IF(IFERROR(VLOOKUP(BBDD_fashion_boutique[[#This Row],[product_id]],A1041:A3216,1,FALSE),0),1,0)</f>
        <v>0</v>
      </c>
    </row>
    <row r="1041" spans="1:25" x14ac:dyDescent="0.3">
      <c r="A1041" t="s">
        <v>1100</v>
      </c>
      <c r="B1041" t="s">
        <v>19</v>
      </c>
      <c r="C1041" t="s">
        <v>81</v>
      </c>
      <c r="D1041" t="s">
        <v>39</v>
      </c>
      <c r="E1041" t="s">
        <v>55</v>
      </c>
      <c r="F1041" t="str">
        <f>IF(BBDD_fashion_boutique[[#This Row],[category]]="Accessories","Accesorio",IF(BBDD_fashion_boutique[[#This Row],[size]]="","Desconocido",BBDD_fashion_boutique[[#This Row],[size]]))</f>
        <v>XXL</v>
      </c>
      <c r="G1041" t="s">
        <v>72</v>
      </c>
      <c r="H1041" s="2">
        <v>100.39</v>
      </c>
      <c r="I1041">
        <v>16.5</v>
      </c>
      <c r="J1041" s="5">
        <f>BBDD_fashion_boutique[[#This Row],[markdown_percentage]]/100</f>
        <v>0.16500000000000001</v>
      </c>
      <c r="K1041" s="2">
        <v>83.83</v>
      </c>
      <c r="L1041" s="2">
        <f>BBDD_fashion_boutique[[#This Row],[original_price]]-BBDD_fashion_boutique[[#This Row],[current_price]]</f>
        <v>16.560000000000002</v>
      </c>
      <c r="M1041" s="1">
        <v>45875</v>
      </c>
      <c r="N1041" s="1" t="str">
        <f>PROPER(TEXT(BBDD_fashion_boutique[[#This Row],[purchase_date]],"dddd"))</f>
        <v>Miércoles</v>
      </c>
      <c r="O1041" s="1" t="str">
        <f>PROPER(TEXT(BBDD_fashion_boutique[[#This Row],[purchase_date]],"mmmm"))</f>
        <v>Agosto</v>
      </c>
      <c r="P1041" s="4">
        <v>17</v>
      </c>
      <c r="Q1041" s="2">
        <v>4.5999999999999996</v>
      </c>
      <c r="R1041" t="str">
        <f>IF(BBDD_fashion_boutique[[#This Row],[stock_quantity]]&gt;9,"Ok",IF(BBDD_fashion_boutique[[#This Row],[stock_quantity]]=0,"Agotado","Pocas Unidades"))</f>
        <v>Ok</v>
      </c>
      <c r="S1041" s="3">
        <f>IF(BBDD_fashion_boutique[[#This Row],[customer_rating]]="","No valorado",BBDD_fashion_boutique[[#This Row],[customer_rating]])</f>
        <v>4.5999999999999996</v>
      </c>
      <c r="T1041" t="s">
        <v>24</v>
      </c>
      <c r="V1041">
        <f>IF(BBDD_fashion_boutique[[#This Row],[is_returned]]="False",0,1)</f>
        <v>0</v>
      </c>
      <c r="W1041">
        <f>IF(BBDD_fashion_boutique[[#This Row],[is_returned]]="True",0,BBDD_fashion_boutique[[#This Row],[current_price]])</f>
        <v>83.83</v>
      </c>
      <c r="X1041" t="str">
        <f>IF(BBDD_fashion_boutique[[#This Row],[return_reason]]="","No return",BBDD_fashion_boutique[[#This Row],[return_reason]])</f>
        <v>No return</v>
      </c>
      <c r="Y1041">
        <f>IF(IFERROR(VLOOKUP(BBDD_fashion_boutique[[#This Row],[product_id]],A1042:A3217,1,FALSE),0),1,0)</f>
        <v>0</v>
      </c>
    </row>
    <row r="1042" spans="1:25" x14ac:dyDescent="0.3">
      <c r="A1042" t="s">
        <v>1101</v>
      </c>
      <c r="B1042" t="s">
        <v>26</v>
      </c>
      <c r="C1042" t="s">
        <v>67</v>
      </c>
      <c r="D1042" t="s">
        <v>39</v>
      </c>
      <c r="E1042" t="s">
        <v>61</v>
      </c>
      <c r="F1042" t="str">
        <f>IF(BBDD_fashion_boutique[[#This Row],[category]]="Accessories","Accesorio",IF(BBDD_fashion_boutique[[#This Row],[size]]="","Desconocido",BBDD_fashion_boutique[[#This Row],[size]]))</f>
        <v>XS</v>
      </c>
      <c r="G1042" t="s">
        <v>70</v>
      </c>
      <c r="H1042" s="2">
        <v>100.03</v>
      </c>
      <c r="I1042">
        <v>0</v>
      </c>
      <c r="J1042" s="5">
        <f>BBDD_fashion_boutique[[#This Row],[markdown_percentage]]/100</f>
        <v>0</v>
      </c>
      <c r="K1042" s="2">
        <v>100.03</v>
      </c>
      <c r="L1042" s="2">
        <f>BBDD_fashion_boutique[[#This Row],[original_price]]-BBDD_fashion_boutique[[#This Row],[current_price]]</f>
        <v>0</v>
      </c>
      <c r="M1042" s="1">
        <v>45875</v>
      </c>
      <c r="N1042" s="1" t="str">
        <f>PROPER(TEXT(BBDD_fashion_boutique[[#This Row],[purchase_date]],"dddd"))</f>
        <v>Miércoles</v>
      </c>
      <c r="O1042" s="1" t="str">
        <f>PROPER(TEXT(BBDD_fashion_boutique[[#This Row],[purchase_date]],"mmmm"))</f>
        <v>Agosto</v>
      </c>
      <c r="P1042" s="4">
        <v>39</v>
      </c>
      <c r="Q1042" s="2">
        <v>1.2</v>
      </c>
      <c r="R1042" t="str">
        <f>IF(BBDD_fashion_boutique[[#This Row],[stock_quantity]]&gt;9,"Ok",IF(BBDD_fashion_boutique[[#This Row],[stock_quantity]]=0,"Agotado","Pocas Unidades"))</f>
        <v>Ok</v>
      </c>
      <c r="S1042" s="3">
        <f>IF(BBDD_fashion_boutique[[#This Row],[customer_rating]]="","No valorado",BBDD_fashion_boutique[[#This Row],[customer_rating]])</f>
        <v>1.2</v>
      </c>
      <c r="T1042" t="s">
        <v>24</v>
      </c>
      <c r="V1042">
        <f>IF(BBDD_fashion_boutique[[#This Row],[is_returned]]="False",0,1)</f>
        <v>0</v>
      </c>
      <c r="W1042">
        <f>IF(BBDD_fashion_boutique[[#This Row],[is_returned]]="True",0,BBDD_fashion_boutique[[#This Row],[current_price]])</f>
        <v>100.03</v>
      </c>
      <c r="X1042" t="str">
        <f>IF(BBDD_fashion_boutique[[#This Row],[return_reason]]="","No return",BBDD_fashion_boutique[[#This Row],[return_reason]])</f>
        <v>No return</v>
      </c>
      <c r="Y1042">
        <f>IF(IFERROR(VLOOKUP(BBDD_fashion_boutique[[#This Row],[product_id]],A1043:A3218,1,FALSE),0),1,0)</f>
        <v>0</v>
      </c>
    </row>
    <row r="1043" spans="1:25" x14ac:dyDescent="0.3">
      <c r="A1043" t="s">
        <v>1102</v>
      </c>
      <c r="B1043" t="s">
        <v>32</v>
      </c>
      <c r="C1043" t="s">
        <v>67</v>
      </c>
      <c r="D1043" t="s">
        <v>21</v>
      </c>
      <c r="F1043" t="str">
        <f>IF(BBDD_fashion_boutique[[#This Row],[category]]="Accessories","Accesorio",IF(BBDD_fashion_boutique[[#This Row],[size]]="","Desconocido",BBDD_fashion_boutique[[#This Row],[size]]))</f>
        <v>Accesorio</v>
      </c>
      <c r="G1043" t="s">
        <v>40</v>
      </c>
      <c r="H1043" s="2">
        <v>50.14</v>
      </c>
      <c r="I1043">
        <v>29.2</v>
      </c>
      <c r="J1043" s="5">
        <f>BBDD_fashion_boutique[[#This Row],[markdown_percentage]]/100</f>
        <v>0.29199999999999998</v>
      </c>
      <c r="K1043" s="2">
        <v>35.5</v>
      </c>
      <c r="L1043" s="2">
        <f>BBDD_fashion_boutique[[#This Row],[original_price]]-BBDD_fashion_boutique[[#This Row],[current_price]]</f>
        <v>14.64</v>
      </c>
      <c r="M1043" s="1">
        <v>45692</v>
      </c>
      <c r="N1043" s="1" t="str">
        <f>PROPER(TEXT(BBDD_fashion_boutique[[#This Row],[purchase_date]],"dddd"))</f>
        <v>Martes</v>
      </c>
      <c r="O1043" s="1" t="str">
        <f>PROPER(TEXT(BBDD_fashion_boutique[[#This Row],[purchase_date]],"mmmm"))</f>
        <v>Febrero</v>
      </c>
      <c r="P1043" s="4">
        <v>33</v>
      </c>
      <c r="Q1043" s="2">
        <v>4.4000000000000004</v>
      </c>
      <c r="R1043" t="str">
        <f>IF(BBDD_fashion_boutique[[#This Row],[stock_quantity]]&gt;9,"Ok",IF(BBDD_fashion_boutique[[#This Row],[stock_quantity]]=0,"Agotado","Pocas Unidades"))</f>
        <v>Ok</v>
      </c>
      <c r="S1043" s="3">
        <f>IF(BBDD_fashion_boutique[[#This Row],[customer_rating]]="","No valorado",BBDD_fashion_boutique[[#This Row],[customer_rating]])</f>
        <v>4.4000000000000004</v>
      </c>
      <c r="T1043" t="s">
        <v>24</v>
      </c>
      <c r="V1043">
        <f>IF(BBDD_fashion_boutique[[#This Row],[is_returned]]="False",0,1)</f>
        <v>0</v>
      </c>
      <c r="W1043">
        <f>IF(BBDD_fashion_boutique[[#This Row],[is_returned]]="True",0,BBDD_fashion_boutique[[#This Row],[current_price]])</f>
        <v>35.5</v>
      </c>
      <c r="X1043" t="str">
        <f>IF(BBDD_fashion_boutique[[#This Row],[return_reason]]="","No return",BBDD_fashion_boutique[[#This Row],[return_reason]])</f>
        <v>No return</v>
      </c>
      <c r="Y1043">
        <f>IF(IFERROR(VLOOKUP(BBDD_fashion_boutique[[#This Row],[product_id]],A1044:A3219,1,FALSE),0),1,0)</f>
        <v>0</v>
      </c>
    </row>
    <row r="1044" spans="1:25" x14ac:dyDescent="0.3">
      <c r="A1044" t="s">
        <v>1103</v>
      </c>
      <c r="B1044" t="s">
        <v>44</v>
      </c>
      <c r="C1044" t="s">
        <v>20</v>
      </c>
      <c r="D1044" t="s">
        <v>68</v>
      </c>
      <c r="E1044" t="s">
        <v>22</v>
      </c>
      <c r="F1044" t="str">
        <f>IF(BBDD_fashion_boutique[[#This Row],[category]]="Accessories","Accesorio",IF(BBDD_fashion_boutique[[#This Row],[size]]="","Desconocido",BBDD_fashion_boutique[[#This Row],[size]]))</f>
        <v>XL</v>
      </c>
      <c r="G1044" t="s">
        <v>33</v>
      </c>
      <c r="H1044" s="2">
        <v>33.130000000000003</v>
      </c>
      <c r="I1044">
        <v>0</v>
      </c>
      <c r="J1044" s="5">
        <f>BBDD_fashion_boutique[[#This Row],[markdown_percentage]]/100</f>
        <v>0</v>
      </c>
      <c r="K1044" s="2">
        <v>33.130000000000003</v>
      </c>
      <c r="L1044" s="2">
        <f>BBDD_fashion_boutique[[#This Row],[original_price]]-BBDD_fashion_boutique[[#This Row],[current_price]]</f>
        <v>0</v>
      </c>
      <c r="M1044" s="1">
        <v>45875</v>
      </c>
      <c r="N1044" s="1" t="str">
        <f>PROPER(TEXT(BBDD_fashion_boutique[[#This Row],[purchase_date]],"dddd"))</f>
        <v>Miércoles</v>
      </c>
      <c r="O1044" s="1" t="str">
        <f>PROPER(TEXT(BBDD_fashion_boutique[[#This Row],[purchase_date]],"mmmm"))</f>
        <v>Agosto</v>
      </c>
      <c r="P1044" s="4">
        <v>41</v>
      </c>
      <c r="Q1044" s="2">
        <v>3.3</v>
      </c>
      <c r="R1044" t="str">
        <f>IF(BBDD_fashion_boutique[[#This Row],[stock_quantity]]&gt;9,"Ok",IF(BBDD_fashion_boutique[[#This Row],[stock_quantity]]=0,"Agotado","Pocas Unidades"))</f>
        <v>Ok</v>
      </c>
      <c r="S1044" s="3">
        <f>IF(BBDD_fashion_boutique[[#This Row],[customer_rating]]="","No valorado",BBDD_fashion_boutique[[#This Row],[customer_rating]])</f>
        <v>3.3</v>
      </c>
      <c r="T1044" t="s">
        <v>24</v>
      </c>
      <c r="V1044">
        <f>IF(BBDD_fashion_boutique[[#This Row],[is_returned]]="False",0,1)</f>
        <v>0</v>
      </c>
      <c r="W1044">
        <f>IF(BBDD_fashion_boutique[[#This Row],[is_returned]]="True",0,BBDD_fashion_boutique[[#This Row],[current_price]])</f>
        <v>33.130000000000003</v>
      </c>
      <c r="X1044" t="str">
        <f>IF(BBDD_fashion_boutique[[#This Row],[return_reason]]="","No return",BBDD_fashion_boutique[[#This Row],[return_reason]])</f>
        <v>No return</v>
      </c>
      <c r="Y1044">
        <f>IF(IFERROR(VLOOKUP(BBDD_fashion_boutique[[#This Row],[product_id]],A1045:A3220,1,FALSE),0),1,0)</f>
        <v>0</v>
      </c>
    </row>
    <row r="1045" spans="1:25" x14ac:dyDescent="0.3">
      <c r="A1045" t="s">
        <v>1104</v>
      </c>
      <c r="B1045" t="s">
        <v>32</v>
      </c>
      <c r="C1045" t="s">
        <v>54</v>
      </c>
      <c r="D1045" t="s">
        <v>21</v>
      </c>
      <c r="F1045" t="str">
        <f>IF(BBDD_fashion_boutique[[#This Row],[category]]="Accessories","Accesorio",IF(BBDD_fashion_boutique[[#This Row],[size]]="","Desconocido",BBDD_fashion_boutique[[#This Row],[size]]))</f>
        <v>Accesorio</v>
      </c>
      <c r="G1045" t="s">
        <v>70</v>
      </c>
      <c r="H1045" s="2">
        <v>67.67</v>
      </c>
      <c r="I1045">
        <v>0</v>
      </c>
      <c r="J1045" s="5">
        <f>BBDD_fashion_boutique[[#This Row],[markdown_percentage]]/100</f>
        <v>0</v>
      </c>
      <c r="K1045" s="2">
        <v>67.67</v>
      </c>
      <c r="L1045" s="2">
        <f>BBDD_fashion_boutique[[#This Row],[original_price]]-BBDD_fashion_boutique[[#This Row],[current_price]]</f>
        <v>0</v>
      </c>
      <c r="M1045" s="1">
        <v>45560</v>
      </c>
      <c r="N1045" s="1" t="str">
        <f>PROPER(TEXT(BBDD_fashion_boutique[[#This Row],[purchase_date]],"dddd"))</f>
        <v>Miércoles</v>
      </c>
      <c r="O1045" s="1" t="str">
        <f>PROPER(TEXT(BBDD_fashion_boutique[[#This Row],[purchase_date]],"mmmm"))</f>
        <v>Septiembre</v>
      </c>
      <c r="P1045" s="4">
        <v>7</v>
      </c>
      <c r="Q1045" s="2">
        <v>3.3</v>
      </c>
      <c r="R1045" t="str">
        <f>IF(BBDD_fashion_boutique[[#This Row],[stock_quantity]]&gt;9,"Ok",IF(BBDD_fashion_boutique[[#This Row],[stock_quantity]]=0,"Agotado","Pocas Unidades"))</f>
        <v>Pocas Unidades</v>
      </c>
      <c r="S1045" s="3">
        <f>IF(BBDD_fashion_boutique[[#This Row],[customer_rating]]="","No valorado",BBDD_fashion_boutique[[#This Row],[customer_rating]])</f>
        <v>3.3</v>
      </c>
      <c r="T1045" t="s">
        <v>24</v>
      </c>
      <c r="V1045">
        <f>IF(BBDD_fashion_boutique[[#This Row],[is_returned]]="False",0,1)</f>
        <v>0</v>
      </c>
      <c r="W1045">
        <f>IF(BBDD_fashion_boutique[[#This Row],[is_returned]]="True",0,BBDD_fashion_boutique[[#This Row],[current_price]])</f>
        <v>67.67</v>
      </c>
      <c r="X1045" t="str">
        <f>IF(BBDD_fashion_boutique[[#This Row],[return_reason]]="","No return",BBDD_fashion_boutique[[#This Row],[return_reason]])</f>
        <v>No return</v>
      </c>
      <c r="Y1045">
        <f>IF(IFERROR(VLOOKUP(BBDD_fashion_boutique[[#This Row],[product_id]],A1046:A3221,1,FALSE),0),1,0)</f>
        <v>0</v>
      </c>
    </row>
    <row r="1046" spans="1:25" x14ac:dyDescent="0.3">
      <c r="A1046" t="s">
        <v>1105</v>
      </c>
      <c r="B1046" t="s">
        <v>44</v>
      </c>
      <c r="C1046" t="s">
        <v>37</v>
      </c>
      <c r="D1046" t="s">
        <v>68</v>
      </c>
      <c r="E1046" t="s">
        <v>45</v>
      </c>
      <c r="F1046" t="str">
        <f>IF(BBDD_fashion_boutique[[#This Row],[category]]="Accessories","Accesorio",IF(BBDD_fashion_boutique[[#This Row],[size]]="","Desconocido",BBDD_fashion_boutique[[#This Row],[size]]))</f>
        <v>S</v>
      </c>
      <c r="G1046" t="s">
        <v>33</v>
      </c>
      <c r="H1046" s="2">
        <v>93.94</v>
      </c>
      <c r="I1046">
        <v>56.3</v>
      </c>
      <c r="J1046" s="5">
        <f>BBDD_fashion_boutique[[#This Row],[markdown_percentage]]/100</f>
        <v>0.56299999999999994</v>
      </c>
      <c r="K1046" s="2">
        <v>41.05</v>
      </c>
      <c r="L1046" s="2">
        <f>BBDD_fashion_boutique[[#This Row],[original_price]]-BBDD_fashion_boutique[[#This Row],[current_price]]</f>
        <v>52.89</v>
      </c>
      <c r="M1046" s="1">
        <v>45875</v>
      </c>
      <c r="N1046" s="1" t="str">
        <f>PROPER(TEXT(BBDD_fashion_boutique[[#This Row],[purchase_date]],"dddd"))</f>
        <v>Miércoles</v>
      </c>
      <c r="O1046" s="1" t="str">
        <f>PROPER(TEXT(BBDD_fashion_boutique[[#This Row],[purchase_date]],"mmmm"))</f>
        <v>Agosto</v>
      </c>
      <c r="P1046" s="4">
        <v>36</v>
      </c>
      <c r="Q1046" s="2">
        <v>1.1000000000000001</v>
      </c>
      <c r="R1046" t="str">
        <f>IF(BBDD_fashion_boutique[[#This Row],[stock_quantity]]&gt;9,"Ok",IF(BBDD_fashion_boutique[[#This Row],[stock_quantity]]=0,"Agotado","Pocas Unidades"))</f>
        <v>Ok</v>
      </c>
      <c r="S1046" s="3">
        <f>IF(BBDD_fashion_boutique[[#This Row],[customer_rating]]="","No valorado",BBDD_fashion_boutique[[#This Row],[customer_rating]])</f>
        <v>1.1000000000000001</v>
      </c>
      <c r="T1046" t="s">
        <v>24</v>
      </c>
      <c r="V1046">
        <f>IF(BBDD_fashion_boutique[[#This Row],[is_returned]]="False",0,1)</f>
        <v>0</v>
      </c>
      <c r="W1046">
        <f>IF(BBDD_fashion_boutique[[#This Row],[is_returned]]="True",0,BBDD_fashion_boutique[[#This Row],[current_price]])</f>
        <v>41.05</v>
      </c>
      <c r="X1046" t="str">
        <f>IF(BBDD_fashion_boutique[[#This Row],[return_reason]]="","No return",BBDD_fashion_boutique[[#This Row],[return_reason]])</f>
        <v>No return</v>
      </c>
      <c r="Y1046">
        <f>IF(IFERROR(VLOOKUP(BBDD_fashion_boutique[[#This Row],[product_id]],A1047:A3222,1,FALSE),0),1,0)</f>
        <v>0</v>
      </c>
    </row>
    <row r="1047" spans="1:25" x14ac:dyDescent="0.3">
      <c r="A1047" t="s">
        <v>1106</v>
      </c>
      <c r="B1047" t="s">
        <v>26</v>
      </c>
      <c r="C1047" t="s">
        <v>37</v>
      </c>
      <c r="D1047" t="s">
        <v>39</v>
      </c>
      <c r="E1047" t="s">
        <v>61</v>
      </c>
      <c r="F1047" t="str">
        <f>IF(BBDD_fashion_boutique[[#This Row],[category]]="Accessories","Accesorio",IF(BBDD_fashion_boutique[[#This Row],[size]]="","Desconocido",BBDD_fashion_boutique[[#This Row],[size]]))</f>
        <v>XS</v>
      </c>
      <c r="G1047" t="s">
        <v>33</v>
      </c>
      <c r="H1047" s="2">
        <v>34.56</v>
      </c>
      <c r="I1047">
        <v>11.2</v>
      </c>
      <c r="J1047" s="5">
        <f>BBDD_fashion_boutique[[#This Row],[markdown_percentage]]/100</f>
        <v>0.11199999999999999</v>
      </c>
      <c r="K1047" s="2">
        <v>30.69</v>
      </c>
      <c r="L1047" s="2">
        <f>BBDD_fashion_boutique[[#This Row],[original_price]]-BBDD_fashion_boutique[[#This Row],[current_price]]</f>
        <v>3.870000000000001</v>
      </c>
      <c r="M1047" s="1">
        <v>45875</v>
      </c>
      <c r="N1047" s="1" t="str">
        <f>PROPER(TEXT(BBDD_fashion_boutique[[#This Row],[purchase_date]],"dddd"))</f>
        <v>Miércoles</v>
      </c>
      <c r="O1047" s="1" t="str">
        <f>PROPER(TEXT(BBDD_fashion_boutique[[#This Row],[purchase_date]],"mmmm"))</f>
        <v>Agosto</v>
      </c>
      <c r="P1047" s="4">
        <v>46</v>
      </c>
      <c r="Q1047" s="2">
        <v>3.4</v>
      </c>
      <c r="R1047" t="str">
        <f>IF(BBDD_fashion_boutique[[#This Row],[stock_quantity]]&gt;9,"Ok",IF(BBDD_fashion_boutique[[#This Row],[stock_quantity]]=0,"Agotado","Pocas Unidades"))</f>
        <v>Ok</v>
      </c>
      <c r="S1047" s="3">
        <f>IF(BBDD_fashion_boutique[[#This Row],[customer_rating]]="","No valorado",BBDD_fashion_boutique[[#This Row],[customer_rating]])</f>
        <v>3.4</v>
      </c>
      <c r="T1047" t="s">
        <v>24</v>
      </c>
      <c r="V1047">
        <f>IF(BBDD_fashion_boutique[[#This Row],[is_returned]]="False",0,1)</f>
        <v>0</v>
      </c>
      <c r="W1047">
        <f>IF(BBDD_fashion_boutique[[#This Row],[is_returned]]="True",0,BBDD_fashion_boutique[[#This Row],[current_price]])</f>
        <v>30.69</v>
      </c>
      <c r="X1047" t="str">
        <f>IF(BBDD_fashion_boutique[[#This Row],[return_reason]]="","No return",BBDD_fashion_boutique[[#This Row],[return_reason]])</f>
        <v>No return</v>
      </c>
      <c r="Y1047">
        <f>IF(IFERROR(VLOOKUP(BBDD_fashion_boutique[[#This Row],[product_id]],A1048:A3223,1,FALSE),0),1,0)</f>
        <v>0</v>
      </c>
    </row>
    <row r="1048" spans="1:25" x14ac:dyDescent="0.3">
      <c r="A1048" t="s">
        <v>1107</v>
      </c>
      <c r="B1048" t="s">
        <v>19</v>
      </c>
      <c r="C1048" t="s">
        <v>59</v>
      </c>
      <c r="D1048" t="s">
        <v>68</v>
      </c>
      <c r="E1048" t="s">
        <v>64</v>
      </c>
      <c r="F1048" t="str">
        <f>IF(BBDD_fashion_boutique[[#This Row],[category]]="Accessories","Accesorio",IF(BBDD_fashion_boutique[[#This Row],[size]]="","Desconocido",BBDD_fashion_boutique[[#This Row],[size]]))</f>
        <v>M</v>
      </c>
      <c r="G1048" t="s">
        <v>33</v>
      </c>
      <c r="H1048" s="2">
        <v>235.33</v>
      </c>
      <c r="I1048">
        <v>0</v>
      </c>
      <c r="J1048" s="5">
        <f>BBDD_fashion_boutique[[#This Row],[markdown_percentage]]/100</f>
        <v>0</v>
      </c>
      <c r="K1048" s="2">
        <v>235.33</v>
      </c>
      <c r="L1048" s="2">
        <f>BBDD_fashion_boutique[[#This Row],[original_price]]-BBDD_fashion_boutique[[#This Row],[current_price]]</f>
        <v>0</v>
      </c>
      <c r="M1048" s="1">
        <v>45875</v>
      </c>
      <c r="N1048" s="1" t="str">
        <f>PROPER(TEXT(BBDD_fashion_boutique[[#This Row],[purchase_date]],"dddd"))</f>
        <v>Miércoles</v>
      </c>
      <c r="O1048" s="1" t="str">
        <f>PROPER(TEXT(BBDD_fashion_boutique[[#This Row],[purchase_date]],"mmmm"))</f>
        <v>Agosto</v>
      </c>
      <c r="P1048" s="4">
        <v>11</v>
      </c>
      <c r="Q1048" s="2">
        <v>4.7</v>
      </c>
      <c r="R1048" t="str">
        <f>IF(BBDD_fashion_boutique[[#This Row],[stock_quantity]]&gt;9,"Ok",IF(BBDD_fashion_boutique[[#This Row],[stock_quantity]]=0,"Agotado","Pocas Unidades"))</f>
        <v>Ok</v>
      </c>
      <c r="S1048" s="3">
        <f>IF(BBDD_fashion_boutique[[#This Row],[customer_rating]]="","No valorado",BBDD_fashion_boutique[[#This Row],[customer_rating]])</f>
        <v>4.7</v>
      </c>
      <c r="T1048" t="s">
        <v>41</v>
      </c>
      <c r="U1048" t="s">
        <v>79</v>
      </c>
      <c r="V1048">
        <f>IF(BBDD_fashion_boutique[[#This Row],[is_returned]]="False",0,1)</f>
        <v>1</v>
      </c>
      <c r="W1048">
        <f>IF(BBDD_fashion_boutique[[#This Row],[is_returned]]="True",0,BBDD_fashion_boutique[[#This Row],[current_price]])</f>
        <v>0</v>
      </c>
      <c r="X1048" t="str">
        <f>IF(BBDD_fashion_boutique[[#This Row],[return_reason]]="","No return",BBDD_fashion_boutique[[#This Row],[return_reason]])</f>
        <v>Size Issue</v>
      </c>
      <c r="Y1048">
        <f>IF(IFERROR(VLOOKUP(BBDD_fashion_boutique[[#This Row],[product_id]],A1049:A3224,1,FALSE),0),1,0)</f>
        <v>0</v>
      </c>
    </row>
    <row r="1049" spans="1:25" x14ac:dyDescent="0.3">
      <c r="A1049" t="s">
        <v>1108</v>
      </c>
      <c r="B1049" t="s">
        <v>26</v>
      </c>
      <c r="C1049" t="s">
        <v>27</v>
      </c>
      <c r="D1049" t="s">
        <v>21</v>
      </c>
      <c r="E1049" t="s">
        <v>61</v>
      </c>
      <c r="F1049" t="str">
        <f>IF(BBDD_fashion_boutique[[#This Row],[category]]="Accessories","Accesorio",IF(BBDD_fashion_boutique[[#This Row],[size]]="","Desconocido",BBDD_fashion_boutique[[#This Row],[size]]))</f>
        <v>XS</v>
      </c>
      <c r="G1049" t="s">
        <v>23</v>
      </c>
      <c r="H1049" s="2">
        <v>25.45</v>
      </c>
      <c r="I1049">
        <v>0</v>
      </c>
      <c r="J1049" s="5">
        <f>BBDD_fashion_boutique[[#This Row],[markdown_percentage]]/100</f>
        <v>0</v>
      </c>
      <c r="K1049" s="2">
        <v>25.45</v>
      </c>
      <c r="L1049" s="2">
        <f>BBDD_fashion_boutique[[#This Row],[original_price]]-BBDD_fashion_boutique[[#This Row],[current_price]]</f>
        <v>0</v>
      </c>
      <c r="M1049" s="1">
        <v>45514</v>
      </c>
      <c r="N1049" s="1" t="str">
        <f>PROPER(TEXT(BBDD_fashion_boutique[[#This Row],[purchase_date]],"dddd"))</f>
        <v>Sábado</v>
      </c>
      <c r="O1049" s="1" t="str">
        <f>PROPER(TEXT(BBDD_fashion_boutique[[#This Row],[purchase_date]],"mmmm"))</f>
        <v>Agosto</v>
      </c>
      <c r="P1049" s="4">
        <v>29</v>
      </c>
      <c r="Q1049" s="2">
        <v>3.7</v>
      </c>
      <c r="R1049" t="str">
        <f>IF(BBDD_fashion_boutique[[#This Row],[stock_quantity]]&gt;9,"Ok",IF(BBDD_fashion_boutique[[#This Row],[stock_quantity]]=0,"Agotado","Pocas Unidades"))</f>
        <v>Ok</v>
      </c>
      <c r="S1049" s="3">
        <f>IF(BBDD_fashion_boutique[[#This Row],[customer_rating]]="","No valorado",BBDD_fashion_boutique[[#This Row],[customer_rating]])</f>
        <v>3.7</v>
      </c>
      <c r="T1049" t="s">
        <v>24</v>
      </c>
      <c r="V1049">
        <f>IF(BBDD_fashion_boutique[[#This Row],[is_returned]]="False",0,1)</f>
        <v>0</v>
      </c>
      <c r="W1049">
        <f>IF(BBDD_fashion_boutique[[#This Row],[is_returned]]="True",0,BBDD_fashion_boutique[[#This Row],[current_price]])</f>
        <v>25.45</v>
      </c>
      <c r="X1049" t="str">
        <f>IF(BBDD_fashion_boutique[[#This Row],[return_reason]]="","No return",BBDD_fashion_boutique[[#This Row],[return_reason]])</f>
        <v>No return</v>
      </c>
      <c r="Y1049">
        <f>IF(IFERROR(VLOOKUP(BBDD_fashion_boutique[[#This Row],[product_id]],A1050:A3225,1,FALSE),0),1,0)</f>
        <v>0</v>
      </c>
    </row>
    <row r="1050" spans="1:25" x14ac:dyDescent="0.3">
      <c r="A1050" t="s">
        <v>1109</v>
      </c>
      <c r="B1050" t="s">
        <v>26</v>
      </c>
      <c r="C1050" t="s">
        <v>67</v>
      </c>
      <c r="D1050" t="s">
        <v>28</v>
      </c>
      <c r="E1050" t="s">
        <v>22</v>
      </c>
      <c r="F1050" t="str">
        <f>IF(BBDD_fashion_boutique[[#This Row],[category]]="Accessories","Accesorio",IF(BBDD_fashion_boutique[[#This Row],[size]]="","Desconocido",BBDD_fashion_boutique[[#This Row],[size]]))</f>
        <v>XL</v>
      </c>
      <c r="G1050" t="s">
        <v>46</v>
      </c>
      <c r="H1050" s="2">
        <v>71.44</v>
      </c>
      <c r="I1050">
        <v>0</v>
      </c>
      <c r="J1050" s="5">
        <f>BBDD_fashion_boutique[[#This Row],[markdown_percentage]]/100</f>
        <v>0</v>
      </c>
      <c r="K1050" s="2">
        <v>71.44</v>
      </c>
      <c r="L1050" s="2">
        <f>BBDD_fashion_boutique[[#This Row],[original_price]]-BBDD_fashion_boutique[[#This Row],[current_price]]</f>
        <v>0</v>
      </c>
      <c r="M1050" s="1">
        <v>45875</v>
      </c>
      <c r="N1050" s="1" t="str">
        <f>PROPER(TEXT(BBDD_fashion_boutique[[#This Row],[purchase_date]],"dddd"))</f>
        <v>Miércoles</v>
      </c>
      <c r="O1050" s="1" t="str">
        <f>PROPER(TEXT(BBDD_fashion_boutique[[#This Row],[purchase_date]],"mmmm"))</f>
        <v>Agosto</v>
      </c>
      <c r="P1050" s="4">
        <v>18</v>
      </c>
      <c r="Q1050" s="2">
        <v>4.3</v>
      </c>
      <c r="R1050" t="str">
        <f>IF(BBDD_fashion_boutique[[#This Row],[stock_quantity]]&gt;9,"Ok",IF(BBDD_fashion_boutique[[#This Row],[stock_quantity]]=0,"Agotado","Pocas Unidades"))</f>
        <v>Ok</v>
      </c>
      <c r="S1050" s="3">
        <f>IF(BBDD_fashion_boutique[[#This Row],[customer_rating]]="","No valorado",BBDD_fashion_boutique[[#This Row],[customer_rating]])</f>
        <v>4.3</v>
      </c>
      <c r="T1050" t="s">
        <v>24</v>
      </c>
      <c r="V1050">
        <f>IF(BBDD_fashion_boutique[[#This Row],[is_returned]]="False",0,1)</f>
        <v>0</v>
      </c>
      <c r="W1050">
        <f>IF(BBDD_fashion_boutique[[#This Row],[is_returned]]="True",0,BBDD_fashion_boutique[[#This Row],[current_price]])</f>
        <v>71.44</v>
      </c>
      <c r="X1050" t="str">
        <f>IF(BBDD_fashion_boutique[[#This Row],[return_reason]]="","No return",BBDD_fashion_boutique[[#This Row],[return_reason]])</f>
        <v>No return</v>
      </c>
      <c r="Y1050">
        <f>IF(IFERROR(VLOOKUP(BBDD_fashion_boutique[[#This Row],[product_id]],A1051:A3226,1,FALSE),0),1,0)</f>
        <v>0</v>
      </c>
    </row>
    <row r="1051" spans="1:25" x14ac:dyDescent="0.3">
      <c r="A1051" t="s">
        <v>1110</v>
      </c>
      <c r="B1051" t="s">
        <v>48</v>
      </c>
      <c r="C1051" t="s">
        <v>37</v>
      </c>
      <c r="D1051" t="s">
        <v>68</v>
      </c>
      <c r="E1051" t="s">
        <v>22</v>
      </c>
      <c r="F1051" t="str">
        <f>IF(BBDD_fashion_boutique[[#This Row],[category]]="Accessories","Accesorio",IF(BBDD_fashion_boutique[[#This Row],[size]]="","Desconocido",BBDD_fashion_boutique[[#This Row],[size]]))</f>
        <v>XL</v>
      </c>
      <c r="G1051" t="s">
        <v>40</v>
      </c>
      <c r="H1051" s="2">
        <v>98.33</v>
      </c>
      <c r="I1051">
        <v>0</v>
      </c>
      <c r="J1051" s="5">
        <f>BBDD_fashion_boutique[[#This Row],[markdown_percentage]]/100</f>
        <v>0</v>
      </c>
      <c r="K1051" s="2">
        <v>98.33</v>
      </c>
      <c r="L1051" s="2">
        <f>BBDD_fashion_boutique[[#This Row],[original_price]]-BBDD_fashion_boutique[[#This Row],[current_price]]</f>
        <v>0</v>
      </c>
      <c r="M1051" s="1">
        <v>45875</v>
      </c>
      <c r="N1051" s="1" t="str">
        <f>PROPER(TEXT(BBDD_fashion_boutique[[#This Row],[purchase_date]],"dddd"))</f>
        <v>Miércoles</v>
      </c>
      <c r="O1051" s="1" t="str">
        <f>PROPER(TEXT(BBDD_fashion_boutique[[#This Row],[purchase_date]],"mmmm"))</f>
        <v>Agosto</v>
      </c>
      <c r="P1051" s="4">
        <v>46</v>
      </c>
      <c r="Q1051" s="2">
        <v>3.7</v>
      </c>
      <c r="R1051" t="str">
        <f>IF(BBDD_fashion_boutique[[#This Row],[stock_quantity]]&gt;9,"Ok",IF(BBDD_fashion_boutique[[#This Row],[stock_quantity]]=0,"Agotado","Pocas Unidades"))</f>
        <v>Ok</v>
      </c>
      <c r="S1051" s="3">
        <f>IF(BBDD_fashion_boutique[[#This Row],[customer_rating]]="","No valorado",BBDD_fashion_boutique[[#This Row],[customer_rating]])</f>
        <v>3.7</v>
      </c>
      <c r="T1051" t="s">
        <v>24</v>
      </c>
      <c r="V1051">
        <f>IF(BBDD_fashion_boutique[[#This Row],[is_returned]]="False",0,1)</f>
        <v>0</v>
      </c>
      <c r="W1051">
        <f>IF(BBDD_fashion_boutique[[#This Row],[is_returned]]="True",0,BBDD_fashion_boutique[[#This Row],[current_price]])</f>
        <v>98.33</v>
      </c>
      <c r="X1051" t="str">
        <f>IF(BBDD_fashion_boutique[[#This Row],[return_reason]]="","No return",BBDD_fashion_boutique[[#This Row],[return_reason]])</f>
        <v>No return</v>
      </c>
      <c r="Y1051">
        <f>IF(IFERROR(VLOOKUP(BBDD_fashion_boutique[[#This Row],[product_id]],A1052:A3227,1,FALSE),0),1,0)</f>
        <v>0</v>
      </c>
    </row>
    <row r="1052" spans="1:25" x14ac:dyDescent="0.3">
      <c r="A1052" t="s">
        <v>1111</v>
      </c>
      <c r="B1052" t="s">
        <v>48</v>
      </c>
      <c r="C1052" t="s">
        <v>81</v>
      </c>
      <c r="D1052" t="s">
        <v>21</v>
      </c>
      <c r="E1052" t="s">
        <v>45</v>
      </c>
      <c r="F1052" t="str">
        <f>IF(BBDD_fashion_boutique[[#This Row],[category]]="Accessories","Accesorio",IF(BBDD_fashion_boutique[[#This Row],[size]]="","Desconocido",BBDD_fashion_boutique[[#This Row],[size]]))</f>
        <v>S</v>
      </c>
      <c r="G1052" t="s">
        <v>50</v>
      </c>
      <c r="H1052" s="2">
        <v>171.1</v>
      </c>
      <c r="I1052">
        <v>0</v>
      </c>
      <c r="J1052" s="5">
        <f>BBDD_fashion_boutique[[#This Row],[markdown_percentage]]/100</f>
        <v>0</v>
      </c>
      <c r="K1052" s="2">
        <v>171.1</v>
      </c>
      <c r="L1052" s="2">
        <f>BBDD_fashion_boutique[[#This Row],[original_price]]-BBDD_fashion_boutique[[#This Row],[current_price]]</f>
        <v>0</v>
      </c>
      <c r="M1052" s="1">
        <v>45861</v>
      </c>
      <c r="N1052" s="1" t="str">
        <f>PROPER(TEXT(BBDD_fashion_boutique[[#This Row],[purchase_date]],"dddd"))</f>
        <v>Miércoles</v>
      </c>
      <c r="O1052" s="1" t="str">
        <f>PROPER(TEXT(BBDD_fashion_boutique[[#This Row],[purchase_date]],"mmmm"))</f>
        <v>Julio</v>
      </c>
      <c r="P1052" s="4">
        <v>34</v>
      </c>
      <c r="R1052" t="str">
        <f>IF(BBDD_fashion_boutique[[#This Row],[stock_quantity]]&gt;9,"Ok",IF(BBDD_fashion_boutique[[#This Row],[stock_quantity]]=0,"Agotado","Pocas Unidades"))</f>
        <v>Ok</v>
      </c>
      <c r="S1052" s="3" t="str">
        <f>IF(BBDD_fashion_boutique[[#This Row],[customer_rating]]="","No valorado",BBDD_fashion_boutique[[#This Row],[customer_rating]])</f>
        <v>No valorado</v>
      </c>
      <c r="T1052" t="s">
        <v>24</v>
      </c>
      <c r="V1052">
        <f>IF(BBDD_fashion_boutique[[#This Row],[is_returned]]="False",0,1)</f>
        <v>0</v>
      </c>
      <c r="W1052">
        <f>IF(BBDD_fashion_boutique[[#This Row],[is_returned]]="True",0,BBDD_fashion_boutique[[#This Row],[current_price]])</f>
        <v>171.1</v>
      </c>
      <c r="X1052" t="str">
        <f>IF(BBDD_fashion_boutique[[#This Row],[return_reason]]="","No return",BBDD_fashion_boutique[[#This Row],[return_reason]])</f>
        <v>No return</v>
      </c>
      <c r="Y1052">
        <f>IF(IFERROR(VLOOKUP(BBDD_fashion_boutique[[#This Row],[product_id]],A1053:A3228,1,FALSE),0),1,0)</f>
        <v>0</v>
      </c>
    </row>
    <row r="1053" spans="1:25" x14ac:dyDescent="0.3">
      <c r="A1053" t="s">
        <v>1112</v>
      </c>
      <c r="B1053" t="s">
        <v>48</v>
      </c>
      <c r="C1053" t="s">
        <v>81</v>
      </c>
      <c r="D1053" t="s">
        <v>28</v>
      </c>
      <c r="E1053" t="s">
        <v>61</v>
      </c>
      <c r="F1053" t="str">
        <f>IF(BBDD_fashion_boutique[[#This Row],[category]]="Accessories","Accesorio",IF(BBDD_fashion_boutique[[#This Row],[size]]="","Desconocido",BBDD_fashion_boutique[[#This Row],[size]]))</f>
        <v>XS</v>
      </c>
      <c r="G1053" t="s">
        <v>40</v>
      </c>
      <c r="H1053" s="2">
        <v>155.57</v>
      </c>
      <c r="I1053">
        <v>0</v>
      </c>
      <c r="J1053" s="5">
        <f>BBDD_fashion_boutique[[#This Row],[markdown_percentage]]/100</f>
        <v>0</v>
      </c>
      <c r="K1053" s="2">
        <v>155.57</v>
      </c>
      <c r="L1053" s="2">
        <f>BBDD_fashion_boutique[[#This Row],[original_price]]-BBDD_fashion_boutique[[#This Row],[current_price]]</f>
        <v>0</v>
      </c>
      <c r="M1053" s="1">
        <v>45875</v>
      </c>
      <c r="N1053" s="1" t="str">
        <f>PROPER(TEXT(BBDD_fashion_boutique[[#This Row],[purchase_date]],"dddd"))</f>
        <v>Miércoles</v>
      </c>
      <c r="O1053" s="1" t="str">
        <f>PROPER(TEXT(BBDD_fashion_boutique[[#This Row],[purchase_date]],"mmmm"))</f>
        <v>Agosto</v>
      </c>
      <c r="P1053" s="4">
        <v>48</v>
      </c>
      <c r="Q1053" s="2">
        <v>3.8</v>
      </c>
      <c r="R1053" t="str">
        <f>IF(BBDD_fashion_boutique[[#This Row],[stock_quantity]]&gt;9,"Ok",IF(BBDD_fashion_boutique[[#This Row],[stock_quantity]]=0,"Agotado","Pocas Unidades"))</f>
        <v>Ok</v>
      </c>
      <c r="S1053" s="3">
        <f>IF(BBDD_fashion_boutique[[#This Row],[customer_rating]]="","No valorado",BBDD_fashion_boutique[[#This Row],[customer_rating]])</f>
        <v>3.8</v>
      </c>
      <c r="T1053" t="s">
        <v>24</v>
      </c>
      <c r="V1053">
        <f>IF(BBDD_fashion_boutique[[#This Row],[is_returned]]="False",0,1)</f>
        <v>0</v>
      </c>
      <c r="W1053">
        <f>IF(BBDD_fashion_boutique[[#This Row],[is_returned]]="True",0,BBDD_fashion_boutique[[#This Row],[current_price]])</f>
        <v>155.57</v>
      </c>
      <c r="X1053" t="str">
        <f>IF(BBDD_fashion_boutique[[#This Row],[return_reason]]="","No return",BBDD_fashion_boutique[[#This Row],[return_reason]])</f>
        <v>No return</v>
      </c>
      <c r="Y1053">
        <f>IF(IFERROR(VLOOKUP(BBDD_fashion_boutique[[#This Row],[product_id]],A1054:A3229,1,FALSE),0),1,0)</f>
        <v>0</v>
      </c>
    </row>
    <row r="1054" spans="1:25" x14ac:dyDescent="0.3">
      <c r="A1054" t="s">
        <v>1113</v>
      </c>
      <c r="B1054" t="s">
        <v>19</v>
      </c>
      <c r="C1054" t="s">
        <v>49</v>
      </c>
      <c r="D1054" t="s">
        <v>39</v>
      </c>
      <c r="E1054" t="s">
        <v>29</v>
      </c>
      <c r="F1054" t="str">
        <f>IF(BBDD_fashion_boutique[[#This Row],[category]]="Accessories","Accesorio",IF(BBDD_fashion_boutique[[#This Row],[size]]="","Desconocido",BBDD_fashion_boutique[[#This Row],[size]]))</f>
        <v>L</v>
      </c>
      <c r="G1054" t="s">
        <v>52</v>
      </c>
      <c r="H1054" s="2">
        <v>198.44</v>
      </c>
      <c r="I1054">
        <v>0</v>
      </c>
      <c r="J1054" s="5">
        <f>BBDD_fashion_boutique[[#This Row],[markdown_percentage]]/100</f>
        <v>0</v>
      </c>
      <c r="K1054" s="2">
        <v>198.44</v>
      </c>
      <c r="L1054" s="2">
        <f>BBDD_fashion_boutique[[#This Row],[original_price]]-BBDD_fashion_boutique[[#This Row],[current_price]]</f>
        <v>0</v>
      </c>
      <c r="M1054" s="1">
        <v>45875</v>
      </c>
      <c r="N1054" s="1" t="str">
        <f>PROPER(TEXT(BBDD_fashion_boutique[[#This Row],[purchase_date]],"dddd"))</f>
        <v>Miércoles</v>
      </c>
      <c r="O1054" s="1" t="str">
        <f>PROPER(TEXT(BBDD_fashion_boutique[[#This Row],[purchase_date]],"mmmm"))</f>
        <v>Agosto</v>
      </c>
      <c r="P1054" s="4">
        <v>40</v>
      </c>
      <c r="Q1054" s="2">
        <v>2.2000000000000002</v>
      </c>
      <c r="R1054" t="str">
        <f>IF(BBDD_fashion_boutique[[#This Row],[stock_quantity]]&gt;9,"Ok",IF(BBDD_fashion_boutique[[#This Row],[stock_quantity]]=0,"Agotado","Pocas Unidades"))</f>
        <v>Ok</v>
      </c>
      <c r="S1054" s="3">
        <f>IF(BBDD_fashion_boutique[[#This Row],[customer_rating]]="","No valorado",BBDD_fashion_boutique[[#This Row],[customer_rating]])</f>
        <v>2.2000000000000002</v>
      </c>
      <c r="T1054" t="s">
        <v>24</v>
      </c>
      <c r="V1054">
        <f>IF(BBDD_fashion_boutique[[#This Row],[is_returned]]="False",0,1)</f>
        <v>0</v>
      </c>
      <c r="W1054">
        <f>IF(BBDD_fashion_boutique[[#This Row],[is_returned]]="True",0,BBDD_fashion_boutique[[#This Row],[current_price]])</f>
        <v>198.44</v>
      </c>
      <c r="X1054" t="str">
        <f>IF(BBDD_fashion_boutique[[#This Row],[return_reason]]="","No return",BBDD_fashion_boutique[[#This Row],[return_reason]])</f>
        <v>No return</v>
      </c>
      <c r="Y1054">
        <f>IF(IFERROR(VLOOKUP(BBDD_fashion_boutique[[#This Row],[product_id]],A1055:A3230,1,FALSE),0),1,0)</f>
        <v>0</v>
      </c>
    </row>
    <row r="1055" spans="1:25" x14ac:dyDescent="0.3">
      <c r="A1055" t="s">
        <v>1114</v>
      </c>
      <c r="B1055" t="s">
        <v>35</v>
      </c>
      <c r="C1055" t="s">
        <v>59</v>
      </c>
      <c r="D1055" t="s">
        <v>21</v>
      </c>
      <c r="E1055" t="s">
        <v>64</v>
      </c>
      <c r="F1055" t="str">
        <f>IF(BBDD_fashion_boutique[[#This Row],[category]]="Accessories","Accesorio",IF(BBDD_fashion_boutique[[#This Row],[size]]="","Desconocido",BBDD_fashion_boutique[[#This Row],[size]]))</f>
        <v>M</v>
      </c>
      <c r="G1055" t="s">
        <v>33</v>
      </c>
      <c r="H1055" s="2">
        <v>175.85</v>
      </c>
      <c r="I1055">
        <v>18.100000000000001</v>
      </c>
      <c r="J1055" s="5">
        <f>BBDD_fashion_boutique[[#This Row],[markdown_percentage]]/100</f>
        <v>0.18100000000000002</v>
      </c>
      <c r="K1055" s="2">
        <v>144.02000000000001</v>
      </c>
      <c r="L1055" s="2">
        <f>BBDD_fashion_boutique[[#This Row],[original_price]]-BBDD_fashion_boutique[[#This Row],[current_price]]</f>
        <v>31.829999999999984</v>
      </c>
      <c r="M1055" s="1">
        <v>45686</v>
      </c>
      <c r="N1055" s="1" t="str">
        <f>PROPER(TEXT(BBDD_fashion_boutique[[#This Row],[purchase_date]],"dddd"))</f>
        <v>Miércoles</v>
      </c>
      <c r="O1055" s="1" t="str">
        <f>PROPER(TEXT(BBDD_fashion_boutique[[#This Row],[purchase_date]],"mmmm"))</f>
        <v>Enero</v>
      </c>
      <c r="P1055" s="4">
        <v>4</v>
      </c>
      <c r="Q1055" s="2">
        <v>4</v>
      </c>
      <c r="R1055" t="str">
        <f>IF(BBDD_fashion_boutique[[#This Row],[stock_quantity]]&gt;9,"Ok",IF(BBDD_fashion_boutique[[#This Row],[stock_quantity]]=0,"Agotado","Pocas Unidades"))</f>
        <v>Pocas Unidades</v>
      </c>
      <c r="S1055" s="3">
        <f>IF(BBDD_fashion_boutique[[#This Row],[customer_rating]]="","No valorado",BBDD_fashion_boutique[[#This Row],[customer_rating]])</f>
        <v>4</v>
      </c>
      <c r="T1055" t="s">
        <v>24</v>
      </c>
      <c r="V1055">
        <f>IF(BBDD_fashion_boutique[[#This Row],[is_returned]]="False",0,1)</f>
        <v>0</v>
      </c>
      <c r="W1055">
        <f>IF(BBDD_fashion_boutique[[#This Row],[is_returned]]="True",0,BBDD_fashion_boutique[[#This Row],[current_price]])</f>
        <v>144.02000000000001</v>
      </c>
      <c r="X1055" t="str">
        <f>IF(BBDD_fashion_boutique[[#This Row],[return_reason]]="","No return",BBDD_fashion_boutique[[#This Row],[return_reason]])</f>
        <v>No return</v>
      </c>
      <c r="Y1055">
        <f>IF(IFERROR(VLOOKUP(BBDD_fashion_boutique[[#This Row],[product_id]],A1056:A3231,1,FALSE),0),1,0)</f>
        <v>0</v>
      </c>
    </row>
    <row r="1056" spans="1:25" x14ac:dyDescent="0.3">
      <c r="A1056" t="s">
        <v>1115</v>
      </c>
      <c r="B1056" t="s">
        <v>19</v>
      </c>
      <c r="C1056" t="s">
        <v>81</v>
      </c>
      <c r="D1056" t="s">
        <v>68</v>
      </c>
      <c r="E1056" t="s">
        <v>64</v>
      </c>
      <c r="F1056" t="str">
        <f>IF(BBDD_fashion_boutique[[#This Row],[category]]="Accessories","Accesorio",IF(BBDD_fashion_boutique[[#This Row],[size]]="","Desconocido",BBDD_fashion_boutique[[#This Row],[size]]))</f>
        <v>M</v>
      </c>
      <c r="G1056" t="s">
        <v>30</v>
      </c>
      <c r="H1056" s="2">
        <v>100.23</v>
      </c>
      <c r="I1056">
        <v>0</v>
      </c>
      <c r="J1056" s="5">
        <f>BBDD_fashion_boutique[[#This Row],[markdown_percentage]]/100</f>
        <v>0</v>
      </c>
      <c r="K1056" s="2">
        <v>100.23</v>
      </c>
      <c r="L1056" s="2">
        <f>BBDD_fashion_boutique[[#This Row],[original_price]]-BBDD_fashion_boutique[[#This Row],[current_price]]</f>
        <v>0</v>
      </c>
      <c r="M1056" s="1">
        <v>45875</v>
      </c>
      <c r="N1056" s="1" t="str">
        <f>PROPER(TEXT(BBDD_fashion_boutique[[#This Row],[purchase_date]],"dddd"))</f>
        <v>Miércoles</v>
      </c>
      <c r="O1056" s="1" t="str">
        <f>PROPER(TEXT(BBDD_fashion_boutique[[#This Row],[purchase_date]],"mmmm"))</f>
        <v>Agosto</v>
      </c>
      <c r="P1056" s="4">
        <v>12</v>
      </c>
      <c r="Q1056" s="2">
        <v>3.5</v>
      </c>
      <c r="R1056" t="str">
        <f>IF(BBDD_fashion_boutique[[#This Row],[stock_quantity]]&gt;9,"Ok",IF(BBDD_fashion_boutique[[#This Row],[stock_quantity]]=0,"Agotado","Pocas Unidades"))</f>
        <v>Ok</v>
      </c>
      <c r="S1056" s="3">
        <f>IF(BBDD_fashion_boutique[[#This Row],[customer_rating]]="","No valorado",BBDD_fashion_boutique[[#This Row],[customer_rating]])</f>
        <v>3.5</v>
      </c>
      <c r="T1056" t="s">
        <v>24</v>
      </c>
      <c r="V1056">
        <f>IF(BBDD_fashion_boutique[[#This Row],[is_returned]]="False",0,1)</f>
        <v>0</v>
      </c>
      <c r="W1056">
        <f>IF(BBDD_fashion_boutique[[#This Row],[is_returned]]="True",0,BBDD_fashion_boutique[[#This Row],[current_price]])</f>
        <v>100.23</v>
      </c>
      <c r="X1056" t="str">
        <f>IF(BBDD_fashion_boutique[[#This Row],[return_reason]]="","No return",BBDD_fashion_boutique[[#This Row],[return_reason]])</f>
        <v>No return</v>
      </c>
      <c r="Y1056">
        <f>IF(IFERROR(VLOOKUP(BBDD_fashion_boutique[[#This Row],[product_id]],A1057:A3232,1,FALSE),0),1,0)</f>
        <v>0</v>
      </c>
    </row>
    <row r="1057" spans="1:25" x14ac:dyDescent="0.3">
      <c r="A1057" t="s">
        <v>1116</v>
      </c>
      <c r="B1057" t="s">
        <v>19</v>
      </c>
      <c r="C1057" t="s">
        <v>20</v>
      </c>
      <c r="D1057" t="s">
        <v>28</v>
      </c>
      <c r="E1057" t="s">
        <v>55</v>
      </c>
      <c r="F1057" t="str">
        <f>IF(BBDD_fashion_boutique[[#This Row],[category]]="Accessories","Accesorio",IF(BBDD_fashion_boutique[[#This Row],[size]]="","Desconocido",BBDD_fashion_boutique[[#This Row],[size]]))</f>
        <v>XXL</v>
      </c>
      <c r="G1057" t="s">
        <v>62</v>
      </c>
      <c r="H1057" s="2">
        <v>88.94</v>
      </c>
      <c r="I1057">
        <v>0</v>
      </c>
      <c r="J1057" s="5">
        <f>BBDD_fashion_boutique[[#This Row],[markdown_percentage]]/100</f>
        <v>0</v>
      </c>
      <c r="K1057" s="2">
        <v>88.94</v>
      </c>
      <c r="L1057" s="2">
        <f>BBDD_fashion_boutique[[#This Row],[original_price]]-BBDD_fashion_boutique[[#This Row],[current_price]]</f>
        <v>0</v>
      </c>
      <c r="M1057" s="1">
        <v>45875</v>
      </c>
      <c r="N1057" s="1" t="str">
        <f>PROPER(TEXT(BBDD_fashion_boutique[[#This Row],[purchase_date]],"dddd"))</f>
        <v>Miércoles</v>
      </c>
      <c r="O1057" s="1" t="str">
        <f>PROPER(TEXT(BBDD_fashion_boutique[[#This Row],[purchase_date]],"mmmm"))</f>
        <v>Agosto</v>
      </c>
      <c r="P1057" s="4">
        <v>36</v>
      </c>
      <c r="R1057" t="str">
        <f>IF(BBDD_fashion_boutique[[#This Row],[stock_quantity]]&gt;9,"Ok",IF(BBDD_fashion_boutique[[#This Row],[stock_quantity]]=0,"Agotado","Pocas Unidades"))</f>
        <v>Ok</v>
      </c>
      <c r="S1057" s="3" t="str">
        <f>IF(BBDD_fashion_boutique[[#This Row],[customer_rating]]="","No valorado",BBDD_fashion_boutique[[#This Row],[customer_rating]])</f>
        <v>No valorado</v>
      </c>
      <c r="T1057" t="s">
        <v>24</v>
      </c>
      <c r="V1057">
        <f>IF(BBDD_fashion_boutique[[#This Row],[is_returned]]="False",0,1)</f>
        <v>0</v>
      </c>
      <c r="W1057">
        <f>IF(BBDD_fashion_boutique[[#This Row],[is_returned]]="True",0,BBDD_fashion_boutique[[#This Row],[current_price]])</f>
        <v>88.94</v>
      </c>
      <c r="X1057" t="str">
        <f>IF(BBDD_fashion_boutique[[#This Row],[return_reason]]="","No return",BBDD_fashion_boutique[[#This Row],[return_reason]])</f>
        <v>No return</v>
      </c>
      <c r="Y1057">
        <f>IF(IFERROR(VLOOKUP(BBDD_fashion_boutique[[#This Row],[product_id]],A1058:A3233,1,FALSE),0),1,0)</f>
        <v>0</v>
      </c>
    </row>
    <row r="1058" spans="1:25" x14ac:dyDescent="0.3">
      <c r="A1058" t="s">
        <v>1117</v>
      </c>
      <c r="B1058" t="s">
        <v>19</v>
      </c>
      <c r="C1058" t="s">
        <v>54</v>
      </c>
      <c r="D1058" t="s">
        <v>39</v>
      </c>
      <c r="E1058" t="s">
        <v>55</v>
      </c>
      <c r="F1058" t="str">
        <f>IF(BBDD_fashion_boutique[[#This Row],[category]]="Accessories","Accesorio",IF(BBDD_fashion_boutique[[#This Row],[size]]="","Desconocido",BBDD_fashion_boutique[[#This Row],[size]]))</f>
        <v>XXL</v>
      </c>
      <c r="G1058" t="s">
        <v>70</v>
      </c>
      <c r="H1058" s="2">
        <v>205.91</v>
      </c>
      <c r="I1058">
        <v>0</v>
      </c>
      <c r="J1058" s="5">
        <f>BBDD_fashion_boutique[[#This Row],[markdown_percentage]]/100</f>
        <v>0</v>
      </c>
      <c r="K1058" s="2">
        <v>205.91</v>
      </c>
      <c r="L1058" s="2">
        <f>BBDD_fashion_boutique[[#This Row],[original_price]]-BBDD_fashion_boutique[[#This Row],[current_price]]</f>
        <v>0</v>
      </c>
      <c r="M1058" s="1">
        <v>45875</v>
      </c>
      <c r="N1058" s="1" t="str">
        <f>PROPER(TEXT(BBDD_fashion_boutique[[#This Row],[purchase_date]],"dddd"))</f>
        <v>Miércoles</v>
      </c>
      <c r="O1058" s="1" t="str">
        <f>PROPER(TEXT(BBDD_fashion_boutique[[#This Row],[purchase_date]],"mmmm"))</f>
        <v>Agosto</v>
      </c>
      <c r="P1058" s="4">
        <v>3</v>
      </c>
      <c r="Q1058" s="2">
        <v>4.8</v>
      </c>
      <c r="R1058" t="str">
        <f>IF(BBDD_fashion_boutique[[#This Row],[stock_quantity]]&gt;9,"Ok",IF(BBDD_fashion_boutique[[#This Row],[stock_quantity]]=0,"Agotado","Pocas Unidades"))</f>
        <v>Pocas Unidades</v>
      </c>
      <c r="S1058" s="3">
        <f>IF(BBDD_fashion_boutique[[#This Row],[customer_rating]]="","No valorado",BBDD_fashion_boutique[[#This Row],[customer_rating]])</f>
        <v>4.8</v>
      </c>
      <c r="T1058" t="s">
        <v>24</v>
      </c>
      <c r="V1058">
        <f>IF(BBDD_fashion_boutique[[#This Row],[is_returned]]="False",0,1)</f>
        <v>0</v>
      </c>
      <c r="W1058">
        <f>IF(BBDD_fashion_boutique[[#This Row],[is_returned]]="True",0,BBDD_fashion_boutique[[#This Row],[current_price]])</f>
        <v>205.91</v>
      </c>
      <c r="X1058" t="str">
        <f>IF(BBDD_fashion_boutique[[#This Row],[return_reason]]="","No return",BBDD_fashion_boutique[[#This Row],[return_reason]])</f>
        <v>No return</v>
      </c>
      <c r="Y1058">
        <f>IF(IFERROR(VLOOKUP(BBDD_fashion_boutique[[#This Row],[product_id]],A1059:A3234,1,FALSE),0),1,0)</f>
        <v>0</v>
      </c>
    </row>
    <row r="1059" spans="1:25" x14ac:dyDescent="0.3">
      <c r="A1059" t="s">
        <v>1118</v>
      </c>
      <c r="B1059" t="s">
        <v>32</v>
      </c>
      <c r="C1059" t="s">
        <v>27</v>
      </c>
      <c r="D1059" t="s">
        <v>39</v>
      </c>
      <c r="F1059" t="str">
        <f>IF(BBDD_fashion_boutique[[#This Row],[category]]="Accessories","Accesorio",IF(BBDD_fashion_boutique[[#This Row],[size]]="","Desconocido",BBDD_fashion_boutique[[#This Row],[size]]))</f>
        <v>Accesorio</v>
      </c>
      <c r="G1059" t="s">
        <v>30</v>
      </c>
      <c r="H1059" s="2">
        <v>29.06</v>
      </c>
      <c r="I1059">
        <v>1.1000000000000001</v>
      </c>
      <c r="J1059" s="5">
        <f>BBDD_fashion_boutique[[#This Row],[markdown_percentage]]/100</f>
        <v>1.1000000000000001E-2</v>
      </c>
      <c r="K1059" s="2">
        <v>28.74</v>
      </c>
      <c r="L1059" s="2">
        <f>BBDD_fashion_boutique[[#This Row],[original_price]]-BBDD_fashion_boutique[[#This Row],[current_price]]</f>
        <v>0.32000000000000028</v>
      </c>
      <c r="M1059" s="1">
        <v>45875</v>
      </c>
      <c r="N1059" s="1" t="str">
        <f>PROPER(TEXT(BBDD_fashion_boutique[[#This Row],[purchase_date]],"dddd"))</f>
        <v>Miércoles</v>
      </c>
      <c r="O1059" s="1" t="str">
        <f>PROPER(TEXT(BBDD_fashion_boutique[[#This Row],[purchase_date]],"mmmm"))</f>
        <v>Agosto</v>
      </c>
      <c r="P1059" s="4">
        <v>12</v>
      </c>
      <c r="Q1059" s="2">
        <v>1.1000000000000001</v>
      </c>
      <c r="R1059" t="str">
        <f>IF(BBDD_fashion_boutique[[#This Row],[stock_quantity]]&gt;9,"Ok",IF(BBDD_fashion_boutique[[#This Row],[stock_quantity]]=0,"Agotado","Pocas Unidades"))</f>
        <v>Ok</v>
      </c>
      <c r="S1059" s="3">
        <f>IF(BBDD_fashion_boutique[[#This Row],[customer_rating]]="","No valorado",BBDD_fashion_boutique[[#This Row],[customer_rating]])</f>
        <v>1.1000000000000001</v>
      </c>
      <c r="T1059" t="s">
        <v>41</v>
      </c>
      <c r="U1059" t="s">
        <v>42</v>
      </c>
      <c r="V1059">
        <f>IF(BBDD_fashion_boutique[[#This Row],[is_returned]]="False",0,1)</f>
        <v>1</v>
      </c>
      <c r="W1059">
        <f>IF(BBDD_fashion_boutique[[#This Row],[is_returned]]="True",0,BBDD_fashion_boutique[[#This Row],[current_price]])</f>
        <v>0</v>
      </c>
      <c r="X1059" t="str">
        <f>IF(BBDD_fashion_boutique[[#This Row],[return_reason]]="","No return",BBDD_fashion_boutique[[#This Row],[return_reason]])</f>
        <v>Color Mismatch</v>
      </c>
      <c r="Y1059">
        <f>IF(IFERROR(VLOOKUP(BBDD_fashion_boutique[[#This Row],[product_id]],A1060:A3235,1,FALSE),0),1,0)</f>
        <v>0</v>
      </c>
    </row>
    <row r="1060" spans="1:25" x14ac:dyDescent="0.3">
      <c r="A1060" t="s">
        <v>1119</v>
      </c>
      <c r="B1060" t="s">
        <v>32</v>
      </c>
      <c r="C1060" t="s">
        <v>67</v>
      </c>
      <c r="D1060" t="s">
        <v>68</v>
      </c>
      <c r="F1060" t="str">
        <f>IF(BBDD_fashion_boutique[[#This Row],[category]]="Accessories","Accesorio",IF(BBDD_fashion_boutique[[#This Row],[size]]="","Desconocido",BBDD_fashion_boutique[[#This Row],[size]]))</f>
        <v>Accesorio</v>
      </c>
      <c r="G1060" t="s">
        <v>76</v>
      </c>
      <c r="H1060" s="2">
        <v>68.56</v>
      </c>
      <c r="I1060">
        <v>0</v>
      </c>
      <c r="J1060" s="5">
        <f>BBDD_fashion_boutique[[#This Row],[markdown_percentage]]/100</f>
        <v>0</v>
      </c>
      <c r="K1060" s="2">
        <v>68.56</v>
      </c>
      <c r="L1060" s="2">
        <f>BBDD_fashion_boutique[[#This Row],[original_price]]-BBDD_fashion_boutique[[#This Row],[current_price]]</f>
        <v>0</v>
      </c>
      <c r="M1060" s="1">
        <v>45875</v>
      </c>
      <c r="N1060" s="1" t="str">
        <f>PROPER(TEXT(BBDD_fashion_boutique[[#This Row],[purchase_date]],"dddd"))</f>
        <v>Miércoles</v>
      </c>
      <c r="O1060" s="1" t="str">
        <f>PROPER(TEXT(BBDD_fashion_boutique[[#This Row],[purchase_date]],"mmmm"))</f>
        <v>Agosto</v>
      </c>
      <c r="P1060" s="4">
        <v>2</v>
      </c>
      <c r="Q1060" s="2">
        <v>2.4</v>
      </c>
      <c r="R1060" t="str">
        <f>IF(BBDD_fashion_boutique[[#This Row],[stock_quantity]]&gt;9,"Ok",IF(BBDD_fashion_boutique[[#This Row],[stock_quantity]]=0,"Agotado","Pocas Unidades"))</f>
        <v>Pocas Unidades</v>
      </c>
      <c r="S1060" s="3">
        <f>IF(BBDD_fashion_boutique[[#This Row],[customer_rating]]="","No valorado",BBDD_fashion_boutique[[#This Row],[customer_rating]])</f>
        <v>2.4</v>
      </c>
      <c r="T1060" t="s">
        <v>24</v>
      </c>
      <c r="V1060">
        <f>IF(BBDD_fashion_boutique[[#This Row],[is_returned]]="False",0,1)</f>
        <v>0</v>
      </c>
      <c r="W1060">
        <f>IF(BBDD_fashion_boutique[[#This Row],[is_returned]]="True",0,BBDD_fashion_boutique[[#This Row],[current_price]])</f>
        <v>68.56</v>
      </c>
      <c r="X1060" t="str">
        <f>IF(BBDD_fashion_boutique[[#This Row],[return_reason]]="","No return",BBDD_fashion_boutique[[#This Row],[return_reason]])</f>
        <v>No return</v>
      </c>
      <c r="Y1060">
        <f>IF(IFERROR(VLOOKUP(BBDD_fashion_boutique[[#This Row],[product_id]],A1061:A3236,1,FALSE),0),1,0)</f>
        <v>0</v>
      </c>
    </row>
    <row r="1061" spans="1:25" x14ac:dyDescent="0.3">
      <c r="A1061" t="s">
        <v>1120</v>
      </c>
      <c r="B1061" t="s">
        <v>26</v>
      </c>
      <c r="C1061" t="s">
        <v>81</v>
      </c>
      <c r="D1061" t="s">
        <v>68</v>
      </c>
      <c r="E1061" t="s">
        <v>29</v>
      </c>
      <c r="F1061" t="str">
        <f>IF(BBDD_fashion_boutique[[#This Row],[category]]="Accessories","Accesorio",IF(BBDD_fashion_boutique[[#This Row],[size]]="","Desconocido",BBDD_fashion_boutique[[#This Row],[size]]))</f>
        <v>L</v>
      </c>
      <c r="G1061" t="s">
        <v>72</v>
      </c>
      <c r="H1061" s="2">
        <v>91.6</v>
      </c>
      <c r="I1061">
        <v>59.5</v>
      </c>
      <c r="J1061" s="5">
        <f>BBDD_fashion_boutique[[#This Row],[markdown_percentage]]/100</f>
        <v>0.59499999999999997</v>
      </c>
      <c r="K1061" s="2">
        <v>37.1</v>
      </c>
      <c r="L1061" s="2">
        <f>BBDD_fashion_boutique[[#This Row],[original_price]]-BBDD_fashion_boutique[[#This Row],[current_price]]</f>
        <v>54.499999999999993</v>
      </c>
      <c r="M1061" s="1">
        <v>45875</v>
      </c>
      <c r="N1061" s="1" t="str">
        <f>PROPER(TEXT(BBDD_fashion_boutique[[#This Row],[purchase_date]],"dddd"))</f>
        <v>Miércoles</v>
      </c>
      <c r="O1061" s="1" t="str">
        <f>PROPER(TEXT(BBDD_fashion_boutique[[#This Row],[purchase_date]],"mmmm"))</f>
        <v>Agosto</v>
      </c>
      <c r="P1061" s="4">
        <v>2</v>
      </c>
      <c r="Q1061" s="2">
        <v>4.3</v>
      </c>
      <c r="R1061" t="str">
        <f>IF(BBDD_fashion_boutique[[#This Row],[stock_quantity]]&gt;9,"Ok",IF(BBDD_fashion_boutique[[#This Row],[stock_quantity]]=0,"Agotado","Pocas Unidades"))</f>
        <v>Pocas Unidades</v>
      </c>
      <c r="S1061" s="3">
        <f>IF(BBDD_fashion_boutique[[#This Row],[customer_rating]]="","No valorado",BBDD_fashion_boutique[[#This Row],[customer_rating]])</f>
        <v>4.3</v>
      </c>
      <c r="T1061" t="s">
        <v>24</v>
      </c>
      <c r="V1061">
        <f>IF(BBDD_fashion_boutique[[#This Row],[is_returned]]="False",0,1)</f>
        <v>0</v>
      </c>
      <c r="W1061">
        <f>IF(BBDD_fashion_boutique[[#This Row],[is_returned]]="True",0,BBDD_fashion_boutique[[#This Row],[current_price]])</f>
        <v>37.1</v>
      </c>
      <c r="X1061" t="str">
        <f>IF(BBDD_fashion_boutique[[#This Row],[return_reason]]="","No return",BBDD_fashion_boutique[[#This Row],[return_reason]])</f>
        <v>No return</v>
      </c>
      <c r="Y1061">
        <f>IF(IFERROR(VLOOKUP(BBDD_fashion_boutique[[#This Row],[product_id]],A1062:A3237,1,FALSE),0),1,0)</f>
        <v>0</v>
      </c>
    </row>
    <row r="1062" spans="1:25" x14ac:dyDescent="0.3">
      <c r="A1062" t="s">
        <v>1121</v>
      </c>
      <c r="B1062" t="s">
        <v>48</v>
      </c>
      <c r="C1062" t="s">
        <v>54</v>
      </c>
      <c r="D1062" t="s">
        <v>68</v>
      </c>
      <c r="E1062" t="s">
        <v>61</v>
      </c>
      <c r="F1062" t="str">
        <f>IF(BBDD_fashion_boutique[[#This Row],[category]]="Accessories","Accesorio",IF(BBDD_fashion_boutique[[#This Row],[size]]="","Desconocido",BBDD_fashion_boutique[[#This Row],[size]]))</f>
        <v>XS</v>
      </c>
      <c r="G1062" t="s">
        <v>33</v>
      </c>
      <c r="H1062" s="2">
        <v>96.57</v>
      </c>
      <c r="I1062">
        <v>0</v>
      </c>
      <c r="J1062" s="5">
        <f>BBDD_fashion_boutique[[#This Row],[markdown_percentage]]/100</f>
        <v>0</v>
      </c>
      <c r="K1062" s="2">
        <v>96.57</v>
      </c>
      <c r="L1062" s="2">
        <f>BBDD_fashion_boutique[[#This Row],[original_price]]-BBDD_fashion_boutique[[#This Row],[current_price]]</f>
        <v>0</v>
      </c>
      <c r="M1062" s="1">
        <v>45875</v>
      </c>
      <c r="N1062" s="1" t="str">
        <f>PROPER(TEXT(BBDD_fashion_boutique[[#This Row],[purchase_date]],"dddd"))</f>
        <v>Miércoles</v>
      </c>
      <c r="O1062" s="1" t="str">
        <f>PROPER(TEXT(BBDD_fashion_boutique[[#This Row],[purchase_date]],"mmmm"))</f>
        <v>Agosto</v>
      </c>
      <c r="P1062" s="4">
        <v>6</v>
      </c>
      <c r="Q1062" s="2">
        <v>1.9</v>
      </c>
      <c r="R1062" t="str">
        <f>IF(BBDD_fashion_boutique[[#This Row],[stock_quantity]]&gt;9,"Ok",IF(BBDD_fashion_boutique[[#This Row],[stock_quantity]]=0,"Agotado","Pocas Unidades"))</f>
        <v>Pocas Unidades</v>
      </c>
      <c r="S1062" s="3">
        <f>IF(BBDD_fashion_boutique[[#This Row],[customer_rating]]="","No valorado",BBDD_fashion_boutique[[#This Row],[customer_rating]])</f>
        <v>1.9</v>
      </c>
      <c r="T1062" t="s">
        <v>24</v>
      </c>
      <c r="V1062">
        <f>IF(BBDD_fashion_boutique[[#This Row],[is_returned]]="False",0,1)</f>
        <v>0</v>
      </c>
      <c r="W1062">
        <f>IF(BBDD_fashion_boutique[[#This Row],[is_returned]]="True",0,BBDD_fashion_boutique[[#This Row],[current_price]])</f>
        <v>96.57</v>
      </c>
      <c r="X1062" t="str">
        <f>IF(BBDD_fashion_boutique[[#This Row],[return_reason]]="","No return",BBDD_fashion_boutique[[#This Row],[return_reason]])</f>
        <v>No return</v>
      </c>
      <c r="Y1062">
        <f>IF(IFERROR(VLOOKUP(BBDD_fashion_boutique[[#This Row],[product_id]],A1063:A3238,1,FALSE),0),1,0)</f>
        <v>0</v>
      </c>
    </row>
    <row r="1063" spans="1:25" x14ac:dyDescent="0.3">
      <c r="A1063" t="s">
        <v>1122</v>
      </c>
      <c r="B1063" t="s">
        <v>44</v>
      </c>
      <c r="C1063" t="s">
        <v>54</v>
      </c>
      <c r="D1063" t="s">
        <v>28</v>
      </c>
      <c r="E1063" t="s">
        <v>45</v>
      </c>
      <c r="F1063" t="str">
        <f>IF(BBDD_fashion_boutique[[#This Row],[category]]="Accessories","Accesorio",IF(BBDD_fashion_boutique[[#This Row],[size]]="","Desconocido",BBDD_fashion_boutique[[#This Row],[size]]))</f>
        <v>S</v>
      </c>
      <c r="G1063" t="s">
        <v>30</v>
      </c>
      <c r="H1063" s="2">
        <v>35.630000000000003</v>
      </c>
      <c r="I1063">
        <v>57.9</v>
      </c>
      <c r="J1063" s="5">
        <f>BBDD_fashion_boutique[[#This Row],[markdown_percentage]]/100</f>
        <v>0.57899999999999996</v>
      </c>
      <c r="K1063" s="2">
        <v>15</v>
      </c>
      <c r="L1063" s="2">
        <f>BBDD_fashion_boutique[[#This Row],[original_price]]-BBDD_fashion_boutique[[#This Row],[current_price]]</f>
        <v>20.630000000000003</v>
      </c>
      <c r="M1063" s="1">
        <v>45875</v>
      </c>
      <c r="N1063" s="1" t="str">
        <f>PROPER(TEXT(BBDD_fashion_boutique[[#This Row],[purchase_date]],"dddd"))</f>
        <v>Miércoles</v>
      </c>
      <c r="O1063" s="1" t="str">
        <f>PROPER(TEXT(BBDD_fashion_boutique[[#This Row],[purchase_date]],"mmmm"))</f>
        <v>Agosto</v>
      </c>
      <c r="P1063" s="4">
        <v>11</v>
      </c>
      <c r="Q1063" s="2">
        <v>1.8</v>
      </c>
      <c r="R1063" t="str">
        <f>IF(BBDD_fashion_boutique[[#This Row],[stock_quantity]]&gt;9,"Ok",IF(BBDD_fashion_boutique[[#This Row],[stock_quantity]]=0,"Agotado","Pocas Unidades"))</f>
        <v>Ok</v>
      </c>
      <c r="S1063" s="3">
        <f>IF(BBDD_fashion_boutique[[#This Row],[customer_rating]]="","No valorado",BBDD_fashion_boutique[[#This Row],[customer_rating]])</f>
        <v>1.8</v>
      </c>
      <c r="T1063" t="s">
        <v>24</v>
      </c>
      <c r="V1063">
        <f>IF(BBDD_fashion_boutique[[#This Row],[is_returned]]="False",0,1)</f>
        <v>0</v>
      </c>
      <c r="W1063">
        <f>IF(BBDD_fashion_boutique[[#This Row],[is_returned]]="True",0,BBDD_fashion_boutique[[#This Row],[current_price]])</f>
        <v>15</v>
      </c>
      <c r="X1063" t="str">
        <f>IF(BBDD_fashion_boutique[[#This Row],[return_reason]]="","No return",BBDD_fashion_boutique[[#This Row],[return_reason]])</f>
        <v>No return</v>
      </c>
      <c r="Y1063">
        <f>IF(IFERROR(VLOOKUP(BBDD_fashion_boutique[[#This Row],[product_id]],A1064:A3239,1,FALSE),0),1,0)</f>
        <v>0</v>
      </c>
    </row>
    <row r="1064" spans="1:25" x14ac:dyDescent="0.3">
      <c r="A1064" t="s">
        <v>1123</v>
      </c>
      <c r="B1064" t="s">
        <v>35</v>
      </c>
      <c r="C1064" t="s">
        <v>27</v>
      </c>
      <c r="D1064" t="s">
        <v>28</v>
      </c>
      <c r="E1064" t="s">
        <v>61</v>
      </c>
      <c r="F1064" t="str">
        <f>IF(BBDD_fashion_boutique[[#This Row],[category]]="Accessories","Accesorio",IF(BBDD_fashion_boutique[[#This Row],[size]]="","Desconocido",BBDD_fashion_boutique[[#This Row],[size]]))</f>
        <v>XS</v>
      </c>
      <c r="G1064" t="s">
        <v>52</v>
      </c>
      <c r="H1064" s="2">
        <v>118.98</v>
      </c>
      <c r="I1064">
        <v>38.1</v>
      </c>
      <c r="J1064" s="5">
        <f>BBDD_fashion_boutique[[#This Row],[markdown_percentage]]/100</f>
        <v>0.38100000000000001</v>
      </c>
      <c r="K1064" s="2">
        <v>73.650000000000006</v>
      </c>
      <c r="L1064" s="2">
        <f>BBDD_fashion_boutique[[#This Row],[original_price]]-BBDD_fashion_boutique[[#This Row],[current_price]]</f>
        <v>45.33</v>
      </c>
      <c r="M1064" s="1">
        <v>45875</v>
      </c>
      <c r="N1064" s="1" t="str">
        <f>PROPER(TEXT(BBDD_fashion_boutique[[#This Row],[purchase_date]],"dddd"))</f>
        <v>Miércoles</v>
      </c>
      <c r="O1064" s="1" t="str">
        <f>PROPER(TEXT(BBDD_fashion_boutique[[#This Row],[purchase_date]],"mmmm"))</f>
        <v>Agosto</v>
      </c>
      <c r="P1064" s="4">
        <v>36</v>
      </c>
      <c r="Q1064" s="2">
        <v>1.1000000000000001</v>
      </c>
      <c r="R1064" t="str">
        <f>IF(BBDD_fashion_boutique[[#This Row],[stock_quantity]]&gt;9,"Ok",IF(BBDD_fashion_boutique[[#This Row],[stock_quantity]]=0,"Agotado","Pocas Unidades"))</f>
        <v>Ok</v>
      </c>
      <c r="S1064" s="3">
        <f>IF(BBDD_fashion_boutique[[#This Row],[customer_rating]]="","No valorado",BBDD_fashion_boutique[[#This Row],[customer_rating]])</f>
        <v>1.1000000000000001</v>
      </c>
      <c r="T1064" t="s">
        <v>41</v>
      </c>
      <c r="U1064" t="s">
        <v>42</v>
      </c>
      <c r="V1064">
        <f>IF(BBDD_fashion_boutique[[#This Row],[is_returned]]="False",0,1)</f>
        <v>1</v>
      </c>
      <c r="W1064">
        <f>IF(BBDD_fashion_boutique[[#This Row],[is_returned]]="True",0,BBDD_fashion_boutique[[#This Row],[current_price]])</f>
        <v>0</v>
      </c>
      <c r="X1064" t="str">
        <f>IF(BBDD_fashion_boutique[[#This Row],[return_reason]]="","No return",BBDD_fashion_boutique[[#This Row],[return_reason]])</f>
        <v>Color Mismatch</v>
      </c>
      <c r="Y1064">
        <f>IF(IFERROR(VLOOKUP(BBDD_fashion_boutique[[#This Row],[product_id]],A1065:A3240,1,FALSE),0),1,0)</f>
        <v>0</v>
      </c>
    </row>
    <row r="1065" spans="1:25" x14ac:dyDescent="0.3">
      <c r="A1065" t="s">
        <v>1124</v>
      </c>
      <c r="B1065" t="s">
        <v>35</v>
      </c>
      <c r="C1065" t="s">
        <v>54</v>
      </c>
      <c r="D1065" t="s">
        <v>21</v>
      </c>
      <c r="E1065" t="s">
        <v>22</v>
      </c>
      <c r="F1065" t="str">
        <f>IF(BBDD_fashion_boutique[[#This Row],[category]]="Accessories","Accesorio",IF(BBDD_fashion_boutique[[#This Row],[size]]="","Desconocido",BBDD_fashion_boutique[[#This Row],[size]]))</f>
        <v>XL</v>
      </c>
      <c r="G1065" t="s">
        <v>23</v>
      </c>
      <c r="H1065" s="2">
        <v>62.62</v>
      </c>
      <c r="I1065">
        <v>10.1</v>
      </c>
      <c r="J1065" s="5">
        <f>BBDD_fashion_boutique[[#This Row],[markdown_percentage]]/100</f>
        <v>0.10099999999999999</v>
      </c>
      <c r="K1065" s="2">
        <v>56.3</v>
      </c>
      <c r="L1065" s="2">
        <f>BBDD_fashion_boutique[[#This Row],[original_price]]-BBDD_fashion_boutique[[#This Row],[current_price]]</f>
        <v>6.32</v>
      </c>
      <c r="M1065" s="1">
        <v>45762</v>
      </c>
      <c r="N1065" s="1" t="str">
        <f>PROPER(TEXT(BBDD_fashion_boutique[[#This Row],[purchase_date]],"dddd"))</f>
        <v>Martes</v>
      </c>
      <c r="O1065" s="1" t="str">
        <f>PROPER(TEXT(BBDD_fashion_boutique[[#This Row],[purchase_date]],"mmmm"))</f>
        <v>Abril</v>
      </c>
      <c r="P1065" s="4">
        <v>32</v>
      </c>
      <c r="Q1065" s="2">
        <v>2.9</v>
      </c>
      <c r="R1065" t="str">
        <f>IF(BBDD_fashion_boutique[[#This Row],[stock_quantity]]&gt;9,"Ok",IF(BBDD_fashion_boutique[[#This Row],[stock_quantity]]=0,"Agotado","Pocas Unidades"))</f>
        <v>Ok</v>
      </c>
      <c r="S1065" s="3">
        <f>IF(BBDD_fashion_boutique[[#This Row],[customer_rating]]="","No valorado",BBDD_fashion_boutique[[#This Row],[customer_rating]])</f>
        <v>2.9</v>
      </c>
      <c r="T1065" t="s">
        <v>24</v>
      </c>
      <c r="V1065">
        <f>IF(BBDD_fashion_boutique[[#This Row],[is_returned]]="False",0,1)</f>
        <v>0</v>
      </c>
      <c r="W1065">
        <f>IF(BBDD_fashion_boutique[[#This Row],[is_returned]]="True",0,BBDD_fashion_boutique[[#This Row],[current_price]])</f>
        <v>56.3</v>
      </c>
      <c r="X1065" t="str">
        <f>IF(BBDD_fashion_boutique[[#This Row],[return_reason]]="","No return",BBDD_fashion_boutique[[#This Row],[return_reason]])</f>
        <v>No return</v>
      </c>
      <c r="Y1065">
        <f>IF(IFERROR(VLOOKUP(BBDD_fashion_boutique[[#This Row],[product_id]],A1066:A3241,1,FALSE),0),1,0)</f>
        <v>0</v>
      </c>
    </row>
    <row r="1066" spans="1:25" x14ac:dyDescent="0.3">
      <c r="A1066" t="s">
        <v>1125</v>
      </c>
      <c r="B1066" t="s">
        <v>35</v>
      </c>
      <c r="C1066" t="s">
        <v>81</v>
      </c>
      <c r="D1066" t="s">
        <v>68</v>
      </c>
      <c r="E1066" t="s">
        <v>64</v>
      </c>
      <c r="F1066" t="str">
        <f>IF(BBDD_fashion_boutique[[#This Row],[category]]="Accessories","Accesorio",IF(BBDD_fashion_boutique[[#This Row],[size]]="","Desconocido",BBDD_fashion_boutique[[#This Row],[size]]))</f>
        <v>M</v>
      </c>
      <c r="G1066" t="s">
        <v>76</v>
      </c>
      <c r="H1066" s="2">
        <v>153.34</v>
      </c>
      <c r="I1066">
        <v>55.5</v>
      </c>
      <c r="J1066" s="5">
        <f>BBDD_fashion_boutique[[#This Row],[markdown_percentage]]/100</f>
        <v>0.55500000000000005</v>
      </c>
      <c r="K1066" s="2">
        <v>68.239999999999995</v>
      </c>
      <c r="L1066" s="2">
        <f>BBDD_fashion_boutique[[#This Row],[original_price]]-BBDD_fashion_boutique[[#This Row],[current_price]]</f>
        <v>85.100000000000009</v>
      </c>
      <c r="M1066" s="1">
        <v>45875</v>
      </c>
      <c r="N1066" s="1" t="str">
        <f>PROPER(TEXT(BBDD_fashion_boutique[[#This Row],[purchase_date]],"dddd"))</f>
        <v>Miércoles</v>
      </c>
      <c r="O1066" s="1" t="str">
        <f>PROPER(TEXT(BBDD_fashion_boutique[[#This Row],[purchase_date]],"mmmm"))</f>
        <v>Agosto</v>
      </c>
      <c r="P1066" s="4">
        <v>46</v>
      </c>
      <c r="Q1066" s="2">
        <v>4.2</v>
      </c>
      <c r="R1066" t="str">
        <f>IF(BBDD_fashion_boutique[[#This Row],[stock_quantity]]&gt;9,"Ok",IF(BBDD_fashion_boutique[[#This Row],[stock_quantity]]=0,"Agotado","Pocas Unidades"))</f>
        <v>Ok</v>
      </c>
      <c r="S1066" s="3">
        <f>IF(BBDD_fashion_boutique[[#This Row],[customer_rating]]="","No valorado",BBDD_fashion_boutique[[#This Row],[customer_rating]])</f>
        <v>4.2</v>
      </c>
      <c r="T1066" t="s">
        <v>41</v>
      </c>
      <c r="U1066" t="s">
        <v>131</v>
      </c>
      <c r="V1066">
        <f>IF(BBDD_fashion_boutique[[#This Row],[is_returned]]="False",0,1)</f>
        <v>1</v>
      </c>
      <c r="W1066">
        <f>IF(BBDD_fashion_boutique[[#This Row],[is_returned]]="True",0,BBDD_fashion_boutique[[#This Row],[current_price]])</f>
        <v>0</v>
      </c>
      <c r="X1066" t="str">
        <f>IF(BBDD_fashion_boutique[[#This Row],[return_reason]]="","No return",BBDD_fashion_boutique[[#This Row],[return_reason]])</f>
        <v>Wrong Item</v>
      </c>
      <c r="Y1066">
        <f>IF(IFERROR(VLOOKUP(BBDD_fashion_boutique[[#This Row],[product_id]],A1067:A3242,1,FALSE),0),1,0)</f>
        <v>0</v>
      </c>
    </row>
    <row r="1067" spans="1:25" x14ac:dyDescent="0.3">
      <c r="A1067" t="s">
        <v>1126</v>
      </c>
      <c r="B1067" t="s">
        <v>26</v>
      </c>
      <c r="C1067" t="s">
        <v>59</v>
      </c>
      <c r="D1067" t="s">
        <v>68</v>
      </c>
      <c r="E1067" t="s">
        <v>29</v>
      </c>
      <c r="F1067" t="str">
        <f>IF(BBDD_fashion_boutique[[#This Row],[category]]="Accessories","Accesorio",IF(BBDD_fashion_boutique[[#This Row],[size]]="","Desconocido",BBDD_fashion_boutique[[#This Row],[size]]))</f>
        <v>L</v>
      </c>
      <c r="G1067" t="s">
        <v>52</v>
      </c>
      <c r="H1067" s="2">
        <v>71.66</v>
      </c>
      <c r="I1067">
        <v>49.7</v>
      </c>
      <c r="J1067" s="5">
        <f>BBDD_fashion_boutique[[#This Row],[markdown_percentage]]/100</f>
        <v>0.49700000000000005</v>
      </c>
      <c r="K1067" s="2">
        <v>36.04</v>
      </c>
      <c r="L1067" s="2">
        <f>BBDD_fashion_boutique[[#This Row],[original_price]]-BBDD_fashion_boutique[[#This Row],[current_price]]</f>
        <v>35.619999999999997</v>
      </c>
      <c r="M1067" s="1">
        <v>45875</v>
      </c>
      <c r="N1067" s="1" t="str">
        <f>PROPER(TEXT(BBDD_fashion_boutique[[#This Row],[purchase_date]],"dddd"))</f>
        <v>Miércoles</v>
      </c>
      <c r="O1067" s="1" t="str">
        <f>PROPER(TEXT(BBDD_fashion_boutique[[#This Row],[purchase_date]],"mmmm"))</f>
        <v>Agosto</v>
      </c>
      <c r="P1067" s="4">
        <v>33</v>
      </c>
      <c r="R1067" t="str">
        <f>IF(BBDD_fashion_boutique[[#This Row],[stock_quantity]]&gt;9,"Ok",IF(BBDD_fashion_boutique[[#This Row],[stock_quantity]]=0,"Agotado","Pocas Unidades"))</f>
        <v>Ok</v>
      </c>
      <c r="S1067" s="3" t="str">
        <f>IF(BBDD_fashion_boutique[[#This Row],[customer_rating]]="","No valorado",BBDD_fashion_boutique[[#This Row],[customer_rating]])</f>
        <v>No valorado</v>
      </c>
      <c r="T1067" t="s">
        <v>41</v>
      </c>
      <c r="U1067" t="s">
        <v>42</v>
      </c>
      <c r="V1067">
        <f>IF(BBDD_fashion_boutique[[#This Row],[is_returned]]="False",0,1)</f>
        <v>1</v>
      </c>
      <c r="W1067">
        <f>IF(BBDD_fashion_boutique[[#This Row],[is_returned]]="True",0,BBDD_fashion_boutique[[#This Row],[current_price]])</f>
        <v>0</v>
      </c>
      <c r="X1067" t="str">
        <f>IF(BBDD_fashion_boutique[[#This Row],[return_reason]]="","No return",BBDD_fashion_boutique[[#This Row],[return_reason]])</f>
        <v>Color Mismatch</v>
      </c>
      <c r="Y1067">
        <f>IF(IFERROR(VLOOKUP(BBDD_fashion_boutique[[#This Row],[product_id]],A1068:A3243,1,FALSE),0),1,0)</f>
        <v>0</v>
      </c>
    </row>
    <row r="1068" spans="1:25" x14ac:dyDescent="0.3">
      <c r="A1068" t="s">
        <v>1127</v>
      </c>
      <c r="B1068" t="s">
        <v>48</v>
      </c>
      <c r="C1068" t="s">
        <v>59</v>
      </c>
      <c r="D1068" t="s">
        <v>21</v>
      </c>
      <c r="E1068" t="s">
        <v>45</v>
      </c>
      <c r="F1068" t="str">
        <f>IF(BBDD_fashion_boutique[[#This Row],[category]]="Accessories","Accesorio",IF(BBDD_fashion_boutique[[#This Row],[size]]="","Desconocido",BBDD_fashion_boutique[[#This Row],[size]]))</f>
        <v>S</v>
      </c>
      <c r="G1068" t="s">
        <v>33</v>
      </c>
      <c r="H1068" s="2">
        <v>107.58</v>
      </c>
      <c r="I1068">
        <v>55.9</v>
      </c>
      <c r="J1068" s="5">
        <f>BBDD_fashion_boutique[[#This Row],[markdown_percentage]]/100</f>
        <v>0.55899999999999994</v>
      </c>
      <c r="K1068" s="2">
        <v>47.44</v>
      </c>
      <c r="L1068" s="2">
        <f>BBDD_fashion_boutique[[#This Row],[original_price]]-BBDD_fashion_boutique[[#This Row],[current_price]]</f>
        <v>60.14</v>
      </c>
      <c r="M1068" s="1">
        <v>45703</v>
      </c>
      <c r="N1068" s="1" t="str">
        <f>PROPER(TEXT(BBDD_fashion_boutique[[#This Row],[purchase_date]],"dddd"))</f>
        <v>Sábado</v>
      </c>
      <c r="O1068" s="1" t="str">
        <f>PROPER(TEXT(BBDD_fashion_boutique[[#This Row],[purchase_date]],"mmmm"))</f>
        <v>Febrero</v>
      </c>
      <c r="P1068" s="4">
        <v>19</v>
      </c>
      <c r="Q1068" s="2">
        <v>4.4000000000000004</v>
      </c>
      <c r="R1068" t="str">
        <f>IF(BBDD_fashion_boutique[[#This Row],[stock_quantity]]&gt;9,"Ok",IF(BBDD_fashion_boutique[[#This Row],[stock_quantity]]=0,"Agotado","Pocas Unidades"))</f>
        <v>Ok</v>
      </c>
      <c r="S1068" s="3">
        <f>IF(BBDD_fashion_boutique[[#This Row],[customer_rating]]="","No valorado",BBDD_fashion_boutique[[#This Row],[customer_rating]])</f>
        <v>4.4000000000000004</v>
      </c>
      <c r="T1068" t="s">
        <v>24</v>
      </c>
      <c r="V1068">
        <f>IF(BBDD_fashion_boutique[[#This Row],[is_returned]]="False",0,1)</f>
        <v>0</v>
      </c>
      <c r="W1068">
        <f>IF(BBDD_fashion_boutique[[#This Row],[is_returned]]="True",0,BBDD_fashion_boutique[[#This Row],[current_price]])</f>
        <v>47.44</v>
      </c>
      <c r="X1068" t="str">
        <f>IF(BBDD_fashion_boutique[[#This Row],[return_reason]]="","No return",BBDD_fashion_boutique[[#This Row],[return_reason]])</f>
        <v>No return</v>
      </c>
      <c r="Y1068">
        <f>IF(IFERROR(VLOOKUP(BBDD_fashion_boutique[[#This Row],[product_id]],A1069:A3244,1,FALSE),0),1,0)</f>
        <v>0</v>
      </c>
    </row>
    <row r="1069" spans="1:25" x14ac:dyDescent="0.3">
      <c r="A1069" t="s">
        <v>1128</v>
      </c>
      <c r="B1069" t="s">
        <v>35</v>
      </c>
      <c r="C1069" t="s">
        <v>20</v>
      </c>
      <c r="D1069" t="s">
        <v>21</v>
      </c>
      <c r="E1069" t="s">
        <v>22</v>
      </c>
      <c r="F1069" t="str">
        <f>IF(BBDD_fashion_boutique[[#This Row],[category]]="Accessories","Accesorio",IF(BBDD_fashion_boutique[[#This Row],[size]]="","Desconocido",BBDD_fashion_boutique[[#This Row],[size]]))</f>
        <v>XL</v>
      </c>
      <c r="G1069" t="s">
        <v>50</v>
      </c>
      <c r="H1069" s="2">
        <v>137.16</v>
      </c>
      <c r="I1069">
        <v>0</v>
      </c>
      <c r="J1069" s="5">
        <f>BBDD_fashion_boutique[[#This Row],[markdown_percentage]]/100</f>
        <v>0</v>
      </c>
      <c r="K1069" s="2">
        <v>137.16</v>
      </c>
      <c r="L1069" s="2">
        <f>BBDD_fashion_boutique[[#This Row],[original_price]]-BBDD_fashion_boutique[[#This Row],[current_price]]</f>
        <v>0</v>
      </c>
      <c r="M1069" s="1">
        <v>45749</v>
      </c>
      <c r="N1069" s="1" t="str">
        <f>PROPER(TEXT(BBDD_fashion_boutique[[#This Row],[purchase_date]],"dddd"))</f>
        <v>Miércoles</v>
      </c>
      <c r="O1069" s="1" t="str">
        <f>PROPER(TEXT(BBDD_fashion_boutique[[#This Row],[purchase_date]],"mmmm"))</f>
        <v>Abril</v>
      </c>
      <c r="P1069" s="4">
        <v>34</v>
      </c>
      <c r="Q1069" s="2">
        <v>4</v>
      </c>
      <c r="R1069" t="str">
        <f>IF(BBDD_fashion_boutique[[#This Row],[stock_quantity]]&gt;9,"Ok",IF(BBDD_fashion_boutique[[#This Row],[stock_quantity]]=0,"Agotado","Pocas Unidades"))</f>
        <v>Ok</v>
      </c>
      <c r="S1069" s="3">
        <f>IF(BBDD_fashion_boutique[[#This Row],[customer_rating]]="","No valorado",BBDD_fashion_boutique[[#This Row],[customer_rating]])</f>
        <v>4</v>
      </c>
      <c r="T1069" t="s">
        <v>24</v>
      </c>
      <c r="V1069">
        <f>IF(BBDD_fashion_boutique[[#This Row],[is_returned]]="False",0,1)</f>
        <v>0</v>
      </c>
      <c r="W1069">
        <f>IF(BBDD_fashion_boutique[[#This Row],[is_returned]]="True",0,BBDD_fashion_boutique[[#This Row],[current_price]])</f>
        <v>137.16</v>
      </c>
      <c r="X1069" t="str">
        <f>IF(BBDD_fashion_boutique[[#This Row],[return_reason]]="","No return",BBDD_fashion_boutique[[#This Row],[return_reason]])</f>
        <v>No return</v>
      </c>
      <c r="Y1069">
        <f>IF(IFERROR(VLOOKUP(BBDD_fashion_boutique[[#This Row],[product_id]],A1070:A3245,1,FALSE),0),1,0)</f>
        <v>0</v>
      </c>
    </row>
    <row r="1070" spans="1:25" x14ac:dyDescent="0.3">
      <c r="A1070" t="s">
        <v>1129</v>
      </c>
      <c r="B1070" t="s">
        <v>26</v>
      </c>
      <c r="C1070" t="s">
        <v>37</v>
      </c>
      <c r="D1070" t="s">
        <v>28</v>
      </c>
      <c r="E1070" t="s">
        <v>64</v>
      </c>
      <c r="F1070" t="str">
        <f>IF(BBDD_fashion_boutique[[#This Row],[category]]="Accessories","Accesorio",IF(BBDD_fashion_boutique[[#This Row],[size]]="","Desconocido",BBDD_fashion_boutique[[#This Row],[size]]))</f>
        <v>M</v>
      </c>
      <c r="G1070" t="s">
        <v>40</v>
      </c>
      <c r="H1070" s="2">
        <v>119.29</v>
      </c>
      <c r="I1070">
        <v>0</v>
      </c>
      <c r="J1070" s="5">
        <f>BBDD_fashion_boutique[[#This Row],[markdown_percentage]]/100</f>
        <v>0</v>
      </c>
      <c r="K1070" s="2">
        <v>119.29</v>
      </c>
      <c r="L1070" s="2">
        <f>BBDD_fashion_boutique[[#This Row],[original_price]]-BBDD_fashion_boutique[[#This Row],[current_price]]</f>
        <v>0</v>
      </c>
      <c r="M1070" s="1">
        <v>45875</v>
      </c>
      <c r="N1070" s="1" t="str">
        <f>PROPER(TEXT(BBDD_fashion_boutique[[#This Row],[purchase_date]],"dddd"))</f>
        <v>Miércoles</v>
      </c>
      <c r="O1070" s="1" t="str">
        <f>PROPER(TEXT(BBDD_fashion_boutique[[#This Row],[purchase_date]],"mmmm"))</f>
        <v>Agosto</v>
      </c>
      <c r="P1070" s="4">
        <v>3</v>
      </c>
      <c r="R1070" t="str">
        <f>IF(BBDD_fashion_boutique[[#This Row],[stock_quantity]]&gt;9,"Ok",IF(BBDD_fashion_boutique[[#This Row],[stock_quantity]]=0,"Agotado","Pocas Unidades"))</f>
        <v>Pocas Unidades</v>
      </c>
      <c r="S1070" s="3" t="str">
        <f>IF(BBDD_fashion_boutique[[#This Row],[customer_rating]]="","No valorado",BBDD_fashion_boutique[[#This Row],[customer_rating]])</f>
        <v>No valorado</v>
      </c>
      <c r="T1070" t="s">
        <v>24</v>
      </c>
      <c r="V1070">
        <f>IF(BBDD_fashion_boutique[[#This Row],[is_returned]]="False",0,1)</f>
        <v>0</v>
      </c>
      <c r="W1070">
        <f>IF(BBDD_fashion_boutique[[#This Row],[is_returned]]="True",0,BBDD_fashion_boutique[[#This Row],[current_price]])</f>
        <v>119.29</v>
      </c>
      <c r="X1070" t="str">
        <f>IF(BBDD_fashion_boutique[[#This Row],[return_reason]]="","No return",BBDD_fashion_boutique[[#This Row],[return_reason]])</f>
        <v>No return</v>
      </c>
      <c r="Y1070">
        <f>IF(IFERROR(VLOOKUP(BBDD_fashion_boutique[[#This Row],[product_id]],A1071:A3246,1,FALSE),0),1,0)</f>
        <v>0</v>
      </c>
    </row>
    <row r="1071" spans="1:25" x14ac:dyDescent="0.3">
      <c r="A1071" t="s">
        <v>1130</v>
      </c>
      <c r="B1071" t="s">
        <v>26</v>
      </c>
      <c r="C1071" t="s">
        <v>49</v>
      </c>
      <c r="D1071" t="s">
        <v>21</v>
      </c>
      <c r="E1071" t="s">
        <v>64</v>
      </c>
      <c r="F1071" t="str">
        <f>IF(BBDD_fashion_boutique[[#This Row],[category]]="Accessories","Accesorio",IF(BBDD_fashion_boutique[[#This Row],[size]]="","Desconocido",BBDD_fashion_boutique[[#This Row],[size]]))</f>
        <v>M</v>
      </c>
      <c r="G1071" t="s">
        <v>70</v>
      </c>
      <c r="H1071" s="2">
        <v>104.09</v>
      </c>
      <c r="I1071">
        <v>0</v>
      </c>
      <c r="J1071" s="5">
        <f>BBDD_fashion_boutique[[#This Row],[markdown_percentage]]/100</f>
        <v>0</v>
      </c>
      <c r="K1071" s="2">
        <v>104.09</v>
      </c>
      <c r="L1071" s="2">
        <f>BBDD_fashion_boutique[[#This Row],[original_price]]-BBDD_fashion_boutique[[#This Row],[current_price]]</f>
        <v>0</v>
      </c>
      <c r="M1071" s="1">
        <v>45647</v>
      </c>
      <c r="N1071" s="1" t="str">
        <f>PROPER(TEXT(BBDD_fashion_boutique[[#This Row],[purchase_date]],"dddd"))</f>
        <v>Sábado</v>
      </c>
      <c r="O1071" s="1" t="str">
        <f>PROPER(TEXT(BBDD_fashion_boutique[[#This Row],[purchase_date]],"mmmm"))</f>
        <v>Diciembre</v>
      </c>
      <c r="P1071" s="4">
        <v>29</v>
      </c>
      <c r="R1071" t="str">
        <f>IF(BBDD_fashion_boutique[[#This Row],[stock_quantity]]&gt;9,"Ok",IF(BBDD_fashion_boutique[[#This Row],[stock_quantity]]=0,"Agotado","Pocas Unidades"))</f>
        <v>Ok</v>
      </c>
      <c r="S1071" s="3" t="str">
        <f>IF(BBDD_fashion_boutique[[#This Row],[customer_rating]]="","No valorado",BBDD_fashion_boutique[[#This Row],[customer_rating]])</f>
        <v>No valorado</v>
      </c>
      <c r="T1071" t="s">
        <v>24</v>
      </c>
      <c r="V1071">
        <f>IF(BBDD_fashion_boutique[[#This Row],[is_returned]]="False",0,1)</f>
        <v>0</v>
      </c>
      <c r="W1071">
        <f>IF(BBDD_fashion_boutique[[#This Row],[is_returned]]="True",0,BBDD_fashion_boutique[[#This Row],[current_price]])</f>
        <v>104.09</v>
      </c>
      <c r="X1071" t="str">
        <f>IF(BBDD_fashion_boutique[[#This Row],[return_reason]]="","No return",BBDD_fashion_boutique[[#This Row],[return_reason]])</f>
        <v>No return</v>
      </c>
      <c r="Y1071">
        <f>IF(IFERROR(VLOOKUP(BBDD_fashion_boutique[[#This Row],[product_id]],A1072:A3247,1,FALSE),0),1,0)</f>
        <v>0</v>
      </c>
    </row>
    <row r="1072" spans="1:25" x14ac:dyDescent="0.3">
      <c r="A1072" t="s">
        <v>1131</v>
      </c>
      <c r="B1072" t="s">
        <v>48</v>
      </c>
      <c r="C1072" t="s">
        <v>37</v>
      </c>
      <c r="D1072" t="s">
        <v>39</v>
      </c>
      <c r="F1072" t="str">
        <f>IF(BBDD_fashion_boutique[[#This Row],[category]]="Accessories","Accesorio",IF(BBDD_fashion_boutique[[#This Row],[size]]="","Desconocido",BBDD_fashion_boutique[[#This Row],[size]]))</f>
        <v>Desconocido</v>
      </c>
      <c r="G1072" t="s">
        <v>30</v>
      </c>
      <c r="H1072" s="2">
        <v>73.069999999999993</v>
      </c>
      <c r="I1072">
        <v>0</v>
      </c>
      <c r="J1072" s="5">
        <f>BBDD_fashion_boutique[[#This Row],[markdown_percentage]]/100</f>
        <v>0</v>
      </c>
      <c r="K1072" s="2">
        <v>73.069999999999993</v>
      </c>
      <c r="L1072" s="2">
        <f>BBDD_fashion_boutique[[#This Row],[original_price]]-BBDD_fashion_boutique[[#This Row],[current_price]]</f>
        <v>0</v>
      </c>
      <c r="M1072" s="1">
        <v>45875</v>
      </c>
      <c r="N1072" s="1" t="str">
        <f>PROPER(TEXT(BBDD_fashion_boutique[[#This Row],[purchase_date]],"dddd"))</f>
        <v>Miércoles</v>
      </c>
      <c r="O1072" s="1" t="str">
        <f>PROPER(TEXT(BBDD_fashion_boutique[[#This Row],[purchase_date]],"mmmm"))</f>
        <v>Agosto</v>
      </c>
      <c r="P1072" s="4">
        <v>5</v>
      </c>
      <c r="Q1072" s="2">
        <v>4.2</v>
      </c>
      <c r="R1072" t="str">
        <f>IF(BBDD_fashion_boutique[[#This Row],[stock_quantity]]&gt;9,"Ok",IF(BBDD_fashion_boutique[[#This Row],[stock_quantity]]=0,"Agotado","Pocas Unidades"))</f>
        <v>Pocas Unidades</v>
      </c>
      <c r="S1072" s="3">
        <f>IF(BBDD_fashion_boutique[[#This Row],[customer_rating]]="","No valorado",BBDD_fashion_boutique[[#This Row],[customer_rating]])</f>
        <v>4.2</v>
      </c>
      <c r="T1072" t="s">
        <v>24</v>
      </c>
      <c r="V1072">
        <f>IF(BBDD_fashion_boutique[[#This Row],[is_returned]]="False",0,1)</f>
        <v>0</v>
      </c>
      <c r="W1072">
        <f>IF(BBDD_fashion_boutique[[#This Row],[is_returned]]="True",0,BBDD_fashion_boutique[[#This Row],[current_price]])</f>
        <v>73.069999999999993</v>
      </c>
      <c r="X1072" t="str">
        <f>IF(BBDD_fashion_boutique[[#This Row],[return_reason]]="","No return",BBDD_fashion_boutique[[#This Row],[return_reason]])</f>
        <v>No return</v>
      </c>
      <c r="Y1072">
        <f>IF(IFERROR(VLOOKUP(BBDD_fashion_boutique[[#This Row],[product_id]],A1073:A3248,1,FALSE),0),1,0)</f>
        <v>0</v>
      </c>
    </row>
    <row r="1073" spans="1:25" x14ac:dyDescent="0.3">
      <c r="A1073" t="s">
        <v>1132</v>
      </c>
      <c r="B1073" t="s">
        <v>44</v>
      </c>
      <c r="C1073" t="s">
        <v>20</v>
      </c>
      <c r="D1073" t="s">
        <v>39</v>
      </c>
      <c r="E1073" t="s">
        <v>55</v>
      </c>
      <c r="F1073" t="str">
        <f>IF(BBDD_fashion_boutique[[#This Row],[category]]="Accessories","Accesorio",IF(BBDD_fashion_boutique[[#This Row],[size]]="","Desconocido",BBDD_fashion_boutique[[#This Row],[size]]))</f>
        <v>XXL</v>
      </c>
      <c r="G1073" t="s">
        <v>52</v>
      </c>
      <c r="H1073" s="2">
        <v>76.94</v>
      </c>
      <c r="I1073">
        <v>7.6</v>
      </c>
      <c r="J1073" s="5">
        <f>BBDD_fashion_boutique[[#This Row],[markdown_percentage]]/100</f>
        <v>7.5999999999999998E-2</v>
      </c>
      <c r="K1073" s="2">
        <v>71.09</v>
      </c>
      <c r="L1073" s="2">
        <f>BBDD_fashion_boutique[[#This Row],[original_price]]-BBDD_fashion_boutique[[#This Row],[current_price]]</f>
        <v>5.8499999999999943</v>
      </c>
      <c r="M1073" s="1">
        <v>45875</v>
      </c>
      <c r="N1073" s="1" t="str">
        <f>PROPER(TEXT(BBDD_fashion_boutique[[#This Row],[purchase_date]],"dddd"))</f>
        <v>Miércoles</v>
      </c>
      <c r="O1073" s="1" t="str">
        <f>PROPER(TEXT(BBDD_fashion_boutique[[#This Row],[purchase_date]],"mmmm"))</f>
        <v>Agosto</v>
      </c>
      <c r="P1073" s="4">
        <v>20</v>
      </c>
      <c r="Q1073" s="2">
        <v>3.7</v>
      </c>
      <c r="R1073" t="str">
        <f>IF(BBDD_fashion_boutique[[#This Row],[stock_quantity]]&gt;9,"Ok",IF(BBDD_fashion_boutique[[#This Row],[stock_quantity]]=0,"Agotado","Pocas Unidades"))</f>
        <v>Ok</v>
      </c>
      <c r="S1073" s="3">
        <f>IF(BBDD_fashion_boutique[[#This Row],[customer_rating]]="","No valorado",BBDD_fashion_boutique[[#This Row],[customer_rating]])</f>
        <v>3.7</v>
      </c>
      <c r="T1073" t="s">
        <v>24</v>
      </c>
      <c r="V1073">
        <f>IF(BBDD_fashion_boutique[[#This Row],[is_returned]]="False",0,1)</f>
        <v>0</v>
      </c>
      <c r="W1073">
        <f>IF(BBDD_fashion_boutique[[#This Row],[is_returned]]="True",0,BBDD_fashion_boutique[[#This Row],[current_price]])</f>
        <v>71.09</v>
      </c>
      <c r="X1073" t="str">
        <f>IF(BBDD_fashion_boutique[[#This Row],[return_reason]]="","No return",BBDD_fashion_boutique[[#This Row],[return_reason]])</f>
        <v>No return</v>
      </c>
      <c r="Y1073">
        <f>IF(IFERROR(VLOOKUP(BBDD_fashion_boutique[[#This Row],[product_id]],A1074:A3249,1,FALSE),0),1,0)</f>
        <v>0</v>
      </c>
    </row>
    <row r="1074" spans="1:25" x14ac:dyDescent="0.3">
      <c r="A1074" t="s">
        <v>1133</v>
      </c>
      <c r="B1074" t="s">
        <v>44</v>
      </c>
      <c r="C1074" t="s">
        <v>81</v>
      </c>
      <c r="D1074" t="s">
        <v>28</v>
      </c>
      <c r="E1074" t="s">
        <v>22</v>
      </c>
      <c r="F1074" t="str">
        <f>IF(BBDD_fashion_boutique[[#This Row],[category]]="Accessories","Accesorio",IF(BBDD_fashion_boutique[[#This Row],[size]]="","Desconocido",BBDD_fashion_boutique[[#This Row],[size]]))</f>
        <v>XL</v>
      </c>
      <c r="G1074" t="s">
        <v>62</v>
      </c>
      <c r="H1074" s="2">
        <v>119.92</v>
      </c>
      <c r="I1074">
        <v>0</v>
      </c>
      <c r="J1074" s="5">
        <f>BBDD_fashion_boutique[[#This Row],[markdown_percentage]]/100</f>
        <v>0</v>
      </c>
      <c r="K1074" s="2">
        <v>119.92</v>
      </c>
      <c r="L1074" s="2">
        <f>BBDD_fashion_boutique[[#This Row],[original_price]]-BBDD_fashion_boutique[[#This Row],[current_price]]</f>
        <v>0</v>
      </c>
      <c r="M1074" s="1">
        <v>45875</v>
      </c>
      <c r="N1074" s="1" t="str">
        <f>PROPER(TEXT(BBDD_fashion_boutique[[#This Row],[purchase_date]],"dddd"))</f>
        <v>Miércoles</v>
      </c>
      <c r="O1074" s="1" t="str">
        <f>PROPER(TEXT(BBDD_fashion_boutique[[#This Row],[purchase_date]],"mmmm"))</f>
        <v>Agosto</v>
      </c>
      <c r="P1074" s="4">
        <v>37</v>
      </c>
      <c r="Q1074" s="2">
        <v>5</v>
      </c>
      <c r="R1074" t="str">
        <f>IF(BBDD_fashion_boutique[[#This Row],[stock_quantity]]&gt;9,"Ok",IF(BBDD_fashion_boutique[[#This Row],[stock_quantity]]=0,"Agotado","Pocas Unidades"))</f>
        <v>Ok</v>
      </c>
      <c r="S1074" s="3">
        <f>IF(BBDD_fashion_boutique[[#This Row],[customer_rating]]="","No valorado",BBDD_fashion_boutique[[#This Row],[customer_rating]])</f>
        <v>5</v>
      </c>
      <c r="T1074" t="s">
        <v>24</v>
      </c>
      <c r="V1074">
        <f>IF(BBDD_fashion_boutique[[#This Row],[is_returned]]="False",0,1)</f>
        <v>0</v>
      </c>
      <c r="W1074">
        <f>IF(BBDD_fashion_boutique[[#This Row],[is_returned]]="True",0,BBDD_fashion_boutique[[#This Row],[current_price]])</f>
        <v>119.92</v>
      </c>
      <c r="X1074" t="str">
        <f>IF(BBDD_fashion_boutique[[#This Row],[return_reason]]="","No return",BBDD_fashion_boutique[[#This Row],[return_reason]])</f>
        <v>No return</v>
      </c>
      <c r="Y1074">
        <f>IF(IFERROR(VLOOKUP(BBDD_fashion_boutique[[#This Row],[product_id]],A1075:A3250,1,FALSE),0),1,0)</f>
        <v>0</v>
      </c>
    </row>
    <row r="1075" spans="1:25" x14ac:dyDescent="0.3">
      <c r="A1075" t="s">
        <v>1134</v>
      </c>
      <c r="B1075" t="s">
        <v>19</v>
      </c>
      <c r="C1075" t="s">
        <v>59</v>
      </c>
      <c r="D1075" t="s">
        <v>28</v>
      </c>
      <c r="E1075" t="s">
        <v>61</v>
      </c>
      <c r="F1075" t="str">
        <f>IF(BBDD_fashion_boutique[[#This Row],[category]]="Accessories","Accesorio",IF(BBDD_fashion_boutique[[#This Row],[size]]="","Desconocido",BBDD_fashion_boutique[[#This Row],[size]]))</f>
        <v>XS</v>
      </c>
      <c r="G1075" t="s">
        <v>40</v>
      </c>
      <c r="H1075" s="2">
        <v>116.49</v>
      </c>
      <c r="I1075">
        <v>0</v>
      </c>
      <c r="J1075" s="5">
        <f>BBDD_fashion_boutique[[#This Row],[markdown_percentage]]/100</f>
        <v>0</v>
      </c>
      <c r="K1075" s="2">
        <v>116.49</v>
      </c>
      <c r="L1075" s="2">
        <f>BBDD_fashion_boutique[[#This Row],[original_price]]-BBDD_fashion_boutique[[#This Row],[current_price]]</f>
        <v>0</v>
      </c>
      <c r="M1075" s="1">
        <v>45875</v>
      </c>
      <c r="N1075" s="1" t="str">
        <f>PROPER(TEXT(BBDD_fashion_boutique[[#This Row],[purchase_date]],"dddd"))</f>
        <v>Miércoles</v>
      </c>
      <c r="O1075" s="1" t="str">
        <f>PROPER(TEXT(BBDD_fashion_boutique[[#This Row],[purchase_date]],"mmmm"))</f>
        <v>Agosto</v>
      </c>
      <c r="P1075" s="4">
        <v>17</v>
      </c>
      <c r="Q1075" s="2">
        <v>3.3</v>
      </c>
      <c r="R1075" t="str">
        <f>IF(BBDD_fashion_boutique[[#This Row],[stock_quantity]]&gt;9,"Ok",IF(BBDD_fashion_boutique[[#This Row],[stock_quantity]]=0,"Agotado","Pocas Unidades"))</f>
        <v>Ok</v>
      </c>
      <c r="S1075" s="3">
        <f>IF(BBDD_fashion_boutique[[#This Row],[customer_rating]]="","No valorado",BBDD_fashion_boutique[[#This Row],[customer_rating]])</f>
        <v>3.3</v>
      </c>
      <c r="T1075" t="s">
        <v>41</v>
      </c>
      <c r="U1075" t="s">
        <v>84</v>
      </c>
      <c r="V1075">
        <f>IF(BBDD_fashion_boutique[[#This Row],[is_returned]]="False",0,1)</f>
        <v>1</v>
      </c>
      <c r="W1075">
        <f>IF(BBDD_fashion_boutique[[#This Row],[is_returned]]="True",0,BBDD_fashion_boutique[[#This Row],[current_price]])</f>
        <v>0</v>
      </c>
      <c r="X1075" t="str">
        <f>IF(BBDD_fashion_boutique[[#This Row],[return_reason]]="","No return",BBDD_fashion_boutique[[#This Row],[return_reason]])</f>
        <v>Damaged</v>
      </c>
      <c r="Y1075">
        <f>IF(IFERROR(VLOOKUP(BBDD_fashion_boutique[[#This Row],[product_id]],A1076:A3251,1,FALSE),0),1,0)</f>
        <v>0</v>
      </c>
    </row>
    <row r="1076" spans="1:25" x14ac:dyDescent="0.3">
      <c r="A1076" t="s">
        <v>1135</v>
      </c>
      <c r="B1076" t="s">
        <v>35</v>
      </c>
      <c r="C1076" t="s">
        <v>67</v>
      </c>
      <c r="D1076" t="s">
        <v>39</v>
      </c>
      <c r="E1076" t="s">
        <v>22</v>
      </c>
      <c r="F1076" t="str">
        <f>IF(BBDD_fashion_boutique[[#This Row],[category]]="Accessories","Accesorio",IF(BBDD_fashion_boutique[[#This Row],[size]]="","Desconocido",BBDD_fashion_boutique[[#This Row],[size]]))</f>
        <v>XL</v>
      </c>
      <c r="G1076" t="s">
        <v>30</v>
      </c>
      <c r="H1076" s="2">
        <v>179.59</v>
      </c>
      <c r="I1076">
        <v>14.7</v>
      </c>
      <c r="J1076" s="5">
        <f>BBDD_fashion_boutique[[#This Row],[markdown_percentage]]/100</f>
        <v>0.14699999999999999</v>
      </c>
      <c r="K1076" s="2">
        <v>153.19</v>
      </c>
      <c r="L1076" s="2">
        <f>BBDD_fashion_boutique[[#This Row],[original_price]]-BBDD_fashion_boutique[[#This Row],[current_price]]</f>
        <v>26.400000000000006</v>
      </c>
      <c r="M1076" s="1">
        <v>45875</v>
      </c>
      <c r="N1076" s="1" t="str">
        <f>PROPER(TEXT(BBDD_fashion_boutique[[#This Row],[purchase_date]],"dddd"))</f>
        <v>Miércoles</v>
      </c>
      <c r="O1076" s="1" t="str">
        <f>PROPER(TEXT(BBDD_fashion_boutique[[#This Row],[purchase_date]],"mmmm"))</f>
        <v>Agosto</v>
      </c>
      <c r="P1076" s="4">
        <v>47</v>
      </c>
      <c r="Q1076" s="2">
        <v>2.9</v>
      </c>
      <c r="R1076" t="str">
        <f>IF(BBDD_fashion_boutique[[#This Row],[stock_quantity]]&gt;9,"Ok",IF(BBDD_fashion_boutique[[#This Row],[stock_quantity]]=0,"Agotado","Pocas Unidades"))</f>
        <v>Ok</v>
      </c>
      <c r="S1076" s="3">
        <f>IF(BBDD_fashion_boutique[[#This Row],[customer_rating]]="","No valorado",BBDD_fashion_boutique[[#This Row],[customer_rating]])</f>
        <v>2.9</v>
      </c>
      <c r="T1076" t="s">
        <v>24</v>
      </c>
      <c r="V1076">
        <f>IF(BBDD_fashion_boutique[[#This Row],[is_returned]]="False",0,1)</f>
        <v>0</v>
      </c>
      <c r="W1076">
        <f>IF(BBDD_fashion_boutique[[#This Row],[is_returned]]="True",0,BBDD_fashion_boutique[[#This Row],[current_price]])</f>
        <v>153.19</v>
      </c>
      <c r="X1076" t="str">
        <f>IF(BBDD_fashion_boutique[[#This Row],[return_reason]]="","No return",BBDD_fashion_boutique[[#This Row],[return_reason]])</f>
        <v>No return</v>
      </c>
      <c r="Y1076">
        <f>IF(IFERROR(VLOOKUP(BBDD_fashion_boutique[[#This Row],[product_id]],A1077:A3252,1,FALSE),0),1,0)</f>
        <v>0</v>
      </c>
    </row>
    <row r="1077" spans="1:25" x14ac:dyDescent="0.3">
      <c r="A1077" t="s">
        <v>1136</v>
      </c>
      <c r="B1077" t="s">
        <v>32</v>
      </c>
      <c r="C1077" t="s">
        <v>27</v>
      </c>
      <c r="D1077" t="s">
        <v>28</v>
      </c>
      <c r="F1077" t="str">
        <f>IF(BBDD_fashion_boutique[[#This Row],[category]]="Accessories","Accesorio",IF(BBDD_fashion_boutique[[#This Row],[size]]="","Desconocido",BBDD_fashion_boutique[[#This Row],[size]]))</f>
        <v>Accesorio</v>
      </c>
      <c r="G1077" t="s">
        <v>33</v>
      </c>
      <c r="H1077" s="2">
        <v>33.799999999999997</v>
      </c>
      <c r="I1077">
        <v>0</v>
      </c>
      <c r="J1077" s="5">
        <f>BBDD_fashion_boutique[[#This Row],[markdown_percentage]]/100</f>
        <v>0</v>
      </c>
      <c r="K1077" s="2">
        <v>33.799999999999997</v>
      </c>
      <c r="L1077" s="2">
        <f>BBDD_fashion_boutique[[#This Row],[original_price]]-BBDD_fashion_boutique[[#This Row],[current_price]]</f>
        <v>0</v>
      </c>
      <c r="M1077" s="1">
        <v>45875</v>
      </c>
      <c r="N1077" s="1" t="str">
        <f>PROPER(TEXT(BBDD_fashion_boutique[[#This Row],[purchase_date]],"dddd"))</f>
        <v>Miércoles</v>
      </c>
      <c r="O1077" s="1" t="str">
        <f>PROPER(TEXT(BBDD_fashion_boutique[[#This Row],[purchase_date]],"mmmm"))</f>
        <v>Agosto</v>
      </c>
      <c r="P1077" s="4">
        <v>34</v>
      </c>
      <c r="Q1077" s="2">
        <v>4.8</v>
      </c>
      <c r="R1077" t="str">
        <f>IF(BBDD_fashion_boutique[[#This Row],[stock_quantity]]&gt;9,"Ok",IF(BBDD_fashion_boutique[[#This Row],[stock_quantity]]=0,"Agotado","Pocas Unidades"))</f>
        <v>Ok</v>
      </c>
      <c r="S1077" s="3">
        <f>IF(BBDD_fashion_boutique[[#This Row],[customer_rating]]="","No valorado",BBDD_fashion_boutique[[#This Row],[customer_rating]])</f>
        <v>4.8</v>
      </c>
      <c r="T1077" t="s">
        <v>24</v>
      </c>
      <c r="V1077">
        <f>IF(BBDD_fashion_boutique[[#This Row],[is_returned]]="False",0,1)</f>
        <v>0</v>
      </c>
      <c r="W1077">
        <f>IF(BBDD_fashion_boutique[[#This Row],[is_returned]]="True",0,BBDD_fashion_boutique[[#This Row],[current_price]])</f>
        <v>33.799999999999997</v>
      </c>
      <c r="X1077" t="str">
        <f>IF(BBDD_fashion_boutique[[#This Row],[return_reason]]="","No return",BBDD_fashion_boutique[[#This Row],[return_reason]])</f>
        <v>No return</v>
      </c>
      <c r="Y1077">
        <f>IF(IFERROR(VLOOKUP(BBDD_fashion_boutique[[#This Row],[product_id]],A1078:A3253,1,FALSE),0),1,0)</f>
        <v>0</v>
      </c>
    </row>
    <row r="1078" spans="1:25" x14ac:dyDescent="0.3">
      <c r="A1078" t="s">
        <v>1137</v>
      </c>
      <c r="B1078" t="s">
        <v>26</v>
      </c>
      <c r="C1078" t="s">
        <v>27</v>
      </c>
      <c r="D1078" t="s">
        <v>39</v>
      </c>
      <c r="E1078" t="s">
        <v>29</v>
      </c>
      <c r="F1078" t="str">
        <f>IF(BBDD_fashion_boutique[[#This Row],[category]]="Accessories","Accesorio",IF(BBDD_fashion_boutique[[#This Row],[size]]="","Desconocido",BBDD_fashion_boutique[[#This Row],[size]]))</f>
        <v>L</v>
      </c>
      <c r="G1078" t="s">
        <v>62</v>
      </c>
      <c r="H1078" s="2">
        <v>41.57</v>
      </c>
      <c r="I1078">
        <v>3.3</v>
      </c>
      <c r="J1078" s="5">
        <f>BBDD_fashion_boutique[[#This Row],[markdown_percentage]]/100</f>
        <v>3.3000000000000002E-2</v>
      </c>
      <c r="K1078" s="2">
        <v>40.200000000000003</v>
      </c>
      <c r="L1078" s="2">
        <f>BBDD_fashion_boutique[[#This Row],[original_price]]-BBDD_fashion_boutique[[#This Row],[current_price]]</f>
        <v>1.3699999999999974</v>
      </c>
      <c r="M1078" s="1">
        <v>45875</v>
      </c>
      <c r="N1078" s="1" t="str">
        <f>PROPER(TEXT(BBDD_fashion_boutique[[#This Row],[purchase_date]],"dddd"))</f>
        <v>Miércoles</v>
      </c>
      <c r="O1078" s="1" t="str">
        <f>PROPER(TEXT(BBDD_fashion_boutique[[#This Row],[purchase_date]],"mmmm"))</f>
        <v>Agosto</v>
      </c>
      <c r="P1078" s="4">
        <v>5</v>
      </c>
      <c r="Q1078" s="2">
        <v>2.9</v>
      </c>
      <c r="R1078" t="str">
        <f>IF(BBDD_fashion_boutique[[#This Row],[stock_quantity]]&gt;9,"Ok",IF(BBDD_fashion_boutique[[#This Row],[stock_quantity]]=0,"Agotado","Pocas Unidades"))</f>
        <v>Pocas Unidades</v>
      </c>
      <c r="S1078" s="3">
        <f>IF(BBDD_fashion_boutique[[#This Row],[customer_rating]]="","No valorado",BBDD_fashion_boutique[[#This Row],[customer_rating]])</f>
        <v>2.9</v>
      </c>
      <c r="T1078" t="s">
        <v>24</v>
      </c>
      <c r="V1078">
        <f>IF(BBDD_fashion_boutique[[#This Row],[is_returned]]="False",0,1)</f>
        <v>0</v>
      </c>
      <c r="W1078">
        <f>IF(BBDD_fashion_boutique[[#This Row],[is_returned]]="True",0,BBDD_fashion_boutique[[#This Row],[current_price]])</f>
        <v>40.200000000000003</v>
      </c>
      <c r="X1078" t="str">
        <f>IF(BBDD_fashion_boutique[[#This Row],[return_reason]]="","No return",BBDD_fashion_boutique[[#This Row],[return_reason]])</f>
        <v>No return</v>
      </c>
      <c r="Y1078">
        <f>IF(IFERROR(VLOOKUP(BBDD_fashion_boutique[[#This Row],[product_id]],A1079:A3254,1,FALSE),0),1,0)</f>
        <v>0</v>
      </c>
    </row>
    <row r="1079" spans="1:25" x14ac:dyDescent="0.3">
      <c r="A1079" t="s">
        <v>1138</v>
      </c>
      <c r="B1079" t="s">
        <v>35</v>
      </c>
      <c r="C1079" t="s">
        <v>81</v>
      </c>
      <c r="D1079" t="s">
        <v>21</v>
      </c>
      <c r="E1079" t="s">
        <v>22</v>
      </c>
      <c r="F1079" t="str">
        <f>IF(BBDD_fashion_boutique[[#This Row],[category]]="Accessories","Accesorio",IF(BBDD_fashion_boutique[[#This Row],[size]]="","Desconocido",BBDD_fashion_boutique[[#This Row],[size]]))</f>
        <v>XL</v>
      </c>
      <c r="G1079" t="s">
        <v>72</v>
      </c>
      <c r="H1079" s="2">
        <v>139.1</v>
      </c>
      <c r="I1079">
        <v>47</v>
      </c>
      <c r="J1079" s="5">
        <f>BBDD_fashion_boutique[[#This Row],[markdown_percentage]]/100</f>
        <v>0.47</v>
      </c>
      <c r="K1079" s="2">
        <v>73.72</v>
      </c>
      <c r="L1079" s="2">
        <f>BBDD_fashion_boutique[[#This Row],[original_price]]-BBDD_fashion_boutique[[#This Row],[current_price]]</f>
        <v>65.38</v>
      </c>
      <c r="M1079" s="1">
        <v>45661</v>
      </c>
      <c r="N1079" s="1" t="str">
        <f>PROPER(TEXT(BBDD_fashion_boutique[[#This Row],[purchase_date]],"dddd"))</f>
        <v>Sábado</v>
      </c>
      <c r="O1079" s="1" t="str">
        <f>PROPER(TEXT(BBDD_fashion_boutique[[#This Row],[purchase_date]],"mmmm"))</f>
        <v>Enero</v>
      </c>
      <c r="P1079" s="4">
        <v>6</v>
      </c>
      <c r="Q1079" s="2">
        <v>3.4</v>
      </c>
      <c r="R1079" t="str">
        <f>IF(BBDD_fashion_boutique[[#This Row],[stock_quantity]]&gt;9,"Ok",IF(BBDD_fashion_boutique[[#This Row],[stock_quantity]]=0,"Agotado","Pocas Unidades"))</f>
        <v>Pocas Unidades</v>
      </c>
      <c r="S1079" s="3">
        <f>IF(BBDD_fashion_boutique[[#This Row],[customer_rating]]="","No valorado",BBDD_fashion_boutique[[#This Row],[customer_rating]])</f>
        <v>3.4</v>
      </c>
      <c r="T1079" t="s">
        <v>24</v>
      </c>
      <c r="V1079">
        <f>IF(BBDD_fashion_boutique[[#This Row],[is_returned]]="False",0,1)</f>
        <v>0</v>
      </c>
      <c r="W1079">
        <f>IF(BBDD_fashion_boutique[[#This Row],[is_returned]]="True",0,BBDD_fashion_boutique[[#This Row],[current_price]])</f>
        <v>73.72</v>
      </c>
      <c r="X1079" t="str">
        <f>IF(BBDD_fashion_boutique[[#This Row],[return_reason]]="","No return",BBDD_fashion_boutique[[#This Row],[return_reason]])</f>
        <v>No return</v>
      </c>
      <c r="Y1079">
        <f>IF(IFERROR(VLOOKUP(BBDD_fashion_boutique[[#This Row],[product_id]],A1080:A3255,1,FALSE),0),1,0)</f>
        <v>0</v>
      </c>
    </row>
    <row r="1080" spans="1:25" x14ac:dyDescent="0.3">
      <c r="A1080" t="s">
        <v>1139</v>
      </c>
      <c r="B1080" t="s">
        <v>48</v>
      </c>
      <c r="C1080" t="s">
        <v>49</v>
      </c>
      <c r="D1080" t="s">
        <v>39</v>
      </c>
      <c r="E1080" t="s">
        <v>29</v>
      </c>
      <c r="F1080" t="str">
        <f>IF(BBDD_fashion_boutique[[#This Row],[category]]="Accessories","Accesorio",IF(BBDD_fashion_boutique[[#This Row],[size]]="","Desconocido",BBDD_fashion_boutique[[#This Row],[size]]))</f>
        <v>L</v>
      </c>
      <c r="G1080" t="s">
        <v>30</v>
      </c>
      <c r="H1080" s="2">
        <v>102.04</v>
      </c>
      <c r="I1080">
        <v>0</v>
      </c>
      <c r="J1080" s="5">
        <f>BBDD_fashion_boutique[[#This Row],[markdown_percentage]]/100</f>
        <v>0</v>
      </c>
      <c r="K1080" s="2">
        <v>102.04</v>
      </c>
      <c r="L1080" s="2">
        <f>BBDD_fashion_boutique[[#This Row],[original_price]]-BBDD_fashion_boutique[[#This Row],[current_price]]</f>
        <v>0</v>
      </c>
      <c r="M1080" s="1">
        <v>45875</v>
      </c>
      <c r="N1080" s="1" t="str">
        <f>PROPER(TEXT(BBDD_fashion_boutique[[#This Row],[purchase_date]],"dddd"))</f>
        <v>Miércoles</v>
      </c>
      <c r="O1080" s="1" t="str">
        <f>PROPER(TEXT(BBDD_fashion_boutique[[#This Row],[purchase_date]],"mmmm"))</f>
        <v>Agosto</v>
      </c>
      <c r="P1080" s="4">
        <v>34</v>
      </c>
      <c r="Q1080" s="2">
        <v>3.4</v>
      </c>
      <c r="R1080" t="str">
        <f>IF(BBDD_fashion_boutique[[#This Row],[stock_quantity]]&gt;9,"Ok",IF(BBDD_fashion_boutique[[#This Row],[stock_quantity]]=0,"Agotado","Pocas Unidades"))</f>
        <v>Ok</v>
      </c>
      <c r="S1080" s="3">
        <f>IF(BBDD_fashion_boutique[[#This Row],[customer_rating]]="","No valorado",BBDD_fashion_boutique[[#This Row],[customer_rating]])</f>
        <v>3.4</v>
      </c>
      <c r="T1080" t="s">
        <v>24</v>
      </c>
      <c r="V1080">
        <f>IF(BBDD_fashion_boutique[[#This Row],[is_returned]]="False",0,1)</f>
        <v>0</v>
      </c>
      <c r="W1080">
        <f>IF(BBDD_fashion_boutique[[#This Row],[is_returned]]="True",0,BBDD_fashion_boutique[[#This Row],[current_price]])</f>
        <v>102.04</v>
      </c>
      <c r="X1080" t="str">
        <f>IF(BBDD_fashion_boutique[[#This Row],[return_reason]]="","No return",BBDD_fashion_boutique[[#This Row],[return_reason]])</f>
        <v>No return</v>
      </c>
      <c r="Y1080">
        <f>IF(IFERROR(VLOOKUP(BBDD_fashion_boutique[[#This Row],[product_id]],A1081:A3256,1,FALSE),0),1,0)</f>
        <v>0</v>
      </c>
    </row>
    <row r="1081" spans="1:25" x14ac:dyDescent="0.3">
      <c r="A1081" t="s">
        <v>1140</v>
      </c>
      <c r="B1081" t="s">
        <v>44</v>
      </c>
      <c r="C1081" t="s">
        <v>67</v>
      </c>
      <c r="D1081" t="s">
        <v>39</v>
      </c>
      <c r="E1081" t="s">
        <v>55</v>
      </c>
      <c r="F1081" t="str">
        <f>IF(BBDD_fashion_boutique[[#This Row],[category]]="Accessories","Accesorio",IF(BBDD_fashion_boutique[[#This Row],[size]]="","Desconocido",BBDD_fashion_boutique[[#This Row],[size]]))</f>
        <v>XXL</v>
      </c>
      <c r="G1081" t="s">
        <v>70</v>
      </c>
      <c r="H1081" s="2">
        <v>47.25</v>
      </c>
      <c r="I1081">
        <v>54.2</v>
      </c>
      <c r="J1081" s="5">
        <f>BBDD_fashion_boutique[[#This Row],[markdown_percentage]]/100</f>
        <v>0.54200000000000004</v>
      </c>
      <c r="K1081" s="2">
        <v>21.64</v>
      </c>
      <c r="L1081" s="2">
        <f>BBDD_fashion_boutique[[#This Row],[original_price]]-BBDD_fashion_boutique[[#This Row],[current_price]]</f>
        <v>25.61</v>
      </c>
      <c r="M1081" s="1">
        <v>45875</v>
      </c>
      <c r="N1081" s="1" t="str">
        <f>PROPER(TEXT(BBDD_fashion_boutique[[#This Row],[purchase_date]],"dddd"))</f>
        <v>Miércoles</v>
      </c>
      <c r="O1081" s="1" t="str">
        <f>PROPER(TEXT(BBDD_fashion_boutique[[#This Row],[purchase_date]],"mmmm"))</f>
        <v>Agosto</v>
      </c>
      <c r="P1081" s="4">
        <v>4</v>
      </c>
      <c r="Q1081" s="2">
        <v>4.9000000000000004</v>
      </c>
      <c r="R1081" t="str">
        <f>IF(BBDD_fashion_boutique[[#This Row],[stock_quantity]]&gt;9,"Ok",IF(BBDD_fashion_boutique[[#This Row],[stock_quantity]]=0,"Agotado","Pocas Unidades"))</f>
        <v>Pocas Unidades</v>
      </c>
      <c r="S1081" s="3">
        <f>IF(BBDD_fashion_boutique[[#This Row],[customer_rating]]="","No valorado",BBDD_fashion_boutique[[#This Row],[customer_rating]])</f>
        <v>4.9000000000000004</v>
      </c>
      <c r="T1081" t="s">
        <v>24</v>
      </c>
      <c r="V1081">
        <f>IF(BBDD_fashion_boutique[[#This Row],[is_returned]]="False",0,1)</f>
        <v>0</v>
      </c>
      <c r="W1081">
        <f>IF(BBDD_fashion_boutique[[#This Row],[is_returned]]="True",0,BBDD_fashion_boutique[[#This Row],[current_price]])</f>
        <v>21.64</v>
      </c>
      <c r="X1081" t="str">
        <f>IF(BBDD_fashion_boutique[[#This Row],[return_reason]]="","No return",BBDD_fashion_boutique[[#This Row],[return_reason]])</f>
        <v>No return</v>
      </c>
      <c r="Y1081">
        <f>IF(IFERROR(VLOOKUP(BBDD_fashion_boutique[[#This Row],[product_id]],A1082:A3257,1,FALSE),0),1,0)</f>
        <v>0</v>
      </c>
    </row>
    <row r="1082" spans="1:25" x14ac:dyDescent="0.3">
      <c r="A1082" t="s">
        <v>1141</v>
      </c>
      <c r="B1082" t="s">
        <v>48</v>
      </c>
      <c r="C1082" t="s">
        <v>27</v>
      </c>
      <c r="D1082" t="s">
        <v>68</v>
      </c>
      <c r="E1082" t="s">
        <v>61</v>
      </c>
      <c r="F1082" t="str">
        <f>IF(BBDD_fashion_boutique[[#This Row],[category]]="Accessories","Accesorio",IF(BBDD_fashion_boutique[[#This Row],[size]]="","Desconocido",BBDD_fashion_boutique[[#This Row],[size]]))</f>
        <v>XS</v>
      </c>
      <c r="G1082" t="s">
        <v>40</v>
      </c>
      <c r="H1082" s="2">
        <v>55.08</v>
      </c>
      <c r="I1082">
        <v>0</v>
      </c>
      <c r="J1082" s="5">
        <f>BBDD_fashion_boutique[[#This Row],[markdown_percentage]]/100</f>
        <v>0</v>
      </c>
      <c r="K1082" s="2">
        <v>55.08</v>
      </c>
      <c r="L1082" s="2">
        <f>BBDD_fashion_boutique[[#This Row],[original_price]]-BBDD_fashion_boutique[[#This Row],[current_price]]</f>
        <v>0</v>
      </c>
      <c r="M1082" s="1">
        <v>45875</v>
      </c>
      <c r="N1082" s="1" t="str">
        <f>PROPER(TEXT(BBDD_fashion_boutique[[#This Row],[purchase_date]],"dddd"))</f>
        <v>Miércoles</v>
      </c>
      <c r="O1082" s="1" t="str">
        <f>PROPER(TEXT(BBDD_fashion_boutique[[#This Row],[purchase_date]],"mmmm"))</f>
        <v>Agosto</v>
      </c>
      <c r="P1082" s="4">
        <v>48</v>
      </c>
      <c r="Q1082" s="2">
        <v>4.0999999999999996</v>
      </c>
      <c r="R1082" t="str">
        <f>IF(BBDD_fashion_boutique[[#This Row],[stock_quantity]]&gt;9,"Ok",IF(BBDD_fashion_boutique[[#This Row],[stock_quantity]]=0,"Agotado","Pocas Unidades"))</f>
        <v>Ok</v>
      </c>
      <c r="S1082" s="3">
        <f>IF(BBDD_fashion_boutique[[#This Row],[customer_rating]]="","No valorado",BBDD_fashion_boutique[[#This Row],[customer_rating]])</f>
        <v>4.0999999999999996</v>
      </c>
      <c r="T1082" t="s">
        <v>24</v>
      </c>
      <c r="V1082">
        <f>IF(BBDD_fashion_boutique[[#This Row],[is_returned]]="False",0,1)</f>
        <v>0</v>
      </c>
      <c r="W1082">
        <f>IF(BBDD_fashion_boutique[[#This Row],[is_returned]]="True",0,BBDD_fashion_boutique[[#This Row],[current_price]])</f>
        <v>55.08</v>
      </c>
      <c r="X1082" t="str">
        <f>IF(BBDD_fashion_boutique[[#This Row],[return_reason]]="","No return",BBDD_fashion_boutique[[#This Row],[return_reason]])</f>
        <v>No return</v>
      </c>
      <c r="Y1082">
        <f>IF(IFERROR(VLOOKUP(BBDD_fashion_boutique[[#This Row],[product_id]],A1083:A3258,1,FALSE),0),1,0)</f>
        <v>0</v>
      </c>
    </row>
    <row r="1083" spans="1:25" x14ac:dyDescent="0.3">
      <c r="A1083" t="s">
        <v>1142</v>
      </c>
      <c r="B1083" t="s">
        <v>19</v>
      </c>
      <c r="C1083" t="s">
        <v>81</v>
      </c>
      <c r="D1083" t="s">
        <v>28</v>
      </c>
      <c r="E1083" t="s">
        <v>29</v>
      </c>
      <c r="F1083" t="str">
        <f>IF(BBDD_fashion_boutique[[#This Row],[category]]="Accessories","Accesorio",IF(BBDD_fashion_boutique[[#This Row],[size]]="","Desconocido",BBDD_fashion_boutique[[#This Row],[size]]))</f>
        <v>L</v>
      </c>
      <c r="G1083" t="s">
        <v>52</v>
      </c>
      <c r="H1083" s="2">
        <v>88.32</v>
      </c>
      <c r="I1083">
        <v>54.8</v>
      </c>
      <c r="J1083" s="5">
        <f>BBDD_fashion_boutique[[#This Row],[markdown_percentage]]/100</f>
        <v>0.54799999999999993</v>
      </c>
      <c r="K1083" s="2">
        <v>39.92</v>
      </c>
      <c r="L1083" s="2">
        <f>BBDD_fashion_boutique[[#This Row],[original_price]]-BBDD_fashion_boutique[[#This Row],[current_price]]</f>
        <v>48.399999999999991</v>
      </c>
      <c r="M1083" s="1">
        <v>45875</v>
      </c>
      <c r="N1083" s="1" t="str">
        <f>PROPER(TEXT(BBDD_fashion_boutique[[#This Row],[purchase_date]],"dddd"))</f>
        <v>Miércoles</v>
      </c>
      <c r="O1083" s="1" t="str">
        <f>PROPER(TEXT(BBDD_fashion_boutique[[#This Row],[purchase_date]],"mmmm"))</f>
        <v>Agosto</v>
      </c>
      <c r="P1083" s="4">
        <v>36</v>
      </c>
      <c r="Q1083" s="2">
        <v>3.1</v>
      </c>
      <c r="R1083" t="str">
        <f>IF(BBDD_fashion_boutique[[#This Row],[stock_quantity]]&gt;9,"Ok",IF(BBDD_fashion_boutique[[#This Row],[stock_quantity]]=0,"Agotado","Pocas Unidades"))</f>
        <v>Ok</v>
      </c>
      <c r="S1083" s="3">
        <f>IF(BBDD_fashion_boutique[[#This Row],[customer_rating]]="","No valorado",BBDD_fashion_boutique[[#This Row],[customer_rating]])</f>
        <v>3.1</v>
      </c>
      <c r="T1083" t="s">
        <v>24</v>
      </c>
      <c r="V1083">
        <f>IF(BBDD_fashion_boutique[[#This Row],[is_returned]]="False",0,1)</f>
        <v>0</v>
      </c>
      <c r="W1083">
        <f>IF(BBDD_fashion_boutique[[#This Row],[is_returned]]="True",0,BBDD_fashion_boutique[[#This Row],[current_price]])</f>
        <v>39.92</v>
      </c>
      <c r="X1083" t="str">
        <f>IF(BBDD_fashion_boutique[[#This Row],[return_reason]]="","No return",BBDD_fashion_boutique[[#This Row],[return_reason]])</f>
        <v>No return</v>
      </c>
      <c r="Y1083">
        <f>IF(IFERROR(VLOOKUP(BBDD_fashion_boutique[[#This Row],[product_id]],A1084:A3259,1,FALSE),0),1,0)</f>
        <v>0</v>
      </c>
    </row>
    <row r="1084" spans="1:25" x14ac:dyDescent="0.3">
      <c r="A1084" t="s">
        <v>1143</v>
      </c>
      <c r="B1084" t="s">
        <v>44</v>
      </c>
      <c r="C1084" t="s">
        <v>49</v>
      </c>
      <c r="D1084" t="s">
        <v>39</v>
      </c>
      <c r="E1084" t="s">
        <v>64</v>
      </c>
      <c r="F1084" t="str">
        <f>IF(BBDD_fashion_boutique[[#This Row],[category]]="Accessories","Accesorio",IF(BBDD_fashion_boutique[[#This Row],[size]]="","Desconocido",BBDD_fashion_boutique[[#This Row],[size]]))</f>
        <v>M</v>
      </c>
      <c r="G1084" t="s">
        <v>23</v>
      </c>
      <c r="H1084" s="2">
        <v>74.900000000000006</v>
      </c>
      <c r="I1084">
        <v>16.8</v>
      </c>
      <c r="J1084" s="5">
        <f>BBDD_fashion_boutique[[#This Row],[markdown_percentage]]/100</f>
        <v>0.16800000000000001</v>
      </c>
      <c r="K1084" s="2">
        <v>62.32</v>
      </c>
      <c r="L1084" s="2">
        <f>BBDD_fashion_boutique[[#This Row],[original_price]]-BBDD_fashion_boutique[[#This Row],[current_price]]</f>
        <v>12.580000000000005</v>
      </c>
      <c r="M1084" s="1">
        <v>45875</v>
      </c>
      <c r="N1084" s="1" t="str">
        <f>PROPER(TEXT(BBDD_fashion_boutique[[#This Row],[purchase_date]],"dddd"))</f>
        <v>Miércoles</v>
      </c>
      <c r="O1084" s="1" t="str">
        <f>PROPER(TEXT(BBDD_fashion_boutique[[#This Row],[purchase_date]],"mmmm"))</f>
        <v>Agosto</v>
      </c>
      <c r="P1084" s="4">
        <v>13</v>
      </c>
      <c r="R1084" t="str">
        <f>IF(BBDD_fashion_boutique[[#This Row],[stock_quantity]]&gt;9,"Ok",IF(BBDD_fashion_boutique[[#This Row],[stock_quantity]]=0,"Agotado","Pocas Unidades"))</f>
        <v>Ok</v>
      </c>
      <c r="S1084" s="3" t="str">
        <f>IF(BBDD_fashion_boutique[[#This Row],[customer_rating]]="","No valorado",BBDD_fashion_boutique[[#This Row],[customer_rating]])</f>
        <v>No valorado</v>
      </c>
      <c r="T1084" t="s">
        <v>41</v>
      </c>
      <c r="U1084" t="s">
        <v>42</v>
      </c>
      <c r="V1084">
        <f>IF(BBDD_fashion_boutique[[#This Row],[is_returned]]="False",0,1)</f>
        <v>1</v>
      </c>
      <c r="W1084">
        <f>IF(BBDD_fashion_boutique[[#This Row],[is_returned]]="True",0,BBDD_fashion_boutique[[#This Row],[current_price]])</f>
        <v>0</v>
      </c>
      <c r="X1084" t="str">
        <f>IF(BBDD_fashion_boutique[[#This Row],[return_reason]]="","No return",BBDD_fashion_boutique[[#This Row],[return_reason]])</f>
        <v>Color Mismatch</v>
      </c>
      <c r="Y1084">
        <f>IF(IFERROR(VLOOKUP(BBDD_fashion_boutique[[#This Row],[product_id]],A1085:A3260,1,FALSE),0),1,0)</f>
        <v>0</v>
      </c>
    </row>
    <row r="1085" spans="1:25" x14ac:dyDescent="0.3">
      <c r="A1085" t="s">
        <v>1144</v>
      </c>
      <c r="B1085" t="s">
        <v>44</v>
      </c>
      <c r="C1085" t="s">
        <v>49</v>
      </c>
      <c r="D1085" t="s">
        <v>28</v>
      </c>
      <c r="E1085" t="s">
        <v>64</v>
      </c>
      <c r="F1085" t="str">
        <f>IF(BBDD_fashion_boutique[[#This Row],[category]]="Accessories","Accesorio",IF(BBDD_fashion_boutique[[#This Row],[size]]="","Desconocido",BBDD_fashion_boutique[[#This Row],[size]]))</f>
        <v>M</v>
      </c>
      <c r="G1085" t="s">
        <v>40</v>
      </c>
      <c r="H1085" s="2">
        <v>69.88</v>
      </c>
      <c r="I1085">
        <v>57.4</v>
      </c>
      <c r="J1085" s="5">
        <f>BBDD_fashion_boutique[[#This Row],[markdown_percentage]]/100</f>
        <v>0.57399999999999995</v>
      </c>
      <c r="K1085" s="2">
        <v>29.77</v>
      </c>
      <c r="L1085" s="2">
        <f>BBDD_fashion_boutique[[#This Row],[original_price]]-BBDD_fashion_boutique[[#This Row],[current_price]]</f>
        <v>40.11</v>
      </c>
      <c r="M1085" s="1">
        <v>45875</v>
      </c>
      <c r="N1085" s="1" t="str">
        <f>PROPER(TEXT(BBDD_fashion_boutique[[#This Row],[purchase_date]],"dddd"))</f>
        <v>Miércoles</v>
      </c>
      <c r="O1085" s="1" t="str">
        <f>PROPER(TEXT(BBDD_fashion_boutique[[#This Row],[purchase_date]],"mmmm"))</f>
        <v>Agosto</v>
      </c>
      <c r="P1085" s="4">
        <v>30</v>
      </c>
      <c r="Q1085" s="2">
        <v>4.2</v>
      </c>
      <c r="R1085" t="str">
        <f>IF(BBDD_fashion_boutique[[#This Row],[stock_quantity]]&gt;9,"Ok",IF(BBDD_fashion_boutique[[#This Row],[stock_quantity]]=0,"Agotado","Pocas Unidades"))</f>
        <v>Ok</v>
      </c>
      <c r="S1085" s="3">
        <f>IF(BBDD_fashion_boutique[[#This Row],[customer_rating]]="","No valorado",BBDD_fashion_boutique[[#This Row],[customer_rating]])</f>
        <v>4.2</v>
      </c>
      <c r="T1085" t="s">
        <v>24</v>
      </c>
      <c r="V1085">
        <f>IF(BBDD_fashion_boutique[[#This Row],[is_returned]]="False",0,1)</f>
        <v>0</v>
      </c>
      <c r="W1085">
        <f>IF(BBDD_fashion_boutique[[#This Row],[is_returned]]="True",0,BBDD_fashion_boutique[[#This Row],[current_price]])</f>
        <v>29.77</v>
      </c>
      <c r="X1085" t="str">
        <f>IF(BBDD_fashion_boutique[[#This Row],[return_reason]]="","No return",BBDD_fashion_boutique[[#This Row],[return_reason]])</f>
        <v>No return</v>
      </c>
      <c r="Y1085">
        <f>IF(IFERROR(VLOOKUP(BBDD_fashion_boutique[[#This Row],[product_id]],A1086:A3261,1,FALSE),0),1,0)</f>
        <v>0</v>
      </c>
    </row>
    <row r="1086" spans="1:25" x14ac:dyDescent="0.3">
      <c r="A1086" t="s">
        <v>1145</v>
      </c>
      <c r="B1086" t="s">
        <v>35</v>
      </c>
      <c r="C1086" t="s">
        <v>27</v>
      </c>
      <c r="D1086" t="s">
        <v>39</v>
      </c>
      <c r="E1086" t="s">
        <v>45</v>
      </c>
      <c r="F1086" t="str">
        <f>IF(BBDD_fashion_boutique[[#This Row],[category]]="Accessories","Accesorio",IF(BBDD_fashion_boutique[[#This Row],[size]]="","Desconocido",BBDD_fashion_boutique[[#This Row],[size]]))</f>
        <v>S</v>
      </c>
      <c r="G1086" t="s">
        <v>46</v>
      </c>
      <c r="H1086" s="2">
        <v>142.83000000000001</v>
      </c>
      <c r="I1086">
        <v>0</v>
      </c>
      <c r="J1086" s="5">
        <f>BBDD_fashion_boutique[[#This Row],[markdown_percentage]]/100</f>
        <v>0</v>
      </c>
      <c r="K1086" s="2">
        <v>142.83000000000001</v>
      </c>
      <c r="L1086" s="2">
        <f>BBDD_fashion_boutique[[#This Row],[original_price]]-BBDD_fashion_boutique[[#This Row],[current_price]]</f>
        <v>0</v>
      </c>
      <c r="M1086" s="1">
        <v>45875</v>
      </c>
      <c r="N1086" s="1" t="str">
        <f>PROPER(TEXT(BBDD_fashion_boutique[[#This Row],[purchase_date]],"dddd"))</f>
        <v>Miércoles</v>
      </c>
      <c r="O1086" s="1" t="str">
        <f>PROPER(TEXT(BBDD_fashion_boutique[[#This Row],[purchase_date]],"mmmm"))</f>
        <v>Agosto</v>
      </c>
      <c r="P1086" s="4">
        <v>25</v>
      </c>
      <c r="Q1086" s="2">
        <v>3.5</v>
      </c>
      <c r="R1086" t="str">
        <f>IF(BBDD_fashion_boutique[[#This Row],[stock_quantity]]&gt;9,"Ok",IF(BBDD_fashion_boutique[[#This Row],[stock_quantity]]=0,"Agotado","Pocas Unidades"))</f>
        <v>Ok</v>
      </c>
      <c r="S1086" s="3">
        <f>IF(BBDD_fashion_boutique[[#This Row],[customer_rating]]="","No valorado",BBDD_fashion_boutique[[#This Row],[customer_rating]])</f>
        <v>3.5</v>
      </c>
      <c r="T1086" t="s">
        <v>24</v>
      </c>
      <c r="V1086">
        <f>IF(BBDD_fashion_boutique[[#This Row],[is_returned]]="False",0,1)</f>
        <v>0</v>
      </c>
      <c r="W1086">
        <f>IF(BBDD_fashion_boutique[[#This Row],[is_returned]]="True",0,BBDD_fashion_boutique[[#This Row],[current_price]])</f>
        <v>142.83000000000001</v>
      </c>
      <c r="X1086" t="str">
        <f>IF(BBDD_fashion_boutique[[#This Row],[return_reason]]="","No return",BBDD_fashion_boutique[[#This Row],[return_reason]])</f>
        <v>No return</v>
      </c>
      <c r="Y1086">
        <f>IF(IFERROR(VLOOKUP(BBDD_fashion_boutique[[#This Row],[product_id]],A1087:A3262,1,FALSE),0),1,0)</f>
        <v>0</v>
      </c>
    </row>
    <row r="1087" spans="1:25" x14ac:dyDescent="0.3">
      <c r="A1087" t="s">
        <v>1146</v>
      </c>
      <c r="B1087" t="s">
        <v>35</v>
      </c>
      <c r="C1087" t="s">
        <v>20</v>
      </c>
      <c r="D1087" t="s">
        <v>39</v>
      </c>
      <c r="F1087" t="str">
        <f>IF(BBDD_fashion_boutique[[#This Row],[category]]="Accessories","Accesorio",IF(BBDD_fashion_boutique[[#This Row],[size]]="","Desconocido",BBDD_fashion_boutique[[#This Row],[size]]))</f>
        <v>Desconocido</v>
      </c>
      <c r="G1087" t="s">
        <v>72</v>
      </c>
      <c r="H1087" s="2">
        <v>140.16999999999999</v>
      </c>
      <c r="I1087">
        <v>0</v>
      </c>
      <c r="J1087" s="5">
        <f>BBDD_fashion_boutique[[#This Row],[markdown_percentage]]/100</f>
        <v>0</v>
      </c>
      <c r="K1087" s="2">
        <v>140.16999999999999</v>
      </c>
      <c r="L1087" s="2">
        <f>BBDD_fashion_boutique[[#This Row],[original_price]]-BBDD_fashion_boutique[[#This Row],[current_price]]</f>
        <v>0</v>
      </c>
      <c r="M1087" s="1">
        <v>45875</v>
      </c>
      <c r="N1087" s="1" t="str">
        <f>PROPER(TEXT(BBDD_fashion_boutique[[#This Row],[purchase_date]],"dddd"))</f>
        <v>Miércoles</v>
      </c>
      <c r="O1087" s="1" t="str">
        <f>PROPER(TEXT(BBDD_fashion_boutique[[#This Row],[purchase_date]],"mmmm"))</f>
        <v>Agosto</v>
      </c>
      <c r="P1087" s="4">
        <v>43</v>
      </c>
      <c r="Q1087" s="2">
        <v>3.1</v>
      </c>
      <c r="R1087" t="str">
        <f>IF(BBDD_fashion_boutique[[#This Row],[stock_quantity]]&gt;9,"Ok",IF(BBDD_fashion_boutique[[#This Row],[stock_quantity]]=0,"Agotado","Pocas Unidades"))</f>
        <v>Ok</v>
      </c>
      <c r="S1087" s="3">
        <f>IF(BBDD_fashion_boutique[[#This Row],[customer_rating]]="","No valorado",BBDD_fashion_boutique[[#This Row],[customer_rating]])</f>
        <v>3.1</v>
      </c>
      <c r="T1087" t="s">
        <v>24</v>
      </c>
      <c r="V1087">
        <f>IF(BBDD_fashion_boutique[[#This Row],[is_returned]]="False",0,1)</f>
        <v>0</v>
      </c>
      <c r="W1087">
        <f>IF(BBDD_fashion_boutique[[#This Row],[is_returned]]="True",0,BBDD_fashion_boutique[[#This Row],[current_price]])</f>
        <v>140.16999999999999</v>
      </c>
      <c r="X1087" t="str">
        <f>IF(BBDD_fashion_boutique[[#This Row],[return_reason]]="","No return",BBDD_fashion_boutique[[#This Row],[return_reason]])</f>
        <v>No return</v>
      </c>
      <c r="Y1087">
        <f>IF(IFERROR(VLOOKUP(BBDD_fashion_boutique[[#This Row],[product_id]],A1088:A3263,1,FALSE),0),1,0)</f>
        <v>0</v>
      </c>
    </row>
    <row r="1088" spans="1:25" x14ac:dyDescent="0.3">
      <c r="A1088" t="s">
        <v>1147</v>
      </c>
      <c r="B1088" t="s">
        <v>26</v>
      </c>
      <c r="C1088" t="s">
        <v>67</v>
      </c>
      <c r="D1088" t="s">
        <v>28</v>
      </c>
      <c r="E1088" t="s">
        <v>64</v>
      </c>
      <c r="F1088" t="str">
        <f>IF(BBDD_fashion_boutique[[#This Row],[category]]="Accessories","Accesorio",IF(BBDD_fashion_boutique[[#This Row],[size]]="","Desconocido",BBDD_fashion_boutique[[#This Row],[size]]))</f>
        <v>M</v>
      </c>
      <c r="G1088" t="s">
        <v>76</v>
      </c>
      <c r="H1088" s="2">
        <v>106.11</v>
      </c>
      <c r="I1088">
        <v>33.799999999999997</v>
      </c>
      <c r="J1088" s="5">
        <f>BBDD_fashion_boutique[[#This Row],[markdown_percentage]]/100</f>
        <v>0.33799999999999997</v>
      </c>
      <c r="K1088" s="2">
        <v>70.239999999999995</v>
      </c>
      <c r="L1088" s="2">
        <f>BBDD_fashion_boutique[[#This Row],[original_price]]-BBDD_fashion_boutique[[#This Row],[current_price]]</f>
        <v>35.870000000000005</v>
      </c>
      <c r="M1088" s="1">
        <v>45875</v>
      </c>
      <c r="N1088" s="1" t="str">
        <f>PROPER(TEXT(BBDD_fashion_boutique[[#This Row],[purchase_date]],"dddd"))</f>
        <v>Miércoles</v>
      </c>
      <c r="O1088" s="1" t="str">
        <f>PROPER(TEXT(BBDD_fashion_boutique[[#This Row],[purchase_date]],"mmmm"))</f>
        <v>Agosto</v>
      </c>
      <c r="P1088" s="4">
        <v>15</v>
      </c>
      <c r="Q1088" s="2">
        <v>4.5</v>
      </c>
      <c r="R1088" t="str">
        <f>IF(BBDD_fashion_boutique[[#This Row],[stock_quantity]]&gt;9,"Ok",IF(BBDD_fashion_boutique[[#This Row],[stock_quantity]]=0,"Agotado","Pocas Unidades"))</f>
        <v>Ok</v>
      </c>
      <c r="S1088" s="3">
        <f>IF(BBDD_fashion_boutique[[#This Row],[customer_rating]]="","No valorado",BBDD_fashion_boutique[[#This Row],[customer_rating]])</f>
        <v>4.5</v>
      </c>
      <c r="T1088" t="s">
        <v>24</v>
      </c>
      <c r="V1088">
        <f>IF(BBDD_fashion_boutique[[#This Row],[is_returned]]="False",0,1)</f>
        <v>0</v>
      </c>
      <c r="W1088">
        <f>IF(BBDD_fashion_boutique[[#This Row],[is_returned]]="True",0,BBDD_fashion_boutique[[#This Row],[current_price]])</f>
        <v>70.239999999999995</v>
      </c>
      <c r="X1088" t="str">
        <f>IF(BBDD_fashion_boutique[[#This Row],[return_reason]]="","No return",BBDD_fashion_boutique[[#This Row],[return_reason]])</f>
        <v>No return</v>
      </c>
      <c r="Y1088">
        <f>IF(IFERROR(VLOOKUP(BBDD_fashion_boutique[[#This Row],[product_id]],A1089:A3264,1,FALSE),0),1,0)</f>
        <v>0</v>
      </c>
    </row>
    <row r="1089" spans="1:25" x14ac:dyDescent="0.3">
      <c r="A1089" t="s">
        <v>1148</v>
      </c>
      <c r="B1089" t="s">
        <v>48</v>
      </c>
      <c r="C1089" t="s">
        <v>54</v>
      </c>
      <c r="D1089" t="s">
        <v>68</v>
      </c>
      <c r="E1089" t="s">
        <v>61</v>
      </c>
      <c r="F1089" t="str">
        <f>IF(BBDD_fashion_boutique[[#This Row],[category]]="Accessories","Accesorio",IF(BBDD_fashion_boutique[[#This Row],[size]]="","Desconocido",BBDD_fashion_boutique[[#This Row],[size]]))</f>
        <v>XS</v>
      </c>
      <c r="G1089" t="s">
        <v>30</v>
      </c>
      <c r="H1089" s="2">
        <v>53.23</v>
      </c>
      <c r="I1089">
        <v>0</v>
      </c>
      <c r="J1089" s="5">
        <f>BBDD_fashion_boutique[[#This Row],[markdown_percentage]]/100</f>
        <v>0</v>
      </c>
      <c r="K1089" s="2">
        <v>53.23</v>
      </c>
      <c r="L1089" s="2">
        <f>BBDD_fashion_boutique[[#This Row],[original_price]]-BBDD_fashion_boutique[[#This Row],[current_price]]</f>
        <v>0</v>
      </c>
      <c r="M1089" s="1">
        <v>45875</v>
      </c>
      <c r="N1089" s="1" t="str">
        <f>PROPER(TEXT(BBDD_fashion_boutique[[#This Row],[purchase_date]],"dddd"))</f>
        <v>Miércoles</v>
      </c>
      <c r="O1089" s="1" t="str">
        <f>PROPER(TEXT(BBDD_fashion_boutique[[#This Row],[purchase_date]],"mmmm"))</f>
        <v>Agosto</v>
      </c>
      <c r="P1089" s="4">
        <v>41</v>
      </c>
      <c r="Q1089" s="2">
        <v>2.8</v>
      </c>
      <c r="R1089" t="str">
        <f>IF(BBDD_fashion_boutique[[#This Row],[stock_quantity]]&gt;9,"Ok",IF(BBDD_fashion_boutique[[#This Row],[stock_quantity]]=0,"Agotado","Pocas Unidades"))</f>
        <v>Ok</v>
      </c>
      <c r="S1089" s="3">
        <f>IF(BBDD_fashion_boutique[[#This Row],[customer_rating]]="","No valorado",BBDD_fashion_boutique[[#This Row],[customer_rating]])</f>
        <v>2.8</v>
      </c>
      <c r="T1089" t="s">
        <v>41</v>
      </c>
      <c r="U1089" t="s">
        <v>42</v>
      </c>
      <c r="V1089">
        <f>IF(BBDD_fashion_boutique[[#This Row],[is_returned]]="False",0,1)</f>
        <v>1</v>
      </c>
      <c r="W1089">
        <f>IF(BBDD_fashion_boutique[[#This Row],[is_returned]]="True",0,BBDD_fashion_boutique[[#This Row],[current_price]])</f>
        <v>0</v>
      </c>
      <c r="X1089" t="str">
        <f>IF(BBDD_fashion_boutique[[#This Row],[return_reason]]="","No return",BBDD_fashion_boutique[[#This Row],[return_reason]])</f>
        <v>Color Mismatch</v>
      </c>
      <c r="Y1089">
        <f>IF(IFERROR(VLOOKUP(BBDD_fashion_boutique[[#This Row],[product_id]],A1090:A3265,1,FALSE),0),1,0)</f>
        <v>0</v>
      </c>
    </row>
    <row r="1090" spans="1:25" x14ac:dyDescent="0.3">
      <c r="A1090" t="s">
        <v>1149</v>
      </c>
      <c r="B1090" t="s">
        <v>19</v>
      </c>
      <c r="C1090" t="s">
        <v>37</v>
      </c>
      <c r="D1090" t="s">
        <v>21</v>
      </c>
      <c r="E1090" t="s">
        <v>55</v>
      </c>
      <c r="F1090" t="str">
        <f>IF(BBDD_fashion_boutique[[#This Row],[category]]="Accessories","Accesorio",IF(BBDD_fashion_boutique[[#This Row],[size]]="","Desconocido",BBDD_fashion_boutique[[#This Row],[size]]))</f>
        <v>XXL</v>
      </c>
      <c r="G1090" t="s">
        <v>33</v>
      </c>
      <c r="H1090" s="2">
        <v>92.25</v>
      </c>
      <c r="I1090">
        <v>0</v>
      </c>
      <c r="J1090" s="5">
        <f>BBDD_fashion_boutique[[#This Row],[markdown_percentage]]/100</f>
        <v>0</v>
      </c>
      <c r="K1090" s="2">
        <v>92.25</v>
      </c>
      <c r="L1090" s="2">
        <f>BBDD_fashion_boutique[[#This Row],[original_price]]-BBDD_fashion_boutique[[#This Row],[current_price]]</f>
        <v>0</v>
      </c>
      <c r="M1090" s="1">
        <v>45805</v>
      </c>
      <c r="N1090" s="1" t="str">
        <f>PROPER(TEXT(BBDD_fashion_boutique[[#This Row],[purchase_date]],"dddd"))</f>
        <v>Miércoles</v>
      </c>
      <c r="O1090" s="1" t="str">
        <f>PROPER(TEXT(BBDD_fashion_boutique[[#This Row],[purchase_date]],"mmmm"))</f>
        <v>Mayo</v>
      </c>
      <c r="P1090" s="4">
        <v>22</v>
      </c>
      <c r="Q1090" s="2">
        <v>3.3</v>
      </c>
      <c r="R1090" t="str">
        <f>IF(BBDD_fashion_boutique[[#This Row],[stock_quantity]]&gt;9,"Ok",IF(BBDD_fashion_boutique[[#This Row],[stock_quantity]]=0,"Agotado","Pocas Unidades"))</f>
        <v>Ok</v>
      </c>
      <c r="S1090" s="3">
        <f>IF(BBDD_fashion_boutique[[#This Row],[customer_rating]]="","No valorado",BBDD_fashion_boutique[[#This Row],[customer_rating]])</f>
        <v>3.3</v>
      </c>
      <c r="T1090" t="s">
        <v>41</v>
      </c>
      <c r="U1090" t="s">
        <v>131</v>
      </c>
      <c r="V1090">
        <f>IF(BBDD_fashion_boutique[[#This Row],[is_returned]]="False",0,1)</f>
        <v>1</v>
      </c>
      <c r="W1090">
        <f>IF(BBDD_fashion_boutique[[#This Row],[is_returned]]="True",0,BBDD_fashion_boutique[[#This Row],[current_price]])</f>
        <v>0</v>
      </c>
      <c r="X1090" t="str">
        <f>IF(BBDD_fashion_boutique[[#This Row],[return_reason]]="","No return",BBDD_fashion_boutique[[#This Row],[return_reason]])</f>
        <v>Wrong Item</v>
      </c>
      <c r="Y1090">
        <f>IF(IFERROR(VLOOKUP(BBDD_fashion_boutique[[#This Row],[product_id]],A1091:A3266,1,FALSE),0),1,0)</f>
        <v>0</v>
      </c>
    </row>
    <row r="1091" spans="1:25" x14ac:dyDescent="0.3">
      <c r="A1091" t="s">
        <v>1150</v>
      </c>
      <c r="B1091" t="s">
        <v>32</v>
      </c>
      <c r="C1091" t="s">
        <v>59</v>
      </c>
      <c r="D1091" t="s">
        <v>68</v>
      </c>
      <c r="F1091" t="str">
        <f>IF(BBDD_fashion_boutique[[#This Row],[category]]="Accessories","Accesorio",IF(BBDD_fashion_boutique[[#This Row],[size]]="","Desconocido",BBDD_fashion_boutique[[#This Row],[size]]))</f>
        <v>Accesorio</v>
      </c>
      <c r="G1091" t="s">
        <v>76</v>
      </c>
      <c r="H1091" s="2">
        <v>39.17</v>
      </c>
      <c r="I1091">
        <v>0</v>
      </c>
      <c r="J1091" s="5">
        <f>BBDD_fashion_boutique[[#This Row],[markdown_percentage]]/100</f>
        <v>0</v>
      </c>
      <c r="K1091" s="2">
        <v>39.17</v>
      </c>
      <c r="L1091" s="2">
        <f>BBDD_fashion_boutique[[#This Row],[original_price]]-BBDD_fashion_boutique[[#This Row],[current_price]]</f>
        <v>0</v>
      </c>
      <c r="M1091" s="1">
        <v>45875</v>
      </c>
      <c r="N1091" s="1" t="str">
        <f>PROPER(TEXT(BBDD_fashion_boutique[[#This Row],[purchase_date]],"dddd"))</f>
        <v>Miércoles</v>
      </c>
      <c r="O1091" s="1" t="str">
        <f>PROPER(TEXT(BBDD_fashion_boutique[[#This Row],[purchase_date]],"mmmm"))</f>
        <v>Agosto</v>
      </c>
      <c r="P1091" s="4">
        <v>4</v>
      </c>
      <c r="Q1091" s="2">
        <v>3.5</v>
      </c>
      <c r="R1091" t="str">
        <f>IF(BBDD_fashion_boutique[[#This Row],[stock_quantity]]&gt;9,"Ok",IF(BBDD_fashion_boutique[[#This Row],[stock_quantity]]=0,"Agotado","Pocas Unidades"))</f>
        <v>Pocas Unidades</v>
      </c>
      <c r="S1091" s="3">
        <f>IF(BBDD_fashion_boutique[[#This Row],[customer_rating]]="","No valorado",BBDD_fashion_boutique[[#This Row],[customer_rating]])</f>
        <v>3.5</v>
      </c>
      <c r="T1091" t="s">
        <v>41</v>
      </c>
      <c r="U1091" t="s">
        <v>42</v>
      </c>
      <c r="V1091">
        <f>IF(BBDD_fashion_boutique[[#This Row],[is_returned]]="False",0,1)</f>
        <v>1</v>
      </c>
      <c r="W1091">
        <f>IF(BBDD_fashion_boutique[[#This Row],[is_returned]]="True",0,BBDD_fashion_boutique[[#This Row],[current_price]])</f>
        <v>0</v>
      </c>
      <c r="X1091" t="str">
        <f>IF(BBDD_fashion_boutique[[#This Row],[return_reason]]="","No return",BBDD_fashion_boutique[[#This Row],[return_reason]])</f>
        <v>Color Mismatch</v>
      </c>
      <c r="Y1091">
        <f>IF(IFERROR(VLOOKUP(BBDD_fashion_boutique[[#This Row],[product_id]],A1092:A3267,1,FALSE),0),1,0)</f>
        <v>0</v>
      </c>
    </row>
    <row r="1092" spans="1:25" x14ac:dyDescent="0.3">
      <c r="A1092" t="s">
        <v>1151</v>
      </c>
      <c r="B1092" t="s">
        <v>32</v>
      </c>
      <c r="C1092" t="s">
        <v>67</v>
      </c>
      <c r="D1092" t="s">
        <v>21</v>
      </c>
      <c r="F1092" t="str">
        <f>IF(BBDD_fashion_boutique[[#This Row],[category]]="Accessories","Accesorio",IF(BBDD_fashion_boutique[[#This Row],[size]]="","Desconocido",BBDD_fashion_boutique[[#This Row],[size]]))</f>
        <v>Accesorio</v>
      </c>
      <c r="G1092" t="s">
        <v>40</v>
      </c>
      <c r="H1092" s="2">
        <v>72.83</v>
      </c>
      <c r="I1092">
        <v>0</v>
      </c>
      <c r="J1092" s="5">
        <f>BBDD_fashion_boutique[[#This Row],[markdown_percentage]]/100</f>
        <v>0</v>
      </c>
      <c r="K1092" s="2">
        <v>72.83</v>
      </c>
      <c r="L1092" s="2">
        <f>BBDD_fashion_boutique[[#This Row],[original_price]]-BBDD_fashion_boutique[[#This Row],[current_price]]</f>
        <v>0</v>
      </c>
      <c r="M1092" s="1">
        <v>45622</v>
      </c>
      <c r="N1092" s="1" t="str">
        <f>PROPER(TEXT(BBDD_fashion_boutique[[#This Row],[purchase_date]],"dddd"))</f>
        <v>Martes</v>
      </c>
      <c r="O1092" s="1" t="str">
        <f>PROPER(TEXT(BBDD_fashion_boutique[[#This Row],[purchase_date]],"mmmm"))</f>
        <v>Noviembre</v>
      </c>
      <c r="P1092" s="4">
        <v>6</v>
      </c>
      <c r="Q1092" s="2">
        <v>2</v>
      </c>
      <c r="R1092" t="str">
        <f>IF(BBDD_fashion_boutique[[#This Row],[stock_quantity]]&gt;9,"Ok",IF(BBDD_fashion_boutique[[#This Row],[stock_quantity]]=0,"Agotado","Pocas Unidades"))</f>
        <v>Pocas Unidades</v>
      </c>
      <c r="S1092" s="3">
        <f>IF(BBDD_fashion_boutique[[#This Row],[customer_rating]]="","No valorado",BBDD_fashion_boutique[[#This Row],[customer_rating]])</f>
        <v>2</v>
      </c>
      <c r="T1092" t="s">
        <v>24</v>
      </c>
      <c r="V1092">
        <f>IF(BBDD_fashion_boutique[[#This Row],[is_returned]]="False",0,1)</f>
        <v>0</v>
      </c>
      <c r="W1092">
        <f>IF(BBDD_fashion_boutique[[#This Row],[is_returned]]="True",0,BBDD_fashion_boutique[[#This Row],[current_price]])</f>
        <v>72.83</v>
      </c>
      <c r="X1092" t="str">
        <f>IF(BBDD_fashion_boutique[[#This Row],[return_reason]]="","No return",BBDD_fashion_boutique[[#This Row],[return_reason]])</f>
        <v>No return</v>
      </c>
      <c r="Y1092">
        <f>IF(IFERROR(VLOOKUP(BBDD_fashion_boutique[[#This Row],[product_id]],A1093:A3268,1,FALSE),0),1,0)</f>
        <v>0</v>
      </c>
    </row>
    <row r="1093" spans="1:25" x14ac:dyDescent="0.3">
      <c r="A1093" t="s">
        <v>1152</v>
      </c>
      <c r="B1093" t="s">
        <v>44</v>
      </c>
      <c r="C1093" t="s">
        <v>81</v>
      </c>
      <c r="D1093" t="s">
        <v>28</v>
      </c>
      <c r="E1093" t="s">
        <v>45</v>
      </c>
      <c r="F1093" t="str">
        <f>IF(BBDD_fashion_boutique[[#This Row],[category]]="Accessories","Accesorio",IF(BBDD_fashion_boutique[[#This Row],[size]]="","Desconocido",BBDD_fashion_boutique[[#This Row],[size]]))</f>
        <v>S</v>
      </c>
      <c r="G1093" t="s">
        <v>76</v>
      </c>
      <c r="H1093" s="2">
        <v>29.73</v>
      </c>
      <c r="I1093">
        <v>28.7</v>
      </c>
      <c r="J1093" s="5">
        <f>BBDD_fashion_boutique[[#This Row],[markdown_percentage]]/100</f>
        <v>0.28699999999999998</v>
      </c>
      <c r="K1093" s="2">
        <v>21.2</v>
      </c>
      <c r="L1093" s="2">
        <f>BBDD_fashion_boutique[[#This Row],[original_price]]-BBDD_fashion_boutique[[#This Row],[current_price]]</f>
        <v>8.5300000000000011</v>
      </c>
      <c r="M1093" s="1">
        <v>45875</v>
      </c>
      <c r="N1093" s="1" t="str">
        <f>PROPER(TEXT(BBDD_fashion_boutique[[#This Row],[purchase_date]],"dddd"))</f>
        <v>Miércoles</v>
      </c>
      <c r="O1093" s="1" t="str">
        <f>PROPER(TEXT(BBDD_fashion_boutique[[#This Row],[purchase_date]],"mmmm"))</f>
        <v>Agosto</v>
      </c>
      <c r="P1093" s="4">
        <v>37</v>
      </c>
      <c r="Q1093" s="2">
        <v>2.5</v>
      </c>
      <c r="R1093" t="str">
        <f>IF(BBDD_fashion_boutique[[#This Row],[stock_quantity]]&gt;9,"Ok",IF(BBDD_fashion_boutique[[#This Row],[stock_quantity]]=0,"Agotado","Pocas Unidades"))</f>
        <v>Ok</v>
      </c>
      <c r="S1093" s="3">
        <f>IF(BBDD_fashion_boutique[[#This Row],[customer_rating]]="","No valorado",BBDD_fashion_boutique[[#This Row],[customer_rating]])</f>
        <v>2.5</v>
      </c>
      <c r="T1093" t="s">
        <v>24</v>
      </c>
      <c r="V1093">
        <f>IF(BBDD_fashion_boutique[[#This Row],[is_returned]]="False",0,1)</f>
        <v>0</v>
      </c>
      <c r="W1093">
        <f>IF(BBDD_fashion_boutique[[#This Row],[is_returned]]="True",0,BBDD_fashion_boutique[[#This Row],[current_price]])</f>
        <v>21.2</v>
      </c>
      <c r="X1093" t="str">
        <f>IF(BBDD_fashion_boutique[[#This Row],[return_reason]]="","No return",BBDD_fashion_boutique[[#This Row],[return_reason]])</f>
        <v>No return</v>
      </c>
      <c r="Y1093">
        <f>IF(IFERROR(VLOOKUP(BBDD_fashion_boutique[[#This Row],[product_id]],A1094:A3269,1,FALSE),0),1,0)</f>
        <v>0</v>
      </c>
    </row>
    <row r="1094" spans="1:25" x14ac:dyDescent="0.3">
      <c r="A1094" t="s">
        <v>1153</v>
      </c>
      <c r="B1094" t="s">
        <v>48</v>
      </c>
      <c r="C1094" t="s">
        <v>49</v>
      </c>
      <c r="D1094" t="s">
        <v>28</v>
      </c>
      <c r="E1094" t="s">
        <v>22</v>
      </c>
      <c r="F1094" t="str">
        <f>IF(BBDD_fashion_boutique[[#This Row],[category]]="Accessories","Accesorio",IF(BBDD_fashion_boutique[[#This Row],[size]]="","Desconocido",BBDD_fashion_boutique[[#This Row],[size]]))</f>
        <v>XL</v>
      </c>
      <c r="G1094" t="s">
        <v>33</v>
      </c>
      <c r="H1094" s="2">
        <v>144.1</v>
      </c>
      <c r="I1094">
        <v>0</v>
      </c>
      <c r="J1094" s="5">
        <f>BBDD_fashion_boutique[[#This Row],[markdown_percentage]]/100</f>
        <v>0</v>
      </c>
      <c r="K1094" s="2">
        <v>144.1</v>
      </c>
      <c r="L1094" s="2">
        <f>BBDD_fashion_boutique[[#This Row],[original_price]]-BBDD_fashion_boutique[[#This Row],[current_price]]</f>
        <v>0</v>
      </c>
      <c r="M1094" s="1">
        <v>45875</v>
      </c>
      <c r="N1094" s="1" t="str">
        <f>PROPER(TEXT(BBDD_fashion_boutique[[#This Row],[purchase_date]],"dddd"))</f>
        <v>Miércoles</v>
      </c>
      <c r="O1094" s="1" t="str">
        <f>PROPER(TEXT(BBDD_fashion_boutique[[#This Row],[purchase_date]],"mmmm"))</f>
        <v>Agosto</v>
      </c>
      <c r="P1094" s="4">
        <v>36</v>
      </c>
      <c r="Q1094" s="2">
        <v>2.5</v>
      </c>
      <c r="R1094" t="str">
        <f>IF(BBDD_fashion_boutique[[#This Row],[stock_quantity]]&gt;9,"Ok",IF(BBDD_fashion_boutique[[#This Row],[stock_quantity]]=0,"Agotado","Pocas Unidades"))</f>
        <v>Ok</v>
      </c>
      <c r="S1094" s="3">
        <f>IF(BBDD_fashion_boutique[[#This Row],[customer_rating]]="","No valorado",BBDD_fashion_boutique[[#This Row],[customer_rating]])</f>
        <v>2.5</v>
      </c>
      <c r="T1094" t="s">
        <v>24</v>
      </c>
      <c r="V1094">
        <f>IF(BBDD_fashion_boutique[[#This Row],[is_returned]]="False",0,1)</f>
        <v>0</v>
      </c>
      <c r="W1094">
        <f>IF(BBDD_fashion_boutique[[#This Row],[is_returned]]="True",0,BBDD_fashion_boutique[[#This Row],[current_price]])</f>
        <v>144.1</v>
      </c>
      <c r="X1094" t="str">
        <f>IF(BBDD_fashion_boutique[[#This Row],[return_reason]]="","No return",BBDD_fashion_boutique[[#This Row],[return_reason]])</f>
        <v>No return</v>
      </c>
      <c r="Y1094">
        <f>IF(IFERROR(VLOOKUP(BBDD_fashion_boutique[[#This Row],[product_id]],A1095:A3270,1,FALSE),0),1,0)</f>
        <v>0</v>
      </c>
    </row>
    <row r="1095" spans="1:25" x14ac:dyDescent="0.3">
      <c r="A1095" t="s">
        <v>1154</v>
      </c>
      <c r="B1095" t="s">
        <v>48</v>
      </c>
      <c r="C1095" t="s">
        <v>54</v>
      </c>
      <c r="D1095" t="s">
        <v>68</v>
      </c>
      <c r="E1095" t="s">
        <v>22</v>
      </c>
      <c r="F1095" t="str">
        <f>IF(BBDD_fashion_boutique[[#This Row],[category]]="Accessories","Accesorio",IF(BBDD_fashion_boutique[[#This Row],[size]]="","Desconocido",BBDD_fashion_boutique[[#This Row],[size]]))</f>
        <v>XL</v>
      </c>
      <c r="G1095" t="s">
        <v>76</v>
      </c>
      <c r="H1095" s="2">
        <v>109.23</v>
      </c>
      <c r="I1095">
        <v>10.8</v>
      </c>
      <c r="J1095" s="5">
        <f>BBDD_fashion_boutique[[#This Row],[markdown_percentage]]/100</f>
        <v>0.10800000000000001</v>
      </c>
      <c r="K1095" s="2">
        <v>97.43</v>
      </c>
      <c r="L1095" s="2">
        <f>BBDD_fashion_boutique[[#This Row],[original_price]]-BBDD_fashion_boutique[[#This Row],[current_price]]</f>
        <v>11.799999999999997</v>
      </c>
      <c r="M1095" s="1">
        <v>45875</v>
      </c>
      <c r="N1095" s="1" t="str">
        <f>PROPER(TEXT(BBDD_fashion_boutique[[#This Row],[purchase_date]],"dddd"))</f>
        <v>Miércoles</v>
      </c>
      <c r="O1095" s="1" t="str">
        <f>PROPER(TEXT(BBDD_fashion_boutique[[#This Row],[purchase_date]],"mmmm"))</f>
        <v>Agosto</v>
      </c>
      <c r="P1095" s="4">
        <v>38</v>
      </c>
      <c r="Q1095" s="2">
        <v>3.3</v>
      </c>
      <c r="R1095" t="str">
        <f>IF(BBDD_fashion_boutique[[#This Row],[stock_quantity]]&gt;9,"Ok",IF(BBDD_fashion_boutique[[#This Row],[stock_quantity]]=0,"Agotado","Pocas Unidades"))</f>
        <v>Ok</v>
      </c>
      <c r="S1095" s="3">
        <f>IF(BBDD_fashion_boutique[[#This Row],[customer_rating]]="","No valorado",BBDD_fashion_boutique[[#This Row],[customer_rating]])</f>
        <v>3.3</v>
      </c>
      <c r="T1095" t="s">
        <v>24</v>
      </c>
      <c r="V1095">
        <f>IF(BBDD_fashion_boutique[[#This Row],[is_returned]]="False",0,1)</f>
        <v>0</v>
      </c>
      <c r="W1095">
        <f>IF(BBDD_fashion_boutique[[#This Row],[is_returned]]="True",0,BBDD_fashion_boutique[[#This Row],[current_price]])</f>
        <v>97.43</v>
      </c>
      <c r="X1095" t="str">
        <f>IF(BBDD_fashion_boutique[[#This Row],[return_reason]]="","No return",BBDD_fashion_boutique[[#This Row],[return_reason]])</f>
        <v>No return</v>
      </c>
      <c r="Y1095">
        <f>IF(IFERROR(VLOOKUP(BBDD_fashion_boutique[[#This Row],[product_id]],A1096:A3271,1,FALSE),0),1,0)</f>
        <v>0</v>
      </c>
    </row>
    <row r="1096" spans="1:25" x14ac:dyDescent="0.3">
      <c r="A1096" t="s">
        <v>1155</v>
      </c>
      <c r="B1096" t="s">
        <v>19</v>
      </c>
      <c r="C1096" t="s">
        <v>49</v>
      </c>
      <c r="D1096" t="s">
        <v>28</v>
      </c>
      <c r="E1096" t="s">
        <v>22</v>
      </c>
      <c r="F1096" t="str">
        <f>IF(BBDD_fashion_boutique[[#This Row],[category]]="Accessories","Accesorio",IF(BBDD_fashion_boutique[[#This Row],[size]]="","Desconocido",BBDD_fashion_boutique[[#This Row],[size]]))</f>
        <v>XL</v>
      </c>
      <c r="G1096" t="s">
        <v>30</v>
      </c>
      <c r="H1096" s="2">
        <v>180.65</v>
      </c>
      <c r="I1096">
        <v>17.5</v>
      </c>
      <c r="J1096" s="5">
        <f>BBDD_fashion_boutique[[#This Row],[markdown_percentage]]/100</f>
        <v>0.17499999999999999</v>
      </c>
      <c r="K1096" s="2">
        <v>149.04</v>
      </c>
      <c r="L1096" s="2">
        <f>BBDD_fashion_boutique[[#This Row],[original_price]]-BBDD_fashion_boutique[[#This Row],[current_price]]</f>
        <v>31.610000000000014</v>
      </c>
      <c r="M1096" s="1">
        <v>45875</v>
      </c>
      <c r="N1096" s="1" t="str">
        <f>PROPER(TEXT(BBDD_fashion_boutique[[#This Row],[purchase_date]],"dddd"))</f>
        <v>Miércoles</v>
      </c>
      <c r="O1096" s="1" t="str">
        <f>PROPER(TEXT(BBDD_fashion_boutique[[#This Row],[purchase_date]],"mmmm"))</f>
        <v>Agosto</v>
      </c>
      <c r="P1096" s="4">
        <v>41</v>
      </c>
      <c r="Q1096" s="2">
        <v>1.4</v>
      </c>
      <c r="R1096" t="str">
        <f>IF(BBDD_fashion_boutique[[#This Row],[stock_quantity]]&gt;9,"Ok",IF(BBDD_fashion_boutique[[#This Row],[stock_quantity]]=0,"Agotado","Pocas Unidades"))</f>
        <v>Ok</v>
      </c>
      <c r="S1096" s="3">
        <f>IF(BBDD_fashion_boutique[[#This Row],[customer_rating]]="","No valorado",BBDD_fashion_boutique[[#This Row],[customer_rating]])</f>
        <v>1.4</v>
      </c>
      <c r="T1096" t="s">
        <v>24</v>
      </c>
      <c r="V1096">
        <f>IF(BBDD_fashion_boutique[[#This Row],[is_returned]]="False",0,1)</f>
        <v>0</v>
      </c>
      <c r="W1096">
        <f>IF(BBDD_fashion_boutique[[#This Row],[is_returned]]="True",0,BBDD_fashion_boutique[[#This Row],[current_price]])</f>
        <v>149.04</v>
      </c>
      <c r="X1096" t="str">
        <f>IF(BBDD_fashion_boutique[[#This Row],[return_reason]]="","No return",BBDD_fashion_boutique[[#This Row],[return_reason]])</f>
        <v>No return</v>
      </c>
      <c r="Y1096">
        <f>IF(IFERROR(VLOOKUP(BBDD_fashion_boutique[[#This Row],[product_id]],A1097:A3272,1,FALSE),0),1,0)</f>
        <v>0</v>
      </c>
    </row>
    <row r="1097" spans="1:25" x14ac:dyDescent="0.3">
      <c r="A1097" t="s">
        <v>1156</v>
      </c>
      <c r="B1097" t="s">
        <v>19</v>
      </c>
      <c r="C1097" t="s">
        <v>37</v>
      </c>
      <c r="D1097" t="s">
        <v>21</v>
      </c>
      <c r="E1097" t="s">
        <v>64</v>
      </c>
      <c r="F1097" t="str">
        <f>IF(BBDD_fashion_boutique[[#This Row],[category]]="Accessories","Accesorio",IF(BBDD_fashion_boutique[[#This Row],[size]]="","Desconocido",BBDD_fashion_boutique[[#This Row],[size]]))</f>
        <v>M</v>
      </c>
      <c r="G1097" t="s">
        <v>52</v>
      </c>
      <c r="H1097" s="2">
        <v>129.24</v>
      </c>
      <c r="I1097">
        <v>46.2</v>
      </c>
      <c r="J1097" s="5">
        <f>BBDD_fashion_boutique[[#This Row],[markdown_percentage]]/100</f>
        <v>0.46200000000000002</v>
      </c>
      <c r="K1097" s="2">
        <v>69.53</v>
      </c>
      <c r="L1097" s="2">
        <f>BBDD_fashion_boutique[[#This Row],[original_price]]-BBDD_fashion_boutique[[#This Row],[current_price]]</f>
        <v>59.710000000000008</v>
      </c>
      <c r="M1097" s="1">
        <v>45743</v>
      </c>
      <c r="N1097" s="1" t="str">
        <f>PROPER(TEXT(BBDD_fashion_boutique[[#This Row],[purchase_date]],"dddd"))</f>
        <v>Jueves</v>
      </c>
      <c r="O1097" s="1" t="str">
        <f>PROPER(TEXT(BBDD_fashion_boutique[[#This Row],[purchase_date]],"mmmm"))</f>
        <v>Marzo</v>
      </c>
      <c r="P1097" s="4">
        <v>28</v>
      </c>
      <c r="Q1097" s="2">
        <v>3.2</v>
      </c>
      <c r="R1097" t="str">
        <f>IF(BBDD_fashion_boutique[[#This Row],[stock_quantity]]&gt;9,"Ok",IF(BBDD_fashion_boutique[[#This Row],[stock_quantity]]=0,"Agotado","Pocas Unidades"))</f>
        <v>Ok</v>
      </c>
      <c r="S1097" s="3">
        <f>IF(BBDD_fashion_boutique[[#This Row],[customer_rating]]="","No valorado",BBDD_fashion_boutique[[#This Row],[customer_rating]])</f>
        <v>3.2</v>
      </c>
      <c r="T1097" t="s">
        <v>24</v>
      </c>
      <c r="V1097">
        <f>IF(BBDD_fashion_boutique[[#This Row],[is_returned]]="False",0,1)</f>
        <v>0</v>
      </c>
      <c r="W1097">
        <f>IF(BBDD_fashion_boutique[[#This Row],[is_returned]]="True",0,BBDD_fashion_boutique[[#This Row],[current_price]])</f>
        <v>69.53</v>
      </c>
      <c r="X1097" t="str">
        <f>IF(BBDD_fashion_boutique[[#This Row],[return_reason]]="","No return",BBDD_fashion_boutique[[#This Row],[return_reason]])</f>
        <v>No return</v>
      </c>
      <c r="Y1097">
        <f>IF(IFERROR(VLOOKUP(BBDD_fashion_boutique[[#This Row],[product_id]],A1098:A3273,1,FALSE),0),1,0)</f>
        <v>0</v>
      </c>
    </row>
    <row r="1098" spans="1:25" x14ac:dyDescent="0.3">
      <c r="A1098" t="s">
        <v>1157</v>
      </c>
      <c r="B1098" t="s">
        <v>35</v>
      </c>
      <c r="C1098" t="s">
        <v>67</v>
      </c>
      <c r="D1098" t="s">
        <v>68</v>
      </c>
      <c r="E1098" t="s">
        <v>61</v>
      </c>
      <c r="F1098" t="str">
        <f>IF(BBDD_fashion_boutique[[#This Row],[category]]="Accessories","Accesorio",IF(BBDD_fashion_boutique[[#This Row],[size]]="","Desconocido",BBDD_fashion_boutique[[#This Row],[size]]))</f>
        <v>XS</v>
      </c>
      <c r="G1098" t="s">
        <v>50</v>
      </c>
      <c r="H1098" s="2">
        <v>195.67</v>
      </c>
      <c r="I1098">
        <v>47.1</v>
      </c>
      <c r="J1098" s="5">
        <f>BBDD_fashion_boutique[[#This Row],[markdown_percentage]]/100</f>
        <v>0.47100000000000003</v>
      </c>
      <c r="K1098" s="2">
        <v>103.51</v>
      </c>
      <c r="L1098" s="2">
        <f>BBDD_fashion_boutique[[#This Row],[original_price]]-BBDD_fashion_boutique[[#This Row],[current_price]]</f>
        <v>92.159999999999982</v>
      </c>
      <c r="M1098" s="1">
        <v>45875</v>
      </c>
      <c r="N1098" s="1" t="str">
        <f>PROPER(TEXT(BBDD_fashion_boutique[[#This Row],[purchase_date]],"dddd"))</f>
        <v>Miércoles</v>
      </c>
      <c r="O1098" s="1" t="str">
        <f>PROPER(TEXT(BBDD_fashion_boutique[[#This Row],[purchase_date]],"mmmm"))</f>
        <v>Agosto</v>
      </c>
      <c r="P1098" s="4">
        <v>36</v>
      </c>
      <c r="Q1098" s="2">
        <v>4</v>
      </c>
      <c r="R1098" t="str">
        <f>IF(BBDD_fashion_boutique[[#This Row],[stock_quantity]]&gt;9,"Ok",IF(BBDD_fashion_boutique[[#This Row],[stock_quantity]]=0,"Agotado","Pocas Unidades"))</f>
        <v>Ok</v>
      </c>
      <c r="S1098" s="3">
        <f>IF(BBDD_fashion_boutique[[#This Row],[customer_rating]]="","No valorado",BBDD_fashion_boutique[[#This Row],[customer_rating]])</f>
        <v>4</v>
      </c>
      <c r="T1098" t="s">
        <v>24</v>
      </c>
      <c r="V1098">
        <f>IF(BBDD_fashion_boutique[[#This Row],[is_returned]]="False",0,1)</f>
        <v>0</v>
      </c>
      <c r="W1098">
        <f>IF(BBDD_fashion_boutique[[#This Row],[is_returned]]="True",0,BBDD_fashion_boutique[[#This Row],[current_price]])</f>
        <v>103.51</v>
      </c>
      <c r="X1098" t="str">
        <f>IF(BBDD_fashion_boutique[[#This Row],[return_reason]]="","No return",BBDD_fashion_boutique[[#This Row],[return_reason]])</f>
        <v>No return</v>
      </c>
      <c r="Y1098">
        <f>IF(IFERROR(VLOOKUP(BBDD_fashion_boutique[[#This Row],[product_id]],A1099:A3274,1,FALSE),0),1,0)</f>
        <v>0</v>
      </c>
    </row>
    <row r="1099" spans="1:25" x14ac:dyDescent="0.3">
      <c r="A1099" t="s">
        <v>1158</v>
      </c>
      <c r="B1099" t="s">
        <v>32</v>
      </c>
      <c r="C1099" t="s">
        <v>37</v>
      </c>
      <c r="D1099" t="s">
        <v>28</v>
      </c>
      <c r="F1099" t="str">
        <f>IF(BBDD_fashion_boutique[[#This Row],[category]]="Accessories","Accesorio",IF(BBDD_fashion_boutique[[#This Row],[size]]="","Desconocido",BBDD_fashion_boutique[[#This Row],[size]]))</f>
        <v>Accesorio</v>
      </c>
      <c r="G1099" t="s">
        <v>70</v>
      </c>
      <c r="H1099" s="2">
        <v>65.64</v>
      </c>
      <c r="I1099">
        <v>20.7</v>
      </c>
      <c r="J1099" s="5">
        <f>BBDD_fashion_boutique[[#This Row],[markdown_percentage]]/100</f>
        <v>0.20699999999999999</v>
      </c>
      <c r="K1099" s="2">
        <v>52.05</v>
      </c>
      <c r="L1099" s="2">
        <f>BBDD_fashion_boutique[[#This Row],[original_price]]-BBDD_fashion_boutique[[#This Row],[current_price]]</f>
        <v>13.590000000000003</v>
      </c>
      <c r="M1099" s="1">
        <v>45875</v>
      </c>
      <c r="N1099" s="1" t="str">
        <f>PROPER(TEXT(BBDD_fashion_boutique[[#This Row],[purchase_date]],"dddd"))</f>
        <v>Miércoles</v>
      </c>
      <c r="O1099" s="1" t="str">
        <f>PROPER(TEXT(BBDD_fashion_boutique[[#This Row],[purchase_date]],"mmmm"))</f>
        <v>Agosto</v>
      </c>
      <c r="P1099" s="4">
        <v>20</v>
      </c>
      <c r="Q1099" s="2">
        <v>2.6</v>
      </c>
      <c r="R1099" t="str">
        <f>IF(BBDD_fashion_boutique[[#This Row],[stock_quantity]]&gt;9,"Ok",IF(BBDD_fashion_boutique[[#This Row],[stock_quantity]]=0,"Agotado","Pocas Unidades"))</f>
        <v>Ok</v>
      </c>
      <c r="S1099" s="3">
        <f>IF(BBDD_fashion_boutique[[#This Row],[customer_rating]]="","No valorado",BBDD_fashion_boutique[[#This Row],[customer_rating]])</f>
        <v>2.6</v>
      </c>
      <c r="T1099" t="s">
        <v>24</v>
      </c>
      <c r="V1099">
        <f>IF(BBDD_fashion_boutique[[#This Row],[is_returned]]="False",0,1)</f>
        <v>0</v>
      </c>
      <c r="W1099">
        <f>IF(BBDD_fashion_boutique[[#This Row],[is_returned]]="True",0,BBDD_fashion_boutique[[#This Row],[current_price]])</f>
        <v>52.05</v>
      </c>
      <c r="X1099" t="str">
        <f>IF(BBDD_fashion_boutique[[#This Row],[return_reason]]="","No return",BBDD_fashion_boutique[[#This Row],[return_reason]])</f>
        <v>No return</v>
      </c>
      <c r="Y1099">
        <f>IF(IFERROR(VLOOKUP(BBDD_fashion_boutique[[#This Row],[product_id]],A1100:A3275,1,FALSE),0),1,0)</f>
        <v>0</v>
      </c>
    </row>
    <row r="1100" spans="1:25" x14ac:dyDescent="0.3">
      <c r="A1100" t="s">
        <v>1159</v>
      </c>
      <c r="B1100" t="s">
        <v>44</v>
      </c>
      <c r="C1100" t="s">
        <v>54</v>
      </c>
      <c r="D1100" t="s">
        <v>21</v>
      </c>
      <c r="E1100" t="s">
        <v>61</v>
      </c>
      <c r="F1100" t="str">
        <f>IF(BBDD_fashion_boutique[[#This Row],[category]]="Accessories","Accesorio",IF(BBDD_fashion_boutique[[#This Row],[size]]="","Desconocido",BBDD_fashion_boutique[[#This Row],[size]]))</f>
        <v>XS</v>
      </c>
      <c r="G1100" t="s">
        <v>72</v>
      </c>
      <c r="H1100" s="2">
        <v>113.18</v>
      </c>
      <c r="I1100">
        <v>0</v>
      </c>
      <c r="J1100" s="5">
        <f>BBDD_fashion_boutique[[#This Row],[markdown_percentage]]/100</f>
        <v>0</v>
      </c>
      <c r="K1100" s="2">
        <v>113.18</v>
      </c>
      <c r="L1100" s="2">
        <f>BBDD_fashion_boutique[[#This Row],[original_price]]-BBDD_fashion_boutique[[#This Row],[current_price]]</f>
        <v>0</v>
      </c>
      <c r="M1100" s="1">
        <v>45749</v>
      </c>
      <c r="N1100" s="1" t="str">
        <f>PROPER(TEXT(BBDD_fashion_boutique[[#This Row],[purchase_date]],"dddd"))</f>
        <v>Miércoles</v>
      </c>
      <c r="O1100" s="1" t="str">
        <f>PROPER(TEXT(BBDD_fashion_boutique[[#This Row],[purchase_date]],"mmmm"))</f>
        <v>Abril</v>
      </c>
      <c r="P1100" s="4">
        <v>3</v>
      </c>
      <c r="Q1100" s="2">
        <v>4.9000000000000004</v>
      </c>
      <c r="R1100" t="str">
        <f>IF(BBDD_fashion_boutique[[#This Row],[stock_quantity]]&gt;9,"Ok",IF(BBDD_fashion_boutique[[#This Row],[stock_quantity]]=0,"Agotado","Pocas Unidades"))</f>
        <v>Pocas Unidades</v>
      </c>
      <c r="S1100" s="3">
        <f>IF(BBDD_fashion_boutique[[#This Row],[customer_rating]]="","No valorado",BBDD_fashion_boutique[[#This Row],[customer_rating]])</f>
        <v>4.9000000000000004</v>
      </c>
      <c r="T1100" t="s">
        <v>24</v>
      </c>
      <c r="V1100">
        <f>IF(BBDD_fashion_boutique[[#This Row],[is_returned]]="False",0,1)</f>
        <v>0</v>
      </c>
      <c r="W1100">
        <f>IF(BBDD_fashion_boutique[[#This Row],[is_returned]]="True",0,BBDD_fashion_boutique[[#This Row],[current_price]])</f>
        <v>113.18</v>
      </c>
      <c r="X1100" t="str">
        <f>IF(BBDD_fashion_boutique[[#This Row],[return_reason]]="","No return",BBDD_fashion_boutique[[#This Row],[return_reason]])</f>
        <v>No return</v>
      </c>
      <c r="Y1100">
        <f>IF(IFERROR(VLOOKUP(BBDD_fashion_boutique[[#This Row],[product_id]],A1101:A3276,1,FALSE),0),1,0)</f>
        <v>0</v>
      </c>
    </row>
    <row r="1101" spans="1:25" x14ac:dyDescent="0.3">
      <c r="A1101" t="s">
        <v>1160</v>
      </c>
      <c r="B1101" t="s">
        <v>35</v>
      </c>
      <c r="C1101" t="s">
        <v>59</v>
      </c>
      <c r="D1101" t="s">
        <v>39</v>
      </c>
      <c r="E1101" t="s">
        <v>22</v>
      </c>
      <c r="F1101" t="str">
        <f>IF(BBDD_fashion_boutique[[#This Row],[category]]="Accessories","Accesorio",IF(BBDD_fashion_boutique[[#This Row],[size]]="","Desconocido",BBDD_fashion_boutique[[#This Row],[size]]))</f>
        <v>XL</v>
      </c>
      <c r="G1101" t="s">
        <v>62</v>
      </c>
      <c r="H1101" s="2">
        <v>173.69</v>
      </c>
      <c r="I1101">
        <v>0</v>
      </c>
      <c r="J1101" s="5">
        <f>BBDD_fashion_boutique[[#This Row],[markdown_percentage]]/100</f>
        <v>0</v>
      </c>
      <c r="K1101" s="2">
        <v>173.69</v>
      </c>
      <c r="L1101" s="2">
        <f>BBDD_fashion_boutique[[#This Row],[original_price]]-BBDD_fashion_boutique[[#This Row],[current_price]]</f>
        <v>0</v>
      </c>
      <c r="M1101" s="1">
        <v>45875</v>
      </c>
      <c r="N1101" s="1" t="str">
        <f>PROPER(TEXT(BBDD_fashion_boutique[[#This Row],[purchase_date]],"dddd"))</f>
        <v>Miércoles</v>
      </c>
      <c r="O1101" s="1" t="str">
        <f>PROPER(TEXT(BBDD_fashion_boutique[[#This Row],[purchase_date]],"mmmm"))</f>
        <v>Agosto</v>
      </c>
      <c r="P1101" s="4">
        <v>25</v>
      </c>
      <c r="Q1101" s="2">
        <v>3.6</v>
      </c>
      <c r="R1101" t="str">
        <f>IF(BBDD_fashion_boutique[[#This Row],[stock_quantity]]&gt;9,"Ok",IF(BBDD_fashion_boutique[[#This Row],[stock_quantity]]=0,"Agotado","Pocas Unidades"))</f>
        <v>Ok</v>
      </c>
      <c r="S1101" s="3">
        <f>IF(BBDD_fashion_boutique[[#This Row],[customer_rating]]="","No valorado",BBDD_fashion_boutique[[#This Row],[customer_rating]])</f>
        <v>3.6</v>
      </c>
      <c r="T1101" t="s">
        <v>24</v>
      </c>
      <c r="V1101">
        <f>IF(BBDD_fashion_boutique[[#This Row],[is_returned]]="False",0,1)</f>
        <v>0</v>
      </c>
      <c r="W1101">
        <f>IF(BBDD_fashion_boutique[[#This Row],[is_returned]]="True",0,BBDD_fashion_boutique[[#This Row],[current_price]])</f>
        <v>173.69</v>
      </c>
      <c r="X1101" t="str">
        <f>IF(BBDD_fashion_boutique[[#This Row],[return_reason]]="","No return",BBDD_fashion_boutique[[#This Row],[return_reason]])</f>
        <v>No return</v>
      </c>
      <c r="Y1101">
        <f>IF(IFERROR(VLOOKUP(BBDD_fashion_boutique[[#This Row],[product_id]],A1102:A3277,1,FALSE),0),1,0)</f>
        <v>0</v>
      </c>
    </row>
    <row r="1102" spans="1:25" x14ac:dyDescent="0.3">
      <c r="A1102" t="s">
        <v>1161</v>
      </c>
      <c r="B1102" t="s">
        <v>19</v>
      </c>
      <c r="C1102" t="s">
        <v>20</v>
      </c>
      <c r="D1102" t="s">
        <v>39</v>
      </c>
      <c r="E1102" t="s">
        <v>45</v>
      </c>
      <c r="F1102" t="str">
        <f>IF(BBDD_fashion_boutique[[#This Row],[category]]="Accessories","Accesorio",IF(BBDD_fashion_boutique[[#This Row],[size]]="","Desconocido",BBDD_fashion_boutique[[#This Row],[size]]))</f>
        <v>S</v>
      </c>
      <c r="G1102" t="s">
        <v>46</v>
      </c>
      <c r="H1102" s="2">
        <v>156.54</v>
      </c>
      <c r="I1102">
        <v>0</v>
      </c>
      <c r="J1102" s="5">
        <f>BBDD_fashion_boutique[[#This Row],[markdown_percentage]]/100</f>
        <v>0</v>
      </c>
      <c r="K1102" s="2">
        <v>156.54</v>
      </c>
      <c r="L1102" s="2">
        <f>BBDD_fashion_boutique[[#This Row],[original_price]]-BBDD_fashion_boutique[[#This Row],[current_price]]</f>
        <v>0</v>
      </c>
      <c r="M1102" s="1">
        <v>45875</v>
      </c>
      <c r="N1102" s="1" t="str">
        <f>PROPER(TEXT(BBDD_fashion_boutique[[#This Row],[purchase_date]],"dddd"))</f>
        <v>Miércoles</v>
      </c>
      <c r="O1102" s="1" t="str">
        <f>PROPER(TEXT(BBDD_fashion_boutique[[#This Row],[purchase_date]],"mmmm"))</f>
        <v>Agosto</v>
      </c>
      <c r="P1102" s="4">
        <v>23</v>
      </c>
      <c r="Q1102" s="2">
        <v>1.8</v>
      </c>
      <c r="R1102" t="str">
        <f>IF(BBDD_fashion_boutique[[#This Row],[stock_quantity]]&gt;9,"Ok",IF(BBDD_fashion_boutique[[#This Row],[stock_quantity]]=0,"Agotado","Pocas Unidades"))</f>
        <v>Ok</v>
      </c>
      <c r="S1102" s="3">
        <f>IF(BBDD_fashion_boutique[[#This Row],[customer_rating]]="","No valorado",BBDD_fashion_boutique[[#This Row],[customer_rating]])</f>
        <v>1.8</v>
      </c>
      <c r="T1102" t="s">
        <v>24</v>
      </c>
      <c r="V1102">
        <f>IF(BBDD_fashion_boutique[[#This Row],[is_returned]]="False",0,1)</f>
        <v>0</v>
      </c>
      <c r="W1102">
        <f>IF(BBDD_fashion_boutique[[#This Row],[is_returned]]="True",0,BBDD_fashion_boutique[[#This Row],[current_price]])</f>
        <v>156.54</v>
      </c>
      <c r="X1102" t="str">
        <f>IF(BBDD_fashion_boutique[[#This Row],[return_reason]]="","No return",BBDD_fashion_boutique[[#This Row],[return_reason]])</f>
        <v>No return</v>
      </c>
      <c r="Y1102">
        <f>IF(IFERROR(VLOOKUP(BBDD_fashion_boutique[[#This Row],[product_id]],A1103:A3278,1,FALSE),0),1,0)</f>
        <v>0</v>
      </c>
    </row>
    <row r="1103" spans="1:25" x14ac:dyDescent="0.3">
      <c r="A1103" t="s">
        <v>1162</v>
      </c>
      <c r="B1103" t="s">
        <v>48</v>
      </c>
      <c r="C1103" t="s">
        <v>54</v>
      </c>
      <c r="D1103" t="s">
        <v>21</v>
      </c>
      <c r="E1103" t="s">
        <v>22</v>
      </c>
      <c r="F1103" t="str">
        <f>IF(BBDD_fashion_boutique[[#This Row],[category]]="Accessories","Accesorio",IF(BBDD_fashion_boutique[[#This Row],[size]]="","Desconocido",BBDD_fashion_boutique[[#This Row],[size]]))</f>
        <v>XL</v>
      </c>
      <c r="G1103" t="s">
        <v>76</v>
      </c>
      <c r="H1103" s="2">
        <v>103.78</v>
      </c>
      <c r="I1103">
        <v>39</v>
      </c>
      <c r="J1103" s="5">
        <f>BBDD_fashion_boutique[[#This Row],[markdown_percentage]]/100</f>
        <v>0.39</v>
      </c>
      <c r="K1103" s="2">
        <v>63.31</v>
      </c>
      <c r="L1103" s="2">
        <f>BBDD_fashion_boutique[[#This Row],[original_price]]-BBDD_fashion_boutique[[#This Row],[current_price]]</f>
        <v>40.47</v>
      </c>
      <c r="M1103" s="1">
        <v>45577</v>
      </c>
      <c r="N1103" s="1" t="str">
        <f>PROPER(TEXT(BBDD_fashion_boutique[[#This Row],[purchase_date]],"dddd"))</f>
        <v>Sábado</v>
      </c>
      <c r="O1103" s="1" t="str">
        <f>PROPER(TEXT(BBDD_fashion_boutique[[#This Row],[purchase_date]],"mmmm"))</f>
        <v>Octubre</v>
      </c>
      <c r="P1103" s="4">
        <v>5</v>
      </c>
      <c r="R1103" t="str">
        <f>IF(BBDD_fashion_boutique[[#This Row],[stock_quantity]]&gt;9,"Ok",IF(BBDD_fashion_boutique[[#This Row],[stock_quantity]]=0,"Agotado","Pocas Unidades"))</f>
        <v>Pocas Unidades</v>
      </c>
      <c r="S1103" s="3" t="str">
        <f>IF(BBDD_fashion_boutique[[#This Row],[customer_rating]]="","No valorado",BBDD_fashion_boutique[[#This Row],[customer_rating]])</f>
        <v>No valorado</v>
      </c>
      <c r="T1103" t="s">
        <v>24</v>
      </c>
      <c r="V1103">
        <f>IF(BBDD_fashion_boutique[[#This Row],[is_returned]]="False",0,1)</f>
        <v>0</v>
      </c>
      <c r="W1103">
        <f>IF(BBDD_fashion_boutique[[#This Row],[is_returned]]="True",0,BBDD_fashion_boutique[[#This Row],[current_price]])</f>
        <v>63.31</v>
      </c>
      <c r="X1103" t="str">
        <f>IF(BBDD_fashion_boutique[[#This Row],[return_reason]]="","No return",BBDD_fashion_boutique[[#This Row],[return_reason]])</f>
        <v>No return</v>
      </c>
      <c r="Y1103">
        <f>IF(IFERROR(VLOOKUP(BBDD_fashion_boutique[[#This Row],[product_id]],A1104:A3279,1,FALSE),0),1,0)</f>
        <v>0</v>
      </c>
    </row>
    <row r="1104" spans="1:25" x14ac:dyDescent="0.3">
      <c r="A1104" t="s">
        <v>1163</v>
      </c>
      <c r="B1104" t="s">
        <v>32</v>
      </c>
      <c r="C1104" t="s">
        <v>67</v>
      </c>
      <c r="D1104" t="s">
        <v>39</v>
      </c>
      <c r="F1104" t="str">
        <f>IF(BBDD_fashion_boutique[[#This Row],[category]]="Accessories","Accesorio",IF(BBDD_fashion_boutique[[#This Row],[size]]="","Desconocido",BBDD_fashion_boutique[[#This Row],[size]]))</f>
        <v>Accesorio</v>
      </c>
      <c r="G1104" t="s">
        <v>33</v>
      </c>
      <c r="H1104" s="2">
        <v>79.599999999999994</v>
      </c>
      <c r="I1104">
        <v>0</v>
      </c>
      <c r="J1104" s="5">
        <f>BBDD_fashion_boutique[[#This Row],[markdown_percentage]]/100</f>
        <v>0</v>
      </c>
      <c r="K1104" s="2">
        <v>79.599999999999994</v>
      </c>
      <c r="L1104" s="2">
        <f>BBDD_fashion_boutique[[#This Row],[original_price]]-BBDD_fashion_boutique[[#This Row],[current_price]]</f>
        <v>0</v>
      </c>
      <c r="M1104" s="1">
        <v>45875</v>
      </c>
      <c r="N1104" s="1" t="str">
        <f>PROPER(TEXT(BBDD_fashion_boutique[[#This Row],[purchase_date]],"dddd"))</f>
        <v>Miércoles</v>
      </c>
      <c r="O1104" s="1" t="str">
        <f>PROPER(TEXT(BBDD_fashion_boutique[[#This Row],[purchase_date]],"mmmm"))</f>
        <v>Agosto</v>
      </c>
      <c r="P1104" s="4">
        <v>22</v>
      </c>
      <c r="R1104" t="str">
        <f>IF(BBDD_fashion_boutique[[#This Row],[stock_quantity]]&gt;9,"Ok",IF(BBDD_fashion_boutique[[#This Row],[stock_quantity]]=0,"Agotado","Pocas Unidades"))</f>
        <v>Ok</v>
      </c>
      <c r="S1104" s="3" t="str">
        <f>IF(BBDD_fashion_boutique[[#This Row],[customer_rating]]="","No valorado",BBDD_fashion_boutique[[#This Row],[customer_rating]])</f>
        <v>No valorado</v>
      </c>
      <c r="T1104" t="s">
        <v>24</v>
      </c>
      <c r="V1104">
        <f>IF(BBDD_fashion_boutique[[#This Row],[is_returned]]="False",0,1)</f>
        <v>0</v>
      </c>
      <c r="W1104">
        <f>IF(BBDD_fashion_boutique[[#This Row],[is_returned]]="True",0,BBDD_fashion_boutique[[#This Row],[current_price]])</f>
        <v>79.599999999999994</v>
      </c>
      <c r="X1104" t="str">
        <f>IF(BBDD_fashion_boutique[[#This Row],[return_reason]]="","No return",BBDD_fashion_boutique[[#This Row],[return_reason]])</f>
        <v>No return</v>
      </c>
      <c r="Y1104">
        <f>IF(IFERROR(VLOOKUP(BBDD_fashion_boutique[[#This Row],[product_id]],A1105:A3280,1,FALSE),0),1,0)</f>
        <v>0</v>
      </c>
    </row>
    <row r="1105" spans="1:25" x14ac:dyDescent="0.3">
      <c r="A1105" t="s">
        <v>1164</v>
      </c>
      <c r="B1105" t="s">
        <v>32</v>
      </c>
      <c r="C1105" t="s">
        <v>59</v>
      </c>
      <c r="D1105" t="s">
        <v>39</v>
      </c>
      <c r="F1105" t="str">
        <f>IF(BBDD_fashion_boutique[[#This Row],[category]]="Accessories","Accesorio",IF(BBDD_fashion_boutique[[#This Row],[size]]="","Desconocido",BBDD_fashion_boutique[[#This Row],[size]]))</f>
        <v>Accesorio</v>
      </c>
      <c r="G1105" t="s">
        <v>62</v>
      </c>
      <c r="H1105" s="2">
        <v>34.18</v>
      </c>
      <c r="I1105">
        <v>18.899999999999999</v>
      </c>
      <c r="J1105" s="5">
        <f>BBDD_fashion_boutique[[#This Row],[markdown_percentage]]/100</f>
        <v>0.18899999999999997</v>
      </c>
      <c r="K1105" s="2">
        <v>27.72</v>
      </c>
      <c r="L1105" s="2">
        <f>BBDD_fashion_boutique[[#This Row],[original_price]]-BBDD_fashion_boutique[[#This Row],[current_price]]</f>
        <v>6.4600000000000009</v>
      </c>
      <c r="M1105" s="1">
        <v>45875</v>
      </c>
      <c r="N1105" s="1" t="str">
        <f>PROPER(TEXT(BBDD_fashion_boutique[[#This Row],[purchase_date]],"dddd"))</f>
        <v>Miércoles</v>
      </c>
      <c r="O1105" s="1" t="str">
        <f>PROPER(TEXT(BBDD_fashion_boutique[[#This Row],[purchase_date]],"mmmm"))</f>
        <v>Agosto</v>
      </c>
      <c r="P1105" s="4">
        <v>50</v>
      </c>
      <c r="Q1105" s="2">
        <v>3.6</v>
      </c>
      <c r="R1105" t="str">
        <f>IF(BBDD_fashion_boutique[[#This Row],[stock_quantity]]&gt;9,"Ok",IF(BBDD_fashion_boutique[[#This Row],[stock_quantity]]=0,"Agotado","Pocas Unidades"))</f>
        <v>Ok</v>
      </c>
      <c r="S1105" s="3">
        <f>IF(BBDD_fashion_boutique[[#This Row],[customer_rating]]="","No valorado",BBDD_fashion_boutique[[#This Row],[customer_rating]])</f>
        <v>3.6</v>
      </c>
      <c r="T1105" t="s">
        <v>24</v>
      </c>
      <c r="V1105">
        <f>IF(BBDD_fashion_boutique[[#This Row],[is_returned]]="False",0,1)</f>
        <v>0</v>
      </c>
      <c r="W1105">
        <f>IF(BBDD_fashion_boutique[[#This Row],[is_returned]]="True",0,BBDD_fashion_boutique[[#This Row],[current_price]])</f>
        <v>27.72</v>
      </c>
      <c r="X1105" t="str">
        <f>IF(BBDD_fashion_boutique[[#This Row],[return_reason]]="","No return",BBDD_fashion_boutique[[#This Row],[return_reason]])</f>
        <v>No return</v>
      </c>
      <c r="Y1105">
        <f>IF(IFERROR(VLOOKUP(BBDD_fashion_boutique[[#This Row],[product_id]],A1106:A3281,1,FALSE),0),1,0)</f>
        <v>0</v>
      </c>
    </row>
    <row r="1106" spans="1:25" x14ac:dyDescent="0.3">
      <c r="A1106" t="s">
        <v>1165</v>
      </c>
      <c r="B1106" t="s">
        <v>44</v>
      </c>
      <c r="C1106" t="s">
        <v>67</v>
      </c>
      <c r="D1106" t="s">
        <v>28</v>
      </c>
      <c r="E1106" t="s">
        <v>55</v>
      </c>
      <c r="F1106" t="str">
        <f>IF(BBDD_fashion_boutique[[#This Row],[category]]="Accessories","Accesorio",IF(BBDD_fashion_boutique[[#This Row],[size]]="","Desconocido",BBDD_fashion_boutique[[#This Row],[size]]))</f>
        <v>XXL</v>
      </c>
      <c r="G1106" t="s">
        <v>50</v>
      </c>
      <c r="H1106" s="2">
        <v>58.44</v>
      </c>
      <c r="I1106">
        <v>0</v>
      </c>
      <c r="J1106" s="5">
        <f>BBDD_fashion_boutique[[#This Row],[markdown_percentage]]/100</f>
        <v>0</v>
      </c>
      <c r="K1106" s="2">
        <v>58.44</v>
      </c>
      <c r="L1106" s="2">
        <f>BBDD_fashion_boutique[[#This Row],[original_price]]-BBDD_fashion_boutique[[#This Row],[current_price]]</f>
        <v>0</v>
      </c>
      <c r="M1106" s="1">
        <v>45875</v>
      </c>
      <c r="N1106" s="1" t="str">
        <f>PROPER(TEXT(BBDD_fashion_boutique[[#This Row],[purchase_date]],"dddd"))</f>
        <v>Miércoles</v>
      </c>
      <c r="O1106" s="1" t="str">
        <f>PROPER(TEXT(BBDD_fashion_boutique[[#This Row],[purchase_date]],"mmmm"))</f>
        <v>Agosto</v>
      </c>
      <c r="P1106" s="4">
        <v>3</v>
      </c>
      <c r="Q1106" s="2">
        <v>2.6</v>
      </c>
      <c r="R1106" t="str">
        <f>IF(BBDD_fashion_boutique[[#This Row],[stock_quantity]]&gt;9,"Ok",IF(BBDD_fashion_boutique[[#This Row],[stock_quantity]]=0,"Agotado","Pocas Unidades"))</f>
        <v>Pocas Unidades</v>
      </c>
      <c r="S1106" s="3">
        <f>IF(BBDD_fashion_boutique[[#This Row],[customer_rating]]="","No valorado",BBDD_fashion_boutique[[#This Row],[customer_rating]])</f>
        <v>2.6</v>
      </c>
      <c r="T1106" t="s">
        <v>41</v>
      </c>
      <c r="U1106" t="s">
        <v>131</v>
      </c>
      <c r="V1106">
        <f>IF(BBDD_fashion_boutique[[#This Row],[is_returned]]="False",0,1)</f>
        <v>1</v>
      </c>
      <c r="W1106">
        <f>IF(BBDD_fashion_boutique[[#This Row],[is_returned]]="True",0,BBDD_fashion_boutique[[#This Row],[current_price]])</f>
        <v>0</v>
      </c>
      <c r="X1106" t="str">
        <f>IF(BBDD_fashion_boutique[[#This Row],[return_reason]]="","No return",BBDD_fashion_boutique[[#This Row],[return_reason]])</f>
        <v>Wrong Item</v>
      </c>
      <c r="Y1106">
        <f>IF(IFERROR(VLOOKUP(BBDD_fashion_boutique[[#This Row],[product_id]],A1107:A3282,1,FALSE),0),1,0)</f>
        <v>0</v>
      </c>
    </row>
    <row r="1107" spans="1:25" x14ac:dyDescent="0.3">
      <c r="A1107" t="s">
        <v>1166</v>
      </c>
      <c r="B1107" t="s">
        <v>32</v>
      </c>
      <c r="C1107" t="s">
        <v>20</v>
      </c>
      <c r="D1107" t="s">
        <v>68</v>
      </c>
      <c r="F1107" t="str">
        <f>IF(BBDD_fashion_boutique[[#This Row],[category]]="Accessories","Accesorio",IF(BBDD_fashion_boutique[[#This Row],[size]]="","Desconocido",BBDD_fashion_boutique[[#This Row],[size]]))</f>
        <v>Accesorio</v>
      </c>
      <c r="G1107" t="s">
        <v>70</v>
      </c>
      <c r="H1107" s="2">
        <v>30.62</v>
      </c>
      <c r="I1107">
        <v>0</v>
      </c>
      <c r="J1107" s="5">
        <f>BBDD_fashion_boutique[[#This Row],[markdown_percentage]]/100</f>
        <v>0</v>
      </c>
      <c r="K1107" s="2">
        <v>30.62</v>
      </c>
      <c r="L1107" s="2">
        <f>BBDD_fashion_boutique[[#This Row],[original_price]]-BBDD_fashion_boutique[[#This Row],[current_price]]</f>
        <v>0</v>
      </c>
      <c r="M1107" s="1">
        <v>45875</v>
      </c>
      <c r="N1107" s="1" t="str">
        <f>PROPER(TEXT(BBDD_fashion_boutique[[#This Row],[purchase_date]],"dddd"))</f>
        <v>Miércoles</v>
      </c>
      <c r="O1107" s="1" t="str">
        <f>PROPER(TEXT(BBDD_fashion_boutique[[#This Row],[purchase_date]],"mmmm"))</f>
        <v>Agosto</v>
      </c>
      <c r="P1107" s="4">
        <v>31</v>
      </c>
      <c r="Q1107" s="2">
        <v>3</v>
      </c>
      <c r="R1107" t="str">
        <f>IF(BBDD_fashion_boutique[[#This Row],[stock_quantity]]&gt;9,"Ok",IF(BBDD_fashion_boutique[[#This Row],[stock_quantity]]=0,"Agotado","Pocas Unidades"))</f>
        <v>Ok</v>
      </c>
      <c r="S1107" s="3">
        <f>IF(BBDD_fashion_boutique[[#This Row],[customer_rating]]="","No valorado",BBDD_fashion_boutique[[#This Row],[customer_rating]])</f>
        <v>3</v>
      </c>
      <c r="T1107" t="s">
        <v>41</v>
      </c>
      <c r="U1107" t="s">
        <v>84</v>
      </c>
      <c r="V1107">
        <f>IF(BBDD_fashion_boutique[[#This Row],[is_returned]]="False",0,1)</f>
        <v>1</v>
      </c>
      <c r="W1107">
        <f>IF(BBDD_fashion_boutique[[#This Row],[is_returned]]="True",0,BBDD_fashion_boutique[[#This Row],[current_price]])</f>
        <v>0</v>
      </c>
      <c r="X1107" t="str">
        <f>IF(BBDD_fashion_boutique[[#This Row],[return_reason]]="","No return",BBDD_fashion_boutique[[#This Row],[return_reason]])</f>
        <v>Damaged</v>
      </c>
      <c r="Y1107">
        <f>IF(IFERROR(VLOOKUP(BBDD_fashion_boutique[[#This Row],[product_id]],A1108:A3283,1,FALSE),0),1,0)</f>
        <v>0</v>
      </c>
    </row>
    <row r="1108" spans="1:25" x14ac:dyDescent="0.3">
      <c r="A1108" t="s">
        <v>1167</v>
      </c>
      <c r="B1108" t="s">
        <v>19</v>
      </c>
      <c r="C1108" t="s">
        <v>27</v>
      </c>
      <c r="D1108" t="s">
        <v>39</v>
      </c>
      <c r="E1108" t="s">
        <v>55</v>
      </c>
      <c r="F1108" t="str">
        <f>IF(BBDD_fashion_boutique[[#This Row],[category]]="Accessories","Accesorio",IF(BBDD_fashion_boutique[[#This Row],[size]]="","Desconocido",BBDD_fashion_boutique[[#This Row],[size]]))</f>
        <v>XXL</v>
      </c>
      <c r="G1108" t="s">
        <v>72</v>
      </c>
      <c r="H1108" s="2">
        <v>213.94</v>
      </c>
      <c r="I1108">
        <v>0</v>
      </c>
      <c r="J1108" s="5">
        <f>BBDD_fashion_boutique[[#This Row],[markdown_percentage]]/100</f>
        <v>0</v>
      </c>
      <c r="K1108" s="2">
        <v>213.94</v>
      </c>
      <c r="L1108" s="2">
        <f>BBDD_fashion_boutique[[#This Row],[original_price]]-BBDD_fashion_boutique[[#This Row],[current_price]]</f>
        <v>0</v>
      </c>
      <c r="M1108" s="1">
        <v>45875</v>
      </c>
      <c r="N1108" s="1" t="str">
        <f>PROPER(TEXT(BBDD_fashion_boutique[[#This Row],[purchase_date]],"dddd"))</f>
        <v>Miércoles</v>
      </c>
      <c r="O1108" s="1" t="str">
        <f>PROPER(TEXT(BBDD_fashion_boutique[[#This Row],[purchase_date]],"mmmm"))</f>
        <v>Agosto</v>
      </c>
      <c r="P1108" s="4">
        <v>16</v>
      </c>
      <c r="Q1108" s="2">
        <v>4.7</v>
      </c>
      <c r="R1108" t="str">
        <f>IF(BBDD_fashion_boutique[[#This Row],[stock_quantity]]&gt;9,"Ok",IF(BBDD_fashion_boutique[[#This Row],[stock_quantity]]=0,"Agotado","Pocas Unidades"))</f>
        <v>Ok</v>
      </c>
      <c r="S1108" s="3">
        <f>IF(BBDD_fashion_boutique[[#This Row],[customer_rating]]="","No valorado",BBDD_fashion_boutique[[#This Row],[customer_rating]])</f>
        <v>4.7</v>
      </c>
      <c r="T1108" t="s">
        <v>24</v>
      </c>
      <c r="V1108">
        <f>IF(BBDD_fashion_boutique[[#This Row],[is_returned]]="False",0,1)</f>
        <v>0</v>
      </c>
      <c r="W1108">
        <f>IF(BBDD_fashion_boutique[[#This Row],[is_returned]]="True",0,BBDD_fashion_boutique[[#This Row],[current_price]])</f>
        <v>213.94</v>
      </c>
      <c r="X1108" t="str">
        <f>IF(BBDD_fashion_boutique[[#This Row],[return_reason]]="","No return",BBDD_fashion_boutique[[#This Row],[return_reason]])</f>
        <v>No return</v>
      </c>
      <c r="Y1108">
        <f>IF(IFERROR(VLOOKUP(BBDD_fashion_boutique[[#This Row],[product_id]],A1109:A3284,1,FALSE),0),1,0)</f>
        <v>0</v>
      </c>
    </row>
    <row r="1109" spans="1:25" x14ac:dyDescent="0.3">
      <c r="A1109" t="s">
        <v>1168</v>
      </c>
      <c r="B1109" t="s">
        <v>44</v>
      </c>
      <c r="C1109" t="s">
        <v>81</v>
      </c>
      <c r="D1109" t="s">
        <v>39</v>
      </c>
      <c r="E1109" t="s">
        <v>22</v>
      </c>
      <c r="F1109" t="str">
        <f>IF(BBDD_fashion_boutique[[#This Row],[category]]="Accessories","Accesorio",IF(BBDD_fashion_boutique[[#This Row],[size]]="","Desconocido",BBDD_fashion_boutique[[#This Row],[size]]))</f>
        <v>XL</v>
      </c>
      <c r="G1109" t="s">
        <v>30</v>
      </c>
      <c r="H1109" s="2">
        <v>29.31</v>
      </c>
      <c r="I1109">
        <v>0</v>
      </c>
      <c r="J1109" s="5">
        <f>BBDD_fashion_boutique[[#This Row],[markdown_percentage]]/100</f>
        <v>0</v>
      </c>
      <c r="K1109" s="2">
        <v>29.31</v>
      </c>
      <c r="L1109" s="2">
        <f>BBDD_fashion_boutique[[#This Row],[original_price]]-BBDD_fashion_boutique[[#This Row],[current_price]]</f>
        <v>0</v>
      </c>
      <c r="M1109" s="1">
        <v>45875</v>
      </c>
      <c r="N1109" s="1" t="str">
        <f>PROPER(TEXT(BBDD_fashion_boutique[[#This Row],[purchase_date]],"dddd"))</f>
        <v>Miércoles</v>
      </c>
      <c r="O1109" s="1" t="str">
        <f>PROPER(TEXT(BBDD_fashion_boutique[[#This Row],[purchase_date]],"mmmm"))</f>
        <v>Agosto</v>
      </c>
      <c r="P1109" s="4">
        <v>25</v>
      </c>
      <c r="Q1109" s="2">
        <v>4.5999999999999996</v>
      </c>
      <c r="R1109" t="str">
        <f>IF(BBDD_fashion_boutique[[#This Row],[stock_quantity]]&gt;9,"Ok",IF(BBDD_fashion_boutique[[#This Row],[stock_quantity]]=0,"Agotado","Pocas Unidades"))</f>
        <v>Ok</v>
      </c>
      <c r="S1109" s="3">
        <f>IF(BBDD_fashion_boutique[[#This Row],[customer_rating]]="","No valorado",BBDD_fashion_boutique[[#This Row],[customer_rating]])</f>
        <v>4.5999999999999996</v>
      </c>
      <c r="T1109" t="s">
        <v>41</v>
      </c>
      <c r="U1109" t="s">
        <v>121</v>
      </c>
      <c r="V1109">
        <f>IF(BBDD_fashion_boutique[[#This Row],[is_returned]]="False",0,1)</f>
        <v>1</v>
      </c>
      <c r="W1109">
        <f>IF(BBDD_fashion_boutique[[#This Row],[is_returned]]="True",0,BBDD_fashion_boutique[[#This Row],[current_price]])</f>
        <v>0</v>
      </c>
      <c r="X1109" t="str">
        <f>IF(BBDD_fashion_boutique[[#This Row],[return_reason]]="","No return",BBDD_fashion_boutique[[#This Row],[return_reason]])</f>
        <v>Changed Mind</v>
      </c>
      <c r="Y1109">
        <f>IF(IFERROR(VLOOKUP(BBDD_fashion_boutique[[#This Row],[product_id]],A1110:A3285,1,FALSE),0),1,0)</f>
        <v>0</v>
      </c>
    </row>
    <row r="1110" spans="1:25" x14ac:dyDescent="0.3">
      <c r="A1110" t="s">
        <v>1169</v>
      </c>
      <c r="B1110" t="s">
        <v>26</v>
      </c>
      <c r="C1110" t="s">
        <v>81</v>
      </c>
      <c r="D1110" t="s">
        <v>21</v>
      </c>
      <c r="E1110" t="s">
        <v>64</v>
      </c>
      <c r="F1110" t="str">
        <f>IF(BBDD_fashion_boutique[[#This Row],[category]]="Accessories","Accesorio",IF(BBDD_fashion_boutique[[#This Row],[size]]="","Desconocido",BBDD_fashion_boutique[[#This Row],[size]]))</f>
        <v>M</v>
      </c>
      <c r="G1110" t="s">
        <v>23</v>
      </c>
      <c r="H1110" s="2">
        <v>49.12</v>
      </c>
      <c r="I1110">
        <v>0</v>
      </c>
      <c r="J1110" s="5">
        <f>BBDD_fashion_boutique[[#This Row],[markdown_percentage]]/100</f>
        <v>0</v>
      </c>
      <c r="K1110" s="2">
        <v>49.12</v>
      </c>
      <c r="L1110" s="2">
        <f>BBDD_fashion_boutique[[#This Row],[original_price]]-BBDD_fashion_boutique[[#This Row],[current_price]]</f>
        <v>0</v>
      </c>
      <c r="M1110" s="1">
        <v>45836</v>
      </c>
      <c r="N1110" s="1" t="str">
        <f>PROPER(TEXT(BBDD_fashion_boutique[[#This Row],[purchase_date]],"dddd"))</f>
        <v>Sábado</v>
      </c>
      <c r="O1110" s="1" t="str">
        <f>PROPER(TEXT(BBDD_fashion_boutique[[#This Row],[purchase_date]],"mmmm"))</f>
        <v>Junio</v>
      </c>
      <c r="P1110" s="4">
        <v>47</v>
      </c>
      <c r="R1110" t="str">
        <f>IF(BBDD_fashion_boutique[[#This Row],[stock_quantity]]&gt;9,"Ok",IF(BBDD_fashion_boutique[[#This Row],[stock_quantity]]=0,"Agotado","Pocas Unidades"))</f>
        <v>Ok</v>
      </c>
      <c r="S1110" s="3" t="str">
        <f>IF(BBDD_fashion_boutique[[#This Row],[customer_rating]]="","No valorado",BBDD_fashion_boutique[[#This Row],[customer_rating]])</f>
        <v>No valorado</v>
      </c>
      <c r="T1110" t="s">
        <v>24</v>
      </c>
      <c r="V1110">
        <f>IF(BBDD_fashion_boutique[[#This Row],[is_returned]]="False",0,1)</f>
        <v>0</v>
      </c>
      <c r="W1110">
        <f>IF(BBDD_fashion_boutique[[#This Row],[is_returned]]="True",0,BBDD_fashion_boutique[[#This Row],[current_price]])</f>
        <v>49.12</v>
      </c>
      <c r="X1110" t="str">
        <f>IF(BBDD_fashion_boutique[[#This Row],[return_reason]]="","No return",BBDD_fashion_boutique[[#This Row],[return_reason]])</f>
        <v>No return</v>
      </c>
      <c r="Y1110">
        <f>IF(IFERROR(VLOOKUP(BBDD_fashion_boutique[[#This Row],[product_id]],A1111:A3286,1,FALSE),0),1,0)</f>
        <v>0</v>
      </c>
    </row>
    <row r="1111" spans="1:25" x14ac:dyDescent="0.3">
      <c r="A1111" t="s">
        <v>1170</v>
      </c>
      <c r="B1111" t="s">
        <v>44</v>
      </c>
      <c r="C1111" t="s">
        <v>37</v>
      </c>
      <c r="D1111" t="s">
        <v>39</v>
      </c>
      <c r="F1111" t="str">
        <f>IF(BBDD_fashion_boutique[[#This Row],[category]]="Accessories","Accesorio",IF(BBDD_fashion_boutique[[#This Row],[size]]="","Desconocido",BBDD_fashion_boutique[[#This Row],[size]]))</f>
        <v>Desconocido</v>
      </c>
      <c r="G1111" t="s">
        <v>72</v>
      </c>
      <c r="H1111" s="2">
        <v>113.23</v>
      </c>
      <c r="I1111">
        <v>0</v>
      </c>
      <c r="J1111" s="5">
        <f>BBDD_fashion_boutique[[#This Row],[markdown_percentage]]/100</f>
        <v>0</v>
      </c>
      <c r="K1111" s="2">
        <v>113.23</v>
      </c>
      <c r="L1111" s="2">
        <f>BBDD_fashion_boutique[[#This Row],[original_price]]-BBDD_fashion_boutique[[#This Row],[current_price]]</f>
        <v>0</v>
      </c>
      <c r="M1111" s="1">
        <v>45875</v>
      </c>
      <c r="N1111" s="1" t="str">
        <f>PROPER(TEXT(BBDD_fashion_boutique[[#This Row],[purchase_date]],"dddd"))</f>
        <v>Miércoles</v>
      </c>
      <c r="O1111" s="1" t="str">
        <f>PROPER(TEXT(BBDD_fashion_boutique[[#This Row],[purchase_date]],"mmmm"))</f>
        <v>Agosto</v>
      </c>
      <c r="P1111" s="4">
        <v>13</v>
      </c>
      <c r="Q1111" s="2">
        <v>3.7</v>
      </c>
      <c r="R1111" t="str">
        <f>IF(BBDD_fashion_boutique[[#This Row],[stock_quantity]]&gt;9,"Ok",IF(BBDD_fashion_boutique[[#This Row],[stock_quantity]]=0,"Agotado","Pocas Unidades"))</f>
        <v>Ok</v>
      </c>
      <c r="S1111" s="3">
        <f>IF(BBDD_fashion_boutique[[#This Row],[customer_rating]]="","No valorado",BBDD_fashion_boutique[[#This Row],[customer_rating]])</f>
        <v>3.7</v>
      </c>
      <c r="T1111" t="s">
        <v>24</v>
      </c>
      <c r="V1111">
        <f>IF(BBDD_fashion_boutique[[#This Row],[is_returned]]="False",0,1)</f>
        <v>0</v>
      </c>
      <c r="W1111">
        <f>IF(BBDD_fashion_boutique[[#This Row],[is_returned]]="True",0,BBDD_fashion_boutique[[#This Row],[current_price]])</f>
        <v>113.23</v>
      </c>
      <c r="X1111" t="str">
        <f>IF(BBDD_fashion_boutique[[#This Row],[return_reason]]="","No return",BBDD_fashion_boutique[[#This Row],[return_reason]])</f>
        <v>No return</v>
      </c>
      <c r="Y1111">
        <f>IF(IFERROR(VLOOKUP(BBDD_fashion_boutique[[#This Row],[product_id]],A1112:A3287,1,FALSE),0),1,0)</f>
        <v>0</v>
      </c>
    </row>
    <row r="1112" spans="1:25" x14ac:dyDescent="0.3">
      <c r="A1112" t="s">
        <v>1171</v>
      </c>
      <c r="B1112" t="s">
        <v>19</v>
      </c>
      <c r="C1112" t="s">
        <v>37</v>
      </c>
      <c r="D1112" t="s">
        <v>21</v>
      </c>
      <c r="E1112" t="s">
        <v>55</v>
      </c>
      <c r="F1112" t="str">
        <f>IF(BBDD_fashion_boutique[[#This Row],[category]]="Accessories","Accesorio",IF(BBDD_fashion_boutique[[#This Row],[size]]="","Desconocido",BBDD_fashion_boutique[[#This Row],[size]]))</f>
        <v>XXL</v>
      </c>
      <c r="G1112" t="s">
        <v>76</v>
      </c>
      <c r="H1112" s="2">
        <v>103.65</v>
      </c>
      <c r="I1112">
        <v>0</v>
      </c>
      <c r="J1112" s="5">
        <f>BBDD_fashion_boutique[[#This Row],[markdown_percentage]]/100</f>
        <v>0</v>
      </c>
      <c r="K1112" s="2">
        <v>103.65</v>
      </c>
      <c r="L1112" s="2">
        <f>BBDD_fashion_boutique[[#This Row],[original_price]]-BBDD_fashion_boutique[[#This Row],[current_price]]</f>
        <v>0</v>
      </c>
      <c r="M1112" s="1">
        <v>45612</v>
      </c>
      <c r="N1112" s="1" t="str">
        <f>PROPER(TEXT(BBDD_fashion_boutique[[#This Row],[purchase_date]],"dddd"))</f>
        <v>Sábado</v>
      </c>
      <c r="O1112" s="1" t="str">
        <f>PROPER(TEXT(BBDD_fashion_boutique[[#This Row],[purchase_date]],"mmmm"))</f>
        <v>Noviembre</v>
      </c>
      <c r="P1112" s="4">
        <v>4</v>
      </c>
      <c r="Q1112" s="2">
        <v>1</v>
      </c>
      <c r="R1112" t="str">
        <f>IF(BBDD_fashion_boutique[[#This Row],[stock_quantity]]&gt;9,"Ok",IF(BBDD_fashion_boutique[[#This Row],[stock_quantity]]=0,"Agotado","Pocas Unidades"))</f>
        <v>Pocas Unidades</v>
      </c>
      <c r="S1112" s="3">
        <f>IF(BBDD_fashion_boutique[[#This Row],[customer_rating]]="","No valorado",BBDD_fashion_boutique[[#This Row],[customer_rating]])</f>
        <v>1</v>
      </c>
      <c r="T1112" t="s">
        <v>24</v>
      </c>
      <c r="V1112">
        <f>IF(BBDD_fashion_boutique[[#This Row],[is_returned]]="False",0,1)</f>
        <v>0</v>
      </c>
      <c r="W1112">
        <f>IF(BBDD_fashion_boutique[[#This Row],[is_returned]]="True",0,BBDD_fashion_boutique[[#This Row],[current_price]])</f>
        <v>103.65</v>
      </c>
      <c r="X1112" t="str">
        <f>IF(BBDD_fashion_boutique[[#This Row],[return_reason]]="","No return",BBDD_fashion_boutique[[#This Row],[return_reason]])</f>
        <v>No return</v>
      </c>
      <c r="Y1112">
        <f>IF(IFERROR(VLOOKUP(BBDD_fashion_boutique[[#This Row],[product_id]],A1113:A3288,1,FALSE),0),1,0)</f>
        <v>0</v>
      </c>
    </row>
    <row r="1113" spans="1:25" x14ac:dyDescent="0.3">
      <c r="A1113" t="s">
        <v>1172</v>
      </c>
      <c r="B1113" t="s">
        <v>48</v>
      </c>
      <c r="C1113" t="s">
        <v>59</v>
      </c>
      <c r="D1113" t="s">
        <v>39</v>
      </c>
      <c r="F1113" t="str">
        <f>IF(BBDD_fashion_boutique[[#This Row],[category]]="Accessories","Accesorio",IF(BBDD_fashion_boutique[[#This Row],[size]]="","Desconocido",BBDD_fashion_boutique[[#This Row],[size]]))</f>
        <v>Desconocido</v>
      </c>
      <c r="G1113" t="s">
        <v>46</v>
      </c>
      <c r="H1113" s="2">
        <v>71.84</v>
      </c>
      <c r="I1113">
        <v>49.4</v>
      </c>
      <c r="J1113" s="5">
        <f>BBDD_fashion_boutique[[#This Row],[markdown_percentage]]/100</f>
        <v>0.49399999999999999</v>
      </c>
      <c r="K1113" s="2">
        <v>36.35</v>
      </c>
      <c r="L1113" s="2">
        <f>BBDD_fashion_boutique[[#This Row],[original_price]]-BBDD_fashion_boutique[[#This Row],[current_price]]</f>
        <v>35.49</v>
      </c>
      <c r="M1113" s="1">
        <v>45875</v>
      </c>
      <c r="N1113" s="1" t="str">
        <f>PROPER(TEXT(BBDD_fashion_boutique[[#This Row],[purchase_date]],"dddd"))</f>
        <v>Miércoles</v>
      </c>
      <c r="O1113" s="1" t="str">
        <f>PROPER(TEXT(BBDD_fashion_boutique[[#This Row],[purchase_date]],"mmmm"))</f>
        <v>Agosto</v>
      </c>
      <c r="P1113" s="4">
        <v>25</v>
      </c>
      <c r="R1113" t="str">
        <f>IF(BBDD_fashion_boutique[[#This Row],[stock_quantity]]&gt;9,"Ok",IF(BBDD_fashion_boutique[[#This Row],[stock_quantity]]=0,"Agotado","Pocas Unidades"))</f>
        <v>Ok</v>
      </c>
      <c r="S1113" s="3" t="str">
        <f>IF(BBDD_fashion_boutique[[#This Row],[customer_rating]]="","No valorado",BBDD_fashion_boutique[[#This Row],[customer_rating]])</f>
        <v>No valorado</v>
      </c>
      <c r="T1113" t="s">
        <v>24</v>
      </c>
      <c r="V1113">
        <f>IF(BBDD_fashion_boutique[[#This Row],[is_returned]]="False",0,1)</f>
        <v>0</v>
      </c>
      <c r="W1113">
        <f>IF(BBDD_fashion_boutique[[#This Row],[is_returned]]="True",0,BBDD_fashion_boutique[[#This Row],[current_price]])</f>
        <v>36.35</v>
      </c>
      <c r="X1113" t="str">
        <f>IF(BBDD_fashion_boutique[[#This Row],[return_reason]]="","No return",BBDD_fashion_boutique[[#This Row],[return_reason]])</f>
        <v>No return</v>
      </c>
      <c r="Y1113">
        <f>IF(IFERROR(VLOOKUP(BBDD_fashion_boutique[[#This Row],[product_id]],A1114:A3289,1,FALSE),0),1,0)</f>
        <v>0</v>
      </c>
    </row>
    <row r="1114" spans="1:25" x14ac:dyDescent="0.3">
      <c r="A1114" t="s">
        <v>1173</v>
      </c>
      <c r="B1114" t="s">
        <v>35</v>
      </c>
      <c r="C1114" t="s">
        <v>20</v>
      </c>
      <c r="D1114" t="s">
        <v>28</v>
      </c>
      <c r="E1114" t="s">
        <v>29</v>
      </c>
      <c r="F1114" t="str">
        <f>IF(BBDD_fashion_boutique[[#This Row],[category]]="Accessories","Accesorio",IF(BBDD_fashion_boutique[[#This Row],[size]]="","Desconocido",BBDD_fashion_boutique[[#This Row],[size]]))</f>
        <v>L</v>
      </c>
      <c r="G1114" t="s">
        <v>46</v>
      </c>
      <c r="H1114" s="2">
        <v>128.31</v>
      </c>
      <c r="I1114">
        <v>0</v>
      </c>
      <c r="J1114" s="5">
        <f>BBDD_fashion_boutique[[#This Row],[markdown_percentage]]/100</f>
        <v>0</v>
      </c>
      <c r="K1114" s="2">
        <v>128.31</v>
      </c>
      <c r="L1114" s="2">
        <f>BBDD_fashion_boutique[[#This Row],[original_price]]-BBDD_fashion_boutique[[#This Row],[current_price]]</f>
        <v>0</v>
      </c>
      <c r="M1114" s="1">
        <v>45875</v>
      </c>
      <c r="N1114" s="1" t="str">
        <f>PROPER(TEXT(BBDD_fashion_boutique[[#This Row],[purchase_date]],"dddd"))</f>
        <v>Miércoles</v>
      </c>
      <c r="O1114" s="1" t="str">
        <f>PROPER(TEXT(BBDD_fashion_boutique[[#This Row],[purchase_date]],"mmmm"))</f>
        <v>Agosto</v>
      </c>
      <c r="P1114" s="4">
        <v>36</v>
      </c>
      <c r="Q1114" s="2">
        <v>4</v>
      </c>
      <c r="R1114" t="str">
        <f>IF(BBDD_fashion_boutique[[#This Row],[stock_quantity]]&gt;9,"Ok",IF(BBDD_fashion_boutique[[#This Row],[stock_quantity]]=0,"Agotado","Pocas Unidades"))</f>
        <v>Ok</v>
      </c>
      <c r="S1114" s="3">
        <f>IF(BBDD_fashion_boutique[[#This Row],[customer_rating]]="","No valorado",BBDD_fashion_boutique[[#This Row],[customer_rating]])</f>
        <v>4</v>
      </c>
      <c r="T1114" t="s">
        <v>41</v>
      </c>
      <c r="U1114" t="s">
        <v>121</v>
      </c>
      <c r="V1114">
        <f>IF(BBDD_fashion_boutique[[#This Row],[is_returned]]="False",0,1)</f>
        <v>1</v>
      </c>
      <c r="W1114">
        <f>IF(BBDD_fashion_boutique[[#This Row],[is_returned]]="True",0,BBDD_fashion_boutique[[#This Row],[current_price]])</f>
        <v>0</v>
      </c>
      <c r="X1114" t="str">
        <f>IF(BBDD_fashion_boutique[[#This Row],[return_reason]]="","No return",BBDD_fashion_boutique[[#This Row],[return_reason]])</f>
        <v>Changed Mind</v>
      </c>
      <c r="Y1114">
        <f>IF(IFERROR(VLOOKUP(BBDD_fashion_boutique[[#This Row],[product_id]],A1115:A3290,1,FALSE),0),1,0)</f>
        <v>0</v>
      </c>
    </row>
    <row r="1115" spans="1:25" x14ac:dyDescent="0.3">
      <c r="A1115" t="s">
        <v>1174</v>
      </c>
      <c r="B1115" t="s">
        <v>35</v>
      </c>
      <c r="C1115" t="s">
        <v>81</v>
      </c>
      <c r="D1115" t="s">
        <v>28</v>
      </c>
      <c r="E1115" t="s">
        <v>29</v>
      </c>
      <c r="F1115" t="str">
        <f>IF(BBDD_fashion_boutique[[#This Row],[category]]="Accessories","Accesorio",IF(BBDD_fashion_boutique[[#This Row],[size]]="","Desconocido",BBDD_fashion_boutique[[#This Row],[size]]))</f>
        <v>L</v>
      </c>
      <c r="G1115" t="s">
        <v>50</v>
      </c>
      <c r="H1115" s="2">
        <v>118.97</v>
      </c>
      <c r="I1115">
        <v>0</v>
      </c>
      <c r="J1115" s="5">
        <f>BBDD_fashion_boutique[[#This Row],[markdown_percentage]]/100</f>
        <v>0</v>
      </c>
      <c r="K1115" s="2">
        <v>118.97</v>
      </c>
      <c r="L1115" s="2">
        <f>BBDD_fashion_boutique[[#This Row],[original_price]]-BBDD_fashion_boutique[[#This Row],[current_price]]</f>
        <v>0</v>
      </c>
      <c r="M1115" s="1">
        <v>45875</v>
      </c>
      <c r="N1115" s="1" t="str">
        <f>PROPER(TEXT(BBDD_fashion_boutique[[#This Row],[purchase_date]],"dddd"))</f>
        <v>Miércoles</v>
      </c>
      <c r="O1115" s="1" t="str">
        <f>PROPER(TEXT(BBDD_fashion_boutique[[#This Row],[purchase_date]],"mmmm"))</f>
        <v>Agosto</v>
      </c>
      <c r="P1115" s="4">
        <v>45</v>
      </c>
      <c r="Q1115" s="2">
        <v>3.8</v>
      </c>
      <c r="R1115" t="str">
        <f>IF(BBDD_fashion_boutique[[#This Row],[stock_quantity]]&gt;9,"Ok",IF(BBDD_fashion_boutique[[#This Row],[stock_quantity]]=0,"Agotado","Pocas Unidades"))</f>
        <v>Ok</v>
      </c>
      <c r="S1115" s="3">
        <f>IF(BBDD_fashion_boutique[[#This Row],[customer_rating]]="","No valorado",BBDD_fashion_boutique[[#This Row],[customer_rating]])</f>
        <v>3.8</v>
      </c>
      <c r="T1115" t="s">
        <v>24</v>
      </c>
      <c r="V1115">
        <f>IF(BBDD_fashion_boutique[[#This Row],[is_returned]]="False",0,1)</f>
        <v>0</v>
      </c>
      <c r="W1115">
        <f>IF(BBDD_fashion_boutique[[#This Row],[is_returned]]="True",0,BBDD_fashion_boutique[[#This Row],[current_price]])</f>
        <v>118.97</v>
      </c>
      <c r="X1115" t="str">
        <f>IF(BBDD_fashion_boutique[[#This Row],[return_reason]]="","No return",BBDD_fashion_boutique[[#This Row],[return_reason]])</f>
        <v>No return</v>
      </c>
      <c r="Y1115">
        <f>IF(IFERROR(VLOOKUP(BBDD_fashion_boutique[[#This Row],[product_id]],A1116:A3291,1,FALSE),0),1,0)</f>
        <v>0</v>
      </c>
    </row>
    <row r="1116" spans="1:25" x14ac:dyDescent="0.3">
      <c r="A1116" t="s">
        <v>1175</v>
      </c>
      <c r="B1116" t="s">
        <v>44</v>
      </c>
      <c r="C1116" t="s">
        <v>20</v>
      </c>
      <c r="D1116" t="s">
        <v>28</v>
      </c>
      <c r="E1116" t="s">
        <v>45</v>
      </c>
      <c r="F1116" t="str">
        <f>IF(BBDD_fashion_boutique[[#This Row],[category]]="Accessories","Accesorio",IF(BBDD_fashion_boutique[[#This Row],[size]]="","Desconocido",BBDD_fashion_boutique[[#This Row],[size]]))</f>
        <v>S</v>
      </c>
      <c r="G1116" t="s">
        <v>23</v>
      </c>
      <c r="H1116" s="2">
        <v>31.98</v>
      </c>
      <c r="I1116">
        <v>16.5</v>
      </c>
      <c r="J1116" s="5">
        <f>BBDD_fashion_boutique[[#This Row],[markdown_percentage]]/100</f>
        <v>0.16500000000000001</v>
      </c>
      <c r="K1116" s="2">
        <v>26.7</v>
      </c>
      <c r="L1116" s="2">
        <f>BBDD_fashion_boutique[[#This Row],[original_price]]-BBDD_fashion_boutique[[#This Row],[current_price]]</f>
        <v>5.2800000000000011</v>
      </c>
      <c r="M1116" s="1">
        <v>45875</v>
      </c>
      <c r="N1116" s="1" t="str">
        <f>PROPER(TEXT(BBDD_fashion_boutique[[#This Row],[purchase_date]],"dddd"))</f>
        <v>Miércoles</v>
      </c>
      <c r="O1116" s="1" t="str">
        <f>PROPER(TEXT(BBDD_fashion_boutique[[#This Row],[purchase_date]],"mmmm"))</f>
        <v>Agosto</v>
      </c>
      <c r="P1116" s="4">
        <v>48</v>
      </c>
      <c r="Q1116" s="2">
        <v>1.8</v>
      </c>
      <c r="R1116" t="str">
        <f>IF(BBDD_fashion_boutique[[#This Row],[stock_quantity]]&gt;9,"Ok",IF(BBDD_fashion_boutique[[#This Row],[stock_quantity]]=0,"Agotado","Pocas Unidades"))</f>
        <v>Ok</v>
      </c>
      <c r="S1116" s="3">
        <f>IF(BBDD_fashion_boutique[[#This Row],[customer_rating]]="","No valorado",BBDD_fashion_boutique[[#This Row],[customer_rating]])</f>
        <v>1.8</v>
      </c>
      <c r="T1116" t="s">
        <v>24</v>
      </c>
      <c r="V1116">
        <f>IF(BBDD_fashion_boutique[[#This Row],[is_returned]]="False",0,1)</f>
        <v>0</v>
      </c>
      <c r="W1116">
        <f>IF(BBDD_fashion_boutique[[#This Row],[is_returned]]="True",0,BBDD_fashion_boutique[[#This Row],[current_price]])</f>
        <v>26.7</v>
      </c>
      <c r="X1116" t="str">
        <f>IF(BBDD_fashion_boutique[[#This Row],[return_reason]]="","No return",BBDD_fashion_boutique[[#This Row],[return_reason]])</f>
        <v>No return</v>
      </c>
      <c r="Y1116">
        <f>IF(IFERROR(VLOOKUP(BBDD_fashion_boutique[[#This Row],[product_id]],A1117:A3292,1,FALSE),0),1,0)</f>
        <v>0</v>
      </c>
    </row>
    <row r="1117" spans="1:25" x14ac:dyDescent="0.3">
      <c r="A1117" t="s">
        <v>1176</v>
      </c>
      <c r="B1117" t="s">
        <v>26</v>
      </c>
      <c r="C1117" t="s">
        <v>37</v>
      </c>
      <c r="D1117" t="s">
        <v>28</v>
      </c>
      <c r="E1117" t="s">
        <v>55</v>
      </c>
      <c r="F1117" t="str">
        <f>IF(BBDD_fashion_boutique[[#This Row],[category]]="Accessories","Accesorio",IF(BBDD_fashion_boutique[[#This Row],[size]]="","Desconocido",BBDD_fashion_boutique[[#This Row],[size]]))</f>
        <v>XXL</v>
      </c>
      <c r="G1117" t="s">
        <v>72</v>
      </c>
      <c r="H1117" s="2">
        <v>115.89</v>
      </c>
      <c r="I1117">
        <v>26.8</v>
      </c>
      <c r="J1117" s="5">
        <f>BBDD_fashion_boutique[[#This Row],[markdown_percentage]]/100</f>
        <v>0.26800000000000002</v>
      </c>
      <c r="K1117" s="2">
        <v>84.83</v>
      </c>
      <c r="L1117" s="2">
        <f>BBDD_fashion_boutique[[#This Row],[original_price]]-BBDD_fashion_boutique[[#This Row],[current_price]]</f>
        <v>31.060000000000002</v>
      </c>
      <c r="M1117" s="1">
        <v>45875</v>
      </c>
      <c r="N1117" s="1" t="str">
        <f>PROPER(TEXT(BBDD_fashion_boutique[[#This Row],[purchase_date]],"dddd"))</f>
        <v>Miércoles</v>
      </c>
      <c r="O1117" s="1" t="str">
        <f>PROPER(TEXT(BBDD_fashion_boutique[[#This Row],[purchase_date]],"mmmm"))</f>
        <v>Agosto</v>
      </c>
      <c r="P1117" s="4">
        <v>26</v>
      </c>
      <c r="Q1117" s="2">
        <v>4.5999999999999996</v>
      </c>
      <c r="R1117" t="str">
        <f>IF(BBDD_fashion_boutique[[#This Row],[stock_quantity]]&gt;9,"Ok",IF(BBDD_fashion_boutique[[#This Row],[stock_quantity]]=0,"Agotado","Pocas Unidades"))</f>
        <v>Ok</v>
      </c>
      <c r="S1117" s="3">
        <f>IF(BBDD_fashion_boutique[[#This Row],[customer_rating]]="","No valorado",BBDD_fashion_boutique[[#This Row],[customer_rating]])</f>
        <v>4.5999999999999996</v>
      </c>
      <c r="T1117" t="s">
        <v>24</v>
      </c>
      <c r="V1117">
        <f>IF(BBDD_fashion_boutique[[#This Row],[is_returned]]="False",0,1)</f>
        <v>0</v>
      </c>
      <c r="W1117">
        <f>IF(BBDD_fashion_boutique[[#This Row],[is_returned]]="True",0,BBDD_fashion_boutique[[#This Row],[current_price]])</f>
        <v>84.83</v>
      </c>
      <c r="X1117" t="str">
        <f>IF(BBDD_fashion_boutique[[#This Row],[return_reason]]="","No return",BBDD_fashion_boutique[[#This Row],[return_reason]])</f>
        <v>No return</v>
      </c>
      <c r="Y1117">
        <f>IF(IFERROR(VLOOKUP(BBDD_fashion_boutique[[#This Row],[product_id]],A1118:A3293,1,FALSE),0),1,0)</f>
        <v>0</v>
      </c>
    </row>
    <row r="1118" spans="1:25" x14ac:dyDescent="0.3">
      <c r="A1118" t="s">
        <v>1177</v>
      </c>
      <c r="B1118" t="s">
        <v>48</v>
      </c>
      <c r="C1118" t="s">
        <v>59</v>
      </c>
      <c r="D1118" t="s">
        <v>39</v>
      </c>
      <c r="E1118" t="s">
        <v>22</v>
      </c>
      <c r="F1118" t="str">
        <f>IF(BBDD_fashion_boutique[[#This Row],[category]]="Accessories","Accesorio",IF(BBDD_fashion_boutique[[#This Row],[size]]="","Desconocido",BBDD_fashion_boutique[[#This Row],[size]]))</f>
        <v>XL</v>
      </c>
      <c r="G1118" t="s">
        <v>30</v>
      </c>
      <c r="H1118" s="2">
        <v>140.06</v>
      </c>
      <c r="I1118">
        <v>0</v>
      </c>
      <c r="J1118" s="5">
        <f>BBDD_fashion_boutique[[#This Row],[markdown_percentage]]/100</f>
        <v>0</v>
      </c>
      <c r="K1118" s="2">
        <v>140.06</v>
      </c>
      <c r="L1118" s="2">
        <f>BBDD_fashion_boutique[[#This Row],[original_price]]-BBDD_fashion_boutique[[#This Row],[current_price]]</f>
        <v>0</v>
      </c>
      <c r="M1118" s="1">
        <v>45875</v>
      </c>
      <c r="N1118" s="1" t="str">
        <f>PROPER(TEXT(BBDD_fashion_boutique[[#This Row],[purchase_date]],"dddd"))</f>
        <v>Miércoles</v>
      </c>
      <c r="O1118" s="1" t="str">
        <f>PROPER(TEXT(BBDD_fashion_boutique[[#This Row],[purchase_date]],"mmmm"))</f>
        <v>Agosto</v>
      </c>
      <c r="P1118" s="4">
        <v>37</v>
      </c>
      <c r="Q1118" s="2">
        <v>2.2999999999999998</v>
      </c>
      <c r="R1118" t="str">
        <f>IF(BBDD_fashion_boutique[[#This Row],[stock_quantity]]&gt;9,"Ok",IF(BBDD_fashion_boutique[[#This Row],[stock_quantity]]=0,"Agotado","Pocas Unidades"))</f>
        <v>Ok</v>
      </c>
      <c r="S1118" s="3">
        <f>IF(BBDD_fashion_boutique[[#This Row],[customer_rating]]="","No valorado",BBDD_fashion_boutique[[#This Row],[customer_rating]])</f>
        <v>2.2999999999999998</v>
      </c>
      <c r="T1118" t="s">
        <v>24</v>
      </c>
      <c r="V1118">
        <f>IF(BBDD_fashion_boutique[[#This Row],[is_returned]]="False",0,1)</f>
        <v>0</v>
      </c>
      <c r="W1118">
        <f>IF(BBDD_fashion_boutique[[#This Row],[is_returned]]="True",0,BBDD_fashion_boutique[[#This Row],[current_price]])</f>
        <v>140.06</v>
      </c>
      <c r="X1118" t="str">
        <f>IF(BBDD_fashion_boutique[[#This Row],[return_reason]]="","No return",BBDD_fashion_boutique[[#This Row],[return_reason]])</f>
        <v>No return</v>
      </c>
      <c r="Y1118">
        <f>IF(IFERROR(VLOOKUP(BBDD_fashion_boutique[[#This Row],[product_id]],A1119:A3294,1,FALSE),0),1,0)</f>
        <v>0</v>
      </c>
    </row>
    <row r="1119" spans="1:25" x14ac:dyDescent="0.3">
      <c r="A1119" t="s">
        <v>1178</v>
      </c>
      <c r="B1119" t="s">
        <v>35</v>
      </c>
      <c r="C1119" t="s">
        <v>49</v>
      </c>
      <c r="D1119" t="s">
        <v>39</v>
      </c>
      <c r="E1119" t="s">
        <v>61</v>
      </c>
      <c r="F1119" t="str">
        <f>IF(BBDD_fashion_boutique[[#This Row],[category]]="Accessories","Accesorio",IF(BBDD_fashion_boutique[[#This Row],[size]]="","Desconocido",BBDD_fashion_boutique[[#This Row],[size]]))</f>
        <v>XS</v>
      </c>
      <c r="G1119" t="s">
        <v>30</v>
      </c>
      <c r="H1119" s="2">
        <v>154.82</v>
      </c>
      <c r="I1119">
        <v>0</v>
      </c>
      <c r="J1119" s="5">
        <f>BBDD_fashion_boutique[[#This Row],[markdown_percentage]]/100</f>
        <v>0</v>
      </c>
      <c r="K1119" s="2">
        <v>154.82</v>
      </c>
      <c r="L1119" s="2">
        <f>BBDD_fashion_boutique[[#This Row],[original_price]]-BBDD_fashion_boutique[[#This Row],[current_price]]</f>
        <v>0</v>
      </c>
      <c r="M1119" s="1">
        <v>45875</v>
      </c>
      <c r="N1119" s="1" t="str">
        <f>PROPER(TEXT(BBDD_fashion_boutique[[#This Row],[purchase_date]],"dddd"))</f>
        <v>Miércoles</v>
      </c>
      <c r="O1119" s="1" t="str">
        <f>PROPER(TEXT(BBDD_fashion_boutique[[#This Row],[purchase_date]],"mmmm"))</f>
        <v>Agosto</v>
      </c>
      <c r="P1119" s="4">
        <v>10</v>
      </c>
      <c r="Q1119" s="2">
        <v>4.0999999999999996</v>
      </c>
      <c r="R1119" t="str">
        <f>IF(BBDD_fashion_boutique[[#This Row],[stock_quantity]]&gt;9,"Ok",IF(BBDD_fashion_boutique[[#This Row],[stock_quantity]]=0,"Agotado","Pocas Unidades"))</f>
        <v>Ok</v>
      </c>
      <c r="S1119" s="3">
        <f>IF(BBDD_fashion_boutique[[#This Row],[customer_rating]]="","No valorado",BBDD_fashion_boutique[[#This Row],[customer_rating]])</f>
        <v>4.0999999999999996</v>
      </c>
      <c r="T1119" t="s">
        <v>24</v>
      </c>
      <c r="V1119">
        <f>IF(BBDD_fashion_boutique[[#This Row],[is_returned]]="False",0,1)</f>
        <v>0</v>
      </c>
      <c r="W1119">
        <f>IF(BBDD_fashion_boutique[[#This Row],[is_returned]]="True",0,BBDD_fashion_boutique[[#This Row],[current_price]])</f>
        <v>154.82</v>
      </c>
      <c r="X1119" t="str">
        <f>IF(BBDD_fashion_boutique[[#This Row],[return_reason]]="","No return",BBDD_fashion_boutique[[#This Row],[return_reason]])</f>
        <v>No return</v>
      </c>
      <c r="Y1119">
        <f>IF(IFERROR(VLOOKUP(BBDD_fashion_boutique[[#This Row],[product_id]],A1120:A3295,1,FALSE),0),1,0)</f>
        <v>0</v>
      </c>
    </row>
    <row r="1120" spans="1:25" x14ac:dyDescent="0.3">
      <c r="A1120" t="s">
        <v>1179</v>
      </c>
      <c r="B1120" t="s">
        <v>48</v>
      </c>
      <c r="C1120" t="s">
        <v>27</v>
      </c>
      <c r="D1120" t="s">
        <v>28</v>
      </c>
      <c r="E1120" t="s">
        <v>22</v>
      </c>
      <c r="F1120" t="str">
        <f>IF(BBDD_fashion_boutique[[#This Row],[category]]="Accessories","Accesorio",IF(BBDD_fashion_boutique[[#This Row],[size]]="","Desconocido",BBDD_fashion_boutique[[#This Row],[size]]))</f>
        <v>XL</v>
      </c>
      <c r="G1120" t="s">
        <v>50</v>
      </c>
      <c r="H1120" s="2">
        <v>114.21</v>
      </c>
      <c r="I1120">
        <v>20.2</v>
      </c>
      <c r="J1120" s="5">
        <f>BBDD_fashion_boutique[[#This Row],[markdown_percentage]]/100</f>
        <v>0.20199999999999999</v>
      </c>
      <c r="K1120" s="2">
        <v>91.14</v>
      </c>
      <c r="L1120" s="2">
        <f>BBDD_fashion_boutique[[#This Row],[original_price]]-BBDD_fashion_boutique[[#This Row],[current_price]]</f>
        <v>23.069999999999993</v>
      </c>
      <c r="M1120" s="1">
        <v>45875</v>
      </c>
      <c r="N1120" s="1" t="str">
        <f>PROPER(TEXT(BBDD_fashion_boutique[[#This Row],[purchase_date]],"dddd"))</f>
        <v>Miércoles</v>
      </c>
      <c r="O1120" s="1" t="str">
        <f>PROPER(TEXT(BBDD_fashion_boutique[[#This Row],[purchase_date]],"mmmm"))</f>
        <v>Agosto</v>
      </c>
      <c r="P1120" s="4">
        <v>5</v>
      </c>
      <c r="Q1120" s="2">
        <v>2</v>
      </c>
      <c r="R1120" t="str">
        <f>IF(BBDD_fashion_boutique[[#This Row],[stock_quantity]]&gt;9,"Ok",IF(BBDD_fashion_boutique[[#This Row],[stock_quantity]]=0,"Agotado","Pocas Unidades"))</f>
        <v>Pocas Unidades</v>
      </c>
      <c r="S1120" s="3">
        <f>IF(BBDD_fashion_boutique[[#This Row],[customer_rating]]="","No valorado",BBDD_fashion_boutique[[#This Row],[customer_rating]])</f>
        <v>2</v>
      </c>
      <c r="T1120" t="s">
        <v>41</v>
      </c>
      <c r="U1120" t="s">
        <v>131</v>
      </c>
      <c r="V1120">
        <f>IF(BBDD_fashion_boutique[[#This Row],[is_returned]]="False",0,1)</f>
        <v>1</v>
      </c>
      <c r="W1120">
        <f>IF(BBDD_fashion_boutique[[#This Row],[is_returned]]="True",0,BBDD_fashion_boutique[[#This Row],[current_price]])</f>
        <v>0</v>
      </c>
      <c r="X1120" t="str">
        <f>IF(BBDD_fashion_boutique[[#This Row],[return_reason]]="","No return",BBDD_fashion_boutique[[#This Row],[return_reason]])</f>
        <v>Wrong Item</v>
      </c>
      <c r="Y1120">
        <f>IF(IFERROR(VLOOKUP(BBDD_fashion_boutique[[#This Row],[product_id]],A1121:A3296,1,FALSE),0),1,0)</f>
        <v>0</v>
      </c>
    </row>
    <row r="1121" spans="1:25" x14ac:dyDescent="0.3">
      <c r="A1121" t="s">
        <v>1180</v>
      </c>
      <c r="B1121" t="s">
        <v>35</v>
      </c>
      <c r="C1121" t="s">
        <v>20</v>
      </c>
      <c r="D1121" t="s">
        <v>28</v>
      </c>
      <c r="E1121" t="s">
        <v>22</v>
      </c>
      <c r="F1121" t="str">
        <f>IF(BBDD_fashion_boutique[[#This Row],[category]]="Accessories","Accesorio",IF(BBDD_fashion_boutique[[#This Row],[size]]="","Desconocido",BBDD_fashion_boutique[[#This Row],[size]]))</f>
        <v>XL</v>
      </c>
      <c r="G1121" t="s">
        <v>50</v>
      </c>
      <c r="H1121" s="2">
        <v>114.84</v>
      </c>
      <c r="I1121">
        <v>0</v>
      </c>
      <c r="J1121" s="5">
        <f>BBDD_fashion_boutique[[#This Row],[markdown_percentage]]/100</f>
        <v>0</v>
      </c>
      <c r="K1121" s="2">
        <v>114.84</v>
      </c>
      <c r="L1121" s="2">
        <f>BBDD_fashion_boutique[[#This Row],[original_price]]-BBDD_fashion_boutique[[#This Row],[current_price]]</f>
        <v>0</v>
      </c>
      <c r="M1121" s="1">
        <v>45875</v>
      </c>
      <c r="N1121" s="1" t="str">
        <f>PROPER(TEXT(BBDD_fashion_boutique[[#This Row],[purchase_date]],"dddd"))</f>
        <v>Miércoles</v>
      </c>
      <c r="O1121" s="1" t="str">
        <f>PROPER(TEXT(BBDD_fashion_boutique[[#This Row],[purchase_date]],"mmmm"))</f>
        <v>Agosto</v>
      </c>
      <c r="P1121" s="4">
        <v>38</v>
      </c>
      <c r="Q1121" s="2">
        <v>2.6</v>
      </c>
      <c r="R1121" t="str">
        <f>IF(BBDD_fashion_boutique[[#This Row],[stock_quantity]]&gt;9,"Ok",IF(BBDD_fashion_boutique[[#This Row],[stock_quantity]]=0,"Agotado","Pocas Unidades"))</f>
        <v>Ok</v>
      </c>
      <c r="S1121" s="3">
        <f>IF(BBDD_fashion_boutique[[#This Row],[customer_rating]]="","No valorado",BBDD_fashion_boutique[[#This Row],[customer_rating]])</f>
        <v>2.6</v>
      </c>
      <c r="T1121" t="s">
        <v>41</v>
      </c>
      <c r="U1121" t="s">
        <v>42</v>
      </c>
      <c r="V1121">
        <f>IF(BBDD_fashion_boutique[[#This Row],[is_returned]]="False",0,1)</f>
        <v>1</v>
      </c>
      <c r="W1121">
        <f>IF(BBDD_fashion_boutique[[#This Row],[is_returned]]="True",0,BBDD_fashion_boutique[[#This Row],[current_price]])</f>
        <v>0</v>
      </c>
      <c r="X1121" t="str">
        <f>IF(BBDD_fashion_boutique[[#This Row],[return_reason]]="","No return",BBDD_fashion_boutique[[#This Row],[return_reason]])</f>
        <v>Color Mismatch</v>
      </c>
      <c r="Y1121">
        <f>IF(IFERROR(VLOOKUP(BBDD_fashion_boutique[[#This Row],[product_id]],A1122:A3297,1,FALSE),0),1,0)</f>
        <v>0</v>
      </c>
    </row>
    <row r="1122" spans="1:25" x14ac:dyDescent="0.3">
      <c r="A1122" t="s">
        <v>1181</v>
      </c>
      <c r="B1122" t="s">
        <v>48</v>
      </c>
      <c r="C1122" t="s">
        <v>49</v>
      </c>
      <c r="D1122" t="s">
        <v>28</v>
      </c>
      <c r="E1122" t="s">
        <v>22</v>
      </c>
      <c r="F1122" t="str">
        <f>IF(BBDD_fashion_boutique[[#This Row],[category]]="Accessories","Accesorio",IF(BBDD_fashion_boutique[[#This Row],[size]]="","Desconocido",BBDD_fashion_boutique[[#This Row],[size]]))</f>
        <v>XL</v>
      </c>
      <c r="G1122" t="s">
        <v>70</v>
      </c>
      <c r="H1122" s="2">
        <v>131.32</v>
      </c>
      <c r="I1122">
        <v>6.8</v>
      </c>
      <c r="J1122" s="5">
        <f>BBDD_fashion_boutique[[#This Row],[markdown_percentage]]/100</f>
        <v>6.8000000000000005E-2</v>
      </c>
      <c r="K1122" s="2">
        <v>122.39</v>
      </c>
      <c r="L1122" s="2">
        <f>BBDD_fashion_boutique[[#This Row],[original_price]]-BBDD_fashion_boutique[[#This Row],[current_price]]</f>
        <v>8.9299999999999926</v>
      </c>
      <c r="M1122" s="1">
        <v>45875</v>
      </c>
      <c r="N1122" s="1" t="str">
        <f>PROPER(TEXT(BBDD_fashion_boutique[[#This Row],[purchase_date]],"dddd"))</f>
        <v>Miércoles</v>
      </c>
      <c r="O1122" s="1" t="str">
        <f>PROPER(TEXT(BBDD_fashion_boutique[[#This Row],[purchase_date]],"mmmm"))</f>
        <v>Agosto</v>
      </c>
      <c r="P1122" s="4">
        <v>18</v>
      </c>
      <c r="Q1122" s="2">
        <v>2</v>
      </c>
      <c r="R1122" t="str">
        <f>IF(BBDD_fashion_boutique[[#This Row],[stock_quantity]]&gt;9,"Ok",IF(BBDD_fashion_boutique[[#This Row],[stock_quantity]]=0,"Agotado","Pocas Unidades"))</f>
        <v>Ok</v>
      </c>
      <c r="S1122" s="3">
        <f>IF(BBDD_fashion_boutique[[#This Row],[customer_rating]]="","No valorado",BBDD_fashion_boutique[[#This Row],[customer_rating]])</f>
        <v>2</v>
      </c>
      <c r="T1122" t="s">
        <v>24</v>
      </c>
      <c r="V1122">
        <f>IF(BBDD_fashion_boutique[[#This Row],[is_returned]]="False",0,1)</f>
        <v>0</v>
      </c>
      <c r="W1122">
        <f>IF(BBDD_fashion_boutique[[#This Row],[is_returned]]="True",0,BBDD_fashion_boutique[[#This Row],[current_price]])</f>
        <v>122.39</v>
      </c>
      <c r="X1122" t="str">
        <f>IF(BBDD_fashion_boutique[[#This Row],[return_reason]]="","No return",BBDD_fashion_boutique[[#This Row],[return_reason]])</f>
        <v>No return</v>
      </c>
      <c r="Y1122">
        <f>IF(IFERROR(VLOOKUP(BBDD_fashion_boutique[[#This Row],[product_id]],A1123:A3298,1,FALSE),0),1,0)</f>
        <v>0</v>
      </c>
    </row>
    <row r="1123" spans="1:25" x14ac:dyDescent="0.3">
      <c r="A1123" t="s">
        <v>1182</v>
      </c>
      <c r="B1123" t="s">
        <v>26</v>
      </c>
      <c r="C1123" t="s">
        <v>49</v>
      </c>
      <c r="D1123" t="s">
        <v>39</v>
      </c>
      <c r="E1123" t="s">
        <v>45</v>
      </c>
      <c r="F1123" t="str">
        <f>IF(BBDD_fashion_boutique[[#This Row],[category]]="Accessories","Accesorio",IF(BBDD_fashion_boutique[[#This Row],[size]]="","Desconocido",BBDD_fashion_boutique[[#This Row],[size]]))</f>
        <v>S</v>
      </c>
      <c r="G1123" t="s">
        <v>30</v>
      </c>
      <c r="H1123" s="2">
        <v>91.41</v>
      </c>
      <c r="I1123">
        <v>32.1</v>
      </c>
      <c r="J1123" s="5">
        <f>BBDD_fashion_boutique[[#This Row],[markdown_percentage]]/100</f>
        <v>0.32100000000000001</v>
      </c>
      <c r="K1123" s="2">
        <v>62.07</v>
      </c>
      <c r="L1123" s="2">
        <f>BBDD_fashion_boutique[[#This Row],[original_price]]-BBDD_fashion_boutique[[#This Row],[current_price]]</f>
        <v>29.339999999999996</v>
      </c>
      <c r="M1123" s="1">
        <v>45875</v>
      </c>
      <c r="N1123" s="1" t="str">
        <f>PROPER(TEXT(BBDD_fashion_boutique[[#This Row],[purchase_date]],"dddd"))</f>
        <v>Miércoles</v>
      </c>
      <c r="O1123" s="1" t="str">
        <f>PROPER(TEXT(BBDD_fashion_boutique[[#This Row],[purchase_date]],"mmmm"))</f>
        <v>Agosto</v>
      </c>
      <c r="P1123" s="4">
        <v>49</v>
      </c>
      <c r="Q1123" s="2">
        <v>2.2999999999999998</v>
      </c>
      <c r="R1123" t="str">
        <f>IF(BBDD_fashion_boutique[[#This Row],[stock_quantity]]&gt;9,"Ok",IF(BBDD_fashion_boutique[[#This Row],[stock_quantity]]=0,"Agotado","Pocas Unidades"))</f>
        <v>Ok</v>
      </c>
      <c r="S1123" s="3">
        <f>IF(BBDD_fashion_boutique[[#This Row],[customer_rating]]="","No valorado",BBDD_fashion_boutique[[#This Row],[customer_rating]])</f>
        <v>2.2999999999999998</v>
      </c>
      <c r="T1123" t="s">
        <v>24</v>
      </c>
      <c r="V1123">
        <f>IF(BBDD_fashion_boutique[[#This Row],[is_returned]]="False",0,1)</f>
        <v>0</v>
      </c>
      <c r="W1123">
        <f>IF(BBDD_fashion_boutique[[#This Row],[is_returned]]="True",0,BBDD_fashion_boutique[[#This Row],[current_price]])</f>
        <v>62.07</v>
      </c>
      <c r="X1123" t="str">
        <f>IF(BBDD_fashion_boutique[[#This Row],[return_reason]]="","No return",BBDD_fashion_boutique[[#This Row],[return_reason]])</f>
        <v>No return</v>
      </c>
      <c r="Y1123">
        <f>IF(IFERROR(VLOOKUP(BBDD_fashion_boutique[[#This Row],[product_id]],A1124:A3299,1,FALSE),0),1,0)</f>
        <v>0</v>
      </c>
    </row>
    <row r="1124" spans="1:25" x14ac:dyDescent="0.3">
      <c r="A1124" t="s">
        <v>1183</v>
      </c>
      <c r="B1124" t="s">
        <v>19</v>
      </c>
      <c r="C1124" t="s">
        <v>67</v>
      </c>
      <c r="D1124" t="s">
        <v>39</v>
      </c>
      <c r="E1124" t="s">
        <v>61</v>
      </c>
      <c r="F1124" t="str">
        <f>IF(BBDD_fashion_boutique[[#This Row],[category]]="Accessories","Accesorio",IF(BBDD_fashion_boutique[[#This Row],[size]]="","Desconocido",BBDD_fashion_boutique[[#This Row],[size]]))</f>
        <v>XS</v>
      </c>
      <c r="G1124" t="s">
        <v>33</v>
      </c>
      <c r="H1124" s="2">
        <v>202.28</v>
      </c>
      <c r="I1124">
        <v>0</v>
      </c>
      <c r="J1124" s="5">
        <f>BBDD_fashion_boutique[[#This Row],[markdown_percentage]]/100</f>
        <v>0</v>
      </c>
      <c r="K1124" s="2">
        <v>202.28</v>
      </c>
      <c r="L1124" s="2">
        <f>BBDD_fashion_boutique[[#This Row],[original_price]]-BBDD_fashion_boutique[[#This Row],[current_price]]</f>
        <v>0</v>
      </c>
      <c r="M1124" s="1">
        <v>45875</v>
      </c>
      <c r="N1124" s="1" t="str">
        <f>PROPER(TEXT(BBDD_fashion_boutique[[#This Row],[purchase_date]],"dddd"))</f>
        <v>Miércoles</v>
      </c>
      <c r="O1124" s="1" t="str">
        <f>PROPER(TEXT(BBDD_fashion_boutique[[#This Row],[purchase_date]],"mmmm"))</f>
        <v>Agosto</v>
      </c>
      <c r="P1124" s="4">
        <v>4</v>
      </c>
      <c r="R1124" t="str">
        <f>IF(BBDD_fashion_boutique[[#This Row],[stock_quantity]]&gt;9,"Ok",IF(BBDD_fashion_boutique[[#This Row],[stock_quantity]]=0,"Agotado","Pocas Unidades"))</f>
        <v>Pocas Unidades</v>
      </c>
      <c r="S1124" s="3" t="str">
        <f>IF(BBDD_fashion_boutique[[#This Row],[customer_rating]]="","No valorado",BBDD_fashion_boutique[[#This Row],[customer_rating]])</f>
        <v>No valorado</v>
      </c>
      <c r="T1124" t="s">
        <v>24</v>
      </c>
      <c r="V1124">
        <f>IF(BBDD_fashion_boutique[[#This Row],[is_returned]]="False",0,1)</f>
        <v>0</v>
      </c>
      <c r="W1124">
        <f>IF(BBDD_fashion_boutique[[#This Row],[is_returned]]="True",0,BBDD_fashion_boutique[[#This Row],[current_price]])</f>
        <v>202.28</v>
      </c>
      <c r="X1124" t="str">
        <f>IF(BBDD_fashion_boutique[[#This Row],[return_reason]]="","No return",BBDD_fashion_boutique[[#This Row],[return_reason]])</f>
        <v>No return</v>
      </c>
      <c r="Y1124">
        <f>IF(IFERROR(VLOOKUP(BBDD_fashion_boutique[[#This Row],[product_id]],A1125:A3300,1,FALSE),0),1,0)</f>
        <v>0</v>
      </c>
    </row>
    <row r="1125" spans="1:25" x14ac:dyDescent="0.3">
      <c r="A1125" t="s">
        <v>1184</v>
      </c>
      <c r="B1125" t="s">
        <v>44</v>
      </c>
      <c r="C1125" t="s">
        <v>81</v>
      </c>
      <c r="D1125" t="s">
        <v>39</v>
      </c>
      <c r="E1125" t="s">
        <v>64</v>
      </c>
      <c r="F1125" t="str">
        <f>IF(BBDD_fashion_boutique[[#This Row],[category]]="Accessories","Accesorio",IF(BBDD_fashion_boutique[[#This Row],[size]]="","Desconocido",BBDD_fashion_boutique[[#This Row],[size]]))</f>
        <v>M</v>
      </c>
      <c r="G1125" t="s">
        <v>23</v>
      </c>
      <c r="H1125" s="2">
        <v>119.63</v>
      </c>
      <c r="I1125">
        <v>0</v>
      </c>
      <c r="J1125" s="5">
        <f>BBDD_fashion_boutique[[#This Row],[markdown_percentage]]/100</f>
        <v>0</v>
      </c>
      <c r="K1125" s="2">
        <v>119.63</v>
      </c>
      <c r="L1125" s="2">
        <f>BBDD_fashion_boutique[[#This Row],[original_price]]-BBDD_fashion_boutique[[#This Row],[current_price]]</f>
        <v>0</v>
      </c>
      <c r="M1125" s="1">
        <v>45875</v>
      </c>
      <c r="N1125" s="1" t="str">
        <f>PROPER(TEXT(BBDD_fashion_boutique[[#This Row],[purchase_date]],"dddd"))</f>
        <v>Miércoles</v>
      </c>
      <c r="O1125" s="1" t="str">
        <f>PROPER(TEXT(BBDD_fashion_boutique[[#This Row],[purchase_date]],"mmmm"))</f>
        <v>Agosto</v>
      </c>
      <c r="P1125" s="4">
        <v>14</v>
      </c>
      <c r="Q1125" s="2">
        <v>2.1</v>
      </c>
      <c r="R1125" t="str">
        <f>IF(BBDD_fashion_boutique[[#This Row],[stock_quantity]]&gt;9,"Ok",IF(BBDD_fashion_boutique[[#This Row],[stock_quantity]]=0,"Agotado","Pocas Unidades"))</f>
        <v>Ok</v>
      </c>
      <c r="S1125" s="3">
        <f>IF(BBDD_fashion_boutique[[#This Row],[customer_rating]]="","No valorado",BBDD_fashion_boutique[[#This Row],[customer_rating]])</f>
        <v>2.1</v>
      </c>
      <c r="T1125" t="s">
        <v>24</v>
      </c>
      <c r="V1125">
        <f>IF(BBDD_fashion_boutique[[#This Row],[is_returned]]="False",0,1)</f>
        <v>0</v>
      </c>
      <c r="W1125">
        <f>IF(BBDD_fashion_boutique[[#This Row],[is_returned]]="True",0,BBDD_fashion_boutique[[#This Row],[current_price]])</f>
        <v>119.63</v>
      </c>
      <c r="X1125" t="str">
        <f>IF(BBDD_fashion_boutique[[#This Row],[return_reason]]="","No return",BBDD_fashion_boutique[[#This Row],[return_reason]])</f>
        <v>No return</v>
      </c>
      <c r="Y1125">
        <f>IF(IFERROR(VLOOKUP(BBDD_fashion_boutique[[#This Row],[product_id]],A1126:A3301,1,FALSE),0),1,0)</f>
        <v>0</v>
      </c>
    </row>
    <row r="1126" spans="1:25" x14ac:dyDescent="0.3">
      <c r="A1126" t="s">
        <v>1185</v>
      </c>
      <c r="B1126" t="s">
        <v>35</v>
      </c>
      <c r="C1126" t="s">
        <v>37</v>
      </c>
      <c r="D1126" t="s">
        <v>68</v>
      </c>
      <c r="E1126" t="s">
        <v>29</v>
      </c>
      <c r="F1126" t="str">
        <f>IF(BBDD_fashion_boutique[[#This Row],[category]]="Accessories","Accesorio",IF(BBDD_fashion_boutique[[#This Row],[size]]="","Desconocido",BBDD_fashion_boutique[[#This Row],[size]]))</f>
        <v>L</v>
      </c>
      <c r="G1126" t="s">
        <v>50</v>
      </c>
      <c r="H1126" s="2">
        <v>167.89</v>
      </c>
      <c r="I1126">
        <v>0</v>
      </c>
      <c r="J1126" s="5">
        <f>BBDD_fashion_boutique[[#This Row],[markdown_percentage]]/100</f>
        <v>0</v>
      </c>
      <c r="K1126" s="2">
        <v>167.89</v>
      </c>
      <c r="L1126" s="2">
        <f>BBDD_fashion_boutique[[#This Row],[original_price]]-BBDD_fashion_boutique[[#This Row],[current_price]]</f>
        <v>0</v>
      </c>
      <c r="M1126" s="1">
        <v>45875</v>
      </c>
      <c r="N1126" s="1" t="str">
        <f>PROPER(TEXT(BBDD_fashion_boutique[[#This Row],[purchase_date]],"dddd"))</f>
        <v>Miércoles</v>
      </c>
      <c r="O1126" s="1" t="str">
        <f>PROPER(TEXT(BBDD_fashion_boutique[[#This Row],[purchase_date]],"mmmm"))</f>
        <v>Agosto</v>
      </c>
      <c r="P1126" s="4">
        <v>12</v>
      </c>
      <c r="Q1126" s="2">
        <v>1</v>
      </c>
      <c r="R1126" t="str">
        <f>IF(BBDD_fashion_boutique[[#This Row],[stock_quantity]]&gt;9,"Ok",IF(BBDD_fashion_boutique[[#This Row],[stock_quantity]]=0,"Agotado","Pocas Unidades"))</f>
        <v>Ok</v>
      </c>
      <c r="S1126" s="3">
        <f>IF(BBDD_fashion_boutique[[#This Row],[customer_rating]]="","No valorado",BBDD_fashion_boutique[[#This Row],[customer_rating]])</f>
        <v>1</v>
      </c>
      <c r="T1126" t="s">
        <v>24</v>
      </c>
      <c r="V1126">
        <f>IF(BBDD_fashion_boutique[[#This Row],[is_returned]]="False",0,1)</f>
        <v>0</v>
      </c>
      <c r="W1126">
        <f>IF(BBDD_fashion_boutique[[#This Row],[is_returned]]="True",0,BBDD_fashion_boutique[[#This Row],[current_price]])</f>
        <v>167.89</v>
      </c>
      <c r="X1126" t="str">
        <f>IF(BBDD_fashion_boutique[[#This Row],[return_reason]]="","No return",BBDD_fashion_boutique[[#This Row],[return_reason]])</f>
        <v>No return</v>
      </c>
      <c r="Y1126">
        <f>IF(IFERROR(VLOOKUP(BBDD_fashion_boutique[[#This Row],[product_id]],A1127:A3302,1,FALSE),0),1,0)</f>
        <v>0</v>
      </c>
    </row>
    <row r="1127" spans="1:25" x14ac:dyDescent="0.3">
      <c r="A1127" t="s">
        <v>1186</v>
      </c>
      <c r="B1127" t="s">
        <v>35</v>
      </c>
      <c r="C1127" t="s">
        <v>27</v>
      </c>
      <c r="D1127" t="s">
        <v>21</v>
      </c>
      <c r="E1127" t="s">
        <v>22</v>
      </c>
      <c r="F1127" t="str">
        <f>IF(BBDD_fashion_boutique[[#This Row],[category]]="Accessories","Accesorio",IF(BBDD_fashion_boutique[[#This Row],[size]]="","Desconocido",BBDD_fashion_boutique[[#This Row],[size]]))</f>
        <v>XL</v>
      </c>
      <c r="G1127" t="s">
        <v>50</v>
      </c>
      <c r="H1127" s="2">
        <v>100.39</v>
      </c>
      <c r="I1127">
        <v>0</v>
      </c>
      <c r="J1127" s="5">
        <f>BBDD_fashion_boutique[[#This Row],[markdown_percentage]]/100</f>
        <v>0</v>
      </c>
      <c r="K1127" s="2">
        <v>100.39</v>
      </c>
      <c r="L1127" s="2">
        <f>BBDD_fashion_boutique[[#This Row],[original_price]]-BBDD_fashion_boutique[[#This Row],[current_price]]</f>
        <v>0</v>
      </c>
      <c r="M1127" s="1">
        <v>45723</v>
      </c>
      <c r="N1127" s="1" t="str">
        <f>PROPER(TEXT(BBDD_fashion_boutique[[#This Row],[purchase_date]],"dddd"))</f>
        <v>Viernes</v>
      </c>
      <c r="O1127" s="1" t="str">
        <f>PROPER(TEXT(BBDD_fashion_boutique[[#This Row],[purchase_date]],"mmmm"))</f>
        <v>Marzo</v>
      </c>
      <c r="P1127" s="4">
        <v>24</v>
      </c>
      <c r="Q1127" s="2">
        <v>3.2</v>
      </c>
      <c r="R1127" t="str">
        <f>IF(BBDD_fashion_boutique[[#This Row],[stock_quantity]]&gt;9,"Ok",IF(BBDD_fashion_boutique[[#This Row],[stock_quantity]]=0,"Agotado","Pocas Unidades"))</f>
        <v>Ok</v>
      </c>
      <c r="S1127" s="3">
        <f>IF(BBDD_fashion_boutique[[#This Row],[customer_rating]]="","No valorado",BBDD_fashion_boutique[[#This Row],[customer_rating]])</f>
        <v>3.2</v>
      </c>
      <c r="T1127" t="s">
        <v>41</v>
      </c>
      <c r="U1127" t="s">
        <v>89</v>
      </c>
      <c r="V1127">
        <f>IF(BBDD_fashion_boutique[[#This Row],[is_returned]]="False",0,1)</f>
        <v>1</v>
      </c>
      <c r="W1127">
        <f>IF(BBDD_fashion_boutique[[#This Row],[is_returned]]="True",0,BBDD_fashion_boutique[[#This Row],[current_price]])</f>
        <v>0</v>
      </c>
      <c r="X1127" t="str">
        <f>IF(BBDD_fashion_boutique[[#This Row],[return_reason]]="","No return",BBDD_fashion_boutique[[#This Row],[return_reason]])</f>
        <v>Quality Issue</v>
      </c>
      <c r="Y1127">
        <f>IF(IFERROR(VLOOKUP(BBDD_fashion_boutique[[#This Row],[product_id]],A1128:A3303,1,FALSE),0),1,0)</f>
        <v>0</v>
      </c>
    </row>
    <row r="1128" spans="1:25" x14ac:dyDescent="0.3">
      <c r="A1128" t="s">
        <v>1187</v>
      </c>
      <c r="B1128" t="s">
        <v>48</v>
      </c>
      <c r="C1128" t="s">
        <v>67</v>
      </c>
      <c r="D1128" t="s">
        <v>68</v>
      </c>
      <c r="E1128" t="s">
        <v>29</v>
      </c>
      <c r="F1128" t="str">
        <f>IF(BBDD_fashion_boutique[[#This Row],[category]]="Accessories","Accesorio",IF(BBDD_fashion_boutique[[#This Row],[size]]="","Desconocido",BBDD_fashion_boutique[[#This Row],[size]]))</f>
        <v>L</v>
      </c>
      <c r="G1128" t="s">
        <v>46</v>
      </c>
      <c r="H1128" s="2">
        <v>162.41999999999999</v>
      </c>
      <c r="I1128">
        <v>40.9</v>
      </c>
      <c r="J1128" s="5">
        <f>BBDD_fashion_boutique[[#This Row],[markdown_percentage]]/100</f>
        <v>0.40899999999999997</v>
      </c>
      <c r="K1128" s="2">
        <v>95.99</v>
      </c>
      <c r="L1128" s="2">
        <f>BBDD_fashion_boutique[[#This Row],[original_price]]-BBDD_fashion_boutique[[#This Row],[current_price]]</f>
        <v>66.429999999999993</v>
      </c>
      <c r="M1128" s="1">
        <v>45875</v>
      </c>
      <c r="N1128" s="1" t="str">
        <f>PROPER(TEXT(BBDD_fashion_boutique[[#This Row],[purchase_date]],"dddd"))</f>
        <v>Miércoles</v>
      </c>
      <c r="O1128" s="1" t="str">
        <f>PROPER(TEXT(BBDD_fashion_boutique[[#This Row],[purchase_date]],"mmmm"))</f>
        <v>Agosto</v>
      </c>
      <c r="P1128" s="4">
        <v>32</v>
      </c>
      <c r="Q1128" s="2">
        <v>1</v>
      </c>
      <c r="R1128" t="str">
        <f>IF(BBDD_fashion_boutique[[#This Row],[stock_quantity]]&gt;9,"Ok",IF(BBDD_fashion_boutique[[#This Row],[stock_quantity]]=0,"Agotado","Pocas Unidades"))</f>
        <v>Ok</v>
      </c>
      <c r="S1128" s="3">
        <f>IF(BBDD_fashion_boutique[[#This Row],[customer_rating]]="","No valorado",BBDD_fashion_boutique[[#This Row],[customer_rating]])</f>
        <v>1</v>
      </c>
      <c r="T1128" t="s">
        <v>24</v>
      </c>
      <c r="V1128">
        <f>IF(BBDD_fashion_boutique[[#This Row],[is_returned]]="False",0,1)</f>
        <v>0</v>
      </c>
      <c r="W1128">
        <f>IF(BBDD_fashion_boutique[[#This Row],[is_returned]]="True",0,BBDD_fashion_boutique[[#This Row],[current_price]])</f>
        <v>95.99</v>
      </c>
      <c r="X1128" t="str">
        <f>IF(BBDD_fashion_boutique[[#This Row],[return_reason]]="","No return",BBDD_fashion_boutique[[#This Row],[return_reason]])</f>
        <v>No return</v>
      </c>
      <c r="Y1128">
        <f>IF(IFERROR(VLOOKUP(BBDD_fashion_boutique[[#This Row],[product_id]],A1129:A3304,1,FALSE),0),1,0)</f>
        <v>0</v>
      </c>
    </row>
    <row r="1129" spans="1:25" x14ac:dyDescent="0.3">
      <c r="A1129" t="s">
        <v>1188</v>
      </c>
      <c r="B1129" t="s">
        <v>35</v>
      </c>
      <c r="C1129" t="s">
        <v>67</v>
      </c>
      <c r="D1129" t="s">
        <v>21</v>
      </c>
      <c r="E1129" t="s">
        <v>61</v>
      </c>
      <c r="F1129" t="str">
        <f>IF(BBDD_fashion_boutique[[#This Row],[category]]="Accessories","Accesorio",IF(BBDD_fashion_boutique[[#This Row],[size]]="","Desconocido",BBDD_fashion_boutique[[#This Row],[size]]))</f>
        <v>XS</v>
      </c>
      <c r="G1129" t="s">
        <v>46</v>
      </c>
      <c r="H1129" s="2">
        <v>65.069999999999993</v>
      </c>
      <c r="I1129">
        <v>5.0999999999999996</v>
      </c>
      <c r="J1129" s="5">
        <f>BBDD_fashion_boutique[[#This Row],[markdown_percentage]]/100</f>
        <v>5.0999999999999997E-2</v>
      </c>
      <c r="K1129" s="2">
        <v>61.75</v>
      </c>
      <c r="L1129" s="2">
        <f>BBDD_fashion_boutique[[#This Row],[original_price]]-BBDD_fashion_boutique[[#This Row],[current_price]]</f>
        <v>3.3199999999999932</v>
      </c>
      <c r="M1129" s="1">
        <v>45674</v>
      </c>
      <c r="N1129" s="1" t="str">
        <f>PROPER(TEXT(BBDD_fashion_boutique[[#This Row],[purchase_date]],"dddd"))</f>
        <v>Viernes</v>
      </c>
      <c r="O1129" s="1" t="str">
        <f>PROPER(TEXT(BBDD_fashion_boutique[[#This Row],[purchase_date]],"mmmm"))</f>
        <v>Enero</v>
      </c>
      <c r="P1129" s="4">
        <v>16</v>
      </c>
      <c r="Q1129" s="2">
        <v>4.3</v>
      </c>
      <c r="R1129" t="str">
        <f>IF(BBDD_fashion_boutique[[#This Row],[stock_quantity]]&gt;9,"Ok",IF(BBDD_fashion_boutique[[#This Row],[stock_quantity]]=0,"Agotado","Pocas Unidades"))</f>
        <v>Ok</v>
      </c>
      <c r="S1129" s="3">
        <f>IF(BBDD_fashion_boutique[[#This Row],[customer_rating]]="","No valorado",BBDD_fashion_boutique[[#This Row],[customer_rating]])</f>
        <v>4.3</v>
      </c>
      <c r="T1129" t="s">
        <v>24</v>
      </c>
      <c r="V1129">
        <f>IF(BBDD_fashion_boutique[[#This Row],[is_returned]]="False",0,1)</f>
        <v>0</v>
      </c>
      <c r="W1129">
        <f>IF(BBDD_fashion_boutique[[#This Row],[is_returned]]="True",0,BBDD_fashion_boutique[[#This Row],[current_price]])</f>
        <v>61.75</v>
      </c>
      <c r="X1129" t="str">
        <f>IF(BBDD_fashion_boutique[[#This Row],[return_reason]]="","No return",BBDD_fashion_boutique[[#This Row],[return_reason]])</f>
        <v>No return</v>
      </c>
      <c r="Y1129">
        <f>IF(IFERROR(VLOOKUP(BBDD_fashion_boutique[[#This Row],[product_id]],A1130:A3305,1,FALSE),0),1,0)</f>
        <v>0</v>
      </c>
    </row>
    <row r="1130" spans="1:25" x14ac:dyDescent="0.3">
      <c r="A1130" t="s">
        <v>1189</v>
      </c>
      <c r="B1130" t="s">
        <v>44</v>
      </c>
      <c r="C1130" t="s">
        <v>81</v>
      </c>
      <c r="D1130" t="s">
        <v>21</v>
      </c>
      <c r="E1130" t="s">
        <v>55</v>
      </c>
      <c r="F1130" t="str">
        <f>IF(BBDD_fashion_boutique[[#This Row],[category]]="Accessories","Accesorio",IF(BBDD_fashion_boutique[[#This Row],[size]]="","Desconocido",BBDD_fashion_boutique[[#This Row],[size]]))</f>
        <v>XXL</v>
      </c>
      <c r="G1130" t="s">
        <v>23</v>
      </c>
      <c r="H1130" s="2">
        <v>78.099999999999994</v>
      </c>
      <c r="I1130">
        <v>48.7</v>
      </c>
      <c r="J1130" s="5">
        <f>BBDD_fashion_boutique[[#This Row],[markdown_percentage]]/100</f>
        <v>0.48700000000000004</v>
      </c>
      <c r="K1130" s="2">
        <v>40.07</v>
      </c>
      <c r="L1130" s="2">
        <f>BBDD_fashion_boutique[[#This Row],[original_price]]-BBDD_fashion_boutique[[#This Row],[current_price]]</f>
        <v>38.029999999999994</v>
      </c>
      <c r="M1130" s="1">
        <v>45783</v>
      </c>
      <c r="N1130" s="1" t="str">
        <f>PROPER(TEXT(BBDD_fashion_boutique[[#This Row],[purchase_date]],"dddd"))</f>
        <v>Martes</v>
      </c>
      <c r="O1130" s="1" t="str">
        <f>PROPER(TEXT(BBDD_fashion_boutique[[#This Row],[purchase_date]],"mmmm"))</f>
        <v>Mayo</v>
      </c>
      <c r="P1130" s="4">
        <v>0</v>
      </c>
      <c r="R1130" t="str">
        <f>IF(BBDD_fashion_boutique[[#This Row],[stock_quantity]]&gt;9,"Ok",IF(BBDD_fashion_boutique[[#This Row],[stock_quantity]]=0,"Agotado","Pocas Unidades"))</f>
        <v>Agotado</v>
      </c>
      <c r="S1130" s="3" t="str">
        <f>IF(BBDD_fashion_boutique[[#This Row],[customer_rating]]="","No valorado",BBDD_fashion_boutique[[#This Row],[customer_rating]])</f>
        <v>No valorado</v>
      </c>
      <c r="T1130" t="s">
        <v>24</v>
      </c>
      <c r="V1130">
        <f>IF(BBDD_fashion_boutique[[#This Row],[is_returned]]="False",0,1)</f>
        <v>0</v>
      </c>
      <c r="W1130">
        <f>IF(BBDD_fashion_boutique[[#This Row],[is_returned]]="True",0,BBDD_fashion_boutique[[#This Row],[current_price]])</f>
        <v>40.07</v>
      </c>
      <c r="X1130" t="str">
        <f>IF(BBDD_fashion_boutique[[#This Row],[return_reason]]="","No return",BBDD_fashion_boutique[[#This Row],[return_reason]])</f>
        <v>No return</v>
      </c>
      <c r="Y1130">
        <f>IF(IFERROR(VLOOKUP(BBDD_fashion_boutique[[#This Row],[product_id]],A1131:A3306,1,FALSE),0),1,0)</f>
        <v>0</v>
      </c>
    </row>
    <row r="1131" spans="1:25" x14ac:dyDescent="0.3">
      <c r="A1131" t="s">
        <v>1190</v>
      </c>
      <c r="B1131" t="s">
        <v>19</v>
      </c>
      <c r="C1131" t="s">
        <v>20</v>
      </c>
      <c r="D1131" t="s">
        <v>21</v>
      </c>
      <c r="E1131" t="s">
        <v>64</v>
      </c>
      <c r="F1131" t="str">
        <f>IF(BBDD_fashion_boutique[[#This Row],[category]]="Accessories","Accesorio",IF(BBDD_fashion_boutique[[#This Row],[size]]="","Desconocido",BBDD_fashion_boutique[[#This Row],[size]]))</f>
        <v>M</v>
      </c>
      <c r="G1131" t="s">
        <v>50</v>
      </c>
      <c r="H1131" s="2">
        <v>115.73</v>
      </c>
      <c r="I1131">
        <v>59.8</v>
      </c>
      <c r="J1131" s="5">
        <f>BBDD_fashion_boutique[[#This Row],[markdown_percentage]]/100</f>
        <v>0.59799999999999998</v>
      </c>
      <c r="K1131" s="2">
        <v>46.52</v>
      </c>
      <c r="L1131" s="2">
        <f>BBDD_fashion_boutique[[#This Row],[original_price]]-BBDD_fashion_boutique[[#This Row],[current_price]]</f>
        <v>69.210000000000008</v>
      </c>
      <c r="M1131" s="1">
        <v>45563</v>
      </c>
      <c r="N1131" s="1" t="str">
        <f>PROPER(TEXT(BBDD_fashion_boutique[[#This Row],[purchase_date]],"dddd"))</f>
        <v>Sábado</v>
      </c>
      <c r="O1131" s="1" t="str">
        <f>PROPER(TEXT(BBDD_fashion_boutique[[#This Row],[purchase_date]],"mmmm"))</f>
        <v>Septiembre</v>
      </c>
      <c r="P1131" s="4">
        <v>10</v>
      </c>
      <c r="Q1131" s="2">
        <v>4.2</v>
      </c>
      <c r="R1131" t="str">
        <f>IF(BBDD_fashion_boutique[[#This Row],[stock_quantity]]&gt;9,"Ok",IF(BBDD_fashion_boutique[[#This Row],[stock_quantity]]=0,"Agotado","Pocas Unidades"))</f>
        <v>Ok</v>
      </c>
      <c r="S1131" s="3">
        <f>IF(BBDD_fashion_boutique[[#This Row],[customer_rating]]="","No valorado",BBDD_fashion_boutique[[#This Row],[customer_rating]])</f>
        <v>4.2</v>
      </c>
      <c r="T1131" t="s">
        <v>24</v>
      </c>
      <c r="V1131">
        <f>IF(BBDD_fashion_boutique[[#This Row],[is_returned]]="False",0,1)</f>
        <v>0</v>
      </c>
      <c r="W1131">
        <f>IF(BBDD_fashion_boutique[[#This Row],[is_returned]]="True",0,BBDD_fashion_boutique[[#This Row],[current_price]])</f>
        <v>46.52</v>
      </c>
      <c r="X1131" t="str">
        <f>IF(BBDD_fashion_boutique[[#This Row],[return_reason]]="","No return",BBDD_fashion_boutique[[#This Row],[return_reason]])</f>
        <v>No return</v>
      </c>
      <c r="Y1131">
        <f>IF(IFERROR(VLOOKUP(BBDD_fashion_boutique[[#This Row],[product_id]],A1132:A3307,1,FALSE),0),1,0)</f>
        <v>0</v>
      </c>
    </row>
    <row r="1132" spans="1:25" x14ac:dyDescent="0.3">
      <c r="A1132" t="s">
        <v>1191</v>
      </c>
      <c r="B1132" t="s">
        <v>32</v>
      </c>
      <c r="C1132" t="s">
        <v>59</v>
      </c>
      <c r="D1132" t="s">
        <v>39</v>
      </c>
      <c r="F1132" t="str">
        <f>IF(BBDD_fashion_boutique[[#This Row],[category]]="Accessories","Accesorio",IF(BBDD_fashion_boutique[[#This Row],[size]]="","Desconocido",BBDD_fashion_boutique[[#This Row],[size]]))</f>
        <v>Accesorio</v>
      </c>
      <c r="G1132" t="s">
        <v>70</v>
      </c>
      <c r="H1132" s="2">
        <v>21.57</v>
      </c>
      <c r="I1132">
        <v>11.9</v>
      </c>
      <c r="J1132" s="5">
        <f>BBDD_fashion_boutique[[#This Row],[markdown_percentage]]/100</f>
        <v>0.11900000000000001</v>
      </c>
      <c r="K1132" s="2">
        <v>19</v>
      </c>
      <c r="L1132" s="2">
        <f>BBDD_fashion_boutique[[#This Row],[original_price]]-BBDD_fashion_boutique[[#This Row],[current_price]]</f>
        <v>2.5700000000000003</v>
      </c>
      <c r="M1132" s="1">
        <v>45875</v>
      </c>
      <c r="N1132" s="1" t="str">
        <f>PROPER(TEXT(BBDD_fashion_boutique[[#This Row],[purchase_date]],"dddd"))</f>
        <v>Miércoles</v>
      </c>
      <c r="O1132" s="1" t="str">
        <f>PROPER(TEXT(BBDD_fashion_boutique[[#This Row],[purchase_date]],"mmmm"))</f>
        <v>Agosto</v>
      </c>
      <c r="P1132" s="4">
        <v>37</v>
      </c>
      <c r="Q1132" s="2">
        <v>3</v>
      </c>
      <c r="R1132" t="str">
        <f>IF(BBDD_fashion_boutique[[#This Row],[stock_quantity]]&gt;9,"Ok",IF(BBDD_fashion_boutique[[#This Row],[stock_quantity]]=0,"Agotado","Pocas Unidades"))</f>
        <v>Ok</v>
      </c>
      <c r="S1132" s="3">
        <f>IF(BBDD_fashion_boutique[[#This Row],[customer_rating]]="","No valorado",BBDD_fashion_boutique[[#This Row],[customer_rating]])</f>
        <v>3</v>
      </c>
      <c r="T1132" t="s">
        <v>41</v>
      </c>
      <c r="U1132" t="s">
        <v>121</v>
      </c>
      <c r="V1132">
        <f>IF(BBDD_fashion_boutique[[#This Row],[is_returned]]="False",0,1)</f>
        <v>1</v>
      </c>
      <c r="W1132">
        <f>IF(BBDD_fashion_boutique[[#This Row],[is_returned]]="True",0,BBDD_fashion_boutique[[#This Row],[current_price]])</f>
        <v>0</v>
      </c>
      <c r="X1132" t="str">
        <f>IF(BBDD_fashion_boutique[[#This Row],[return_reason]]="","No return",BBDD_fashion_boutique[[#This Row],[return_reason]])</f>
        <v>Changed Mind</v>
      </c>
      <c r="Y1132">
        <f>IF(IFERROR(VLOOKUP(BBDD_fashion_boutique[[#This Row],[product_id]],A1133:A3308,1,FALSE),0),1,0)</f>
        <v>0</v>
      </c>
    </row>
    <row r="1133" spans="1:25" x14ac:dyDescent="0.3">
      <c r="A1133" t="s">
        <v>1192</v>
      </c>
      <c r="B1133" t="s">
        <v>48</v>
      </c>
      <c r="C1133" t="s">
        <v>37</v>
      </c>
      <c r="D1133" t="s">
        <v>39</v>
      </c>
      <c r="E1133" t="s">
        <v>45</v>
      </c>
      <c r="F1133" t="str">
        <f>IF(BBDD_fashion_boutique[[#This Row],[category]]="Accessories","Accesorio",IF(BBDD_fashion_boutique[[#This Row],[size]]="","Desconocido",BBDD_fashion_boutique[[#This Row],[size]]))</f>
        <v>S</v>
      </c>
      <c r="G1133" t="s">
        <v>76</v>
      </c>
      <c r="H1133" s="2">
        <v>75.849999999999994</v>
      </c>
      <c r="I1133">
        <v>50.3</v>
      </c>
      <c r="J1133" s="5">
        <f>BBDD_fashion_boutique[[#This Row],[markdown_percentage]]/100</f>
        <v>0.503</v>
      </c>
      <c r="K1133" s="2">
        <v>37.700000000000003</v>
      </c>
      <c r="L1133" s="2">
        <f>BBDD_fashion_boutique[[#This Row],[original_price]]-BBDD_fashion_boutique[[#This Row],[current_price]]</f>
        <v>38.149999999999991</v>
      </c>
      <c r="M1133" s="1">
        <v>45875</v>
      </c>
      <c r="N1133" s="1" t="str">
        <f>PROPER(TEXT(BBDD_fashion_boutique[[#This Row],[purchase_date]],"dddd"))</f>
        <v>Miércoles</v>
      </c>
      <c r="O1133" s="1" t="str">
        <f>PROPER(TEXT(BBDD_fashion_boutique[[#This Row],[purchase_date]],"mmmm"))</f>
        <v>Agosto</v>
      </c>
      <c r="P1133" s="4">
        <v>50</v>
      </c>
      <c r="Q1133" s="2">
        <v>4.7</v>
      </c>
      <c r="R1133" t="str">
        <f>IF(BBDD_fashion_boutique[[#This Row],[stock_quantity]]&gt;9,"Ok",IF(BBDD_fashion_boutique[[#This Row],[stock_quantity]]=0,"Agotado","Pocas Unidades"))</f>
        <v>Ok</v>
      </c>
      <c r="S1133" s="3">
        <f>IF(BBDD_fashion_boutique[[#This Row],[customer_rating]]="","No valorado",BBDD_fashion_boutique[[#This Row],[customer_rating]])</f>
        <v>4.7</v>
      </c>
      <c r="T1133" t="s">
        <v>41</v>
      </c>
      <c r="U1133" t="s">
        <v>89</v>
      </c>
      <c r="V1133">
        <f>IF(BBDD_fashion_boutique[[#This Row],[is_returned]]="False",0,1)</f>
        <v>1</v>
      </c>
      <c r="W1133">
        <f>IF(BBDD_fashion_boutique[[#This Row],[is_returned]]="True",0,BBDD_fashion_boutique[[#This Row],[current_price]])</f>
        <v>0</v>
      </c>
      <c r="X1133" t="str">
        <f>IF(BBDD_fashion_boutique[[#This Row],[return_reason]]="","No return",BBDD_fashion_boutique[[#This Row],[return_reason]])</f>
        <v>Quality Issue</v>
      </c>
      <c r="Y1133">
        <f>IF(IFERROR(VLOOKUP(BBDD_fashion_boutique[[#This Row],[product_id]],A1134:A3309,1,FALSE),0),1,0)</f>
        <v>0</v>
      </c>
    </row>
    <row r="1134" spans="1:25" x14ac:dyDescent="0.3">
      <c r="A1134" t="s">
        <v>1193</v>
      </c>
      <c r="B1134" t="s">
        <v>19</v>
      </c>
      <c r="C1134" t="s">
        <v>27</v>
      </c>
      <c r="D1134" t="s">
        <v>68</v>
      </c>
      <c r="E1134" t="s">
        <v>29</v>
      </c>
      <c r="F1134" t="str">
        <f>IF(BBDD_fashion_boutique[[#This Row],[category]]="Accessories","Accesorio",IF(BBDD_fashion_boutique[[#This Row],[size]]="","Desconocido",BBDD_fashion_boutique[[#This Row],[size]]))</f>
        <v>L</v>
      </c>
      <c r="G1134" t="s">
        <v>52</v>
      </c>
      <c r="H1134" s="2">
        <v>170.91</v>
      </c>
      <c r="I1134">
        <v>0</v>
      </c>
      <c r="J1134" s="5">
        <f>BBDD_fashion_boutique[[#This Row],[markdown_percentage]]/100</f>
        <v>0</v>
      </c>
      <c r="K1134" s="2">
        <v>170.91</v>
      </c>
      <c r="L1134" s="2">
        <f>BBDD_fashion_boutique[[#This Row],[original_price]]-BBDD_fashion_boutique[[#This Row],[current_price]]</f>
        <v>0</v>
      </c>
      <c r="M1134" s="1">
        <v>45875</v>
      </c>
      <c r="N1134" s="1" t="str">
        <f>PROPER(TEXT(BBDD_fashion_boutique[[#This Row],[purchase_date]],"dddd"))</f>
        <v>Miércoles</v>
      </c>
      <c r="O1134" s="1" t="str">
        <f>PROPER(TEXT(BBDD_fashion_boutique[[#This Row],[purchase_date]],"mmmm"))</f>
        <v>Agosto</v>
      </c>
      <c r="P1134" s="4">
        <v>36</v>
      </c>
      <c r="Q1134" s="2">
        <v>1.6</v>
      </c>
      <c r="R1134" t="str">
        <f>IF(BBDD_fashion_boutique[[#This Row],[stock_quantity]]&gt;9,"Ok",IF(BBDD_fashion_boutique[[#This Row],[stock_quantity]]=0,"Agotado","Pocas Unidades"))</f>
        <v>Ok</v>
      </c>
      <c r="S1134" s="3">
        <f>IF(BBDD_fashion_boutique[[#This Row],[customer_rating]]="","No valorado",BBDD_fashion_boutique[[#This Row],[customer_rating]])</f>
        <v>1.6</v>
      </c>
      <c r="T1134" t="s">
        <v>41</v>
      </c>
      <c r="U1134" t="s">
        <v>89</v>
      </c>
      <c r="V1134">
        <f>IF(BBDD_fashion_boutique[[#This Row],[is_returned]]="False",0,1)</f>
        <v>1</v>
      </c>
      <c r="W1134">
        <f>IF(BBDD_fashion_boutique[[#This Row],[is_returned]]="True",0,BBDD_fashion_boutique[[#This Row],[current_price]])</f>
        <v>0</v>
      </c>
      <c r="X1134" t="str">
        <f>IF(BBDD_fashion_boutique[[#This Row],[return_reason]]="","No return",BBDD_fashion_boutique[[#This Row],[return_reason]])</f>
        <v>Quality Issue</v>
      </c>
      <c r="Y1134">
        <f>IF(IFERROR(VLOOKUP(BBDD_fashion_boutique[[#This Row],[product_id]],A1135:A3310,1,FALSE),0),1,0)</f>
        <v>0</v>
      </c>
    </row>
    <row r="1135" spans="1:25" x14ac:dyDescent="0.3">
      <c r="A1135" t="s">
        <v>1194</v>
      </c>
      <c r="B1135" t="s">
        <v>35</v>
      </c>
      <c r="C1135" t="s">
        <v>54</v>
      </c>
      <c r="D1135" t="s">
        <v>39</v>
      </c>
      <c r="E1135" t="s">
        <v>22</v>
      </c>
      <c r="F1135" t="str">
        <f>IF(BBDD_fashion_boutique[[#This Row],[category]]="Accessories","Accesorio",IF(BBDD_fashion_boutique[[#This Row],[size]]="","Desconocido",BBDD_fashion_boutique[[#This Row],[size]]))</f>
        <v>XL</v>
      </c>
      <c r="G1135" t="s">
        <v>40</v>
      </c>
      <c r="H1135" s="2">
        <v>94.06</v>
      </c>
      <c r="I1135">
        <v>22.4</v>
      </c>
      <c r="J1135" s="5">
        <f>BBDD_fashion_boutique[[#This Row],[markdown_percentage]]/100</f>
        <v>0.22399999999999998</v>
      </c>
      <c r="K1135" s="2">
        <v>72.989999999999995</v>
      </c>
      <c r="L1135" s="2">
        <f>BBDD_fashion_boutique[[#This Row],[original_price]]-BBDD_fashion_boutique[[#This Row],[current_price]]</f>
        <v>21.070000000000007</v>
      </c>
      <c r="M1135" s="1">
        <v>45875</v>
      </c>
      <c r="N1135" s="1" t="str">
        <f>PROPER(TEXT(BBDD_fashion_boutique[[#This Row],[purchase_date]],"dddd"))</f>
        <v>Miércoles</v>
      </c>
      <c r="O1135" s="1" t="str">
        <f>PROPER(TEXT(BBDD_fashion_boutique[[#This Row],[purchase_date]],"mmmm"))</f>
        <v>Agosto</v>
      </c>
      <c r="P1135" s="4">
        <v>0</v>
      </c>
      <c r="R1135" t="str">
        <f>IF(BBDD_fashion_boutique[[#This Row],[stock_quantity]]&gt;9,"Ok",IF(BBDD_fashion_boutique[[#This Row],[stock_quantity]]=0,"Agotado","Pocas Unidades"))</f>
        <v>Agotado</v>
      </c>
      <c r="S1135" s="3" t="str">
        <f>IF(BBDD_fashion_boutique[[#This Row],[customer_rating]]="","No valorado",BBDD_fashion_boutique[[#This Row],[customer_rating]])</f>
        <v>No valorado</v>
      </c>
      <c r="T1135" t="s">
        <v>24</v>
      </c>
      <c r="V1135">
        <f>IF(BBDD_fashion_boutique[[#This Row],[is_returned]]="False",0,1)</f>
        <v>0</v>
      </c>
      <c r="W1135">
        <f>IF(BBDD_fashion_boutique[[#This Row],[is_returned]]="True",0,BBDD_fashion_boutique[[#This Row],[current_price]])</f>
        <v>72.989999999999995</v>
      </c>
      <c r="X1135" t="str">
        <f>IF(BBDD_fashion_boutique[[#This Row],[return_reason]]="","No return",BBDD_fashion_boutique[[#This Row],[return_reason]])</f>
        <v>No return</v>
      </c>
      <c r="Y1135">
        <f>IF(IFERROR(VLOOKUP(BBDD_fashion_boutique[[#This Row],[product_id]],A1136:A3311,1,FALSE),0),1,0)</f>
        <v>0</v>
      </c>
    </row>
    <row r="1136" spans="1:25" x14ac:dyDescent="0.3">
      <c r="A1136" t="s">
        <v>1195</v>
      </c>
      <c r="B1136" t="s">
        <v>44</v>
      </c>
      <c r="C1136" t="s">
        <v>54</v>
      </c>
      <c r="D1136" t="s">
        <v>68</v>
      </c>
      <c r="E1136" t="s">
        <v>45</v>
      </c>
      <c r="F1136" t="str">
        <f>IF(BBDD_fashion_boutique[[#This Row],[category]]="Accessories","Accesorio",IF(BBDD_fashion_boutique[[#This Row],[size]]="","Desconocido",BBDD_fashion_boutique[[#This Row],[size]]))</f>
        <v>S</v>
      </c>
      <c r="G1136" t="s">
        <v>50</v>
      </c>
      <c r="H1136" s="2">
        <v>84.44</v>
      </c>
      <c r="I1136">
        <v>0</v>
      </c>
      <c r="J1136" s="5">
        <f>BBDD_fashion_boutique[[#This Row],[markdown_percentage]]/100</f>
        <v>0</v>
      </c>
      <c r="K1136" s="2">
        <v>84.44</v>
      </c>
      <c r="L1136" s="2">
        <f>BBDD_fashion_boutique[[#This Row],[original_price]]-BBDD_fashion_boutique[[#This Row],[current_price]]</f>
        <v>0</v>
      </c>
      <c r="M1136" s="1">
        <v>45875</v>
      </c>
      <c r="N1136" s="1" t="str">
        <f>PROPER(TEXT(BBDD_fashion_boutique[[#This Row],[purchase_date]],"dddd"))</f>
        <v>Miércoles</v>
      </c>
      <c r="O1136" s="1" t="str">
        <f>PROPER(TEXT(BBDD_fashion_boutique[[#This Row],[purchase_date]],"mmmm"))</f>
        <v>Agosto</v>
      </c>
      <c r="P1136" s="4">
        <v>2</v>
      </c>
      <c r="Q1136" s="2">
        <v>1.1000000000000001</v>
      </c>
      <c r="R1136" t="str">
        <f>IF(BBDD_fashion_boutique[[#This Row],[stock_quantity]]&gt;9,"Ok",IF(BBDD_fashion_boutique[[#This Row],[stock_quantity]]=0,"Agotado","Pocas Unidades"))</f>
        <v>Pocas Unidades</v>
      </c>
      <c r="S1136" s="3">
        <f>IF(BBDD_fashion_boutique[[#This Row],[customer_rating]]="","No valorado",BBDD_fashion_boutique[[#This Row],[customer_rating]])</f>
        <v>1.1000000000000001</v>
      </c>
      <c r="T1136" t="s">
        <v>24</v>
      </c>
      <c r="V1136">
        <f>IF(BBDD_fashion_boutique[[#This Row],[is_returned]]="False",0,1)</f>
        <v>0</v>
      </c>
      <c r="W1136">
        <f>IF(BBDD_fashion_boutique[[#This Row],[is_returned]]="True",0,BBDD_fashion_boutique[[#This Row],[current_price]])</f>
        <v>84.44</v>
      </c>
      <c r="X1136" t="str">
        <f>IF(BBDD_fashion_boutique[[#This Row],[return_reason]]="","No return",BBDD_fashion_boutique[[#This Row],[return_reason]])</f>
        <v>No return</v>
      </c>
      <c r="Y1136">
        <f>IF(IFERROR(VLOOKUP(BBDD_fashion_boutique[[#This Row],[product_id]],A1137:A3312,1,FALSE),0),1,0)</f>
        <v>0</v>
      </c>
    </row>
    <row r="1137" spans="1:25" x14ac:dyDescent="0.3">
      <c r="A1137" t="s">
        <v>1196</v>
      </c>
      <c r="B1137" t="s">
        <v>19</v>
      </c>
      <c r="C1137" t="s">
        <v>20</v>
      </c>
      <c r="D1137" t="s">
        <v>68</v>
      </c>
      <c r="E1137" t="s">
        <v>61</v>
      </c>
      <c r="F1137" t="str">
        <f>IF(BBDD_fashion_boutique[[#This Row],[category]]="Accessories","Accesorio",IF(BBDD_fashion_boutique[[#This Row],[size]]="","Desconocido",BBDD_fashion_boutique[[#This Row],[size]]))</f>
        <v>XS</v>
      </c>
      <c r="G1137" t="s">
        <v>30</v>
      </c>
      <c r="H1137" s="2">
        <v>93.11</v>
      </c>
      <c r="I1137">
        <v>0</v>
      </c>
      <c r="J1137" s="5">
        <f>BBDD_fashion_boutique[[#This Row],[markdown_percentage]]/100</f>
        <v>0</v>
      </c>
      <c r="K1137" s="2">
        <v>93.11</v>
      </c>
      <c r="L1137" s="2">
        <f>BBDD_fashion_boutique[[#This Row],[original_price]]-BBDD_fashion_boutique[[#This Row],[current_price]]</f>
        <v>0</v>
      </c>
      <c r="M1137" s="1">
        <v>45875</v>
      </c>
      <c r="N1137" s="1" t="str">
        <f>PROPER(TEXT(BBDD_fashion_boutique[[#This Row],[purchase_date]],"dddd"))</f>
        <v>Miércoles</v>
      </c>
      <c r="O1137" s="1" t="str">
        <f>PROPER(TEXT(BBDD_fashion_boutique[[#This Row],[purchase_date]],"mmmm"))</f>
        <v>Agosto</v>
      </c>
      <c r="P1137" s="4">
        <v>43</v>
      </c>
      <c r="Q1137" s="2">
        <v>2.8</v>
      </c>
      <c r="R1137" t="str">
        <f>IF(BBDD_fashion_boutique[[#This Row],[stock_quantity]]&gt;9,"Ok",IF(BBDD_fashion_boutique[[#This Row],[stock_quantity]]=0,"Agotado","Pocas Unidades"))</f>
        <v>Ok</v>
      </c>
      <c r="S1137" s="3">
        <f>IF(BBDD_fashion_boutique[[#This Row],[customer_rating]]="","No valorado",BBDD_fashion_boutique[[#This Row],[customer_rating]])</f>
        <v>2.8</v>
      </c>
      <c r="T1137" t="s">
        <v>24</v>
      </c>
      <c r="V1137">
        <f>IF(BBDD_fashion_boutique[[#This Row],[is_returned]]="False",0,1)</f>
        <v>0</v>
      </c>
      <c r="W1137">
        <f>IF(BBDD_fashion_boutique[[#This Row],[is_returned]]="True",0,BBDD_fashion_boutique[[#This Row],[current_price]])</f>
        <v>93.11</v>
      </c>
      <c r="X1137" t="str">
        <f>IF(BBDD_fashion_boutique[[#This Row],[return_reason]]="","No return",BBDD_fashion_boutique[[#This Row],[return_reason]])</f>
        <v>No return</v>
      </c>
      <c r="Y1137">
        <f>IF(IFERROR(VLOOKUP(BBDD_fashion_boutique[[#This Row],[product_id]],A1138:A3313,1,FALSE),0),1,0)</f>
        <v>0</v>
      </c>
    </row>
    <row r="1138" spans="1:25" x14ac:dyDescent="0.3">
      <c r="A1138" t="s">
        <v>1197</v>
      </c>
      <c r="B1138" t="s">
        <v>26</v>
      </c>
      <c r="C1138" t="s">
        <v>20</v>
      </c>
      <c r="D1138" t="s">
        <v>28</v>
      </c>
      <c r="E1138" t="s">
        <v>45</v>
      </c>
      <c r="F1138" t="str">
        <f>IF(BBDD_fashion_boutique[[#This Row],[category]]="Accessories","Accesorio",IF(BBDD_fashion_boutique[[#This Row],[size]]="","Desconocido",BBDD_fashion_boutique[[#This Row],[size]]))</f>
        <v>S</v>
      </c>
      <c r="G1138" t="s">
        <v>50</v>
      </c>
      <c r="H1138" s="2">
        <v>84.85</v>
      </c>
      <c r="I1138">
        <v>8.8000000000000007</v>
      </c>
      <c r="J1138" s="5">
        <f>BBDD_fashion_boutique[[#This Row],[markdown_percentage]]/100</f>
        <v>8.8000000000000009E-2</v>
      </c>
      <c r="K1138" s="2">
        <v>77.38</v>
      </c>
      <c r="L1138" s="2">
        <f>BBDD_fashion_boutique[[#This Row],[original_price]]-BBDD_fashion_boutique[[#This Row],[current_price]]</f>
        <v>7.4699999999999989</v>
      </c>
      <c r="M1138" s="1">
        <v>45875</v>
      </c>
      <c r="N1138" s="1" t="str">
        <f>PROPER(TEXT(BBDD_fashion_boutique[[#This Row],[purchase_date]],"dddd"))</f>
        <v>Miércoles</v>
      </c>
      <c r="O1138" s="1" t="str">
        <f>PROPER(TEXT(BBDD_fashion_boutique[[#This Row],[purchase_date]],"mmmm"))</f>
        <v>Agosto</v>
      </c>
      <c r="P1138" s="4">
        <v>19</v>
      </c>
      <c r="Q1138" s="2">
        <v>4.0999999999999996</v>
      </c>
      <c r="R1138" t="str">
        <f>IF(BBDD_fashion_boutique[[#This Row],[stock_quantity]]&gt;9,"Ok",IF(BBDD_fashion_boutique[[#This Row],[stock_quantity]]=0,"Agotado","Pocas Unidades"))</f>
        <v>Ok</v>
      </c>
      <c r="S1138" s="3">
        <f>IF(BBDD_fashion_boutique[[#This Row],[customer_rating]]="","No valorado",BBDD_fashion_boutique[[#This Row],[customer_rating]])</f>
        <v>4.0999999999999996</v>
      </c>
      <c r="T1138" t="s">
        <v>41</v>
      </c>
      <c r="U1138" t="s">
        <v>121</v>
      </c>
      <c r="V1138">
        <f>IF(BBDD_fashion_boutique[[#This Row],[is_returned]]="False",0,1)</f>
        <v>1</v>
      </c>
      <c r="W1138">
        <f>IF(BBDD_fashion_boutique[[#This Row],[is_returned]]="True",0,BBDD_fashion_boutique[[#This Row],[current_price]])</f>
        <v>0</v>
      </c>
      <c r="X1138" t="str">
        <f>IF(BBDD_fashion_boutique[[#This Row],[return_reason]]="","No return",BBDD_fashion_boutique[[#This Row],[return_reason]])</f>
        <v>Changed Mind</v>
      </c>
      <c r="Y1138">
        <f>IF(IFERROR(VLOOKUP(BBDD_fashion_boutique[[#This Row],[product_id]],A1139:A3314,1,FALSE),0),1,0)</f>
        <v>0</v>
      </c>
    </row>
    <row r="1139" spans="1:25" x14ac:dyDescent="0.3">
      <c r="A1139" t="s">
        <v>1198</v>
      </c>
      <c r="B1139" t="s">
        <v>35</v>
      </c>
      <c r="C1139" t="s">
        <v>27</v>
      </c>
      <c r="D1139" t="s">
        <v>21</v>
      </c>
      <c r="E1139" t="s">
        <v>64</v>
      </c>
      <c r="F1139" t="str">
        <f>IF(BBDD_fashion_boutique[[#This Row],[category]]="Accessories","Accesorio",IF(BBDD_fashion_boutique[[#This Row],[size]]="","Desconocido",BBDD_fashion_boutique[[#This Row],[size]]))</f>
        <v>M</v>
      </c>
      <c r="G1139" t="s">
        <v>52</v>
      </c>
      <c r="H1139" s="2">
        <v>138.41</v>
      </c>
      <c r="I1139">
        <v>0</v>
      </c>
      <c r="J1139" s="5">
        <f>BBDD_fashion_boutique[[#This Row],[markdown_percentage]]/100</f>
        <v>0</v>
      </c>
      <c r="K1139" s="2">
        <v>138.41</v>
      </c>
      <c r="L1139" s="2">
        <f>BBDD_fashion_boutique[[#This Row],[original_price]]-BBDD_fashion_boutique[[#This Row],[current_price]]</f>
        <v>0</v>
      </c>
      <c r="M1139" s="1">
        <v>45613</v>
      </c>
      <c r="N1139" s="1" t="str">
        <f>PROPER(TEXT(BBDD_fashion_boutique[[#This Row],[purchase_date]],"dddd"))</f>
        <v>Domingo</v>
      </c>
      <c r="O1139" s="1" t="str">
        <f>PROPER(TEXT(BBDD_fashion_boutique[[#This Row],[purchase_date]],"mmmm"))</f>
        <v>Noviembre</v>
      </c>
      <c r="P1139" s="4">
        <v>40</v>
      </c>
      <c r="Q1139" s="2">
        <v>3.1</v>
      </c>
      <c r="R1139" t="str">
        <f>IF(BBDD_fashion_boutique[[#This Row],[stock_quantity]]&gt;9,"Ok",IF(BBDD_fashion_boutique[[#This Row],[stock_quantity]]=0,"Agotado","Pocas Unidades"))</f>
        <v>Ok</v>
      </c>
      <c r="S1139" s="3">
        <f>IF(BBDD_fashion_boutique[[#This Row],[customer_rating]]="","No valorado",BBDD_fashion_boutique[[#This Row],[customer_rating]])</f>
        <v>3.1</v>
      </c>
      <c r="T1139" t="s">
        <v>24</v>
      </c>
      <c r="V1139">
        <f>IF(BBDD_fashion_boutique[[#This Row],[is_returned]]="False",0,1)</f>
        <v>0</v>
      </c>
      <c r="W1139">
        <f>IF(BBDD_fashion_boutique[[#This Row],[is_returned]]="True",0,BBDD_fashion_boutique[[#This Row],[current_price]])</f>
        <v>138.41</v>
      </c>
      <c r="X1139" t="str">
        <f>IF(BBDD_fashion_boutique[[#This Row],[return_reason]]="","No return",BBDD_fashion_boutique[[#This Row],[return_reason]])</f>
        <v>No return</v>
      </c>
      <c r="Y1139">
        <f>IF(IFERROR(VLOOKUP(BBDD_fashion_boutique[[#This Row],[product_id]],A1140:A3315,1,FALSE),0),1,0)</f>
        <v>0</v>
      </c>
    </row>
    <row r="1140" spans="1:25" x14ac:dyDescent="0.3">
      <c r="A1140" t="s">
        <v>1199</v>
      </c>
      <c r="B1140" t="s">
        <v>32</v>
      </c>
      <c r="C1140" t="s">
        <v>20</v>
      </c>
      <c r="D1140" t="s">
        <v>39</v>
      </c>
      <c r="F1140" t="str">
        <f>IF(BBDD_fashion_boutique[[#This Row],[category]]="Accessories","Accesorio",IF(BBDD_fashion_boutique[[#This Row],[size]]="","Desconocido",BBDD_fashion_boutique[[#This Row],[size]]))</f>
        <v>Accesorio</v>
      </c>
      <c r="G1140" t="s">
        <v>30</v>
      </c>
      <c r="H1140" s="2">
        <v>20.190000000000001</v>
      </c>
      <c r="I1140">
        <v>21.6</v>
      </c>
      <c r="J1140" s="5">
        <f>BBDD_fashion_boutique[[#This Row],[markdown_percentage]]/100</f>
        <v>0.21600000000000003</v>
      </c>
      <c r="K1140" s="2">
        <v>15.83</v>
      </c>
      <c r="L1140" s="2">
        <f>BBDD_fashion_boutique[[#This Row],[original_price]]-BBDD_fashion_boutique[[#This Row],[current_price]]</f>
        <v>4.3600000000000012</v>
      </c>
      <c r="M1140" s="1">
        <v>45875</v>
      </c>
      <c r="N1140" s="1" t="str">
        <f>PROPER(TEXT(BBDD_fashion_boutique[[#This Row],[purchase_date]],"dddd"))</f>
        <v>Miércoles</v>
      </c>
      <c r="O1140" s="1" t="str">
        <f>PROPER(TEXT(BBDD_fashion_boutique[[#This Row],[purchase_date]],"mmmm"))</f>
        <v>Agosto</v>
      </c>
      <c r="P1140" s="4">
        <v>45</v>
      </c>
      <c r="Q1140" s="2">
        <v>4.4000000000000004</v>
      </c>
      <c r="R1140" t="str">
        <f>IF(BBDD_fashion_boutique[[#This Row],[stock_quantity]]&gt;9,"Ok",IF(BBDD_fashion_boutique[[#This Row],[stock_quantity]]=0,"Agotado","Pocas Unidades"))</f>
        <v>Ok</v>
      </c>
      <c r="S1140" s="3">
        <f>IF(BBDD_fashion_boutique[[#This Row],[customer_rating]]="","No valorado",BBDD_fashion_boutique[[#This Row],[customer_rating]])</f>
        <v>4.4000000000000004</v>
      </c>
      <c r="T1140" t="s">
        <v>41</v>
      </c>
      <c r="U1140" t="s">
        <v>121</v>
      </c>
      <c r="V1140">
        <f>IF(BBDD_fashion_boutique[[#This Row],[is_returned]]="False",0,1)</f>
        <v>1</v>
      </c>
      <c r="W1140">
        <f>IF(BBDD_fashion_boutique[[#This Row],[is_returned]]="True",0,BBDD_fashion_boutique[[#This Row],[current_price]])</f>
        <v>0</v>
      </c>
      <c r="X1140" t="str">
        <f>IF(BBDD_fashion_boutique[[#This Row],[return_reason]]="","No return",BBDD_fashion_boutique[[#This Row],[return_reason]])</f>
        <v>Changed Mind</v>
      </c>
      <c r="Y1140">
        <f>IF(IFERROR(VLOOKUP(BBDD_fashion_boutique[[#This Row],[product_id]],A1141:A3316,1,FALSE),0),1,0)</f>
        <v>0</v>
      </c>
    </row>
    <row r="1141" spans="1:25" x14ac:dyDescent="0.3">
      <c r="A1141" t="s">
        <v>1200</v>
      </c>
      <c r="B1141" t="s">
        <v>48</v>
      </c>
      <c r="C1141" t="s">
        <v>37</v>
      </c>
      <c r="D1141" t="s">
        <v>39</v>
      </c>
      <c r="E1141" t="s">
        <v>64</v>
      </c>
      <c r="F1141" t="str">
        <f>IF(BBDD_fashion_boutique[[#This Row],[category]]="Accessories","Accesorio",IF(BBDD_fashion_boutique[[#This Row],[size]]="","Desconocido",BBDD_fashion_boutique[[#This Row],[size]]))</f>
        <v>M</v>
      </c>
      <c r="G1141" t="s">
        <v>46</v>
      </c>
      <c r="H1141" s="2">
        <v>124.17</v>
      </c>
      <c r="I1141">
        <v>37.6</v>
      </c>
      <c r="J1141" s="5">
        <f>BBDD_fashion_boutique[[#This Row],[markdown_percentage]]/100</f>
        <v>0.376</v>
      </c>
      <c r="K1141" s="2">
        <v>77.48</v>
      </c>
      <c r="L1141" s="2">
        <f>BBDD_fashion_boutique[[#This Row],[original_price]]-BBDD_fashion_boutique[[#This Row],[current_price]]</f>
        <v>46.69</v>
      </c>
      <c r="M1141" s="1">
        <v>45875</v>
      </c>
      <c r="N1141" s="1" t="str">
        <f>PROPER(TEXT(BBDD_fashion_boutique[[#This Row],[purchase_date]],"dddd"))</f>
        <v>Miércoles</v>
      </c>
      <c r="O1141" s="1" t="str">
        <f>PROPER(TEXT(BBDD_fashion_boutique[[#This Row],[purchase_date]],"mmmm"))</f>
        <v>Agosto</v>
      </c>
      <c r="P1141" s="4">
        <v>24</v>
      </c>
      <c r="Q1141" s="2">
        <v>2.2999999999999998</v>
      </c>
      <c r="R1141" t="str">
        <f>IF(BBDD_fashion_boutique[[#This Row],[stock_quantity]]&gt;9,"Ok",IF(BBDD_fashion_boutique[[#This Row],[stock_quantity]]=0,"Agotado","Pocas Unidades"))</f>
        <v>Ok</v>
      </c>
      <c r="S1141" s="3">
        <f>IF(BBDD_fashion_boutique[[#This Row],[customer_rating]]="","No valorado",BBDD_fashion_boutique[[#This Row],[customer_rating]])</f>
        <v>2.2999999999999998</v>
      </c>
      <c r="T1141" t="s">
        <v>24</v>
      </c>
      <c r="V1141">
        <f>IF(BBDD_fashion_boutique[[#This Row],[is_returned]]="False",0,1)</f>
        <v>0</v>
      </c>
      <c r="W1141">
        <f>IF(BBDD_fashion_boutique[[#This Row],[is_returned]]="True",0,BBDD_fashion_boutique[[#This Row],[current_price]])</f>
        <v>77.48</v>
      </c>
      <c r="X1141" t="str">
        <f>IF(BBDD_fashion_boutique[[#This Row],[return_reason]]="","No return",BBDD_fashion_boutique[[#This Row],[return_reason]])</f>
        <v>No return</v>
      </c>
      <c r="Y1141">
        <f>IF(IFERROR(VLOOKUP(BBDD_fashion_boutique[[#This Row],[product_id]],A1142:A3317,1,FALSE),0),1,0)</f>
        <v>0</v>
      </c>
    </row>
    <row r="1142" spans="1:25" x14ac:dyDescent="0.3">
      <c r="A1142" t="s">
        <v>1201</v>
      </c>
      <c r="B1142" t="s">
        <v>19</v>
      </c>
      <c r="C1142" t="s">
        <v>37</v>
      </c>
      <c r="D1142" t="s">
        <v>21</v>
      </c>
      <c r="E1142" t="s">
        <v>29</v>
      </c>
      <c r="F1142" t="str">
        <f>IF(BBDD_fashion_boutique[[#This Row],[category]]="Accessories","Accesorio",IF(BBDD_fashion_boutique[[#This Row],[size]]="","Desconocido",BBDD_fashion_boutique[[#This Row],[size]]))</f>
        <v>L</v>
      </c>
      <c r="G1142" t="s">
        <v>23</v>
      </c>
      <c r="H1142" s="2">
        <v>133.91999999999999</v>
      </c>
      <c r="I1142">
        <v>0</v>
      </c>
      <c r="J1142" s="5">
        <f>BBDD_fashion_boutique[[#This Row],[markdown_percentage]]/100</f>
        <v>0</v>
      </c>
      <c r="K1142" s="2">
        <v>133.91999999999999</v>
      </c>
      <c r="L1142" s="2">
        <f>BBDD_fashion_boutique[[#This Row],[original_price]]-BBDD_fashion_boutique[[#This Row],[current_price]]</f>
        <v>0</v>
      </c>
      <c r="M1142" s="1">
        <v>45760</v>
      </c>
      <c r="N1142" s="1" t="str">
        <f>PROPER(TEXT(BBDD_fashion_boutique[[#This Row],[purchase_date]],"dddd"))</f>
        <v>Domingo</v>
      </c>
      <c r="O1142" s="1" t="str">
        <f>PROPER(TEXT(BBDD_fashion_boutique[[#This Row],[purchase_date]],"mmmm"))</f>
        <v>Abril</v>
      </c>
      <c r="P1142" s="4">
        <v>41</v>
      </c>
      <c r="Q1142" s="2">
        <v>2.8</v>
      </c>
      <c r="R1142" t="str">
        <f>IF(BBDD_fashion_boutique[[#This Row],[stock_quantity]]&gt;9,"Ok",IF(BBDD_fashion_boutique[[#This Row],[stock_quantity]]=0,"Agotado","Pocas Unidades"))</f>
        <v>Ok</v>
      </c>
      <c r="S1142" s="3">
        <f>IF(BBDD_fashion_boutique[[#This Row],[customer_rating]]="","No valorado",BBDD_fashion_boutique[[#This Row],[customer_rating]])</f>
        <v>2.8</v>
      </c>
      <c r="T1142" t="s">
        <v>24</v>
      </c>
      <c r="V1142">
        <f>IF(BBDD_fashion_boutique[[#This Row],[is_returned]]="False",0,1)</f>
        <v>0</v>
      </c>
      <c r="W1142">
        <f>IF(BBDD_fashion_boutique[[#This Row],[is_returned]]="True",0,BBDD_fashion_boutique[[#This Row],[current_price]])</f>
        <v>133.91999999999999</v>
      </c>
      <c r="X1142" t="str">
        <f>IF(BBDD_fashion_boutique[[#This Row],[return_reason]]="","No return",BBDD_fashion_boutique[[#This Row],[return_reason]])</f>
        <v>No return</v>
      </c>
      <c r="Y1142">
        <f>IF(IFERROR(VLOOKUP(BBDD_fashion_boutique[[#This Row],[product_id]],A1143:A3318,1,FALSE),0),1,0)</f>
        <v>0</v>
      </c>
    </row>
    <row r="1143" spans="1:25" x14ac:dyDescent="0.3">
      <c r="A1143" t="s">
        <v>1202</v>
      </c>
      <c r="B1143" t="s">
        <v>32</v>
      </c>
      <c r="C1143" t="s">
        <v>37</v>
      </c>
      <c r="D1143" t="s">
        <v>21</v>
      </c>
      <c r="F1143" t="str">
        <f>IF(BBDD_fashion_boutique[[#This Row],[category]]="Accessories","Accesorio",IF(BBDD_fashion_boutique[[#This Row],[size]]="","Desconocido",BBDD_fashion_boutique[[#This Row],[size]]))</f>
        <v>Accesorio</v>
      </c>
      <c r="G1143" t="s">
        <v>46</v>
      </c>
      <c r="H1143" s="2">
        <v>77.78</v>
      </c>
      <c r="I1143">
        <v>0</v>
      </c>
      <c r="J1143" s="5">
        <f>BBDD_fashion_boutique[[#This Row],[markdown_percentage]]/100</f>
        <v>0</v>
      </c>
      <c r="K1143" s="2">
        <v>77.78</v>
      </c>
      <c r="L1143" s="2">
        <f>BBDD_fashion_boutique[[#This Row],[original_price]]-BBDD_fashion_boutique[[#This Row],[current_price]]</f>
        <v>0</v>
      </c>
      <c r="M1143" s="1">
        <v>45845</v>
      </c>
      <c r="N1143" s="1" t="str">
        <f>PROPER(TEXT(BBDD_fashion_boutique[[#This Row],[purchase_date]],"dddd"))</f>
        <v>Lunes</v>
      </c>
      <c r="O1143" s="1" t="str">
        <f>PROPER(TEXT(BBDD_fashion_boutique[[#This Row],[purchase_date]],"mmmm"))</f>
        <v>Julio</v>
      </c>
      <c r="P1143" s="4">
        <v>23</v>
      </c>
      <c r="Q1143" s="2">
        <v>2.5</v>
      </c>
      <c r="R1143" t="str">
        <f>IF(BBDD_fashion_boutique[[#This Row],[stock_quantity]]&gt;9,"Ok",IF(BBDD_fashion_boutique[[#This Row],[stock_quantity]]=0,"Agotado","Pocas Unidades"))</f>
        <v>Ok</v>
      </c>
      <c r="S1143" s="3">
        <f>IF(BBDD_fashion_boutique[[#This Row],[customer_rating]]="","No valorado",BBDD_fashion_boutique[[#This Row],[customer_rating]])</f>
        <v>2.5</v>
      </c>
      <c r="T1143" t="s">
        <v>41</v>
      </c>
      <c r="U1143" t="s">
        <v>79</v>
      </c>
      <c r="V1143">
        <f>IF(BBDD_fashion_boutique[[#This Row],[is_returned]]="False",0,1)</f>
        <v>1</v>
      </c>
      <c r="W1143">
        <f>IF(BBDD_fashion_boutique[[#This Row],[is_returned]]="True",0,BBDD_fashion_boutique[[#This Row],[current_price]])</f>
        <v>0</v>
      </c>
      <c r="X1143" t="str">
        <f>IF(BBDD_fashion_boutique[[#This Row],[return_reason]]="","No return",BBDD_fashion_boutique[[#This Row],[return_reason]])</f>
        <v>Size Issue</v>
      </c>
      <c r="Y1143">
        <f>IF(IFERROR(VLOOKUP(BBDD_fashion_boutique[[#This Row],[product_id]],A1144:A3319,1,FALSE),0),1,0)</f>
        <v>0</v>
      </c>
    </row>
    <row r="1144" spans="1:25" x14ac:dyDescent="0.3">
      <c r="A1144" t="s">
        <v>1203</v>
      </c>
      <c r="B1144" t="s">
        <v>48</v>
      </c>
      <c r="C1144" t="s">
        <v>49</v>
      </c>
      <c r="D1144" t="s">
        <v>28</v>
      </c>
      <c r="E1144" t="s">
        <v>55</v>
      </c>
      <c r="F1144" t="str">
        <f>IF(BBDD_fashion_boutique[[#This Row],[category]]="Accessories","Accesorio",IF(BBDD_fashion_boutique[[#This Row],[size]]="","Desconocido",BBDD_fashion_boutique[[#This Row],[size]]))</f>
        <v>XXL</v>
      </c>
      <c r="G1144" t="s">
        <v>76</v>
      </c>
      <c r="H1144" s="2">
        <v>157.69</v>
      </c>
      <c r="I1144">
        <v>35.9</v>
      </c>
      <c r="J1144" s="5">
        <f>BBDD_fashion_boutique[[#This Row],[markdown_percentage]]/100</f>
        <v>0.35899999999999999</v>
      </c>
      <c r="K1144" s="2">
        <v>101.08</v>
      </c>
      <c r="L1144" s="2">
        <f>BBDD_fashion_boutique[[#This Row],[original_price]]-BBDD_fashion_boutique[[#This Row],[current_price]]</f>
        <v>56.61</v>
      </c>
      <c r="M1144" s="1">
        <v>45875</v>
      </c>
      <c r="N1144" s="1" t="str">
        <f>PROPER(TEXT(BBDD_fashion_boutique[[#This Row],[purchase_date]],"dddd"))</f>
        <v>Miércoles</v>
      </c>
      <c r="O1144" s="1" t="str">
        <f>PROPER(TEXT(BBDD_fashion_boutique[[#This Row],[purchase_date]],"mmmm"))</f>
        <v>Agosto</v>
      </c>
      <c r="P1144" s="4">
        <v>6</v>
      </c>
      <c r="Q1144" s="2">
        <v>1</v>
      </c>
      <c r="R1144" t="str">
        <f>IF(BBDD_fashion_boutique[[#This Row],[stock_quantity]]&gt;9,"Ok",IF(BBDD_fashion_boutique[[#This Row],[stock_quantity]]=0,"Agotado","Pocas Unidades"))</f>
        <v>Pocas Unidades</v>
      </c>
      <c r="S1144" s="3">
        <f>IF(BBDD_fashion_boutique[[#This Row],[customer_rating]]="","No valorado",BBDD_fashion_boutique[[#This Row],[customer_rating]])</f>
        <v>1</v>
      </c>
      <c r="T1144" t="s">
        <v>24</v>
      </c>
      <c r="V1144">
        <f>IF(BBDD_fashion_boutique[[#This Row],[is_returned]]="False",0,1)</f>
        <v>0</v>
      </c>
      <c r="W1144">
        <f>IF(BBDD_fashion_boutique[[#This Row],[is_returned]]="True",0,BBDD_fashion_boutique[[#This Row],[current_price]])</f>
        <v>101.08</v>
      </c>
      <c r="X1144" t="str">
        <f>IF(BBDD_fashion_boutique[[#This Row],[return_reason]]="","No return",BBDD_fashion_boutique[[#This Row],[return_reason]])</f>
        <v>No return</v>
      </c>
      <c r="Y1144">
        <f>IF(IFERROR(VLOOKUP(BBDD_fashion_boutique[[#This Row],[product_id]],A1145:A3320,1,FALSE),0),1,0)</f>
        <v>0</v>
      </c>
    </row>
    <row r="1145" spans="1:25" x14ac:dyDescent="0.3">
      <c r="A1145" t="s">
        <v>1204</v>
      </c>
      <c r="B1145" t="s">
        <v>26</v>
      </c>
      <c r="C1145" t="s">
        <v>20</v>
      </c>
      <c r="D1145" t="s">
        <v>28</v>
      </c>
      <c r="E1145" t="s">
        <v>29</v>
      </c>
      <c r="F1145" t="str">
        <f>IF(BBDD_fashion_boutique[[#This Row],[category]]="Accessories","Accesorio",IF(BBDD_fashion_boutique[[#This Row],[size]]="","Desconocido",BBDD_fashion_boutique[[#This Row],[size]]))</f>
        <v>L</v>
      </c>
      <c r="G1145" t="s">
        <v>33</v>
      </c>
      <c r="H1145" s="2">
        <v>99.57</v>
      </c>
      <c r="I1145">
        <v>0</v>
      </c>
      <c r="J1145" s="5">
        <f>BBDD_fashion_boutique[[#This Row],[markdown_percentage]]/100</f>
        <v>0</v>
      </c>
      <c r="K1145" s="2">
        <v>99.57</v>
      </c>
      <c r="L1145" s="2">
        <f>BBDD_fashion_boutique[[#This Row],[original_price]]-BBDD_fashion_boutique[[#This Row],[current_price]]</f>
        <v>0</v>
      </c>
      <c r="M1145" s="1">
        <v>45875</v>
      </c>
      <c r="N1145" s="1" t="str">
        <f>PROPER(TEXT(BBDD_fashion_boutique[[#This Row],[purchase_date]],"dddd"))</f>
        <v>Miércoles</v>
      </c>
      <c r="O1145" s="1" t="str">
        <f>PROPER(TEXT(BBDD_fashion_boutique[[#This Row],[purchase_date]],"mmmm"))</f>
        <v>Agosto</v>
      </c>
      <c r="P1145" s="4">
        <v>17</v>
      </c>
      <c r="Q1145" s="2">
        <v>1</v>
      </c>
      <c r="R1145" t="str">
        <f>IF(BBDD_fashion_boutique[[#This Row],[stock_quantity]]&gt;9,"Ok",IF(BBDD_fashion_boutique[[#This Row],[stock_quantity]]=0,"Agotado","Pocas Unidades"))</f>
        <v>Ok</v>
      </c>
      <c r="S1145" s="3">
        <f>IF(BBDD_fashion_boutique[[#This Row],[customer_rating]]="","No valorado",BBDD_fashion_boutique[[#This Row],[customer_rating]])</f>
        <v>1</v>
      </c>
      <c r="T1145" t="s">
        <v>24</v>
      </c>
      <c r="V1145">
        <f>IF(BBDD_fashion_boutique[[#This Row],[is_returned]]="False",0,1)</f>
        <v>0</v>
      </c>
      <c r="W1145">
        <f>IF(BBDD_fashion_boutique[[#This Row],[is_returned]]="True",0,BBDD_fashion_boutique[[#This Row],[current_price]])</f>
        <v>99.57</v>
      </c>
      <c r="X1145" t="str">
        <f>IF(BBDD_fashion_boutique[[#This Row],[return_reason]]="","No return",BBDD_fashion_boutique[[#This Row],[return_reason]])</f>
        <v>No return</v>
      </c>
      <c r="Y1145">
        <f>IF(IFERROR(VLOOKUP(BBDD_fashion_boutique[[#This Row],[product_id]],A1146:A3321,1,FALSE),0),1,0)</f>
        <v>0</v>
      </c>
    </row>
    <row r="1146" spans="1:25" x14ac:dyDescent="0.3">
      <c r="A1146" t="s">
        <v>1205</v>
      </c>
      <c r="B1146" t="s">
        <v>32</v>
      </c>
      <c r="C1146" t="s">
        <v>20</v>
      </c>
      <c r="D1146" t="s">
        <v>68</v>
      </c>
      <c r="F1146" t="str">
        <f>IF(BBDD_fashion_boutique[[#This Row],[category]]="Accessories","Accesorio",IF(BBDD_fashion_boutique[[#This Row],[size]]="","Desconocido",BBDD_fashion_boutique[[#This Row],[size]]))</f>
        <v>Accesorio</v>
      </c>
      <c r="G1146" t="s">
        <v>76</v>
      </c>
      <c r="H1146" s="2">
        <v>43.61</v>
      </c>
      <c r="I1146">
        <v>33.299999999999997</v>
      </c>
      <c r="J1146" s="5">
        <f>BBDD_fashion_boutique[[#This Row],[markdown_percentage]]/100</f>
        <v>0.33299999999999996</v>
      </c>
      <c r="K1146" s="2">
        <v>29.09</v>
      </c>
      <c r="L1146" s="2">
        <f>BBDD_fashion_boutique[[#This Row],[original_price]]-BBDD_fashion_boutique[[#This Row],[current_price]]</f>
        <v>14.52</v>
      </c>
      <c r="M1146" s="1">
        <v>45875</v>
      </c>
      <c r="N1146" s="1" t="str">
        <f>PROPER(TEXT(BBDD_fashion_boutique[[#This Row],[purchase_date]],"dddd"))</f>
        <v>Miércoles</v>
      </c>
      <c r="O1146" s="1" t="str">
        <f>PROPER(TEXT(BBDD_fashion_boutique[[#This Row],[purchase_date]],"mmmm"))</f>
        <v>Agosto</v>
      </c>
      <c r="P1146" s="4">
        <v>47</v>
      </c>
      <c r="Q1146" s="2">
        <v>2.5</v>
      </c>
      <c r="R1146" t="str">
        <f>IF(BBDD_fashion_boutique[[#This Row],[stock_quantity]]&gt;9,"Ok",IF(BBDD_fashion_boutique[[#This Row],[stock_quantity]]=0,"Agotado","Pocas Unidades"))</f>
        <v>Ok</v>
      </c>
      <c r="S1146" s="3">
        <f>IF(BBDD_fashion_boutique[[#This Row],[customer_rating]]="","No valorado",BBDD_fashion_boutique[[#This Row],[customer_rating]])</f>
        <v>2.5</v>
      </c>
      <c r="T1146" t="s">
        <v>24</v>
      </c>
      <c r="V1146">
        <f>IF(BBDD_fashion_boutique[[#This Row],[is_returned]]="False",0,1)</f>
        <v>0</v>
      </c>
      <c r="W1146">
        <f>IF(BBDD_fashion_boutique[[#This Row],[is_returned]]="True",0,BBDD_fashion_boutique[[#This Row],[current_price]])</f>
        <v>29.09</v>
      </c>
      <c r="X1146" t="str">
        <f>IF(BBDD_fashion_boutique[[#This Row],[return_reason]]="","No return",BBDD_fashion_boutique[[#This Row],[return_reason]])</f>
        <v>No return</v>
      </c>
      <c r="Y1146">
        <f>IF(IFERROR(VLOOKUP(BBDD_fashion_boutique[[#This Row],[product_id]],A1147:A3322,1,FALSE),0),1,0)</f>
        <v>0</v>
      </c>
    </row>
    <row r="1147" spans="1:25" x14ac:dyDescent="0.3">
      <c r="A1147" t="s">
        <v>1206</v>
      </c>
      <c r="B1147" t="s">
        <v>19</v>
      </c>
      <c r="C1147" t="s">
        <v>67</v>
      </c>
      <c r="D1147" t="s">
        <v>28</v>
      </c>
      <c r="E1147" t="s">
        <v>64</v>
      </c>
      <c r="F1147" t="str">
        <f>IF(BBDD_fashion_boutique[[#This Row],[category]]="Accessories","Accesorio",IF(BBDD_fashion_boutique[[#This Row],[size]]="","Desconocido",BBDD_fashion_boutique[[#This Row],[size]]))</f>
        <v>M</v>
      </c>
      <c r="G1147" t="s">
        <v>76</v>
      </c>
      <c r="H1147" s="2">
        <v>88.87</v>
      </c>
      <c r="I1147">
        <v>0</v>
      </c>
      <c r="J1147" s="5">
        <f>BBDD_fashion_boutique[[#This Row],[markdown_percentage]]/100</f>
        <v>0</v>
      </c>
      <c r="K1147" s="2">
        <v>88.87</v>
      </c>
      <c r="L1147" s="2">
        <f>BBDD_fashion_boutique[[#This Row],[original_price]]-BBDD_fashion_boutique[[#This Row],[current_price]]</f>
        <v>0</v>
      </c>
      <c r="M1147" s="1">
        <v>45875</v>
      </c>
      <c r="N1147" s="1" t="str">
        <f>PROPER(TEXT(BBDD_fashion_boutique[[#This Row],[purchase_date]],"dddd"))</f>
        <v>Miércoles</v>
      </c>
      <c r="O1147" s="1" t="str">
        <f>PROPER(TEXT(BBDD_fashion_boutique[[#This Row],[purchase_date]],"mmmm"))</f>
        <v>Agosto</v>
      </c>
      <c r="P1147" s="4">
        <v>27</v>
      </c>
      <c r="Q1147" s="2">
        <v>2.4</v>
      </c>
      <c r="R1147" t="str">
        <f>IF(BBDD_fashion_boutique[[#This Row],[stock_quantity]]&gt;9,"Ok",IF(BBDD_fashion_boutique[[#This Row],[stock_quantity]]=0,"Agotado","Pocas Unidades"))</f>
        <v>Ok</v>
      </c>
      <c r="S1147" s="3">
        <f>IF(BBDD_fashion_boutique[[#This Row],[customer_rating]]="","No valorado",BBDD_fashion_boutique[[#This Row],[customer_rating]])</f>
        <v>2.4</v>
      </c>
      <c r="T1147" t="s">
        <v>24</v>
      </c>
      <c r="V1147">
        <f>IF(BBDD_fashion_boutique[[#This Row],[is_returned]]="False",0,1)</f>
        <v>0</v>
      </c>
      <c r="W1147">
        <f>IF(BBDD_fashion_boutique[[#This Row],[is_returned]]="True",0,BBDD_fashion_boutique[[#This Row],[current_price]])</f>
        <v>88.87</v>
      </c>
      <c r="X1147" t="str">
        <f>IF(BBDD_fashion_boutique[[#This Row],[return_reason]]="","No return",BBDD_fashion_boutique[[#This Row],[return_reason]])</f>
        <v>No return</v>
      </c>
      <c r="Y1147">
        <f>IF(IFERROR(VLOOKUP(BBDD_fashion_boutique[[#This Row],[product_id]],A1148:A3323,1,FALSE),0),1,0)</f>
        <v>0</v>
      </c>
    </row>
    <row r="1148" spans="1:25" x14ac:dyDescent="0.3">
      <c r="A1148" t="s">
        <v>1207</v>
      </c>
      <c r="B1148" t="s">
        <v>44</v>
      </c>
      <c r="C1148" t="s">
        <v>81</v>
      </c>
      <c r="D1148" t="s">
        <v>39</v>
      </c>
      <c r="E1148" t="s">
        <v>64</v>
      </c>
      <c r="F1148" t="str">
        <f>IF(BBDD_fashion_boutique[[#This Row],[category]]="Accessories","Accesorio",IF(BBDD_fashion_boutique[[#This Row],[size]]="","Desconocido",BBDD_fashion_boutique[[#This Row],[size]]))</f>
        <v>M</v>
      </c>
      <c r="G1148" t="s">
        <v>40</v>
      </c>
      <c r="H1148" s="2">
        <v>112.6</v>
      </c>
      <c r="I1148">
        <v>19.8</v>
      </c>
      <c r="J1148" s="5">
        <f>BBDD_fashion_boutique[[#This Row],[markdown_percentage]]/100</f>
        <v>0.19800000000000001</v>
      </c>
      <c r="K1148" s="2">
        <v>90.31</v>
      </c>
      <c r="L1148" s="2">
        <f>BBDD_fashion_boutique[[#This Row],[original_price]]-BBDD_fashion_boutique[[#This Row],[current_price]]</f>
        <v>22.289999999999992</v>
      </c>
      <c r="M1148" s="1">
        <v>45875</v>
      </c>
      <c r="N1148" s="1" t="str">
        <f>PROPER(TEXT(BBDD_fashion_boutique[[#This Row],[purchase_date]],"dddd"))</f>
        <v>Miércoles</v>
      </c>
      <c r="O1148" s="1" t="str">
        <f>PROPER(TEXT(BBDD_fashion_boutique[[#This Row],[purchase_date]],"mmmm"))</f>
        <v>Agosto</v>
      </c>
      <c r="P1148" s="4">
        <v>2</v>
      </c>
      <c r="Q1148" s="2">
        <v>1</v>
      </c>
      <c r="R1148" t="str">
        <f>IF(BBDD_fashion_boutique[[#This Row],[stock_quantity]]&gt;9,"Ok",IF(BBDD_fashion_boutique[[#This Row],[stock_quantity]]=0,"Agotado","Pocas Unidades"))</f>
        <v>Pocas Unidades</v>
      </c>
      <c r="S1148" s="3">
        <f>IF(BBDD_fashion_boutique[[#This Row],[customer_rating]]="","No valorado",BBDD_fashion_boutique[[#This Row],[customer_rating]])</f>
        <v>1</v>
      </c>
      <c r="T1148" t="s">
        <v>24</v>
      </c>
      <c r="V1148">
        <f>IF(BBDD_fashion_boutique[[#This Row],[is_returned]]="False",0,1)</f>
        <v>0</v>
      </c>
      <c r="W1148">
        <f>IF(BBDD_fashion_boutique[[#This Row],[is_returned]]="True",0,BBDD_fashion_boutique[[#This Row],[current_price]])</f>
        <v>90.31</v>
      </c>
      <c r="X1148" t="str">
        <f>IF(BBDD_fashion_boutique[[#This Row],[return_reason]]="","No return",BBDD_fashion_boutique[[#This Row],[return_reason]])</f>
        <v>No return</v>
      </c>
      <c r="Y1148">
        <f>IF(IFERROR(VLOOKUP(BBDD_fashion_boutique[[#This Row],[product_id]],A1149:A3324,1,FALSE),0),1,0)</f>
        <v>0</v>
      </c>
    </row>
    <row r="1149" spans="1:25" x14ac:dyDescent="0.3">
      <c r="A1149" t="s">
        <v>1208</v>
      </c>
      <c r="B1149" t="s">
        <v>26</v>
      </c>
      <c r="C1149" t="s">
        <v>27</v>
      </c>
      <c r="D1149" t="s">
        <v>39</v>
      </c>
      <c r="E1149" t="s">
        <v>22</v>
      </c>
      <c r="F1149" t="str">
        <f>IF(BBDD_fashion_boutique[[#This Row],[category]]="Accessories","Accesorio",IF(BBDD_fashion_boutique[[#This Row],[size]]="","Desconocido",BBDD_fashion_boutique[[#This Row],[size]]))</f>
        <v>XL</v>
      </c>
      <c r="G1149" t="s">
        <v>52</v>
      </c>
      <c r="H1149" s="2">
        <v>33.35</v>
      </c>
      <c r="I1149">
        <v>0</v>
      </c>
      <c r="J1149" s="5">
        <f>BBDD_fashion_boutique[[#This Row],[markdown_percentage]]/100</f>
        <v>0</v>
      </c>
      <c r="K1149" s="2">
        <v>33.35</v>
      </c>
      <c r="L1149" s="2">
        <f>BBDD_fashion_boutique[[#This Row],[original_price]]-BBDD_fashion_boutique[[#This Row],[current_price]]</f>
        <v>0</v>
      </c>
      <c r="M1149" s="1">
        <v>45875</v>
      </c>
      <c r="N1149" s="1" t="str">
        <f>PROPER(TEXT(BBDD_fashion_boutique[[#This Row],[purchase_date]],"dddd"))</f>
        <v>Miércoles</v>
      </c>
      <c r="O1149" s="1" t="str">
        <f>PROPER(TEXT(BBDD_fashion_boutique[[#This Row],[purchase_date]],"mmmm"))</f>
        <v>Agosto</v>
      </c>
      <c r="P1149" s="4">
        <v>29</v>
      </c>
      <c r="Q1149" s="2">
        <v>1.2</v>
      </c>
      <c r="R1149" t="str">
        <f>IF(BBDD_fashion_boutique[[#This Row],[stock_quantity]]&gt;9,"Ok",IF(BBDD_fashion_boutique[[#This Row],[stock_quantity]]=0,"Agotado","Pocas Unidades"))</f>
        <v>Ok</v>
      </c>
      <c r="S1149" s="3">
        <f>IF(BBDD_fashion_boutique[[#This Row],[customer_rating]]="","No valorado",BBDD_fashion_boutique[[#This Row],[customer_rating]])</f>
        <v>1.2</v>
      </c>
      <c r="T1149" t="s">
        <v>24</v>
      </c>
      <c r="V1149">
        <f>IF(BBDD_fashion_boutique[[#This Row],[is_returned]]="False",0,1)</f>
        <v>0</v>
      </c>
      <c r="W1149">
        <f>IF(BBDD_fashion_boutique[[#This Row],[is_returned]]="True",0,BBDD_fashion_boutique[[#This Row],[current_price]])</f>
        <v>33.35</v>
      </c>
      <c r="X1149" t="str">
        <f>IF(BBDD_fashion_boutique[[#This Row],[return_reason]]="","No return",BBDD_fashion_boutique[[#This Row],[return_reason]])</f>
        <v>No return</v>
      </c>
      <c r="Y1149">
        <f>IF(IFERROR(VLOOKUP(BBDD_fashion_boutique[[#This Row],[product_id]],A1150:A3325,1,FALSE),0),1,0)</f>
        <v>0</v>
      </c>
    </row>
    <row r="1150" spans="1:25" x14ac:dyDescent="0.3">
      <c r="A1150" t="s">
        <v>1209</v>
      </c>
      <c r="B1150" t="s">
        <v>44</v>
      </c>
      <c r="C1150" t="s">
        <v>81</v>
      </c>
      <c r="D1150" t="s">
        <v>39</v>
      </c>
      <c r="E1150" t="s">
        <v>29</v>
      </c>
      <c r="F1150" t="str">
        <f>IF(BBDD_fashion_boutique[[#This Row],[category]]="Accessories","Accesorio",IF(BBDD_fashion_boutique[[#This Row],[size]]="","Desconocido",BBDD_fashion_boutique[[#This Row],[size]]))</f>
        <v>L</v>
      </c>
      <c r="G1150" t="s">
        <v>70</v>
      </c>
      <c r="H1150" s="2">
        <v>115.82</v>
      </c>
      <c r="I1150">
        <v>2.9</v>
      </c>
      <c r="J1150" s="5">
        <f>BBDD_fashion_boutique[[#This Row],[markdown_percentage]]/100</f>
        <v>2.8999999999999998E-2</v>
      </c>
      <c r="K1150" s="2">
        <v>112.46</v>
      </c>
      <c r="L1150" s="2">
        <f>BBDD_fashion_boutique[[#This Row],[original_price]]-BBDD_fashion_boutique[[#This Row],[current_price]]</f>
        <v>3.3599999999999994</v>
      </c>
      <c r="M1150" s="1">
        <v>45875</v>
      </c>
      <c r="N1150" s="1" t="str">
        <f>PROPER(TEXT(BBDD_fashion_boutique[[#This Row],[purchase_date]],"dddd"))</f>
        <v>Miércoles</v>
      </c>
      <c r="O1150" s="1" t="str">
        <f>PROPER(TEXT(BBDD_fashion_boutique[[#This Row],[purchase_date]],"mmmm"))</f>
        <v>Agosto</v>
      </c>
      <c r="P1150" s="4">
        <v>46</v>
      </c>
      <c r="R1150" t="str">
        <f>IF(BBDD_fashion_boutique[[#This Row],[stock_quantity]]&gt;9,"Ok",IF(BBDD_fashion_boutique[[#This Row],[stock_quantity]]=0,"Agotado","Pocas Unidades"))</f>
        <v>Ok</v>
      </c>
      <c r="S1150" s="3" t="str">
        <f>IF(BBDD_fashion_boutique[[#This Row],[customer_rating]]="","No valorado",BBDD_fashion_boutique[[#This Row],[customer_rating]])</f>
        <v>No valorado</v>
      </c>
      <c r="T1150" t="s">
        <v>24</v>
      </c>
      <c r="V1150">
        <f>IF(BBDD_fashion_boutique[[#This Row],[is_returned]]="False",0,1)</f>
        <v>0</v>
      </c>
      <c r="W1150">
        <f>IF(BBDD_fashion_boutique[[#This Row],[is_returned]]="True",0,BBDD_fashion_boutique[[#This Row],[current_price]])</f>
        <v>112.46</v>
      </c>
      <c r="X1150" t="str">
        <f>IF(BBDD_fashion_boutique[[#This Row],[return_reason]]="","No return",BBDD_fashion_boutique[[#This Row],[return_reason]])</f>
        <v>No return</v>
      </c>
      <c r="Y1150">
        <f>IF(IFERROR(VLOOKUP(BBDD_fashion_boutique[[#This Row],[product_id]],A1151:A3326,1,FALSE),0),1,0)</f>
        <v>0</v>
      </c>
    </row>
    <row r="1151" spans="1:25" x14ac:dyDescent="0.3">
      <c r="A1151" t="s">
        <v>1210</v>
      </c>
      <c r="B1151" t="s">
        <v>26</v>
      </c>
      <c r="C1151" t="s">
        <v>37</v>
      </c>
      <c r="D1151" t="s">
        <v>39</v>
      </c>
      <c r="E1151" t="s">
        <v>22</v>
      </c>
      <c r="F1151" t="str">
        <f>IF(BBDD_fashion_boutique[[#This Row],[category]]="Accessories","Accesorio",IF(BBDD_fashion_boutique[[#This Row],[size]]="","Desconocido",BBDD_fashion_boutique[[#This Row],[size]]))</f>
        <v>XL</v>
      </c>
      <c r="G1151" t="s">
        <v>40</v>
      </c>
      <c r="H1151" s="2">
        <v>107.79</v>
      </c>
      <c r="I1151">
        <v>3.1</v>
      </c>
      <c r="J1151" s="5">
        <f>BBDD_fashion_boutique[[#This Row],[markdown_percentage]]/100</f>
        <v>3.1E-2</v>
      </c>
      <c r="K1151" s="2">
        <v>104.45</v>
      </c>
      <c r="L1151" s="2">
        <f>BBDD_fashion_boutique[[#This Row],[original_price]]-BBDD_fashion_boutique[[#This Row],[current_price]]</f>
        <v>3.3400000000000034</v>
      </c>
      <c r="M1151" s="1">
        <v>45875</v>
      </c>
      <c r="N1151" s="1" t="str">
        <f>PROPER(TEXT(BBDD_fashion_boutique[[#This Row],[purchase_date]],"dddd"))</f>
        <v>Miércoles</v>
      </c>
      <c r="O1151" s="1" t="str">
        <f>PROPER(TEXT(BBDD_fashion_boutique[[#This Row],[purchase_date]],"mmmm"))</f>
        <v>Agosto</v>
      </c>
      <c r="P1151" s="4">
        <v>6</v>
      </c>
      <c r="Q1151" s="2">
        <v>2.8</v>
      </c>
      <c r="R1151" t="str">
        <f>IF(BBDD_fashion_boutique[[#This Row],[stock_quantity]]&gt;9,"Ok",IF(BBDD_fashion_boutique[[#This Row],[stock_quantity]]=0,"Agotado","Pocas Unidades"))</f>
        <v>Pocas Unidades</v>
      </c>
      <c r="S1151" s="3">
        <f>IF(BBDD_fashion_boutique[[#This Row],[customer_rating]]="","No valorado",BBDD_fashion_boutique[[#This Row],[customer_rating]])</f>
        <v>2.8</v>
      </c>
      <c r="T1151" t="s">
        <v>24</v>
      </c>
      <c r="V1151">
        <f>IF(BBDD_fashion_boutique[[#This Row],[is_returned]]="False",0,1)</f>
        <v>0</v>
      </c>
      <c r="W1151">
        <f>IF(BBDD_fashion_boutique[[#This Row],[is_returned]]="True",0,BBDD_fashion_boutique[[#This Row],[current_price]])</f>
        <v>104.45</v>
      </c>
      <c r="X1151" t="str">
        <f>IF(BBDD_fashion_boutique[[#This Row],[return_reason]]="","No return",BBDD_fashion_boutique[[#This Row],[return_reason]])</f>
        <v>No return</v>
      </c>
      <c r="Y1151">
        <f>IF(IFERROR(VLOOKUP(BBDD_fashion_boutique[[#This Row],[product_id]],A1152:A3327,1,FALSE),0),1,0)</f>
        <v>0</v>
      </c>
    </row>
    <row r="1152" spans="1:25" x14ac:dyDescent="0.3">
      <c r="A1152" t="s">
        <v>1211</v>
      </c>
      <c r="B1152" t="s">
        <v>26</v>
      </c>
      <c r="C1152" t="s">
        <v>54</v>
      </c>
      <c r="D1152" t="s">
        <v>68</v>
      </c>
      <c r="E1152" t="s">
        <v>45</v>
      </c>
      <c r="F1152" t="str">
        <f>IF(BBDD_fashion_boutique[[#This Row],[category]]="Accessories","Accesorio",IF(BBDD_fashion_boutique[[#This Row],[size]]="","Desconocido",BBDD_fashion_boutique[[#This Row],[size]]))</f>
        <v>S</v>
      </c>
      <c r="G1152" t="s">
        <v>40</v>
      </c>
      <c r="H1152" s="2">
        <v>53.87</v>
      </c>
      <c r="I1152">
        <v>0</v>
      </c>
      <c r="J1152" s="5">
        <f>BBDD_fashion_boutique[[#This Row],[markdown_percentage]]/100</f>
        <v>0</v>
      </c>
      <c r="K1152" s="2">
        <v>53.87</v>
      </c>
      <c r="L1152" s="2">
        <f>BBDD_fashion_boutique[[#This Row],[original_price]]-BBDD_fashion_boutique[[#This Row],[current_price]]</f>
        <v>0</v>
      </c>
      <c r="M1152" s="1">
        <v>45875</v>
      </c>
      <c r="N1152" s="1" t="str">
        <f>PROPER(TEXT(BBDD_fashion_boutique[[#This Row],[purchase_date]],"dddd"))</f>
        <v>Miércoles</v>
      </c>
      <c r="O1152" s="1" t="str">
        <f>PROPER(TEXT(BBDD_fashion_boutique[[#This Row],[purchase_date]],"mmmm"))</f>
        <v>Agosto</v>
      </c>
      <c r="P1152" s="4">
        <v>50</v>
      </c>
      <c r="Q1152" s="2">
        <v>4.2</v>
      </c>
      <c r="R1152" t="str">
        <f>IF(BBDD_fashion_boutique[[#This Row],[stock_quantity]]&gt;9,"Ok",IF(BBDD_fashion_boutique[[#This Row],[stock_quantity]]=0,"Agotado","Pocas Unidades"))</f>
        <v>Ok</v>
      </c>
      <c r="S1152" s="3">
        <f>IF(BBDD_fashion_boutique[[#This Row],[customer_rating]]="","No valorado",BBDD_fashion_boutique[[#This Row],[customer_rating]])</f>
        <v>4.2</v>
      </c>
      <c r="T1152" t="s">
        <v>41</v>
      </c>
      <c r="U1152" t="s">
        <v>84</v>
      </c>
      <c r="V1152">
        <f>IF(BBDD_fashion_boutique[[#This Row],[is_returned]]="False",0,1)</f>
        <v>1</v>
      </c>
      <c r="W1152">
        <f>IF(BBDD_fashion_boutique[[#This Row],[is_returned]]="True",0,BBDD_fashion_boutique[[#This Row],[current_price]])</f>
        <v>0</v>
      </c>
      <c r="X1152" t="str">
        <f>IF(BBDD_fashion_boutique[[#This Row],[return_reason]]="","No return",BBDD_fashion_boutique[[#This Row],[return_reason]])</f>
        <v>Damaged</v>
      </c>
      <c r="Y1152">
        <f>IF(IFERROR(VLOOKUP(BBDD_fashion_boutique[[#This Row],[product_id]],A1153:A3328,1,FALSE),0),1,0)</f>
        <v>0</v>
      </c>
    </row>
    <row r="1153" spans="1:25" x14ac:dyDescent="0.3">
      <c r="A1153" t="s">
        <v>1212</v>
      </c>
      <c r="B1153" t="s">
        <v>26</v>
      </c>
      <c r="C1153" t="s">
        <v>67</v>
      </c>
      <c r="D1153" t="s">
        <v>21</v>
      </c>
      <c r="E1153" t="s">
        <v>61</v>
      </c>
      <c r="F1153" t="str">
        <f>IF(BBDD_fashion_boutique[[#This Row],[category]]="Accessories","Accesorio",IF(BBDD_fashion_boutique[[#This Row],[size]]="","Desconocido",BBDD_fashion_boutique[[#This Row],[size]]))</f>
        <v>XS</v>
      </c>
      <c r="G1153" t="s">
        <v>52</v>
      </c>
      <c r="H1153" s="2">
        <v>72.5</v>
      </c>
      <c r="I1153">
        <v>40.799999999999997</v>
      </c>
      <c r="J1153" s="5">
        <f>BBDD_fashion_boutique[[#This Row],[markdown_percentage]]/100</f>
        <v>0.40799999999999997</v>
      </c>
      <c r="K1153" s="2">
        <v>42.92</v>
      </c>
      <c r="L1153" s="2">
        <f>BBDD_fashion_boutique[[#This Row],[original_price]]-BBDD_fashion_boutique[[#This Row],[current_price]]</f>
        <v>29.58</v>
      </c>
      <c r="M1153" s="1">
        <v>45656</v>
      </c>
      <c r="N1153" s="1" t="str">
        <f>PROPER(TEXT(BBDD_fashion_boutique[[#This Row],[purchase_date]],"dddd"))</f>
        <v>Lunes</v>
      </c>
      <c r="O1153" s="1" t="str">
        <f>PROPER(TEXT(BBDD_fashion_boutique[[#This Row],[purchase_date]],"mmmm"))</f>
        <v>Diciembre</v>
      </c>
      <c r="P1153" s="4">
        <v>23</v>
      </c>
      <c r="Q1153" s="2">
        <v>4.4000000000000004</v>
      </c>
      <c r="R1153" t="str">
        <f>IF(BBDD_fashion_boutique[[#This Row],[stock_quantity]]&gt;9,"Ok",IF(BBDD_fashion_boutique[[#This Row],[stock_quantity]]=0,"Agotado","Pocas Unidades"))</f>
        <v>Ok</v>
      </c>
      <c r="S1153" s="3">
        <f>IF(BBDD_fashion_boutique[[#This Row],[customer_rating]]="","No valorado",BBDD_fashion_boutique[[#This Row],[customer_rating]])</f>
        <v>4.4000000000000004</v>
      </c>
      <c r="T1153" t="s">
        <v>24</v>
      </c>
      <c r="V1153">
        <f>IF(BBDD_fashion_boutique[[#This Row],[is_returned]]="False",0,1)</f>
        <v>0</v>
      </c>
      <c r="W1153">
        <f>IF(BBDD_fashion_boutique[[#This Row],[is_returned]]="True",0,BBDD_fashion_boutique[[#This Row],[current_price]])</f>
        <v>42.92</v>
      </c>
      <c r="X1153" t="str">
        <f>IF(BBDD_fashion_boutique[[#This Row],[return_reason]]="","No return",BBDD_fashion_boutique[[#This Row],[return_reason]])</f>
        <v>No return</v>
      </c>
      <c r="Y1153">
        <f>IF(IFERROR(VLOOKUP(BBDD_fashion_boutique[[#This Row],[product_id]],A1154:A3329,1,FALSE),0),1,0)</f>
        <v>0</v>
      </c>
    </row>
    <row r="1154" spans="1:25" x14ac:dyDescent="0.3">
      <c r="A1154" t="s">
        <v>1213</v>
      </c>
      <c r="B1154" t="s">
        <v>35</v>
      </c>
      <c r="C1154" t="s">
        <v>67</v>
      </c>
      <c r="D1154" t="s">
        <v>21</v>
      </c>
      <c r="E1154" t="s">
        <v>45</v>
      </c>
      <c r="F1154" t="str">
        <f>IF(BBDD_fashion_boutique[[#This Row],[category]]="Accessories","Accesorio",IF(BBDD_fashion_boutique[[#This Row],[size]]="","Desconocido",BBDD_fashion_boutique[[#This Row],[size]]))</f>
        <v>S</v>
      </c>
      <c r="G1154" t="s">
        <v>46</v>
      </c>
      <c r="H1154" s="2">
        <v>152.32</v>
      </c>
      <c r="I1154">
        <v>0</v>
      </c>
      <c r="J1154" s="5">
        <f>BBDD_fashion_boutique[[#This Row],[markdown_percentage]]/100</f>
        <v>0</v>
      </c>
      <c r="K1154" s="2">
        <v>152.32</v>
      </c>
      <c r="L1154" s="2">
        <f>BBDD_fashion_boutique[[#This Row],[original_price]]-BBDD_fashion_boutique[[#This Row],[current_price]]</f>
        <v>0</v>
      </c>
      <c r="M1154" s="1">
        <v>45817</v>
      </c>
      <c r="N1154" s="1" t="str">
        <f>PROPER(TEXT(BBDD_fashion_boutique[[#This Row],[purchase_date]],"dddd"))</f>
        <v>Lunes</v>
      </c>
      <c r="O1154" s="1" t="str">
        <f>PROPER(TEXT(BBDD_fashion_boutique[[#This Row],[purchase_date]],"mmmm"))</f>
        <v>Junio</v>
      </c>
      <c r="P1154" s="4">
        <v>15</v>
      </c>
      <c r="R1154" t="str">
        <f>IF(BBDD_fashion_boutique[[#This Row],[stock_quantity]]&gt;9,"Ok",IF(BBDD_fashion_boutique[[#This Row],[stock_quantity]]=0,"Agotado","Pocas Unidades"))</f>
        <v>Ok</v>
      </c>
      <c r="S1154" s="3" t="str">
        <f>IF(BBDD_fashion_boutique[[#This Row],[customer_rating]]="","No valorado",BBDD_fashion_boutique[[#This Row],[customer_rating]])</f>
        <v>No valorado</v>
      </c>
      <c r="T1154" t="s">
        <v>24</v>
      </c>
      <c r="V1154">
        <f>IF(BBDD_fashion_boutique[[#This Row],[is_returned]]="False",0,1)</f>
        <v>0</v>
      </c>
      <c r="W1154">
        <f>IF(BBDD_fashion_boutique[[#This Row],[is_returned]]="True",0,BBDD_fashion_boutique[[#This Row],[current_price]])</f>
        <v>152.32</v>
      </c>
      <c r="X1154" t="str">
        <f>IF(BBDD_fashion_boutique[[#This Row],[return_reason]]="","No return",BBDD_fashion_boutique[[#This Row],[return_reason]])</f>
        <v>No return</v>
      </c>
      <c r="Y1154">
        <f>IF(IFERROR(VLOOKUP(BBDD_fashion_boutique[[#This Row],[product_id]],A1155:A3330,1,FALSE),0),1,0)</f>
        <v>0</v>
      </c>
    </row>
    <row r="1155" spans="1:25" x14ac:dyDescent="0.3">
      <c r="A1155" t="s">
        <v>1214</v>
      </c>
      <c r="B1155" t="s">
        <v>48</v>
      </c>
      <c r="C1155" t="s">
        <v>54</v>
      </c>
      <c r="D1155" t="s">
        <v>28</v>
      </c>
      <c r="E1155" t="s">
        <v>64</v>
      </c>
      <c r="F1155" t="str">
        <f>IF(BBDD_fashion_boutique[[#This Row],[category]]="Accessories","Accesorio",IF(BBDD_fashion_boutique[[#This Row],[size]]="","Desconocido",BBDD_fashion_boutique[[#This Row],[size]]))</f>
        <v>M</v>
      </c>
      <c r="G1155" t="s">
        <v>23</v>
      </c>
      <c r="H1155" s="2">
        <v>67.63</v>
      </c>
      <c r="I1155">
        <v>0</v>
      </c>
      <c r="J1155" s="5">
        <f>BBDD_fashion_boutique[[#This Row],[markdown_percentage]]/100</f>
        <v>0</v>
      </c>
      <c r="K1155" s="2">
        <v>67.63</v>
      </c>
      <c r="L1155" s="2">
        <f>BBDD_fashion_boutique[[#This Row],[original_price]]-BBDD_fashion_boutique[[#This Row],[current_price]]</f>
        <v>0</v>
      </c>
      <c r="M1155" s="1">
        <v>45875</v>
      </c>
      <c r="N1155" s="1" t="str">
        <f>PROPER(TEXT(BBDD_fashion_boutique[[#This Row],[purchase_date]],"dddd"))</f>
        <v>Miércoles</v>
      </c>
      <c r="O1155" s="1" t="str">
        <f>PROPER(TEXT(BBDD_fashion_boutique[[#This Row],[purchase_date]],"mmmm"))</f>
        <v>Agosto</v>
      </c>
      <c r="P1155" s="4">
        <v>9</v>
      </c>
      <c r="Q1155" s="2">
        <v>4.7</v>
      </c>
      <c r="R1155" t="str">
        <f>IF(BBDD_fashion_boutique[[#This Row],[stock_quantity]]&gt;9,"Ok",IF(BBDD_fashion_boutique[[#This Row],[stock_quantity]]=0,"Agotado","Pocas Unidades"))</f>
        <v>Pocas Unidades</v>
      </c>
      <c r="S1155" s="3">
        <f>IF(BBDD_fashion_boutique[[#This Row],[customer_rating]]="","No valorado",BBDD_fashion_boutique[[#This Row],[customer_rating]])</f>
        <v>4.7</v>
      </c>
      <c r="T1155" t="s">
        <v>24</v>
      </c>
      <c r="V1155">
        <f>IF(BBDD_fashion_boutique[[#This Row],[is_returned]]="False",0,1)</f>
        <v>0</v>
      </c>
      <c r="W1155">
        <f>IF(BBDD_fashion_boutique[[#This Row],[is_returned]]="True",0,BBDD_fashion_boutique[[#This Row],[current_price]])</f>
        <v>67.63</v>
      </c>
      <c r="X1155" t="str">
        <f>IF(BBDD_fashion_boutique[[#This Row],[return_reason]]="","No return",BBDD_fashion_boutique[[#This Row],[return_reason]])</f>
        <v>No return</v>
      </c>
      <c r="Y1155">
        <f>IF(IFERROR(VLOOKUP(BBDD_fashion_boutique[[#This Row],[product_id]],A1156:A3331,1,FALSE),0),1,0)</f>
        <v>0</v>
      </c>
    </row>
    <row r="1156" spans="1:25" x14ac:dyDescent="0.3">
      <c r="A1156" t="s">
        <v>1215</v>
      </c>
      <c r="B1156" t="s">
        <v>19</v>
      </c>
      <c r="C1156" t="s">
        <v>27</v>
      </c>
      <c r="D1156" t="s">
        <v>68</v>
      </c>
      <c r="E1156" t="s">
        <v>61</v>
      </c>
      <c r="F1156" t="str">
        <f>IF(BBDD_fashion_boutique[[#This Row],[category]]="Accessories","Accesorio",IF(BBDD_fashion_boutique[[#This Row],[size]]="","Desconocido",BBDD_fashion_boutique[[#This Row],[size]]))</f>
        <v>XS</v>
      </c>
      <c r="G1156" t="s">
        <v>72</v>
      </c>
      <c r="H1156" s="2">
        <v>221.94</v>
      </c>
      <c r="I1156">
        <v>0</v>
      </c>
      <c r="J1156" s="5">
        <f>BBDD_fashion_boutique[[#This Row],[markdown_percentage]]/100</f>
        <v>0</v>
      </c>
      <c r="K1156" s="2">
        <v>221.94</v>
      </c>
      <c r="L1156" s="2">
        <f>BBDD_fashion_boutique[[#This Row],[original_price]]-BBDD_fashion_boutique[[#This Row],[current_price]]</f>
        <v>0</v>
      </c>
      <c r="M1156" s="1">
        <v>45875</v>
      </c>
      <c r="N1156" s="1" t="str">
        <f>PROPER(TEXT(BBDD_fashion_boutique[[#This Row],[purchase_date]],"dddd"))</f>
        <v>Miércoles</v>
      </c>
      <c r="O1156" s="1" t="str">
        <f>PROPER(TEXT(BBDD_fashion_boutique[[#This Row],[purchase_date]],"mmmm"))</f>
        <v>Agosto</v>
      </c>
      <c r="P1156" s="4">
        <v>35</v>
      </c>
      <c r="Q1156" s="2">
        <v>1.5</v>
      </c>
      <c r="R1156" t="str">
        <f>IF(BBDD_fashion_boutique[[#This Row],[stock_quantity]]&gt;9,"Ok",IF(BBDD_fashion_boutique[[#This Row],[stock_quantity]]=0,"Agotado","Pocas Unidades"))</f>
        <v>Ok</v>
      </c>
      <c r="S1156" s="3">
        <f>IF(BBDD_fashion_boutique[[#This Row],[customer_rating]]="","No valorado",BBDD_fashion_boutique[[#This Row],[customer_rating]])</f>
        <v>1.5</v>
      </c>
      <c r="T1156" t="s">
        <v>24</v>
      </c>
      <c r="V1156">
        <f>IF(BBDD_fashion_boutique[[#This Row],[is_returned]]="False",0,1)</f>
        <v>0</v>
      </c>
      <c r="W1156">
        <f>IF(BBDD_fashion_boutique[[#This Row],[is_returned]]="True",0,BBDD_fashion_boutique[[#This Row],[current_price]])</f>
        <v>221.94</v>
      </c>
      <c r="X1156" t="str">
        <f>IF(BBDD_fashion_boutique[[#This Row],[return_reason]]="","No return",BBDD_fashion_boutique[[#This Row],[return_reason]])</f>
        <v>No return</v>
      </c>
      <c r="Y1156">
        <f>IF(IFERROR(VLOOKUP(BBDD_fashion_boutique[[#This Row],[product_id]],A1157:A3332,1,FALSE),0),1,0)</f>
        <v>0</v>
      </c>
    </row>
    <row r="1157" spans="1:25" x14ac:dyDescent="0.3">
      <c r="A1157" t="s">
        <v>1216</v>
      </c>
      <c r="B1157" t="s">
        <v>44</v>
      </c>
      <c r="C1157" t="s">
        <v>20</v>
      </c>
      <c r="D1157" t="s">
        <v>39</v>
      </c>
      <c r="E1157" t="s">
        <v>61</v>
      </c>
      <c r="F1157" t="str">
        <f>IF(BBDD_fashion_boutique[[#This Row],[category]]="Accessories","Accesorio",IF(BBDD_fashion_boutique[[#This Row],[size]]="","Desconocido",BBDD_fashion_boutique[[#This Row],[size]]))</f>
        <v>XS</v>
      </c>
      <c r="G1157" t="s">
        <v>30</v>
      </c>
      <c r="H1157" s="2">
        <v>118.77</v>
      </c>
      <c r="I1157">
        <v>8.4</v>
      </c>
      <c r="J1157" s="5">
        <f>BBDD_fashion_boutique[[#This Row],[markdown_percentage]]/100</f>
        <v>8.4000000000000005E-2</v>
      </c>
      <c r="K1157" s="2">
        <v>108.79</v>
      </c>
      <c r="L1157" s="2">
        <f>BBDD_fashion_boutique[[#This Row],[original_price]]-BBDD_fashion_boutique[[#This Row],[current_price]]</f>
        <v>9.9799999999999898</v>
      </c>
      <c r="M1157" s="1">
        <v>45875</v>
      </c>
      <c r="N1157" s="1" t="str">
        <f>PROPER(TEXT(BBDD_fashion_boutique[[#This Row],[purchase_date]],"dddd"))</f>
        <v>Miércoles</v>
      </c>
      <c r="O1157" s="1" t="str">
        <f>PROPER(TEXT(BBDD_fashion_boutique[[#This Row],[purchase_date]],"mmmm"))</f>
        <v>Agosto</v>
      </c>
      <c r="P1157" s="4">
        <v>30</v>
      </c>
      <c r="Q1157" s="2">
        <v>4.5999999999999996</v>
      </c>
      <c r="R1157" t="str">
        <f>IF(BBDD_fashion_boutique[[#This Row],[stock_quantity]]&gt;9,"Ok",IF(BBDD_fashion_boutique[[#This Row],[stock_quantity]]=0,"Agotado","Pocas Unidades"))</f>
        <v>Ok</v>
      </c>
      <c r="S1157" s="3">
        <f>IF(BBDD_fashion_boutique[[#This Row],[customer_rating]]="","No valorado",BBDD_fashion_boutique[[#This Row],[customer_rating]])</f>
        <v>4.5999999999999996</v>
      </c>
      <c r="T1157" t="s">
        <v>41</v>
      </c>
      <c r="U1157" t="s">
        <v>131</v>
      </c>
      <c r="V1157">
        <f>IF(BBDD_fashion_boutique[[#This Row],[is_returned]]="False",0,1)</f>
        <v>1</v>
      </c>
      <c r="W1157">
        <f>IF(BBDD_fashion_boutique[[#This Row],[is_returned]]="True",0,BBDD_fashion_boutique[[#This Row],[current_price]])</f>
        <v>0</v>
      </c>
      <c r="X1157" t="str">
        <f>IF(BBDD_fashion_boutique[[#This Row],[return_reason]]="","No return",BBDD_fashion_boutique[[#This Row],[return_reason]])</f>
        <v>Wrong Item</v>
      </c>
      <c r="Y1157">
        <f>IF(IFERROR(VLOOKUP(BBDD_fashion_boutique[[#This Row],[product_id]],A1158:A3333,1,FALSE),0),1,0)</f>
        <v>0</v>
      </c>
    </row>
    <row r="1158" spans="1:25" x14ac:dyDescent="0.3">
      <c r="A1158" t="s">
        <v>1217</v>
      </c>
      <c r="B1158" t="s">
        <v>26</v>
      </c>
      <c r="C1158" t="s">
        <v>81</v>
      </c>
      <c r="D1158" t="s">
        <v>39</v>
      </c>
      <c r="E1158" t="s">
        <v>61</v>
      </c>
      <c r="F1158" t="str">
        <f>IF(BBDD_fashion_boutique[[#This Row],[category]]="Accessories","Accesorio",IF(BBDD_fashion_boutique[[#This Row],[size]]="","Desconocido",BBDD_fashion_boutique[[#This Row],[size]]))</f>
        <v>XS</v>
      </c>
      <c r="G1158" t="s">
        <v>52</v>
      </c>
      <c r="H1158" s="2">
        <v>100.17</v>
      </c>
      <c r="I1158">
        <v>0</v>
      </c>
      <c r="J1158" s="5">
        <f>BBDD_fashion_boutique[[#This Row],[markdown_percentage]]/100</f>
        <v>0</v>
      </c>
      <c r="K1158" s="2">
        <v>100.17</v>
      </c>
      <c r="L1158" s="2">
        <f>BBDD_fashion_boutique[[#This Row],[original_price]]-BBDD_fashion_boutique[[#This Row],[current_price]]</f>
        <v>0</v>
      </c>
      <c r="M1158" s="1">
        <v>45875</v>
      </c>
      <c r="N1158" s="1" t="str">
        <f>PROPER(TEXT(BBDD_fashion_boutique[[#This Row],[purchase_date]],"dddd"))</f>
        <v>Miércoles</v>
      </c>
      <c r="O1158" s="1" t="str">
        <f>PROPER(TEXT(BBDD_fashion_boutique[[#This Row],[purchase_date]],"mmmm"))</f>
        <v>Agosto</v>
      </c>
      <c r="P1158" s="4">
        <v>18</v>
      </c>
      <c r="Q1158" s="2">
        <v>1.2</v>
      </c>
      <c r="R1158" t="str">
        <f>IF(BBDD_fashion_boutique[[#This Row],[stock_quantity]]&gt;9,"Ok",IF(BBDD_fashion_boutique[[#This Row],[stock_quantity]]=0,"Agotado","Pocas Unidades"))</f>
        <v>Ok</v>
      </c>
      <c r="S1158" s="3">
        <f>IF(BBDD_fashion_boutique[[#This Row],[customer_rating]]="","No valorado",BBDD_fashion_boutique[[#This Row],[customer_rating]])</f>
        <v>1.2</v>
      </c>
      <c r="T1158" t="s">
        <v>24</v>
      </c>
      <c r="V1158">
        <f>IF(BBDD_fashion_boutique[[#This Row],[is_returned]]="False",0,1)</f>
        <v>0</v>
      </c>
      <c r="W1158">
        <f>IF(BBDD_fashion_boutique[[#This Row],[is_returned]]="True",0,BBDD_fashion_boutique[[#This Row],[current_price]])</f>
        <v>100.17</v>
      </c>
      <c r="X1158" t="str">
        <f>IF(BBDD_fashion_boutique[[#This Row],[return_reason]]="","No return",BBDD_fashion_boutique[[#This Row],[return_reason]])</f>
        <v>No return</v>
      </c>
      <c r="Y1158">
        <f>IF(IFERROR(VLOOKUP(BBDD_fashion_boutique[[#This Row],[product_id]],A1159:A3334,1,FALSE),0),1,0)</f>
        <v>0</v>
      </c>
    </row>
    <row r="1159" spans="1:25" x14ac:dyDescent="0.3">
      <c r="A1159" t="s">
        <v>1218</v>
      </c>
      <c r="B1159" t="s">
        <v>32</v>
      </c>
      <c r="C1159" t="s">
        <v>37</v>
      </c>
      <c r="D1159" t="s">
        <v>68</v>
      </c>
      <c r="F1159" t="str">
        <f>IF(BBDD_fashion_boutique[[#This Row],[category]]="Accessories","Accesorio",IF(BBDD_fashion_boutique[[#This Row],[size]]="","Desconocido",BBDD_fashion_boutique[[#This Row],[size]]))</f>
        <v>Accesorio</v>
      </c>
      <c r="G1159" t="s">
        <v>40</v>
      </c>
      <c r="H1159" s="2">
        <v>18.45</v>
      </c>
      <c r="I1159">
        <v>0</v>
      </c>
      <c r="J1159" s="5">
        <f>BBDD_fashion_boutique[[#This Row],[markdown_percentage]]/100</f>
        <v>0</v>
      </c>
      <c r="K1159" s="2">
        <v>18.45</v>
      </c>
      <c r="L1159" s="2">
        <f>BBDD_fashion_boutique[[#This Row],[original_price]]-BBDD_fashion_boutique[[#This Row],[current_price]]</f>
        <v>0</v>
      </c>
      <c r="M1159" s="1">
        <v>45875</v>
      </c>
      <c r="N1159" s="1" t="str">
        <f>PROPER(TEXT(BBDD_fashion_boutique[[#This Row],[purchase_date]],"dddd"))</f>
        <v>Miércoles</v>
      </c>
      <c r="O1159" s="1" t="str">
        <f>PROPER(TEXT(BBDD_fashion_boutique[[#This Row],[purchase_date]],"mmmm"))</f>
        <v>Agosto</v>
      </c>
      <c r="P1159" s="4">
        <v>39</v>
      </c>
      <c r="Q1159" s="2">
        <v>2.2000000000000002</v>
      </c>
      <c r="R1159" t="str">
        <f>IF(BBDD_fashion_boutique[[#This Row],[stock_quantity]]&gt;9,"Ok",IF(BBDD_fashion_boutique[[#This Row],[stock_quantity]]=0,"Agotado","Pocas Unidades"))</f>
        <v>Ok</v>
      </c>
      <c r="S1159" s="3">
        <f>IF(BBDD_fashion_boutique[[#This Row],[customer_rating]]="","No valorado",BBDD_fashion_boutique[[#This Row],[customer_rating]])</f>
        <v>2.2000000000000002</v>
      </c>
      <c r="T1159" t="s">
        <v>24</v>
      </c>
      <c r="V1159">
        <f>IF(BBDD_fashion_boutique[[#This Row],[is_returned]]="False",0,1)</f>
        <v>0</v>
      </c>
      <c r="W1159">
        <f>IF(BBDD_fashion_boutique[[#This Row],[is_returned]]="True",0,BBDD_fashion_boutique[[#This Row],[current_price]])</f>
        <v>18.45</v>
      </c>
      <c r="X1159" t="str">
        <f>IF(BBDD_fashion_boutique[[#This Row],[return_reason]]="","No return",BBDD_fashion_boutique[[#This Row],[return_reason]])</f>
        <v>No return</v>
      </c>
      <c r="Y1159">
        <f>IF(IFERROR(VLOOKUP(BBDD_fashion_boutique[[#This Row],[product_id]],A1160:A3335,1,FALSE),0),1,0)</f>
        <v>0</v>
      </c>
    </row>
    <row r="1160" spans="1:25" x14ac:dyDescent="0.3">
      <c r="A1160" t="s">
        <v>1219</v>
      </c>
      <c r="B1160" t="s">
        <v>32</v>
      </c>
      <c r="C1160" t="s">
        <v>67</v>
      </c>
      <c r="D1160" t="s">
        <v>68</v>
      </c>
      <c r="F1160" t="str">
        <f>IF(BBDD_fashion_boutique[[#This Row],[category]]="Accessories","Accesorio",IF(BBDD_fashion_boutique[[#This Row],[size]]="","Desconocido",BBDD_fashion_boutique[[#This Row],[size]]))</f>
        <v>Accesorio</v>
      </c>
      <c r="G1160" t="s">
        <v>72</v>
      </c>
      <c r="H1160" s="2">
        <v>45.56</v>
      </c>
      <c r="I1160">
        <v>13.5</v>
      </c>
      <c r="J1160" s="5">
        <f>BBDD_fashion_boutique[[#This Row],[markdown_percentage]]/100</f>
        <v>0.13500000000000001</v>
      </c>
      <c r="K1160" s="2">
        <v>39.409999999999997</v>
      </c>
      <c r="L1160" s="2">
        <f>BBDD_fashion_boutique[[#This Row],[original_price]]-BBDD_fashion_boutique[[#This Row],[current_price]]</f>
        <v>6.1500000000000057</v>
      </c>
      <c r="M1160" s="1">
        <v>45875</v>
      </c>
      <c r="N1160" s="1" t="str">
        <f>PROPER(TEXT(BBDD_fashion_boutique[[#This Row],[purchase_date]],"dddd"))</f>
        <v>Miércoles</v>
      </c>
      <c r="O1160" s="1" t="str">
        <f>PROPER(TEXT(BBDD_fashion_boutique[[#This Row],[purchase_date]],"mmmm"))</f>
        <v>Agosto</v>
      </c>
      <c r="P1160" s="4">
        <v>40</v>
      </c>
      <c r="Q1160" s="2">
        <v>3.2</v>
      </c>
      <c r="R1160" t="str">
        <f>IF(BBDD_fashion_boutique[[#This Row],[stock_quantity]]&gt;9,"Ok",IF(BBDD_fashion_boutique[[#This Row],[stock_quantity]]=0,"Agotado","Pocas Unidades"))</f>
        <v>Ok</v>
      </c>
      <c r="S1160" s="3">
        <f>IF(BBDD_fashion_boutique[[#This Row],[customer_rating]]="","No valorado",BBDD_fashion_boutique[[#This Row],[customer_rating]])</f>
        <v>3.2</v>
      </c>
      <c r="T1160" t="s">
        <v>24</v>
      </c>
      <c r="V1160">
        <f>IF(BBDD_fashion_boutique[[#This Row],[is_returned]]="False",0,1)</f>
        <v>0</v>
      </c>
      <c r="W1160">
        <f>IF(BBDD_fashion_boutique[[#This Row],[is_returned]]="True",0,BBDD_fashion_boutique[[#This Row],[current_price]])</f>
        <v>39.409999999999997</v>
      </c>
      <c r="X1160" t="str">
        <f>IF(BBDD_fashion_boutique[[#This Row],[return_reason]]="","No return",BBDD_fashion_boutique[[#This Row],[return_reason]])</f>
        <v>No return</v>
      </c>
      <c r="Y1160">
        <f>IF(IFERROR(VLOOKUP(BBDD_fashion_boutique[[#This Row],[product_id]],A1161:A3336,1,FALSE),0),1,0)</f>
        <v>0</v>
      </c>
    </row>
    <row r="1161" spans="1:25" x14ac:dyDescent="0.3">
      <c r="A1161" t="s">
        <v>1220</v>
      </c>
      <c r="B1161" t="s">
        <v>26</v>
      </c>
      <c r="C1161" t="s">
        <v>27</v>
      </c>
      <c r="D1161" t="s">
        <v>21</v>
      </c>
      <c r="E1161" t="s">
        <v>45</v>
      </c>
      <c r="F1161" t="str">
        <f>IF(BBDD_fashion_boutique[[#This Row],[category]]="Accessories","Accesorio",IF(BBDD_fashion_boutique[[#This Row],[size]]="","Desconocido",BBDD_fashion_boutique[[#This Row],[size]]))</f>
        <v>S</v>
      </c>
      <c r="G1161" t="s">
        <v>72</v>
      </c>
      <c r="H1161" s="2">
        <v>62.21</v>
      </c>
      <c r="I1161">
        <v>0</v>
      </c>
      <c r="J1161" s="5">
        <f>BBDD_fashion_boutique[[#This Row],[markdown_percentage]]/100</f>
        <v>0</v>
      </c>
      <c r="K1161" s="2">
        <v>62.21</v>
      </c>
      <c r="L1161" s="2">
        <f>BBDD_fashion_boutique[[#This Row],[original_price]]-BBDD_fashion_boutique[[#This Row],[current_price]]</f>
        <v>0</v>
      </c>
      <c r="M1161" s="1">
        <v>45861</v>
      </c>
      <c r="N1161" s="1" t="str">
        <f>PROPER(TEXT(BBDD_fashion_boutique[[#This Row],[purchase_date]],"dddd"))</f>
        <v>Miércoles</v>
      </c>
      <c r="O1161" s="1" t="str">
        <f>PROPER(TEXT(BBDD_fashion_boutique[[#This Row],[purchase_date]],"mmmm"))</f>
        <v>Julio</v>
      </c>
      <c r="P1161" s="4">
        <v>38</v>
      </c>
      <c r="Q1161" s="2">
        <v>2.6</v>
      </c>
      <c r="R1161" t="str">
        <f>IF(BBDD_fashion_boutique[[#This Row],[stock_quantity]]&gt;9,"Ok",IF(BBDD_fashion_boutique[[#This Row],[stock_quantity]]=0,"Agotado","Pocas Unidades"))</f>
        <v>Ok</v>
      </c>
      <c r="S1161" s="3">
        <f>IF(BBDD_fashion_boutique[[#This Row],[customer_rating]]="","No valorado",BBDD_fashion_boutique[[#This Row],[customer_rating]])</f>
        <v>2.6</v>
      </c>
      <c r="T1161" t="s">
        <v>24</v>
      </c>
      <c r="V1161">
        <f>IF(BBDD_fashion_boutique[[#This Row],[is_returned]]="False",0,1)</f>
        <v>0</v>
      </c>
      <c r="W1161">
        <f>IF(BBDD_fashion_boutique[[#This Row],[is_returned]]="True",0,BBDD_fashion_boutique[[#This Row],[current_price]])</f>
        <v>62.21</v>
      </c>
      <c r="X1161" t="str">
        <f>IF(BBDD_fashion_boutique[[#This Row],[return_reason]]="","No return",BBDD_fashion_boutique[[#This Row],[return_reason]])</f>
        <v>No return</v>
      </c>
      <c r="Y1161">
        <f>IF(IFERROR(VLOOKUP(BBDD_fashion_boutique[[#This Row],[product_id]],A1162:A3337,1,FALSE),0),1,0)</f>
        <v>0</v>
      </c>
    </row>
    <row r="1162" spans="1:25" x14ac:dyDescent="0.3">
      <c r="A1162" t="s">
        <v>1221</v>
      </c>
      <c r="B1162" t="s">
        <v>32</v>
      </c>
      <c r="C1162" t="s">
        <v>81</v>
      </c>
      <c r="D1162" t="s">
        <v>28</v>
      </c>
      <c r="F1162" t="str">
        <f>IF(BBDD_fashion_boutique[[#This Row],[category]]="Accessories","Accesorio",IF(BBDD_fashion_boutique[[#This Row],[size]]="","Desconocido",BBDD_fashion_boutique[[#This Row],[size]]))</f>
        <v>Accesorio</v>
      </c>
      <c r="G1162" t="s">
        <v>50</v>
      </c>
      <c r="H1162" s="2">
        <v>37.020000000000003</v>
      </c>
      <c r="I1162">
        <v>0</v>
      </c>
      <c r="J1162" s="5">
        <f>BBDD_fashion_boutique[[#This Row],[markdown_percentage]]/100</f>
        <v>0</v>
      </c>
      <c r="K1162" s="2">
        <v>37.020000000000003</v>
      </c>
      <c r="L1162" s="2">
        <f>BBDD_fashion_boutique[[#This Row],[original_price]]-BBDD_fashion_boutique[[#This Row],[current_price]]</f>
        <v>0</v>
      </c>
      <c r="M1162" s="1">
        <v>45875</v>
      </c>
      <c r="N1162" s="1" t="str">
        <f>PROPER(TEXT(BBDD_fashion_boutique[[#This Row],[purchase_date]],"dddd"))</f>
        <v>Miércoles</v>
      </c>
      <c r="O1162" s="1" t="str">
        <f>PROPER(TEXT(BBDD_fashion_boutique[[#This Row],[purchase_date]],"mmmm"))</f>
        <v>Agosto</v>
      </c>
      <c r="P1162" s="4">
        <v>12</v>
      </c>
      <c r="Q1162" s="2">
        <v>4.3</v>
      </c>
      <c r="R1162" t="str">
        <f>IF(BBDD_fashion_boutique[[#This Row],[stock_quantity]]&gt;9,"Ok",IF(BBDD_fashion_boutique[[#This Row],[stock_quantity]]=0,"Agotado","Pocas Unidades"))</f>
        <v>Ok</v>
      </c>
      <c r="S1162" s="3">
        <f>IF(BBDD_fashion_boutique[[#This Row],[customer_rating]]="","No valorado",BBDD_fashion_boutique[[#This Row],[customer_rating]])</f>
        <v>4.3</v>
      </c>
      <c r="T1162" t="s">
        <v>24</v>
      </c>
      <c r="V1162">
        <f>IF(BBDD_fashion_boutique[[#This Row],[is_returned]]="False",0,1)</f>
        <v>0</v>
      </c>
      <c r="W1162">
        <f>IF(BBDD_fashion_boutique[[#This Row],[is_returned]]="True",0,BBDD_fashion_boutique[[#This Row],[current_price]])</f>
        <v>37.020000000000003</v>
      </c>
      <c r="X1162" t="str">
        <f>IF(BBDD_fashion_boutique[[#This Row],[return_reason]]="","No return",BBDD_fashion_boutique[[#This Row],[return_reason]])</f>
        <v>No return</v>
      </c>
      <c r="Y1162">
        <f>IF(IFERROR(VLOOKUP(BBDD_fashion_boutique[[#This Row],[product_id]],A1163:A3338,1,FALSE),0),1,0)</f>
        <v>0</v>
      </c>
    </row>
    <row r="1163" spans="1:25" x14ac:dyDescent="0.3">
      <c r="A1163" t="s">
        <v>1222</v>
      </c>
      <c r="B1163" t="s">
        <v>48</v>
      </c>
      <c r="C1163" t="s">
        <v>20</v>
      </c>
      <c r="D1163" t="s">
        <v>68</v>
      </c>
      <c r="E1163" t="s">
        <v>22</v>
      </c>
      <c r="F1163" t="str">
        <f>IF(BBDD_fashion_boutique[[#This Row],[category]]="Accessories","Accesorio",IF(BBDD_fashion_boutique[[#This Row],[size]]="","Desconocido",BBDD_fashion_boutique[[#This Row],[size]]))</f>
        <v>XL</v>
      </c>
      <c r="G1163" t="s">
        <v>62</v>
      </c>
      <c r="H1163" s="2">
        <v>51.86</v>
      </c>
      <c r="I1163">
        <v>39</v>
      </c>
      <c r="J1163" s="5">
        <f>BBDD_fashion_boutique[[#This Row],[markdown_percentage]]/100</f>
        <v>0.39</v>
      </c>
      <c r="K1163" s="2">
        <v>31.63</v>
      </c>
      <c r="L1163" s="2">
        <f>BBDD_fashion_boutique[[#This Row],[original_price]]-BBDD_fashion_boutique[[#This Row],[current_price]]</f>
        <v>20.23</v>
      </c>
      <c r="M1163" s="1">
        <v>45875</v>
      </c>
      <c r="N1163" s="1" t="str">
        <f>PROPER(TEXT(BBDD_fashion_boutique[[#This Row],[purchase_date]],"dddd"))</f>
        <v>Miércoles</v>
      </c>
      <c r="O1163" s="1" t="str">
        <f>PROPER(TEXT(BBDD_fashion_boutique[[#This Row],[purchase_date]],"mmmm"))</f>
        <v>Agosto</v>
      </c>
      <c r="P1163" s="4">
        <v>40</v>
      </c>
      <c r="Q1163" s="2">
        <v>2.4</v>
      </c>
      <c r="R1163" t="str">
        <f>IF(BBDD_fashion_boutique[[#This Row],[stock_quantity]]&gt;9,"Ok",IF(BBDD_fashion_boutique[[#This Row],[stock_quantity]]=0,"Agotado","Pocas Unidades"))</f>
        <v>Ok</v>
      </c>
      <c r="S1163" s="3">
        <f>IF(BBDD_fashion_boutique[[#This Row],[customer_rating]]="","No valorado",BBDD_fashion_boutique[[#This Row],[customer_rating]])</f>
        <v>2.4</v>
      </c>
      <c r="T1163" t="s">
        <v>24</v>
      </c>
      <c r="V1163">
        <f>IF(BBDD_fashion_boutique[[#This Row],[is_returned]]="False",0,1)</f>
        <v>0</v>
      </c>
      <c r="W1163">
        <f>IF(BBDD_fashion_boutique[[#This Row],[is_returned]]="True",0,BBDD_fashion_boutique[[#This Row],[current_price]])</f>
        <v>31.63</v>
      </c>
      <c r="X1163" t="str">
        <f>IF(BBDD_fashion_boutique[[#This Row],[return_reason]]="","No return",BBDD_fashion_boutique[[#This Row],[return_reason]])</f>
        <v>No return</v>
      </c>
      <c r="Y1163">
        <f>IF(IFERROR(VLOOKUP(BBDD_fashion_boutique[[#This Row],[product_id]],A1164:A3339,1,FALSE),0),1,0)</f>
        <v>0</v>
      </c>
    </row>
    <row r="1164" spans="1:25" x14ac:dyDescent="0.3">
      <c r="A1164" t="s">
        <v>1223</v>
      </c>
      <c r="B1164" t="s">
        <v>48</v>
      </c>
      <c r="C1164" t="s">
        <v>20</v>
      </c>
      <c r="D1164" t="s">
        <v>21</v>
      </c>
      <c r="E1164" t="s">
        <v>61</v>
      </c>
      <c r="F1164" t="str">
        <f>IF(BBDD_fashion_boutique[[#This Row],[category]]="Accessories","Accesorio",IF(BBDD_fashion_boutique[[#This Row],[size]]="","Desconocido",BBDD_fashion_boutique[[#This Row],[size]]))</f>
        <v>XS</v>
      </c>
      <c r="G1164" t="s">
        <v>72</v>
      </c>
      <c r="H1164" s="2">
        <v>76.239999999999995</v>
      </c>
      <c r="I1164">
        <v>0</v>
      </c>
      <c r="J1164" s="5">
        <f>BBDD_fashion_boutique[[#This Row],[markdown_percentage]]/100</f>
        <v>0</v>
      </c>
      <c r="K1164" s="2">
        <v>76.239999999999995</v>
      </c>
      <c r="L1164" s="2">
        <f>BBDD_fashion_boutique[[#This Row],[original_price]]-BBDD_fashion_boutique[[#This Row],[current_price]]</f>
        <v>0</v>
      </c>
      <c r="M1164" s="1">
        <v>45664</v>
      </c>
      <c r="N1164" s="1" t="str">
        <f>PROPER(TEXT(BBDD_fashion_boutique[[#This Row],[purchase_date]],"dddd"))</f>
        <v>Martes</v>
      </c>
      <c r="O1164" s="1" t="str">
        <f>PROPER(TEXT(BBDD_fashion_boutique[[#This Row],[purchase_date]],"mmmm"))</f>
        <v>Enero</v>
      </c>
      <c r="P1164" s="4">
        <v>14</v>
      </c>
      <c r="Q1164" s="2">
        <v>2.8</v>
      </c>
      <c r="R1164" t="str">
        <f>IF(BBDD_fashion_boutique[[#This Row],[stock_quantity]]&gt;9,"Ok",IF(BBDD_fashion_boutique[[#This Row],[stock_quantity]]=0,"Agotado","Pocas Unidades"))</f>
        <v>Ok</v>
      </c>
      <c r="S1164" s="3">
        <f>IF(BBDD_fashion_boutique[[#This Row],[customer_rating]]="","No valorado",BBDD_fashion_boutique[[#This Row],[customer_rating]])</f>
        <v>2.8</v>
      </c>
      <c r="T1164" t="s">
        <v>24</v>
      </c>
      <c r="V1164">
        <f>IF(BBDD_fashion_boutique[[#This Row],[is_returned]]="False",0,1)</f>
        <v>0</v>
      </c>
      <c r="W1164">
        <f>IF(BBDD_fashion_boutique[[#This Row],[is_returned]]="True",0,BBDD_fashion_boutique[[#This Row],[current_price]])</f>
        <v>76.239999999999995</v>
      </c>
      <c r="X1164" t="str">
        <f>IF(BBDD_fashion_boutique[[#This Row],[return_reason]]="","No return",BBDD_fashion_boutique[[#This Row],[return_reason]])</f>
        <v>No return</v>
      </c>
      <c r="Y1164">
        <f>IF(IFERROR(VLOOKUP(BBDD_fashion_boutique[[#This Row],[product_id]],A1165:A3340,1,FALSE),0),1,0)</f>
        <v>0</v>
      </c>
    </row>
    <row r="1165" spans="1:25" x14ac:dyDescent="0.3">
      <c r="A1165" t="s">
        <v>1224</v>
      </c>
      <c r="B1165" t="s">
        <v>32</v>
      </c>
      <c r="C1165" t="s">
        <v>20</v>
      </c>
      <c r="D1165" t="s">
        <v>39</v>
      </c>
      <c r="F1165" t="str">
        <f>IF(BBDD_fashion_boutique[[#This Row],[category]]="Accessories","Accesorio",IF(BBDD_fashion_boutique[[#This Row],[size]]="","Desconocido",BBDD_fashion_boutique[[#This Row],[size]]))</f>
        <v>Accesorio</v>
      </c>
      <c r="G1165" t="s">
        <v>46</v>
      </c>
      <c r="H1165" s="2">
        <v>74.17</v>
      </c>
      <c r="I1165">
        <v>0</v>
      </c>
      <c r="J1165" s="5">
        <f>BBDD_fashion_boutique[[#This Row],[markdown_percentage]]/100</f>
        <v>0</v>
      </c>
      <c r="K1165" s="2">
        <v>74.17</v>
      </c>
      <c r="L1165" s="2">
        <f>BBDD_fashion_boutique[[#This Row],[original_price]]-BBDD_fashion_boutique[[#This Row],[current_price]]</f>
        <v>0</v>
      </c>
      <c r="M1165" s="1">
        <v>45875</v>
      </c>
      <c r="N1165" s="1" t="str">
        <f>PROPER(TEXT(BBDD_fashion_boutique[[#This Row],[purchase_date]],"dddd"))</f>
        <v>Miércoles</v>
      </c>
      <c r="O1165" s="1" t="str">
        <f>PROPER(TEXT(BBDD_fashion_boutique[[#This Row],[purchase_date]],"mmmm"))</f>
        <v>Agosto</v>
      </c>
      <c r="P1165" s="4">
        <v>24</v>
      </c>
      <c r="Q1165" s="2">
        <v>1.7</v>
      </c>
      <c r="R1165" t="str">
        <f>IF(BBDD_fashion_boutique[[#This Row],[stock_quantity]]&gt;9,"Ok",IF(BBDD_fashion_boutique[[#This Row],[stock_quantity]]=0,"Agotado","Pocas Unidades"))</f>
        <v>Ok</v>
      </c>
      <c r="S1165" s="3">
        <f>IF(BBDD_fashion_boutique[[#This Row],[customer_rating]]="","No valorado",BBDD_fashion_boutique[[#This Row],[customer_rating]])</f>
        <v>1.7</v>
      </c>
      <c r="T1165" t="s">
        <v>24</v>
      </c>
      <c r="V1165">
        <f>IF(BBDD_fashion_boutique[[#This Row],[is_returned]]="False",0,1)</f>
        <v>0</v>
      </c>
      <c r="W1165">
        <f>IF(BBDD_fashion_boutique[[#This Row],[is_returned]]="True",0,BBDD_fashion_boutique[[#This Row],[current_price]])</f>
        <v>74.17</v>
      </c>
      <c r="X1165" t="str">
        <f>IF(BBDD_fashion_boutique[[#This Row],[return_reason]]="","No return",BBDD_fashion_boutique[[#This Row],[return_reason]])</f>
        <v>No return</v>
      </c>
      <c r="Y1165">
        <f>IF(IFERROR(VLOOKUP(BBDD_fashion_boutique[[#This Row],[product_id]],A1166:A3341,1,FALSE),0),1,0)</f>
        <v>0</v>
      </c>
    </row>
    <row r="1166" spans="1:25" x14ac:dyDescent="0.3">
      <c r="A1166" t="s">
        <v>1225</v>
      </c>
      <c r="B1166" t="s">
        <v>44</v>
      </c>
      <c r="C1166" t="s">
        <v>81</v>
      </c>
      <c r="D1166" t="s">
        <v>21</v>
      </c>
      <c r="E1166" t="s">
        <v>29</v>
      </c>
      <c r="F1166" t="str">
        <f>IF(BBDD_fashion_boutique[[#This Row],[category]]="Accessories","Accesorio",IF(BBDD_fashion_boutique[[#This Row],[size]]="","Desconocido",BBDD_fashion_boutique[[#This Row],[size]]))</f>
        <v>L</v>
      </c>
      <c r="G1166" t="s">
        <v>62</v>
      </c>
      <c r="H1166" s="2">
        <v>75.989999999999995</v>
      </c>
      <c r="I1166">
        <v>0</v>
      </c>
      <c r="J1166" s="5">
        <f>BBDD_fashion_boutique[[#This Row],[markdown_percentage]]/100</f>
        <v>0</v>
      </c>
      <c r="K1166" s="2">
        <v>75.989999999999995</v>
      </c>
      <c r="L1166" s="2">
        <f>BBDD_fashion_boutique[[#This Row],[original_price]]-BBDD_fashion_boutique[[#This Row],[current_price]]</f>
        <v>0</v>
      </c>
      <c r="M1166" s="1">
        <v>45706</v>
      </c>
      <c r="N1166" s="1" t="str">
        <f>PROPER(TEXT(BBDD_fashion_boutique[[#This Row],[purchase_date]],"dddd"))</f>
        <v>Martes</v>
      </c>
      <c r="O1166" s="1" t="str">
        <f>PROPER(TEXT(BBDD_fashion_boutique[[#This Row],[purchase_date]],"mmmm"))</f>
        <v>Febrero</v>
      </c>
      <c r="P1166" s="4">
        <v>19</v>
      </c>
      <c r="Q1166" s="2">
        <v>1.7</v>
      </c>
      <c r="R1166" t="str">
        <f>IF(BBDD_fashion_boutique[[#This Row],[stock_quantity]]&gt;9,"Ok",IF(BBDD_fashion_boutique[[#This Row],[stock_quantity]]=0,"Agotado","Pocas Unidades"))</f>
        <v>Ok</v>
      </c>
      <c r="S1166" s="3">
        <f>IF(BBDD_fashion_boutique[[#This Row],[customer_rating]]="","No valorado",BBDD_fashion_boutique[[#This Row],[customer_rating]])</f>
        <v>1.7</v>
      </c>
      <c r="T1166" t="s">
        <v>41</v>
      </c>
      <c r="U1166" t="s">
        <v>79</v>
      </c>
      <c r="V1166">
        <f>IF(BBDD_fashion_boutique[[#This Row],[is_returned]]="False",0,1)</f>
        <v>1</v>
      </c>
      <c r="W1166">
        <f>IF(BBDD_fashion_boutique[[#This Row],[is_returned]]="True",0,BBDD_fashion_boutique[[#This Row],[current_price]])</f>
        <v>0</v>
      </c>
      <c r="X1166" t="str">
        <f>IF(BBDD_fashion_boutique[[#This Row],[return_reason]]="","No return",BBDD_fashion_boutique[[#This Row],[return_reason]])</f>
        <v>Size Issue</v>
      </c>
      <c r="Y1166">
        <f>IF(IFERROR(VLOOKUP(BBDD_fashion_boutique[[#This Row],[product_id]],A1167:A3342,1,FALSE),0),1,0)</f>
        <v>0</v>
      </c>
    </row>
    <row r="1167" spans="1:25" x14ac:dyDescent="0.3">
      <c r="A1167" t="s">
        <v>1226</v>
      </c>
      <c r="B1167" t="s">
        <v>44</v>
      </c>
      <c r="C1167" t="s">
        <v>54</v>
      </c>
      <c r="D1167" t="s">
        <v>28</v>
      </c>
      <c r="E1167" t="s">
        <v>61</v>
      </c>
      <c r="F1167" t="str">
        <f>IF(BBDD_fashion_boutique[[#This Row],[category]]="Accessories","Accesorio",IF(BBDD_fashion_boutique[[#This Row],[size]]="","Desconocido",BBDD_fashion_boutique[[#This Row],[size]]))</f>
        <v>XS</v>
      </c>
      <c r="G1167" t="s">
        <v>70</v>
      </c>
      <c r="H1167" s="2">
        <v>62.33</v>
      </c>
      <c r="I1167">
        <v>49.4</v>
      </c>
      <c r="J1167" s="5">
        <f>BBDD_fashion_boutique[[#This Row],[markdown_percentage]]/100</f>
        <v>0.49399999999999999</v>
      </c>
      <c r="K1167" s="2">
        <v>31.54</v>
      </c>
      <c r="L1167" s="2">
        <f>BBDD_fashion_boutique[[#This Row],[original_price]]-BBDD_fashion_boutique[[#This Row],[current_price]]</f>
        <v>30.79</v>
      </c>
      <c r="M1167" s="1">
        <v>45875</v>
      </c>
      <c r="N1167" s="1" t="str">
        <f>PROPER(TEXT(BBDD_fashion_boutique[[#This Row],[purchase_date]],"dddd"))</f>
        <v>Miércoles</v>
      </c>
      <c r="O1167" s="1" t="str">
        <f>PROPER(TEXT(BBDD_fashion_boutique[[#This Row],[purchase_date]],"mmmm"))</f>
        <v>Agosto</v>
      </c>
      <c r="P1167" s="4">
        <v>46</v>
      </c>
      <c r="Q1167" s="2">
        <v>3.5</v>
      </c>
      <c r="R1167" t="str">
        <f>IF(BBDD_fashion_boutique[[#This Row],[stock_quantity]]&gt;9,"Ok",IF(BBDD_fashion_boutique[[#This Row],[stock_quantity]]=0,"Agotado","Pocas Unidades"))</f>
        <v>Ok</v>
      </c>
      <c r="S1167" s="3">
        <f>IF(BBDD_fashion_boutique[[#This Row],[customer_rating]]="","No valorado",BBDD_fashion_boutique[[#This Row],[customer_rating]])</f>
        <v>3.5</v>
      </c>
      <c r="T1167" t="s">
        <v>24</v>
      </c>
      <c r="V1167">
        <f>IF(BBDD_fashion_boutique[[#This Row],[is_returned]]="False",0,1)</f>
        <v>0</v>
      </c>
      <c r="W1167">
        <f>IF(BBDD_fashion_boutique[[#This Row],[is_returned]]="True",0,BBDD_fashion_boutique[[#This Row],[current_price]])</f>
        <v>31.54</v>
      </c>
      <c r="X1167" t="str">
        <f>IF(BBDD_fashion_boutique[[#This Row],[return_reason]]="","No return",BBDD_fashion_boutique[[#This Row],[return_reason]])</f>
        <v>No return</v>
      </c>
      <c r="Y1167">
        <f>IF(IFERROR(VLOOKUP(BBDD_fashion_boutique[[#This Row],[product_id]],A1168:A3343,1,FALSE),0),1,0)</f>
        <v>0</v>
      </c>
    </row>
    <row r="1168" spans="1:25" x14ac:dyDescent="0.3">
      <c r="A1168" t="s">
        <v>1227</v>
      </c>
      <c r="B1168" t="s">
        <v>44</v>
      </c>
      <c r="C1168" t="s">
        <v>49</v>
      </c>
      <c r="D1168" t="s">
        <v>28</v>
      </c>
      <c r="E1168" t="s">
        <v>55</v>
      </c>
      <c r="F1168" t="str">
        <f>IF(BBDD_fashion_boutique[[#This Row],[category]]="Accessories","Accesorio",IF(BBDD_fashion_boutique[[#This Row],[size]]="","Desconocido",BBDD_fashion_boutique[[#This Row],[size]]))</f>
        <v>XXL</v>
      </c>
      <c r="G1168" t="s">
        <v>23</v>
      </c>
      <c r="H1168" s="2">
        <v>93.59</v>
      </c>
      <c r="I1168">
        <v>0</v>
      </c>
      <c r="J1168" s="5">
        <f>BBDD_fashion_boutique[[#This Row],[markdown_percentage]]/100</f>
        <v>0</v>
      </c>
      <c r="K1168" s="2">
        <v>93.59</v>
      </c>
      <c r="L1168" s="2">
        <f>BBDD_fashion_boutique[[#This Row],[original_price]]-BBDD_fashion_boutique[[#This Row],[current_price]]</f>
        <v>0</v>
      </c>
      <c r="M1168" s="1">
        <v>45875</v>
      </c>
      <c r="N1168" s="1" t="str">
        <f>PROPER(TEXT(BBDD_fashion_boutique[[#This Row],[purchase_date]],"dddd"))</f>
        <v>Miércoles</v>
      </c>
      <c r="O1168" s="1" t="str">
        <f>PROPER(TEXT(BBDD_fashion_boutique[[#This Row],[purchase_date]],"mmmm"))</f>
        <v>Agosto</v>
      </c>
      <c r="P1168" s="4">
        <v>38</v>
      </c>
      <c r="Q1168" s="2">
        <v>1.9</v>
      </c>
      <c r="R1168" t="str">
        <f>IF(BBDD_fashion_boutique[[#This Row],[stock_quantity]]&gt;9,"Ok",IF(BBDD_fashion_boutique[[#This Row],[stock_quantity]]=0,"Agotado","Pocas Unidades"))</f>
        <v>Ok</v>
      </c>
      <c r="S1168" s="3">
        <f>IF(BBDD_fashion_boutique[[#This Row],[customer_rating]]="","No valorado",BBDD_fashion_boutique[[#This Row],[customer_rating]])</f>
        <v>1.9</v>
      </c>
      <c r="T1168" t="s">
        <v>24</v>
      </c>
      <c r="V1168">
        <f>IF(BBDD_fashion_boutique[[#This Row],[is_returned]]="False",0,1)</f>
        <v>0</v>
      </c>
      <c r="W1168">
        <f>IF(BBDD_fashion_boutique[[#This Row],[is_returned]]="True",0,BBDD_fashion_boutique[[#This Row],[current_price]])</f>
        <v>93.59</v>
      </c>
      <c r="X1168" t="str">
        <f>IF(BBDD_fashion_boutique[[#This Row],[return_reason]]="","No return",BBDD_fashion_boutique[[#This Row],[return_reason]])</f>
        <v>No return</v>
      </c>
      <c r="Y1168">
        <f>IF(IFERROR(VLOOKUP(BBDD_fashion_boutique[[#This Row],[product_id]],A1169:A3344,1,FALSE),0),1,0)</f>
        <v>0</v>
      </c>
    </row>
    <row r="1169" spans="1:25" x14ac:dyDescent="0.3">
      <c r="A1169" t="s">
        <v>1228</v>
      </c>
      <c r="B1169" t="s">
        <v>26</v>
      </c>
      <c r="C1169" t="s">
        <v>81</v>
      </c>
      <c r="D1169" t="s">
        <v>39</v>
      </c>
      <c r="F1169" t="str">
        <f>IF(BBDD_fashion_boutique[[#This Row],[category]]="Accessories","Accesorio",IF(BBDD_fashion_boutique[[#This Row],[size]]="","Desconocido",BBDD_fashion_boutique[[#This Row],[size]]))</f>
        <v>Desconocido</v>
      </c>
      <c r="G1169" t="s">
        <v>50</v>
      </c>
      <c r="H1169" s="2">
        <v>72.83</v>
      </c>
      <c r="I1169">
        <v>35.700000000000003</v>
      </c>
      <c r="J1169" s="5">
        <f>BBDD_fashion_boutique[[#This Row],[markdown_percentage]]/100</f>
        <v>0.35700000000000004</v>
      </c>
      <c r="K1169" s="2">
        <v>46.83</v>
      </c>
      <c r="L1169" s="2">
        <f>BBDD_fashion_boutique[[#This Row],[original_price]]-BBDD_fashion_boutique[[#This Row],[current_price]]</f>
        <v>26</v>
      </c>
      <c r="M1169" s="1">
        <v>45875</v>
      </c>
      <c r="N1169" s="1" t="str">
        <f>PROPER(TEXT(BBDD_fashion_boutique[[#This Row],[purchase_date]],"dddd"))</f>
        <v>Miércoles</v>
      </c>
      <c r="O1169" s="1" t="str">
        <f>PROPER(TEXT(BBDD_fashion_boutique[[#This Row],[purchase_date]],"mmmm"))</f>
        <v>Agosto</v>
      </c>
      <c r="P1169" s="4">
        <v>11</v>
      </c>
      <c r="Q1169" s="2">
        <v>3.1</v>
      </c>
      <c r="R1169" t="str">
        <f>IF(BBDD_fashion_boutique[[#This Row],[stock_quantity]]&gt;9,"Ok",IF(BBDD_fashion_boutique[[#This Row],[stock_quantity]]=0,"Agotado","Pocas Unidades"))</f>
        <v>Ok</v>
      </c>
      <c r="S1169" s="3">
        <f>IF(BBDD_fashion_boutique[[#This Row],[customer_rating]]="","No valorado",BBDD_fashion_boutique[[#This Row],[customer_rating]])</f>
        <v>3.1</v>
      </c>
      <c r="T1169" t="s">
        <v>24</v>
      </c>
      <c r="V1169">
        <f>IF(BBDD_fashion_boutique[[#This Row],[is_returned]]="False",0,1)</f>
        <v>0</v>
      </c>
      <c r="W1169">
        <f>IF(BBDD_fashion_boutique[[#This Row],[is_returned]]="True",0,BBDD_fashion_boutique[[#This Row],[current_price]])</f>
        <v>46.83</v>
      </c>
      <c r="X1169" t="str">
        <f>IF(BBDD_fashion_boutique[[#This Row],[return_reason]]="","No return",BBDD_fashion_boutique[[#This Row],[return_reason]])</f>
        <v>No return</v>
      </c>
      <c r="Y1169">
        <f>IF(IFERROR(VLOOKUP(BBDD_fashion_boutique[[#This Row],[product_id]],A1170:A3345,1,FALSE),0),1,0)</f>
        <v>0</v>
      </c>
    </row>
    <row r="1170" spans="1:25" x14ac:dyDescent="0.3">
      <c r="A1170" t="s">
        <v>1229</v>
      </c>
      <c r="B1170" t="s">
        <v>19</v>
      </c>
      <c r="C1170" t="s">
        <v>27</v>
      </c>
      <c r="D1170" t="s">
        <v>28</v>
      </c>
      <c r="E1170" t="s">
        <v>55</v>
      </c>
      <c r="F1170" t="str">
        <f>IF(BBDD_fashion_boutique[[#This Row],[category]]="Accessories","Accesorio",IF(BBDD_fashion_boutique[[#This Row],[size]]="","Desconocido",BBDD_fashion_boutique[[#This Row],[size]]))</f>
        <v>XXL</v>
      </c>
      <c r="G1170" t="s">
        <v>46</v>
      </c>
      <c r="H1170" s="2">
        <v>134.59</v>
      </c>
      <c r="I1170">
        <v>33.6</v>
      </c>
      <c r="J1170" s="5">
        <f>BBDD_fashion_boutique[[#This Row],[markdown_percentage]]/100</f>
        <v>0.33600000000000002</v>
      </c>
      <c r="K1170" s="2">
        <v>89.37</v>
      </c>
      <c r="L1170" s="2">
        <f>BBDD_fashion_boutique[[#This Row],[original_price]]-BBDD_fashion_boutique[[#This Row],[current_price]]</f>
        <v>45.22</v>
      </c>
      <c r="M1170" s="1">
        <v>45875</v>
      </c>
      <c r="N1170" s="1" t="str">
        <f>PROPER(TEXT(BBDD_fashion_boutique[[#This Row],[purchase_date]],"dddd"))</f>
        <v>Miércoles</v>
      </c>
      <c r="O1170" s="1" t="str">
        <f>PROPER(TEXT(BBDD_fashion_boutique[[#This Row],[purchase_date]],"mmmm"))</f>
        <v>Agosto</v>
      </c>
      <c r="P1170" s="4">
        <v>42</v>
      </c>
      <c r="Q1170" s="2">
        <v>2.9</v>
      </c>
      <c r="R1170" t="str">
        <f>IF(BBDD_fashion_boutique[[#This Row],[stock_quantity]]&gt;9,"Ok",IF(BBDD_fashion_boutique[[#This Row],[stock_quantity]]=0,"Agotado","Pocas Unidades"))</f>
        <v>Ok</v>
      </c>
      <c r="S1170" s="3">
        <f>IF(BBDD_fashion_boutique[[#This Row],[customer_rating]]="","No valorado",BBDD_fashion_boutique[[#This Row],[customer_rating]])</f>
        <v>2.9</v>
      </c>
      <c r="T1170" t="s">
        <v>24</v>
      </c>
      <c r="V1170">
        <f>IF(BBDD_fashion_boutique[[#This Row],[is_returned]]="False",0,1)</f>
        <v>0</v>
      </c>
      <c r="W1170">
        <f>IF(BBDD_fashion_boutique[[#This Row],[is_returned]]="True",0,BBDD_fashion_boutique[[#This Row],[current_price]])</f>
        <v>89.37</v>
      </c>
      <c r="X1170" t="str">
        <f>IF(BBDD_fashion_boutique[[#This Row],[return_reason]]="","No return",BBDD_fashion_boutique[[#This Row],[return_reason]])</f>
        <v>No return</v>
      </c>
      <c r="Y1170">
        <f>IF(IFERROR(VLOOKUP(BBDD_fashion_boutique[[#This Row],[product_id]],A1171:A3346,1,FALSE),0),1,0)</f>
        <v>0</v>
      </c>
    </row>
    <row r="1171" spans="1:25" x14ac:dyDescent="0.3">
      <c r="A1171" t="s">
        <v>1230</v>
      </c>
      <c r="B1171" t="s">
        <v>44</v>
      </c>
      <c r="C1171" t="s">
        <v>20</v>
      </c>
      <c r="D1171" t="s">
        <v>21</v>
      </c>
      <c r="F1171" t="str">
        <f>IF(BBDD_fashion_boutique[[#This Row],[category]]="Accessories","Accesorio",IF(BBDD_fashion_boutique[[#This Row],[size]]="","Desconocido",BBDD_fashion_boutique[[#This Row],[size]]))</f>
        <v>Desconocido</v>
      </c>
      <c r="G1171" t="s">
        <v>62</v>
      </c>
      <c r="H1171" s="2">
        <v>71.599999999999994</v>
      </c>
      <c r="I1171">
        <v>41.9</v>
      </c>
      <c r="J1171" s="5">
        <f>BBDD_fashion_boutique[[#This Row],[markdown_percentage]]/100</f>
        <v>0.41899999999999998</v>
      </c>
      <c r="K1171" s="2">
        <v>41.6</v>
      </c>
      <c r="L1171" s="2">
        <f>BBDD_fashion_boutique[[#This Row],[original_price]]-BBDD_fashion_boutique[[#This Row],[current_price]]</f>
        <v>29.999999999999993</v>
      </c>
      <c r="M1171" s="1">
        <v>45759</v>
      </c>
      <c r="N1171" s="1" t="str">
        <f>PROPER(TEXT(BBDD_fashion_boutique[[#This Row],[purchase_date]],"dddd"))</f>
        <v>Sábado</v>
      </c>
      <c r="O1171" s="1" t="str">
        <f>PROPER(TEXT(BBDD_fashion_boutique[[#This Row],[purchase_date]],"mmmm"))</f>
        <v>Abril</v>
      </c>
      <c r="P1171" s="4">
        <v>16</v>
      </c>
      <c r="Q1171" s="2">
        <v>2.8</v>
      </c>
      <c r="R1171" t="str">
        <f>IF(BBDD_fashion_boutique[[#This Row],[stock_quantity]]&gt;9,"Ok",IF(BBDD_fashion_boutique[[#This Row],[stock_quantity]]=0,"Agotado","Pocas Unidades"))</f>
        <v>Ok</v>
      </c>
      <c r="S1171" s="3">
        <f>IF(BBDD_fashion_boutique[[#This Row],[customer_rating]]="","No valorado",BBDD_fashion_boutique[[#This Row],[customer_rating]])</f>
        <v>2.8</v>
      </c>
      <c r="T1171" t="s">
        <v>24</v>
      </c>
      <c r="V1171">
        <f>IF(BBDD_fashion_boutique[[#This Row],[is_returned]]="False",0,1)</f>
        <v>0</v>
      </c>
      <c r="W1171">
        <f>IF(BBDD_fashion_boutique[[#This Row],[is_returned]]="True",0,BBDD_fashion_boutique[[#This Row],[current_price]])</f>
        <v>41.6</v>
      </c>
      <c r="X1171" t="str">
        <f>IF(BBDD_fashion_boutique[[#This Row],[return_reason]]="","No return",BBDD_fashion_boutique[[#This Row],[return_reason]])</f>
        <v>No return</v>
      </c>
      <c r="Y1171">
        <f>IF(IFERROR(VLOOKUP(BBDD_fashion_boutique[[#This Row],[product_id]],A1172:A3347,1,FALSE),0),1,0)</f>
        <v>0</v>
      </c>
    </row>
    <row r="1172" spans="1:25" x14ac:dyDescent="0.3">
      <c r="A1172" t="s">
        <v>1231</v>
      </c>
      <c r="B1172" t="s">
        <v>35</v>
      </c>
      <c r="C1172" t="s">
        <v>59</v>
      </c>
      <c r="D1172" t="s">
        <v>68</v>
      </c>
      <c r="E1172" t="s">
        <v>22</v>
      </c>
      <c r="F1172" t="str">
        <f>IF(BBDD_fashion_boutique[[#This Row],[category]]="Accessories","Accesorio",IF(BBDD_fashion_boutique[[#This Row],[size]]="","Desconocido",BBDD_fashion_boutique[[#This Row],[size]]))</f>
        <v>XL</v>
      </c>
      <c r="G1172" t="s">
        <v>23</v>
      </c>
      <c r="H1172" s="2">
        <v>62.35</v>
      </c>
      <c r="I1172">
        <v>53.5</v>
      </c>
      <c r="J1172" s="5">
        <f>BBDD_fashion_boutique[[#This Row],[markdown_percentage]]/100</f>
        <v>0.53500000000000003</v>
      </c>
      <c r="K1172" s="2">
        <v>28.99</v>
      </c>
      <c r="L1172" s="2">
        <f>BBDD_fashion_boutique[[#This Row],[original_price]]-BBDD_fashion_boutique[[#This Row],[current_price]]</f>
        <v>33.36</v>
      </c>
      <c r="M1172" s="1">
        <v>45875</v>
      </c>
      <c r="N1172" s="1" t="str">
        <f>PROPER(TEXT(BBDD_fashion_boutique[[#This Row],[purchase_date]],"dddd"))</f>
        <v>Miércoles</v>
      </c>
      <c r="O1172" s="1" t="str">
        <f>PROPER(TEXT(BBDD_fashion_boutique[[#This Row],[purchase_date]],"mmmm"))</f>
        <v>Agosto</v>
      </c>
      <c r="P1172" s="4">
        <v>1</v>
      </c>
      <c r="Q1172" s="2">
        <v>4.0999999999999996</v>
      </c>
      <c r="R1172" t="str">
        <f>IF(BBDD_fashion_boutique[[#This Row],[stock_quantity]]&gt;9,"Ok",IF(BBDD_fashion_boutique[[#This Row],[stock_quantity]]=0,"Agotado","Pocas Unidades"))</f>
        <v>Pocas Unidades</v>
      </c>
      <c r="S1172" s="3">
        <f>IF(BBDD_fashion_boutique[[#This Row],[customer_rating]]="","No valorado",BBDD_fashion_boutique[[#This Row],[customer_rating]])</f>
        <v>4.0999999999999996</v>
      </c>
      <c r="T1172" t="s">
        <v>24</v>
      </c>
      <c r="V1172">
        <f>IF(BBDD_fashion_boutique[[#This Row],[is_returned]]="False",0,1)</f>
        <v>0</v>
      </c>
      <c r="W1172">
        <f>IF(BBDD_fashion_boutique[[#This Row],[is_returned]]="True",0,BBDD_fashion_boutique[[#This Row],[current_price]])</f>
        <v>28.99</v>
      </c>
      <c r="X1172" t="str">
        <f>IF(BBDD_fashion_boutique[[#This Row],[return_reason]]="","No return",BBDD_fashion_boutique[[#This Row],[return_reason]])</f>
        <v>No return</v>
      </c>
      <c r="Y1172">
        <f>IF(IFERROR(VLOOKUP(BBDD_fashion_boutique[[#This Row],[product_id]],A1173:A3348,1,FALSE),0),1,0)</f>
        <v>0</v>
      </c>
    </row>
    <row r="1173" spans="1:25" x14ac:dyDescent="0.3">
      <c r="A1173" t="s">
        <v>1232</v>
      </c>
      <c r="B1173" t="s">
        <v>19</v>
      </c>
      <c r="C1173" t="s">
        <v>59</v>
      </c>
      <c r="D1173" t="s">
        <v>21</v>
      </c>
      <c r="E1173" t="s">
        <v>61</v>
      </c>
      <c r="F1173" t="str">
        <f>IF(BBDD_fashion_boutique[[#This Row],[category]]="Accessories","Accesorio",IF(BBDD_fashion_boutique[[#This Row],[size]]="","Desconocido",BBDD_fashion_boutique[[#This Row],[size]]))</f>
        <v>XS</v>
      </c>
      <c r="G1173" t="s">
        <v>70</v>
      </c>
      <c r="H1173" s="2">
        <v>80.55</v>
      </c>
      <c r="I1173">
        <v>43.7</v>
      </c>
      <c r="J1173" s="5">
        <f>BBDD_fashion_boutique[[#This Row],[markdown_percentage]]/100</f>
        <v>0.43700000000000006</v>
      </c>
      <c r="K1173" s="2">
        <v>45.35</v>
      </c>
      <c r="L1173" s="2">
        <f>BBDD_fashion_boutique[[#This Row],[original_price]]-BBDD_fashion_boutique[[#This Row],[current_price]]</f>
        <v>35.199999999999996</v>
      </c>
      <c r="M1173" s="1">
        <v>45586</v>
      </c>
      <c r="N1173" s="1" t="str">
        <f>PROPER(TEXT(BBDD_fashion_boutique[[#This Row],[purchase_date]],"dddd"))</f>
        <v>Lunes</v>
      </c>
      <c r="O1173" s="1" t="str">
        <f>PROPER(TEXT(BBDD_fashion_boutique[[#This Row],[purchase_date]],"mmmm"))</f>
        <v>Octubre</v>
      </c>
      <c r="P1173" s="4">
        <v>41</v>
      </c>
      <c r="Q1173" s="2">
        <v>4.8</v>
      </c>
      <c r="R1173" t="str">
        <f>IF(BBDD_fashion_boutique[[#This Row],[stock_quantity]]&gt;9,"Ok",IF(BBDD_fashion_boutique[[#This Row],[stock_quantity]]=0,"Agotado","Pocas Unidades"))</f>
        <v>Ok</v>
      </c>
      <c r="S1173" s="3">
        <f>IF(BBDD_fashion_boutique[[#This Row],[customer_rating]]="","No valorado",BBDD_fashion_boutique[[#This Row],[customer_rating]])</f>
        <v>4.8</v>
      </c>
      <c r="T1173" t="s">
        <v>41</v>
      </c>
      <c r="U1173" t="s">
        <v>121</v>
      </c>
      <c r="V1173">
        <f>IF(BBDD_fashion_boutique[[#This Row],[is_returned]]="False",0,1)</f>
        <v>1</v>
      </c>
      <c r="W1173">
        <f>IF(BBDD_fashion_boutique[[#This Row],[is_returned]]="True",0,BBDD_fashion_boutique[[#This Row],[current_price]])</f>
        <v>0</v>
      </c>
      <c r="X1173" t="str">
        <f>IF(BBDD_fashion_boutique[[#This Row],[return_reason]]="","No return",BBDD_fashion_boutique[[#This Row],[return_reason]])</f>
        <v>Changed Mind</v>
      </c>
      <c r="Y1173">
        <f>IF(IFERROR(VLOOKUP(BBDD_fashion_boutique[[#This Row],[product_id]],A1174:A3349,1,FALSE),0),1,0)</f>
        <v>0</v>
      </c>
    </row>
    <row r="1174" spans="1:25" x14ac:dyDescent="0.3">
      <c r="A1174" t="s">
        <v>1233</v>
      </c>
      <c r="B1174" t="s">
        <v>35</v>
      </c>
      <c r="C1174" t="s">
        <v>37</v>
      </c>
      <c r="D1174" t="s">
        <v>28</v>
      </c>
      <c r="E1174" t="s">
        <v>64</v>
      </c>
      <c r="F1174" t="str">
        <f>IF(BBDD_fashion_boutique[[#This Row],[category]]="Accessories","Accesorio",IF(BBDD_fashion_boutique[[#This Row],[size]]="","Desconocido",BBDD_fashion_boutique[[#This Row],[size]]))</f>
        <v>M</v>
      </c>
      <c r="G1174" t="s">
        <v>62</v>
      </c>
      <c r="H1174" s="2">
        <v>171.48</v>
      </c>
      <c r="I1174">
        <v>0</v>
      </c>
      <c r="J1174" s="5">
        <f>BBDD_fashion_boutique[[#This Row],[markdown_percentage]]/100</f>
        <v>0</v>
      </c>
      <c r="K1174" s="2">
        <v>171.48</v>
      </c>
      <c r="L1174" s="2">
        <f>BBDD_fashion_boutique[[#This Row],[original_price]]-BBDD_fashion_boutique[[#This Row],[current_price]]</f>
        <v>0</v>
      </c>
      <c r="M1174" s="1">
        <v>45875</v>
      </c>
      <c r="N1174" s="1" t="str">
        <f>PROPER(TEXT(BBDD_fashion_boutique[[#This Row],[purchase_date]],"dddd"))</f>
        <v>Miércoles</v>
      </c>
      <c r="O1174" s="1" t="str">
        <f>PROPER(TEXT(BBDD_fashion_boutique[[#This Row],[purchase_date]],"mmmm"))</f>
        <v>Agosto</v>
      </c>
      <c r="P1174" s="4">
        <v>15</v>
      </c>
      <c r="Q1174" s="2">
        <v>2.4</v>
      </c>
      <c r="R1174" t="str">
        <f>IF(BBDD_fashion_boutique[[#This Row],[stock_quantity]]&gt;9,"Ok",IF(BBDD_fashion_boutique[[#This Row],[stock_quantity]]=0,"Agotado","Pocas Unidades"))</f>
        <v>Ok</v>
      </c>
      <c r="S1174" s="3">
        <f>IF(BBDD_fashion_boutique[[#This Row],[customer_rating]]="","No valorado",BBDD_fashion_boutique[[#This Row],[customer_rating]])</f>
        <v>2.4</v>
      </c>
      <c r="T1174" t="s">
        <v>24</v>
      </c>
      <c r="V1174">
        <f>IF(BBDD_fashion_boutique[[#This Row],[is_returned]]="False",0,1)</f>
        <v>0</v>
      </c>
      <c r="W1174">
        <f>IF(BBDD_fashion_boutique[[#This Row],[is_returned]]="True",0,BBDD_fashion_boutique[[#This Row],[current_price]])</f>
        <v>171.48</v>
      </c>
      <c r="X1174" t="str">
        <f>IF(BBDD_fashion_boutique[[#This Row],[return_reason]]="","No return",BBDD_fashion_boutique[[#This Row],[return_reason]])</f>
        <v>No return</v>
      </c>
      <c r="Y1174">
        <f>IF(IFERROR(VLOOKUP(BBDD_fashion_boutique[[#This Row],[product_id]],A1175:A3350,1,FALSE),0),1,0)</f>
        <v>0</v>
      </c>
    </row>
    <row r="1175" spans="1:25" x14ac:dyDescent="0.3">
      <c r="A1175" t="s">
        <v>1234</v>
      </c>
      <c r="B1175" t="s">
        <v>26</v>
      </c>
      <c r="C1175" t="s">
        <v>59</v>
      </c>
      <c r="D1175" t="s">
        <v>21</v>
      </c>
      <c r="E1175" t="s">
        <v>22</v>
      </c>
      <c r="F1175" t="str">
        <f>IF(BBDD_fashion_boutique[[#This Row],[category]]="Accessories","Accesorio",IF(BBDD_fashion_boutique[[#This Row],[size]]="","Desconocido",BBDD_fashion_boutique[[#This Row],[size]]))</f>
        <v>XL</v>
      </c>
      <c r="G1175" t="s">
        <v>70</v>
      </c>
      <c r="H1175" s="2">
        <v>30.81</v>
      </c>
      <c r="I1175">
        <v>15.7</v>
      </c>
      <c r="J1175" s="5">
        <f>BBDD_fashion_boutique[[#This Row],[markdown_percentage]]/100</f>
        <v>0.157</v>
      </c>
      <c r="K1175" s="2">
        <v>25.97</v>
      </c>
      <c r="L1175" s="2">
        <f>BBDD_fashion_boutique[[#This Row],[original_price]]-BBDD_fashion_boutique[[#This Row],[current_price]]</f>
        <v>4.84</v>
      </c>
      <c r="M1175" s="1">
        <v>45554</v>
      </c>
      <c r="N1175" s="1" t="str">
        <f>PROPER(TEXT(BBDD_fashion_boutique[[#This Row],[purchase_date]],"dddd"))</f>
        <v>Jueves</v>
      </c>
      <c r="O1175" s="1" t="str">
        <f>PROPER(TEXT(BBDD_fashion_boutique[[#This Row],[purchase_date]],"mmmm"))</f>
        <v>Septiembre</v>
      </c>
      <c r="P1175" s="4">
        <v>4</v>
      </c>
      <c r="R1175" t="str">
        <f>IF(BBDD_fashion_boutique[[#This Row],[stock_quantity]]&gt;9,"Ok",IF(BBDD_fashion_boutique[[#This Row],[stock_quantity]]=0,"Agotado","Pocas Unidades"))</f>
        <v>Pocas Unidades</v>
      </c>
      <c r="S1175" s="3" t="str">
        <f>IF(BBDD_fashion_boutique[[#This Row],[customer_rating]]="","No valorado",BBDD_fashion_boutique[[#This Row],[customer_rating]])</f>
        <v>No valorado</v>
      </c>
      <c r="T1175" t="s">
        <v>24</v>
      </c>
      <c r="V1175">
        <f>IF(BBDD_fashion_boutique[[#This Row],[is_returned]]="False",0,1)</f>
        <v>0</v>
      </c>
      <c r="W1175">
        <f>IF(BBDD_fashion_boutique[[#This Row],[is_returned]]="True",0,BBDD_fashion_boutique[[#This Row],[current_price]])</f>
        <v>25.97</v>
      </c>
      <c r="X1175" t="str">
        <f>IF(BBDD_fashion_boutique[[#This Row],[return_reason]]="","No return",BBDD_fashion_boutique[[#This Row],[return_reason]])</f>
        <v>No return</v>
      </c>
      <c r="Y1175">
        <f>IF(IFERROR(VLOOKUP(BBDD_fashion_boutique[[#This Row],[product_id]],A1176:A3351,1,FALSE),0),1,0)</f>
        <v>0</v>
      </c>
    </row>
    <row r="1176" spans="1:25" x14ac:dyDescent="0.3">
      <c r="A1176" t="s">
        <v>1235</v>
      </c>
      <c r="B1176" t="s">
        <v>48</v>
      </c>
      <c r="C1176" t="s">
        <v>54</v>
      </c>
      <c r="D1176" t="s">
        <v>68</v>
      </c>
      <c r="E1176" t="s">
        <v>29</v>
      </c>
      <c r="F1176" t="str">
        <f>IF(BBDD_fashion_boutique[[#This Row],[category]]="Accessories","Accesorio",IF(BBDD_fashion_boutique[[#This Row],[size]]="","Desconocido",BBDD_fashion_boutique[[#This Row],[size]]))</f>
        <v>L</v>
      </c>
      <c r="G1176" t="s">
        <v>50</v>
      </c>
      <c r="H1176" s="2">
        <v>97.14</v>
      </c>
      <c r="I1176">
        <v>0</v>
      </c>
      <c r="J1176" s="5">
        <f>BBDD_fashion_boutique[[#This Row],[markdown_percentage]]/100</f>
        <v>0</v>
      </c>
      <c r="K1176" s="2">
        <v>97.14</v>
      </c>
      <c r="L1176" s="2">
        <f>BBDD_fashion_boutique[[#This Row],[original_price]]-BBDD_fashion_boutique[[#This Row],[current_price]]</f>
        <v>0</v>
      </c>
      <c r="M1176" s="1">
        <v>45875</v>
      </c>
      <c r="N1176" s="1" t="str">
        <f>PROPER(TEXT(BBDD_fashion_boutique[[#This Row],[purchase_date]],"dddd"))</f>
        <v>Miércoles</v>
      </c>
      <c r="O1176" s="1" t="str">
        <f>PROPER(TEXT(BBDD_fashion_boutique[[#This Row],[purchase_date]],"mmmm"))</f>
        <v>Agosto</v>
      </c>
      <c r="P1176" s="4">
        <v>20</v>
      </c>
      <c r="Q1176" s="2">
        <v>4.0999999999999996</v>
      </c>
      <c r="R1176" t="str">
        <f>IF(BBDD_fashion_boutique[[#This Row],[stock_quantity]]&gt;9,"Ok",IF(BBDD_fashion_boutique[[#This Row],[stock_quantity]]=0,"Agotado","Pocas Unidades"))</f>
        <v>Ok</v>
      </c>
      <c r="S1176" s="3">
        <f>IF(BBDD_fashion_boutique[[#This Row],[customer_rating]]="","No valorado",BBDD_fashion_boutique[[#This Row],[customer_rating]])</f>
        <v>4.0999999999999996</v>
      </c>
      <c r="T1176" t="s">
        <v>24</v>
      </c>
      <c r="V1176">
        <f>IF(BBDD_fashion_boutique[[#This Row],[is_returned]]="False",0,1)</f>
        <v>0</v>
      </c>
      <c r="W1176">
        <f>IF(BBDD_fashion_boutique[[#This Row],[is_returned]]="True",0,BBDD_fashion_boutique[[#This Row],[current_price]])</f>
        <v>97.14</v>
      </c>
      <c r="X1176" t="str">
        <f>IF(BBDD_fashion_boutique[[#This Row],[return_reason]]="","No return",BBDD_fashion_boutique[[#This Row],[return_reason]])</f>
        <v>No return</v>
      </c>
      <c r="Y1176">
        <f>IF(IFERROR(VLOOKUP(BBDD_fashion_boutique[[#This Row],[product_id]],A1177:A3352,1,FALSE),0),1,0)</f>
        <v>0</v>
      </c>
    </row>
    <row r="1177" spans="1:25" x14ac:dyDescent="0.3">
      <c r="A1177" t="s">
        <v>1236</v>
      </c>
      <c r="B1177" t="s">
        <v>35</v>
      </c>
      <c r="C1177" t="s">
        <v>81</v>
      </c>
      <c r="D1177" t="s">
        <v>39</v>
      </c>
      <c r="E1177" t="s">
        <v>45</v>
      </c>
      <c r="F1177" t="str">
        <f>IF(BBDD_fashion_boutique[[#This Row],[category]]="Accessories","Accesorio",IF(BBDD_fashion_boutique[[#This Row],[size]]="","Desconocido",BBDD_fashion_boutique[[#This Row],[size]]))</f>
        <v>S</v>
      </c>
      <c r="G1177" t="s">
        <v>40</v>
      </c>
      <c r="H1177" s="2">
        <v>128.27000000000001</v>
      </c>
      <c r="I1177">
        <v>0</v>
      </c>
      <c r="J1177" s="5">
        <f>BBDD_fashion_boutique[[#This Row],[markdown_percentage]]/100</f>
        <v>0</v>
      </c>
      <c r="K1177" s="2">
        <v>128.27000000000001</v>
      </c>
      <c r="L1177" s="2">
        <f>BBDD_fashion_boutique[[#This Row],[original_price]]-BBDD_fashion_boutique[[#This Row],[current_price]]</f>
        <v>0</v>
      </c>
      <c r="M1177" s="1">
        <v>45875</v>
      </c>
      <c r="N1177" s="1" t="str">
        <f>PROPER(TEXT(BBDD_fashion_boutique[[#This Row],[purchase_date]],"dddd"))</f>
        <v>Miércoles</v>
      </c>
      <c r="O1177" s="1" t="str">
        <f>PROPER(TEXT(BBDD_fashion_boutique[[#This Row],[purchase_date]],"mmmm"))</f>
        <v>Agosto</v>
      </c>
      <c r="P1177" s="4">
        <v>28</v>
      </c>
      <c r="R1177" t="str">
        <f>IF(BBDD_fashion_boutique[[#This Row],[stock_quantity]]&gt;9,"Ok",IF(BBDD_fashion_boutique[[#This Row],[stock_quantity]]=0,"Agotado","Pocas Unidades"))</f>
        <v>Ok</v>
      </c>
      <c r="S1177" s="3" t="str">
        <f>IF(BBDD_fashion_boutique[[#This Row],[customer_rating]]="","No valorado",BBDD_fashion_boutique[[#This Row],[customer_rating]])</f>
        <v>No valorado</v>
      </c>
      <c r="T1177" t="s">
        <v>24</v>
      </c>
      <c r="V1177">
        <f>IF(BBDD_fashion_boutique[[#This Row],[is_returned]]="False",0,1)</f>
        <v>0</v>
      </c>
      <c r="W1177">
        <f>IF(BBDD_fashion_boutique[[#This Row],[is_returned]]="True",0,BBDD_fashion_boutique[[#This Row],[current_price]])</f>
        <v>128.27000000000001</v>
      </c>
      <c r="X1177" t="str">
        <f>IF(BBDD_fashion_boutique[[#This Row],[return_reason]]="","No return",BBDD_fashion_boutique[[#This Row],[return_reason]])</f>
        <v>No return</v>
      </c>
      <c r="Y1177">
        <f>IF(IFERROR(VLOOKUP(BBDD_fashion_boutique[[#This Row],[product_id]],A1178:A3353,1,FALSE),0),1,0)</f>
        <v>0</v>
      </c>
    </row>
    <row r="1178" spans="1:25" x14ac:dyDescent="0.3">
      <c r="A1178" t="s">
        <v>1237</v>
      </c>
      <c r="B1178" t="s">
        <v>48</v>
      </c>
      <c r="C1178" t="s">
        <v>20</v>
      </c>
      <c r="D1178" t="s">
        <v>28</v>
      </c>
      <c r="E1178" t="s">
        <v>22</v>
      </c>
      <c r="F1178" t="str">
        <f>IF(BBDD_fashion_boutique[[#This Row],[category]]="Accessories","Accesorio",IF(BBDD_fashion_boutique[[#This Row],[size]]="","Desconocido",BBDD_fashion_boutique[[#This Row],[size]]))</f>
        <v>XL</v>
      </c>
      <c r="G1178" t="s">
        <v>52</v>
      </c>
      <c r="H1178" s="2">
        <v>174.86</v>
      </c>
      <c r="I1178">
        <v>0</v>
      </c>
      <c r="J1178" s="5">
        <f>BBDD_fashion_boutique[[#This Row],[markdown_percentage]]/100</f>
        <v>0</v>
      </c>
      <c r="K1178" s="2">
        <v>174.86</v>
      </c>
      <c r="L1178" s="2">
        <f>BBDD_fashion_boutique[[#This Row],[original_price]]-BBDD_fashion_boutique[[#This Row],[current_price]]</f>
        <v>0</v>
      </c>
      <c r="M1178" s="1">
        <v>45875</v>
      </c>
      <c r="N1178" s="1" t="str">
        <f>PROPER(TEXT(BBDD_fashion_boutique[[#This Row],[purchase_date]],"dddd"))</f>
        <v>Miércoles</v>
      </c>
      <c r="O1178" s="1" t="str">
        <f>PROPER(TEXT(BBDD_fashion_boutique[[#This Row],[purchase_date]],"mmmm"))</f>
        <v>Agosto</v>
      </c>
      <c r="P1178" s="4">
        <v>43</v>
      </c>
      <c r="Q1178" s="2">
        <v>4.5999999999999996</v>
      </c>
      <c r="R1178" t="str">
        <f>IF(BBDD_fashion_boutique[[#This Row],[stock_quantity]]&gt;9,"Ok",IF(BBDD_fashion_boutique[[#This Row],[stock_quantity]]=0,"Agotado","Pocas Unidades"))</f>
        <v>Ok</v>
      </c>
      <c r="S1178" s="3">
        <f>IF(BBDD_fashion_boutique[[#This Row],[customer_rating]]="","No valorado",BBDD_fashion_boutique[[#This Row],[customer_rating]])</f>
        <v>4.5999999999999996</v>
      </c>
      <c r="T1178" t="s">
        <v>24</v>
      </c>
      <c r="V1178">
        <f>IF(BBDD_fashion_boutique[[#This Row],[is_returned]]="False",0,1)</f>
        <v>0</v>
      </c>
      <c r="W1178">
        <f>IF(BBDD_fashion_boutique[[#This Row],[is_returned]]="True",0,BBDD_fashion_boutique[[#This Row],[current_price]])</f>
        <v>174.86</v>
      </c>
      <c r="X1178" t="str">
        <f>IF(BBDD_fashion_boutique[[#This Row],[return_reason]]="","No return",BBDD_fashion_boutique[[#This Row],[return_reason]])</f>
        <v>No return</v>
      </c>
      <c r="Y1178">
        <f>IF(IFERROR(VLOOKUP(BBDD_fashion_boutique[[#This Row],[product_id]],A1179:A3354,1,FALSE),0),1,0)</f>
        <v>0</v>
      </c>
    </row>
    <row r="1179" spans="1:25" x14ac:dyDescent="0.3">
      <c r="A1179" t="s">
        <v>1238</v>
      </c>
      <c r="B1179" t="s">
        <v>48</v>
      </c>
      <c r="C1179" t="s">
        <v>37</v>
      </c>
      <c r="D1179" t="s">
        <v>28</v>
      </c>
      <c r="E1179" t="s">
        <v>22</v>
      </c>
      <c r="F1179" t="str">
        <f>IF(BBDD_fashion_boutique[[#This Row],[category]]="Accessories","Accesorio",IF(BBDD_fashion_boutique[[#This Row],[size]]="","Desconocido",BBDD_fashion_boutique[[#This Row],[size]]))</f>
        <v>XL</v>
      </c>
      <c r="G1179" t="s">
        <v>40</v>
      </c>
      <c r="H1179" s="2">
        <v>100.03</v>
      </c>
      <c r="I1179">
        <v>0</v>
      </c>
      <c r="J1179" s="5">
        <f>BBDD_fashion_boutique[[#This Row],[markdown_percentage]]/100</f>
        <v>0</v>
      </c>
      <c r="K1179" s="2">
        <v>100.03</v>
      </c>
      <c r="L1179" s="2">
        <f>BBDD_fashion_boutique[[#This Row],[original_price]]-BBDD_fashion_boutique[[#This Row],[current_price]]</f>
        <v>0</v>
      </c>
      <c r="M1179" s="1">
        <v>45875</v>
      </c>
      <c r="N1179" s="1" t="str">
        <f>PROPER(TEXT(BBDD_fashion_boutique[[#This Row],[purchase_date]],"dddd"))</f>
        <v>Miércoles</v>
      </c>
      <c r="O1179" s="1" t="str">
        <f>PROPER(TEXT(BBDD_fashion_boutique[[#This Row],[purchase_date]],"mmmm"))</f>
        <v>Agosto</v>
      </c>
      <c r="P1179" s="4">
        <v>36</v>
      </c>
      <c r="Q1179" s="2">
        <v>1.9</v>
      </c>
      <c r="R1179" t="str">
        <f>IF(BBDD_fashion_boutique[[#This Row],[stock_quantity]]&gt;9,"Ok",IF(BBDD_fashion_boutique[[#This Row],[stock_quantity]]=0,"Agotado","Pocas Unidades"))</f>
        <v>Ok</v>
      </c>
      <c r="S1179" s="3">
        <f>IF(BBDD_fashion_boutique[[#This Row],[customer_rating]]="","No valorado",BBDD_fashion_boutique[[#This Row],[customer_rating]])</f>
        <v>1.9</v>
      </c>
      <c r="T1179" t="s">
        <v>41</v>
      </c>
      <c r="U1179" t="s">
        <v>89</v>
      </c>
      <c r="V1179">
        <f>IF(BBDD_fashion_boutique[[#This Row],[is_returned]]="False",0,1)</f>
        <v>1</v>
      </c>
      <c r="W1179">
        <f>IF(BBDD_fashion_boutique[[#This Row],[is_returned]]="True",0,BBDD_fashion_boutique[[#This Row],[current_price]])</f>
        <v>0</v>
      </c>
      <c r="X1179" t="str">
        <f>IF(BBDD_fashion_boutique[[#This Row],[return_reason]]="","No return",BBDD_fashion_boutique[[#This Row],[return_reason]])</f>
        <v>Quality Issue</v>
      </c>
      <c r="Y1179">
        <f>IF(IFERROR(VLOOKUP(BBDD_fashion_boutique[[#This Row],[product_id]],A1180:A3355,1,FALSE),0),1,0)</f>
        <v>0</v>
      </c>
    </row>
    <row r="1180" spans="1:25" x14ac:dyDescent="0.3">
      <c r="A1180" t="s">
        <v>1239</v>
      </c>
      <c r="B1180" t="s">
        <v>48</v>
      </c>
      <c r="C1180" t="s">
        <v>20</v>
      </c>
      <c r="D1180" t="s">
        <v>28</v>
      </c>
      <c r="E1180" t="s">
        <v>45</v>
      </c>
      <c r="F1180" t="str">
        <f>IF(BBDD_fashion_boutique[[#This Row],[category]]="Accessories","Accesorio",IF(BBDD_fashion_boutique[[#This Row],[size]]="","Desconocido",BBDD_fashion_boutique[[#This Row],[size]]))</f>
        <v>S</v>
      </c>
      <c r="G1180" t="s">
        <v>72</v>
      </c>
      <c r="H1180" s="2">
        <v>49.89</v>
      </c>
      <c r="I1180">
        <v>0</v>
      </c>
      <c r="J1180" s="5">
        <f>BBDD_fashion_boutique[[#This Row],[markdown_percentage]]/100</f>
        <v>0</v>
      </c>
      <c r="K1180" s="2">
        <v>49.89</v>
      </c>
      <c r="L1180" s="2">
        <f>BBDD_fashion_boutique[[#This Row],[original_price]]-BBDD_fashion_boutique[[#This Row],[current_price]]</f>
        <v>0</v>
      </c>
      <c r="M1180" s="1">
        <v>45875</v>
      </c>
      <c r="N1180" s="1" t="str">
        <f>PROPER(TEXT(BBDD_fashion_boutique[[#This Row],[purchase_date]],"dddd"))</f>
        <v>Miércoles</v>
      </c>
      <c r="O1180" s="1" t="str">
        <f>PROPER(TEXT(BBDD_fashion_boutique[[#This Row],[purchase_date]],"mmmm"))</f>
        <v>Agosto</v>
      </c>
      <c r="P1180" s="4">
        <v>0</v>
      </c>
      <c r="Q1180" s="2">
        <v>3.5</v>
      </c>
      <c r="R1180" t="str">
        <f>IF(BBDD_fashion_boutique[[#This Row],[stock_quantity]]&gt;9,"Ok",IF(BBDD_fashion_boutique[[#This Row],[stock_quantity]]=0,"Agotado","Pocas Unidades"))</f>
        <v>Agotado</v>
      </c>
      <c r="S1180" s="3">
        <f>IF(BBDD_fashion_boutique[[#This Row],[customer_rating]]="","No valorado",BBDD_fashion_boutique[[#This Row],[customer_rating]])</f>
        <v>3.5</v>
      </c>
      <c r="T1180" t="s">
        <v>41</v>
      </c>
      <c r="U1180" t="s">
        <v>131</v>
      </c>
      <c r="V1180">
        <f>IF(BBDD_fashion_boutique[[#This Row],[is_returned]]="False",0,1)</f>
        <v>1</v>
      </c>
      <c r="W1180">
        <f>IF(BBDD_fashion_boutique[[#This Row],[is_returned]]="True",0,BBDD_fashion_boutique[[#This Row],[current_price]])</f>
        <v>0</v>
      </c>
      <c r="X1180" t="str">
        <f>IF(BBDD_fashion_boutique[[#This Row],[return_reason]]="","No return",BBDD_fashion_boutique[[#This Row],[return_reason]])</f>
        <v>Wrong Item</v>
      </c>
      <c r="Y1180">
        <f>IF(IFERROR(VLOOKUP(BBDD_fashion_boutique[[#This Row],[product_id]],A1181:A3356,1,FALSE),0),1,0)</f>
        <v>0</v>
      </c>
    </row>
    <row r="1181" spans="1:25" x14ac:dyDescent="0.3">
      <c r="A1181" t="s">
        <v>1240</v>
      </c>
      <c r="B1181" t="s">
        <v>35</v>
      </c>
      <c r="C1181" t="s">
        <v>54</v>
      </c>
      <c r="D1181" t="s">
        <v>39</v>
      </c>
      <c r="E1181" t="s">
        <v>22</v>
      </c>
      <c r="F1181" t="str">
        <f>IF(BBDD_fashion_boutique[[#This Row],[category]]="Accessories","Accesorio",IF(BBDD_fashion_boutique[[#This Row],[size]]="","Desconocido",BBDD_fashion_boutique[[#This Row],[size]]))</f>
        <v>XL</v>
      </c>
      <c r="G1181" t="s">
        <v>76</v>
      </c>
      <c r="H1181" s="2">
        <v>170.43</v>
      </c>
      <c r="I1181">
        <v>0</v>
      </c>
      <c r="J1181" s="5">
        <f>BBDD_fashion_boutique[[#This Row],[markdown_percentage]]/100</f>
        <v>0</v>
      </c>
      <c r="K1181" s="2">
        <v>170.43</v>
      </c>
      <c r="L1181" s="2">
        <f>BBDD_fashion_boutique[[#This Row],[original_price]]-BBDD_fashion_boutique[[#This Row],[current_price]]</f>
        <v>0</v>
      </c>
      <c r="M1181" s="1">
        <v>45875</v>
      </c>
      <c r="N1181" s="1" t="str">
        <f>PROPER(TEXT(BBDD_fashion_boutique[[#This Row],[purchase_date]],"dddd"))</f>
        <v>Miércoles</v>
      </c>
      <c r="O1181" s="1" t="str">
        <f>PROPER(TEXT(BBDD_fashion_boutique[[#This Row],[purchase_date]],"mmmm"))</f>
        <v>Agosto</v>
      </c>
      <c r="P1181" s="4">
        <v>22</v>
      </c>
      <c r="R1181" t="str">
        <f>IF(BBDD_fashion_boutique[[#This Row],[stock_quantity]]&gt;9,"Ok",IF(BBDD_fashion_boutique[[#This Row],[stock_quantity]]=0,"Agotado","Pocas Unidades"))</f>
        <v>Ok</v>
      </c>
      <c r="S1181" s="3" t="str">
        <f>IF(BBDD_fashion_boutique[[#This Row],[customer_rating]]="","No valorado",BBDD_fashion_boutique[[#This Row],[customer_rating]])</f>
        <v>No valorado</v>
      </c>
      <c r="T1181" t="s">
        <v>24</v>
      </c>
      <c r="V1181">
        <f>IF(BBDD_fashion_boutique[[#This Row],[is_returned]]="False",0,1)</f>
        <v>0</v>
      </c>
      <c r="W1181">
        <f>IF(BBDD_fashion_boutique[[#This Row],[is_returned]]="True",0,BBDD_fashion_boutique[[#This Row],[current_price]])</f>
        <v>170.43</v>
      </c>
      <c r="X1181" t="str">
        <f>IF(BBDD_fashion_boutique[[#This Row],[return_reason]]="","No return",BBDD_fashion_boutique[[#This Row],[return_reason]])</f>
        <v>No return</v>
      </c>
      <c r="Y1181">
        <f>IF(IFERROR(VLOOKUP(BBDD_fashion_boutique[[#This Row],[product_id]],A1182:A3357,1,FALSE),0),1,0)</f>
        <v>0</v>
      </c>
    </row>
    <row r="1182" spans="1:25" x14ac:dyDescent="0.3">
      <c r="A1182" t="s">
        <v>1241</v>
      </c>
      <c r="B1182" t="s">
        <v>19</v>
      </c>
      <c r="C1182" t="s">
        <v>67</v>
      </c>
      <c r="D1182" t="s">
        <v>68</v>
      </c>
      <c r="E1182" t="s">
        <v>61</v>
      </c>
      <c r="F1182" t="str">
        <f>IF(BBDD_fashion_boutique[[#This Row],[category]]="Accessories","Accesorio",IF(BBDD_fashion_boutique[[#This Row],[size]]="","Desconocido",BBDD_fashion_boutique[[#This Row],[size]]))</f>
        <v>XS</v>
      </c>
      <c r="G1182" t="s">
        <v>70</v>
      </c>
      <c r="H1182" s="2">
        <v>186.78</v>
      </c>
      <c r="I1182">
        <v>0</v>
      </c>
      <c r="J1182" s="5">
        <f>BBDD_fashion_boutique[[#This Row],[markdown_percentage]]/100</f>
        <v>0</v>
      </c>
      <c r="K1182" s="2">
        <v>186.78</v>
      </c>
      <c r="L1182" s="2">
        <f>BBDD_fashion_boutique[[#This Row],[original_price]]-BBDD_fashion_boutique[[#This Row],[current_price]]</f>
        <v>0</v>
      </c>
      <c r="M1182" s="1">
        <v>45875</v>
      </c>
      <c r="N1182" s="1" t="str">
        <f>PROPER(TEXT(BBDD_fashion_boutique[[#This Row],[purchase_date]],"dddd"))</f>
        <v>Miércoles</v>
      </c>
      <c r="O1182" s="1" t="str">
        <f>PROPER(TEXT(BBDD_fashion_boutique[[#This Row],[purchase_date]],"mmmm"))</f>
        <v>Agosto</v>
      </c>
      <c r="P1182" s="4">
        <v>22</v>
      </c>
      <c r="Q1182" s="2">
        <v>2.9</v>
      </c>
      <c r="R1182" t="str">
        <f>IF(BBDD_fashion_boutique[[#This Row],[stock_quantity]]&gt;9,"Ok",IF(BBDD_fashion_boutique[[#This Row],[stock_quantity]]=0,"Agotado","Pocas Unidades"))</f>
        <v>Ok</v>
      </c>
      <c r="S1182" s="3">
        <f>IF(BBDD_fashion_boutique[[#This Row],[customer_rating]]="","No valorado",BBDD_fashion_boutique[[#This Row],[customer_rating]])</f>
        <v>2.9</v>
      </c>
      <c r="T1182" t="s">
        <v>24</v>
      </c>
      <c r="V1182">
        <f>IF(BBDD_fashion_boutique[[#This Row],[is_returned]]="False",0,1)</f>
        <v>0</v>
      </c>
      <c r="W1182">
        <f>IF(BBDD_fashion_boutique[[#This Row],[is_returned]]="True",0,BBDD_fashion_boutique[[#This Row],[current_price]])</f>
        <v>186.78</v>
      </c>
      <c r="X1182" t="str">
        <f>IF(BBDD_fashion_boutique[[#This Row],[return_reason]]="","No return",BBDD_fashion_boutique[[#This Row],[return_reason]])</f>
        <v>No return</v>
      </c>
      <c r="Y1182">
        <f>IF(IFERROR(VLOOKUP(BBDD_fashion_boutique[[#This Row],[product_id]],A1183:A3358,1,FALSE),0),1,0)</f>
        <v>0</v>
      </c>
    </row>
    <row r="1183" spans="1:25" x14ac:dyDescent="0.3">
      <c r="A1183" t="s">
        <v>1242</v>
      </c>
      <c r="B1183" t="s">
        <v>32</v>
      </c>
      <c r="C1183" t="s">
        <v>81</v>
      </c>
      <c r="D1183" t="s">
        <v>39</v>
      </c>
      <c r="F1183" t="str">
        <f>IF(BBDD_fashion_boutique[[#This Row],[category]]="Accessories","Accesorio",IF(BBDD_fashion_boutique[[#This Row],[size]]="","Desconocido",BBDD_fashion_boutique[[#This Row],[size]]))</f>
        <v>Accesorio</v>
      </c>
      <c r="G1183" t="s">
        <v>70</v>
      </c>
      <c r="H1183" s="2">
        <v>63.98</v>
      </c>
      <c r="I1183">
        <v>0</v>
      </c>
      <c r="J1183" s="5">
        <f>BBDD_fashion_boutique[[#This Row],[markdown_percentage]]/100</f>
        <v>0</v>
      </c>
      <c r="K1183" s="2">
        <v>63.98</v>
      </c>
      <c r="L1183" s="2">
        <f>BBDD_fashion_boutique[[#This Row],[original_price]]-BBDD_fashion_boutique[[#This Row],[current_price]]</f>
        <v>0</v>
      </c>
      <c r="M1183" s="1">
        <v>45875</v>
      </c>
      <c r="N1183" s="1" t="str">
        <f>PROPER(TEXT(BBDD_fashion_boutique[[#This Row],[purchase_date]],"dddd"))</f>
        <v>Miércoles</v>
      </c>
      <c r="O1183" s="1" t="str">
        <f>PROPER(TEXT(BBDD_fashion_boutique[[#This Row],[purchase_date]],"mmmm"))</f>
        <v>Agosto</v>
      </c>
      <c r="P1183" s="4">
        <v>36</v>
      </c>
      <c r="Q1183" s="2">
        <v>1.7</v>
      </c>
      <c r="R1183" t="str">
        <f>IF(BBDD_fashion_boutique[[#This Row],[stock_quantity]]&gt;9,"Ok",IF(BBDD_fashion_boutique[[#This Row],[stock_quantity]]=0,"Agotado","Pocas Unidades"))</f>
        <v>Ok</v>
      </c>
      <c r="S1183" s="3">
        <f>IF(BBDD_fashion_boutique[[#This Row],[customer_rating]]="","No valorado",BBDD_fashion_boutique[[#This Row],[customer_rating]])</f>
        <v>1.7</v>
      </c>
      <c r="T1183" t="s">
        <v>24</v>
      </c>
      <c r="V1183">
        <f>IF(BBDD_fashion_boutique[[#This Row],[is_returned]]="False",0,1)</f>
        <v>0</v>
      </c>
      <c r="W1183">
        <f>IF(BBDD_fashion_boutique[[#This Row],[is_returned]]="True",0,BBDD_fashion_boutique[[#This Row],[current_price]])</f>
        <v>63.98</v>
      </c>
      <c r="X1183" t="str">
        <f>IF(BBDD_fashion_boutique[[#This Row],[return_reason]]="","No return",BBDD_fashion_boutique[[#This Row],[return_reason]])</f>
        <v>No return</v>
      </c>
      <c r="Y1183">
        <f>IF(IFERROR(VLOOKUP(BBDD_fashion_boutique[[#This Row],[product_id]],A1184:A3359,1,FALSE),0),1,0)</f>
        <v>0</v>
      </c>
    </row>
    <row r="1184" spans="1:25" x14ac:dyDescent="0.3">
      <c r="A1184" t="s">
        <v>1243</v>
      </c>
      <c r="B1184" t="s">
        <v>19</v>
      </c>
      <c r="C1184" t="s">
        <v>81</v>
      </c>
      <c r="D1184" t="s">
        <v>39</v>
      </c>
      <c r="E1184" t="s">
        <v>61</v>
      </c>
      <c r="F1184" t="str">
        <f>IF(BBDD_fashion_boutique[[#This Row],[category]]="Accessories","Accesorio",IF(BBDD_fashion_boutique[[#This Row],[size]]="","Desconocido",BBDD_fashion_boutique[[#This Row],[size]]))</f>
        <v>XS</v>
      </c>
      <c r="G1184" t="s">
        <v>70</v>
      </c>
      <c r="H1184" s="2">
        <v>225.64</v>
      </c>
      <c r="I1184">
        <v>0</v>
      </c>
      <c r="J1184" s="5">
        <f>BBDD_fashion_boutique[[#This Row],[markdown_percentage]]/100</f>
        <v>0</v>
      </c>
      <c r="K1184" s="2">
        <v>225.64</v>
      </c>
      <c r="L1184" s="2">
        <f>BBDD_fashion_boutique[[#This Row],[original_price]]-BBDD_fashion_boutique[[#This Row],[current_price]]</f>
        <v>0</v>
      </c>
      <c r="M1184" s="1">
        <v>45875</v>
      </c>
      <c r="N1184" s="1" t="str">
        <f>PROPER(TEXT(BBDD_fashion_boutique[[#This Row],[purchase_date]],"dddd"))</f>
        <v>Miércoles</v>
      </c>
      <c r="O1184" s="1" t="str">
        <f>PROPER(TEXT(BBDD_fashion_boutique[[#This Row],[purchase_date]],"mmmm"))</f>
        <v>Agosto</v>
      </c>
      <c r="P1184" s="4">
        <v>31</v>
      </c>
      <c r="Q1184" s="2">
        <v>1.3</v>
      </c>
      <c r="R1184" t="str">
        <f>IF(BBDD_fashion_boutique[[#This Row],[stock_quantity]]&gt;9,"Ok",IF(BBDD_fashion_boutique[[#This Row],[stock_quantity]]=0,"Agotado","Pocas Unidades"))</f>
        <v>Ok</v>
      </c>
      <c r="S1184" s="3">
        <f>IF(BBDD_fashion_boutique[[#This Row],[customer_rating]]="","No valorado",BBDD_fashion_boutique[[#This Row],[customer_rating]])</f>
        <v>1.3</v>
      </c>
      <c r="T1184" t="s">
        <v>24</v>
      </c>
      <c r="V1184">
        <f>IF(BBDD_fashion_boutique[[#This Row],[is_returned]]="False",0,1)</f>
        <v>0</v>
      </c>
      <c r="W1184">
        <f>IF(BBDD_fashion_boutique[[#This Row],[is_returned]]="True",0,BBDD_fashion_boutique[[#This Row],[current_price]])</f>
        <v>225.64</v>
      </c>
      <c r="X1184" t="str">
        <f>IF(BBDD_fashion_boutique[[#This Row],[return_reason]]="","No return",BBDD_fashion_boutique[[#This Row],[return_reason]])</f>
        <v>No return</v>
      </c>
      <c r="Y1184">
        <f>IF(IFERROR(VLOOKUP(BBDD_fashion_boutique[[#This Row],[product_id]],A1185:A3360,1,FALSE),0),1,0)</f>
        <v>0</v>
      </c>
    </row>
    <row r="1185" spans="1:25" x14ac:dyDescent="0.3">
      <c r="A1185" t="s">
        <v>1244</v>
      </c>
      <c r="B1185" t="s">
        <v>26</v>
      </c>
      <c r="C1185" t="s">
        <v>49</v>
      </c>
      <c r="D1185" t="s">
        <v>39</v>
      </c>
      <c r="E1185" t="s">
        <v>61</v>
      </c>
      <c r="F1185" t="str">
        <f>IF(BBDD_fashion_boutique[[#This Row],[category]]="Accessories","Accesorio",IF(BBDD_fashion_boutique[[#This Row],[size]]="","Desconocido",BBDD_fashion_boutique[[#This Row],[size]]))</f>
        <v>XS</v>
      </c>
      <c r="G1185" t="s">
        <v>40</v>
      </c>
      <c r="H1185" s="2">
        <v>115.29</v>
      </c>
      <c r="I1185">
        <v>13.9</v>
      </c>
      <c r="J1185" s="5">
        <f>BBDD_fashion_boutique[[#This Row],[markdown_percentage]]/100</f>
        <v>0.13900000000000001</v>
      </c>
      <c r="K1185" s="2">
        <v>99.26</v>
      </c>
      <c r="L1185" s="2">
        <f>BBDD_fashion_boutique[[#This Row],[original_price]]-BBDD_fashion_boutique[[#This Row],[current_price]]</f>
        <v>16.03</v>
      </c>
      <c r="M1185" s="1">
        <v>45875</v>
      </c>
      <c r="N1185" s="1" t="str">
        <f>PROPER(TEXT(BBDD_fashion_boutique[[#This Row],[purchase_date]],"dddd"))</f>
        <v>Miércoles</v>
      </c>
      <c r="O1185" s="1" t="str">
        <f>PROPER(TEXT(BBDD_fashion_boutique[[#This Row],[purchase_date]],"mmmm"))</f>
        <v>Agosto</v>
      </c>
      <c r="P1185" s="4">
        <v>37</v>
      </c>
      <c r="R1185" t="str">
        <f>IF(BBDD_fashion_boutique[[#This Row],[stock_quantity]]&gt;9,"Ok",IF(BBDD_fashion_boutique[[#This Row],[stock_quantity]]=0,"Agotado","Pocas Unidades"))</f>
        <v>Ok</v>
      </c>
      <c r="S1185" s="3" t="str">
        <f>IF(BBDD_fashion_boutique[[#This Row],[customer_rating]]="","No valorado",BBDD_fashion_boutique[[#This Row],[customer_rating]])</f>
        <v>No valorado</v>
      </c>
      <c r="T1185" t="s">
        <v>24</v>
      </c>
      <c r="V1185">
        <f>IF(BBDD_fashion_boutique[[#This Row],[is_returned]]="False",0,1)</f>
        <v>0</v>
      </c>
      <c r="W1185">
        <f>IF(BBDD_fashion_boutique[[#This Row],[is_returned]]="True",0,BBDD_fashion_boutique[[#This Row],[current_price]])</f>
        <v>99.26</v>
      </c>
      <c r="X1185" t="str">
        <f>IF(BBDD_fashion_boutique[[#This Row],[return_reason]]="","No return",BBDD_fashion_boutique[[#This Row],[return_reason]])</f>
        <v>No return</v>
      </c>
      <c r="Y1185">
        <f>IF(IFERROR(VLOOKUP(BBDD_fashion_boutique[[#This Row],[product_id]],A1186:A3361,1,FALSE),0),1,0)</f>
        <v>0</v>
      </c>
    </row>
    <row r="1186" spans="1:25" x14ac:dyDescent="0.3">
      <c r="A1186" t="s">
        <v>1245</v>
      </c>
      <c r="B1186" t="s">
        <v>44</v>
      </c>
      <c r="C1186" t="s">
        <v>49</v>
      </c>
      <c r="D1186" t="s">
        <v>39</v>
      </c>
      <c r="E1186" t="s">
        <v>61</v>
      </c>
      <c r="F1186" t="str">
        <f>IF(BBDD_fashion_boutique[[#This Row],[category]]="Accessories","Accesorio",IF(BBDD_fashion_boutique[[#This Row],[size]]="","Desconocido",BBDD_fashion_boutique[[#This Row],[size]]))</f>
        <v>XS</v>
      </c>
      <c r="G1186" t="s">
        <v>40</v>
      </c>
      <c r="H1186" s="2">
        <v>92.59</v>
      </c>
      <c r="I1186">
        <v>0</v>
      </c>
      <c r="J1186" s="5">
        <f>BBDD_fashion_boutique[[#This Row],[markdown_percentage]]/100</f>
        <v>0</v>
      </c>
      <c r="K1186" s="2">
        <v>92.59</v>
      </c>
      <c r="L1186" s="2">
        <f>BBDD_fashion_boutique[[#This Row],[original_price]]-BBDD_fashion_boutique[[#This Row],[current_price]]</f>
        <v>0</v>
      </c>
      <c r="M1186" s="1">
        <v>45875</v>
      </c>
      <c r="N1186" s="1" t="str">
        <f>PROPER(TEXT(BBDD_fashion_boutique[[#This Row],[purchase_date]],"dddd"))</f>
        <v>Miércoles</v>
      </c>
      <c r="O1186" s="1" t="str">
        <f>PROPER(TEXT(BBDD_fashion_boutique[[#This Row],[purchase_date]],"mmmm"))</f>
        <v>Agosto</v>
      </c>
      <c r="P1186" s="4">
        <v>39</v>
      </c>
      <c r="Q1186" s="2">
        <v>2.2999999999999998</v>
      </c>
      <c r="R1186" t="str">
        <f>IF(BBDD_fashion_boutique[[#This Row],[stock_quantity]]&gt;9,"Ok",IF(BBDD_fashion_boutique[[#This Row],[stock_quantity]]=0,"Agotado","Pocas Unidades"))</f>
        <v>Ok</v>
      </c>
      <c r="S1186" s="3">
        <f>IF(BBDD_fashion_boutique[[#This Row],[customer_rating]]="","No valorado",BBDD_fashion_boutique[[#This Row],[customer_rating]])</f>
        <v>2.2999999999999998</v>
      </c>
      <c r="T1186" t="s">
        <v>24</v>
      </c>
      <c r="V1186">
        <f>IF(BBDD_fashion_boutique[[#This Row],[is_returned]]="False",0,1)</f>
        <v>0</v>
      </c>
      <c r="W1186">
        <f>IF(BBDD_fashion_boutique[[#This Row],[is_returned]]="True",0,BBDD_fashion_boutique[[#This Row],[current_price]])</f>
        <v>92.59</v>
      </c>
      <c r="X1186" t="str">
        <f>IF(BBDD_fashion_boutique[[#This Row],[return_reason]]="","No return",BBDD_fashion_boutique[[#This Row],[return_reason]])</f>
        <v>No return</v>
      </c>
      <c r="Y1186">
        <f>IF(IFERROR(VLOOKUP(BBDD_fashion_boutique[[#This Row],[product_id]],A1187:A3362,1,FALSE),0),1,0)</f>
        <v>0</v>
      </c>
    </row>
    <row r="1187" spans="1:25" x14ac:dyDescent="0.3">
      <c r="A1187" t="s">
        <v>1246</v>
      </c>
      <c r="B1187" t="s">
        <v>32</v>
      </c>
      <c r="C1187" t="s">
        <v>27</v>
      </c>
      <c r="D1187" t="s">
        <v>21</v>
      </c>
      <c r="F1187" t="str">
        <f>IF(BBDD_fashion_boutique[[#This Row],[category]]="Accessories","Accesorio",IF(BBDD_fashion_boutique[[#This Row],[size]]="","Desconocido",BBDD_fashion_boutique[[#This Row],[size]]))</f>
        <v>Accesorio</v>
      </c>
      <c r="G1187" t="s">
        <v>62</v>
      </c>
      <c r="H1187" s="2">
        <v>67.650000000000006</v>
      </c>
      <c r="I1187">
        <v>26.2</v>
      </c>
      <c r="J1187" s="5">
        <f>BBDD_fashion_boutique[[#This Row],[markdown_percentage]]/100</f>
        <v>0.26200000000000001</v>
      </c>
      <c r="K1187" s="2">
        <v>49.93</v>
      </c>
      <c r="L1187" s="2">
        <f>BBDD_fashion_boutique[[#This Row],[original_price]]-BBDD_fashion_boutique[[#This Row],[current_price]]</f>
        <v>17.720000000000006</v>
      </c>
      <c r="M1187" s="1">
        <v>45805</v>
      </c>
      <c r="N1187" s="1" t="str">
        <f>PROPER(TEXT(BBDD_fashion_boutique[[#This Row],[purchase_date]],"dddd"))</f>
        <v>Miércoles</v>
      </c>
      <c r="O1187" s="1" t="str">
        <f>PROPER(TEXT(BBDD_fashion_boutique[[#This Row],[purchase_date]],"mmmm"))</f>
        <v>Mayo</v>
      </c>
      <c r="P1187" s="4">
        <v>23</v>
      </c>
      <c r="Q1187" s="2">
        <v>1.7</v>
      </c>
      <c r="R1187" t="str">
        <f>IF(BBDD_fashion_boutique[[#This Row],[stock_quantity]]&gt;9,"Ok",IF(BBDD_fashion_boutique[[#This Row],[stock_quantity]]=0,"Agotado","Pocas Unidades"))</f>
        <v>Ok</v>
      </c>
      <c r="S1187" s="3">
        <f>IF(BBDD_fashion_boutique[[#This Row],[customer_rating]]="","No valorado",BBDD_fashion_boutique[[#This Row],[customer_rating]])</f>
        <v>1.7</v>
      </c>
      <c r="T1187" t="s">
        <v>24</v>
      </c>
      <c r="V1187">
        <f>IF(BBDD_fashion_boutique[[#This Row],[is_returned]]="False",0,1)</f>
        <v>0</v>
      </c>
      <c r="W1187">
        <f>IF(BBDD_fashion_boutique[[#This Row],[is_returned]]="True",0,BBDD_fashion_boutique[[#This Row],[current_price]])</f>
        <v>49.93</v>
      </c>
      <c r="X1187" t="str">
        <f>IF(BBDD_fashion_boutique[[#This Row],[return_reason]]="","No return",BBDD_fashion_boutique[[#This Row],[return_reason]])</f>
        <v>No return</v>
      </c>
      <c r="Y1187">
        <f>IF(IFERROR(VLOOKUP(BBDD_fashion_boutique[[#This Row],[product_id]],A1188:A3363,1,FALSE),0),1,0)</f>
        <v>0</v>
      </c>
    </row>
    <row r="1188" spans="1:25" x14ac:dyDescent="0.3">
      <c r="A1188" t="s">
        <v>1247</v>
      </c>
      <c r="B1188" t="s">
        <v>19</v>
      </c>
      <c r="C1188" t="s">
        <v>59</v>
      </c>
      <c r="D1188" t="s">
        <v>21</v>
      </c>
      <c r="E1188" t="s">
        <v>29</v>
      </c>
      <c r="F1188" t="str">
        <f>IF(BBDD_fashion_boutique[[#This Row],[category]]="Accessories","Accesorio",IF(BBDD_fashion_boutique[[#This Row],[size]]="","Desconocido",BBDD_fashion_boutique[[#This Row],[size]]))</f>
        <v>L</v>
      </c>
      <c r="G1188" t="s">
        <v>40</v>
      </c>
      <c r="H1188" s="2">
        <v>128.91999999999999</v>
      </c>
      <c r="I1188">
        <v>0</v>
      </c>
      <c r="J1188" s="5">
        <f>BBDD_fashion_boutique[[#This Row],[markdown_percentage]]/100</f>
        <v>0</v>
      </c>
      <c r="K1188" s="2">
        <v>128.91999999999999</v>
      </c>
      <c r="L1188" s="2">
        <f>BBDD_fashion_boutique[[#This Row],[original_price]]-BBDD_fashion_boutique[[#This Row],[current_price]]</f>
        <v>0</v>
      </c>
      <c r="M1188" s="1">
        <v>45848</v>
      </c>
      <c r="N1188" s="1" t="str">
        <f>PROPER(TEXT(BBDD_fashion_boutique[[#This Row],[purchase_date]],"dddd"))</f>
        <v>Jueves</v>
      </c>
      <c r="O1188" s="1" t="str">
        <f>PROPER(TEXT(BBDD_fashion_boutique[[#This Row],[purchase_date]],"mmmm"))</f>
        <v>Julio</v>
      </c>
      <c r="P1188" s="4">
        <v>40</v>
      </c>
      <c r="Q1188" s="2">
        <v>1.5</v>
      </c>
      <c r="R1188" t="str">
        <f>IF(BBDD_fashion_boutique[[#This Row],[stock_quantity]]&gt;9,"Ok",IF(BBDD_fashion_boutique[[#This Row],[stock_quantity]]=0,"Agotado","Pocas Unidades"))</f>
        <v>Ok</v>
      </c>
      <c r="S1188" s="3">
        <f>IF(BBDD_fashion_boutique[[#This Row],[customer_rating]]="","No valorado",BBDD_fashion_boutique[[#This Row],[customer_rating]])</f>
        <v>1.5</v>
      </c>
      <c r="T1188" t="s">
        <v>24</v>
      </c>
      <c r="V1188">
        <f>IF(BBDD_fashion_boutique[[#This Row],[is_returned]]="False",0,1)</f>
        <v>0</v>
      </c>
      <c r="W1188">
        <f>IF(BBDD_fashion_boutique[[#This Row],[is_returned]]="True",0,BBDD_fashion_boutique[[#This Row],[current_price]])</f>
        <v>128.91999999999999</v>
      </c>
      <c r="X1188" t="str">
        <f>IF(BBDD_fashion_boutique[[#This Row],[return_reason]]="","No return",BBDD_fashion_boutique[[#This Row],[return_reason]])</f>
        <v>No return</v>
      </c>
      <c r="Y1188">
        <f>IF(IFERROR(VLOOKUP(BBDD_fashion_boutique[[#This Row],[product_id]],A1189:A3364,1,FALSE),0),1,0)</f>
        <v>0</v>
      </c>
    </row>
    <row r="1189" spans="1:25" x14ac:dyDescent="0.3">
      <c r="A1189" t="s">
        <v>1248</v>
      </c>
      <c r="B1189" t="s">
        <v>32</v>
      </c>
      <c r="C1189" t="s">
        <v>37</v>
      </c>
      <c r="D1189" t="s">
        <v>39</v>
      </c>
      <c r="F1189" t="str">
        <f>IF(BBDD_fashion_boutique[[#This Row],[category]]="Accessories","Accesorio",IF(BBDD_fashion_boutique[[#This Row],[size]]="","Desconocido",BBDD_fashion_boutique[[#This Row],[size]]))</f>
        <v>Accesorio</v>
      </c>
      <c r="G1189" t="s">
        <v>23</v>
      </c>
      <c r="H1189" s="2">
        <v>16.510000000000002</v>
      </c>
      <c r="I1189">
        <v>16.8</v>
      </c>
      <c r="J1189" s="5">
        <f>BBDD_fashion_boutique[[#This Row],[markdown_percentage]]/100</f>
        <v>0.16800000000000001</v>
      </c>
      <c r="K1189" s="2">
        <v>13.74</v>
      </c>
      <c r="L1189" s="2">
        <f>BBDD_fashion_boutique[[#This Row],[original_price]]-BBDD_fashion_boutique[[#This Row],[current_price]]</f>
        <v>2.7700000000000014</v>
      </c>
      <c r="M1189" s="1">
        <v>45875</v>
      </c>
      <c r="N1189" s="1" t="str">
        <f>PROPER(TEXT(BBDD_fashion_boutique[[#This Row],[purchase_date]],"dddd"))</f>
        <v>Miércoles</v>
      </c>
      <c r="O1189" s="1" t="str">
        <f>PROPER(TEXT(BBDD_fashion_boutique[[#This Row],[purchase_date]],"mmmm"))</f>
        <v>Agosto</v>
      </c>
      <c r="P1189" s="4">
        <v>47</v>
      </c>
      <c r="Q1189" s="2">
        <v>1.2</v>
      </c>
      <c r="R1189" t="str">
        <f>IF(BBDD_fashion_boutique[[#This Row],[stock_quantity]]&gt;9,"Ok",IF(BBDD_fashion_boutique[[#This Row],[stock_quantity]]=0,"Agotado","Pocas Unidades"))</f>
        <v>Ok</v>
      </c>
      <c r="S1189" s="3">
        <f>IF(BBDD_fashion_boutique[[#This Row],[customer_rating]]="","No valorado",BBDD_fashion_boutique[[#This Row],[customer_rating]])</f>
        <v>1.2</v>
      </c>
      <c r="T1189" t="s">
        <v>24</v>
      </c>
      <c r="V1189">
        <f>IF(BBDD_fashion_boutique[[#This Row],[is_returned]]="False",0,1)</f>
        <v>0</v>
      </c>
      <c r="W1189">
        <f>IF(BBDD_fashion_boutique[[#This Row],[is_returned]]="True",0,BBDD_fashion_boutique[[#This Row],[current_price]])</f>
        <v>13.74</v>
      </c>
      <c r="X1189" t="str">
        <f>IF(BBDD_fashion_boutique[[#This Row],[return_reason]]="","No return",BBDD_fashion_boutique[[#This Row],[return_reason]])</f>
        <v>No return</v>
      </c>
      <c r="Y1189">
        <f>IF(IFERROR(VLOOKUP(BBDD_fashion_boutique[[#This Row],[product_id]],A1190:A3365,1,FALSE),0),1,0)</f>
        <v>0</v>
      </c>
    </row>
    <row r="1190" spans="1:25" x14ac:dyDescent="0.3">
      <c r="A1190" t="s">
        <v>1249</v>
      </c>
      <c r="B1190" t="s">
        <v>35</v>
      </c>
      <c r="C1190" t="s">
        <v>37</v>
      </c>
      <c r="D1190" t="s">
        <v>28</v>
      </c>
      <c r="F1190" t="str">
        <f>IF(BBDD_fashion_boutique[[#This Row],[category]]="Accessories","Accesorio",IF(BBDD_fashion_boutique[[#This Row],[size]]="","Desconocido",BBDD_fashion_boutique[[#This Row],[size]]))</f>
        <v>Desconocido</v>
      </c>
      <c r="G1190" t="s">
        <v>46</v>
      </c>
      <c r="H1190" s="2">
        <v>173.66</v>
      </c>
      <c r="I1190">
        <v>42.7</v>
      </c>
      <c r="J1190" s="5">
        <f>BBDD_fashion_boutique[[#This Row],[markdown_percentage]]/100</f>
        <v>0.42700000000000005</v>
      </c>
      <c r="K1190" s="2">
        <v>99.51</v>
      </c>
      <c r="L1190" s="2">
        <f>BBDD_fashion_boutique[[#This Row],[original_price]]-BBDD_fashion_boutique[[#This Row],[current_price]]</f>
        <v>74.149999999999991</v>
      </c>
      <c r="M1190" s="1">
        <v>45875</v>
      </c>
      <c r="N1190" s="1" t="str">
        <f>PROPER(TEXT(BBDD_fashion_boutique[[#This Row],[purchase_date]],"dddd"))</f>
        <v>Miércoles</v>
      </c>
      <c r="O1190" s="1" t="str">
        <f>PROPER(TEXT(BBDD_fashion_boutique[[#This Row],[purchase_date]],"mmmm"))</f>
        <v>Agosto</v>
      </c>
      <c r="P1190" s="4">
        <v>1</v>
      </c>
      <c r="Q1190" s="2">
        <v>3.1</v>
      </c>
      <c r="R1190" t="str">
        <f>IF(BBDD_fashion_boutique[[#This Row],[stock_quantity]]&gt;9,"Ok",IF(BBDD_fashion_boutique[[#This Row],[stock_quantity]]=0,"Agotado","Pocas Unidades"))</f>
        <v>Pocas Unidades</v>
      </c>
      <c r="S1190" s="3">
        <f>IF(BBDD_fashion_boutique[[#This Row],[customer_rating]]="","No valorado",BBDD_fashion_boutique[[#This Row],[customer_rating]])</f>
        <v>3.1</v>
      </c>
      <c r="T1190" t="s">
        <v>24</v>
      </c>
      <c r="V1190">
        <f>IF(BBDD_fashion_boutique[[#This Row],[is_returned]]="False",0,1)</f>
        <v>0</v>
      </c>
      <c r="W1190">
        <f>IF(BBDD_fashion_boutique[[#This Row],[is_returned]]="True",0,BBDD_fashion_boutique[[#This Row],[current_price]])</f>
        <v>99.51</v>
      </c>
      <c r="X1190" t="str">
        <f>IF(BBDD_fashion_boutique[[#This Row],[return_reason]]="","No return",BBDD_fashion_boutique[[#This Row],[return_reason]])</f>
        <v>No return</v>
      </c>
      <c r="Y1190">
        <f>IF(IFERROR(VLOOKUP(BBDD_fashion_boutique[[#This Row],[product_id]],A1191:A3366,1,FALSE),0),1,0)</f>
        <v>0</v>
      </c>
    </row>
    <row r="1191" spans="1:25" x14ac:dyDescent="0.3">
      <c r="A1191" t="s">
        <v>1250</v>
      </c>
      <c r="B1191" t="s">
        <v>26</v>
      </c>
      <c r="C1191" t="s">
        <v>54</v>
      </c>
      <c r="D1191" t="s">
        <v>21</v>
      </c>
      <c r="E1191" t="s">
        <v>45</v>
      </c>
      <c r="F1191" t="str">
        <f>IF(BBDD_fashion_boutique[[#This Row],[category]]="Accessories","Accesorio",IF(BBDD_fashion_boutique[[#This Row],[size]]="","Desconocido",BBDD_fashion_boutique[[#This Row],[size]]))</f>
        <v>S</v>
      </c>
      <c r="G1191" t="s">
        <v>33</v>
      </c>
      <c r="H1191" s="2">
        <v>71.489999999999995</v>
      </c>
      <c r="I1191">
        <v>20.9</v>
      </c>
      <c r="J1191" s="5">
        <f>BBDD_fashion_boutique[[#This Row],[markdown_percentage]]/100</f>
        <v>0.20899999999999999</v>
      </c>
      <c r="K1191" s="2">
        <v>56.55</v>
      </c>
      <c r="L1191" s="2">
        <f>BBDD_fashion_boutique[[#This Row],[original_price]]-BBDD_fashion_boutique[[#This Row],[current_price]]</f>
        <v>14.939999999999998</v>
      </c>
      <c r="M1191" s="1">
        <v>45669</v>
      </c>
      <c r="N1191" s="1" t="str">
        <f>PROPER(TEXT(BBDD_fashion_boutique[[#This Row],[purchase_date]],"dddd"))</f>
        <v>Domingo</v>
      </c>
      <c r="O1191" s="1" t="str">
        <f>PROPER(TEXT(BBDD_fashion_boutique[[#This Row],[purchase_date]],"mmmm"))</f>
        <v>Enero</v>
      </c>
      <c r="P1191" s="4">
        <v>33</v>
      </c>
      <c r="Q1191" s="2">
        <v>1.3</v>
      </c>
      <c r="R1191" t="str">
        <f>IF(BBDD_fashion_boutique[[#This Row],[stock_quantity]]&gt;9,"Ok",IF(BBDD_fashion_boutique[[#This Row],[stock_quantity]]=0,"Agotado","Pocas Unidades"))</f>
        <v>Ok</v>
      </c>
      <c r="S1191" s="3">
        <f>IF(BBDD_fashion_boutique[[#This Row],[customer_rating]]="","No valorado",BBDD_fashion_boutique[[#This Row],[customer_rating]])</f>
        <v>1.3</v>
      </c>
      <c r="T1191" t="s">
        <v>24</v>
      </c>
      <c r="V1191">
        <f>IF(BBDD_fashion_boutique[[#This Row],[is_returned]]="False",0,1)</f>
        <v>0</v>
      </c>
      <c r="W1191">
        <f>IF(BBDD_fashion_boutique[[#This Row],[is_returned]]="True",0,BBDD_fashion_boutique[[#This Row],[current_price]])</f>
        <v>56.55</v>
      </c>
      <c r="X1191" t="str">
        <f>IF(BBDD_fashion_boutique[[#This Row],[return_reason]]="","No return",BBDD_fashion_boutique[[#This Row],[return_reason]])</f>
        <v>No return</v>
      </c>
      <c r="Y1191">
        <f>IF(IFERROR(VLOOKUP(BBDD_fashion_boutique[[#This Row],[product_id]],A1192:A3367,1,FALSE),0),1,0)</f>
        <v>0</v>
      </c>
    </row>
    <row r="1192" spans="1:25" x14ac:dyDescent="0.3">
      <c r="A1192" t="s">
        <v>1251</v>
      </c>
      <c r="B1192" t="s">
        <v>19</v>
      </c>
      <c r="C1192" t="s">
        <v>27</v>
      </c>
      <c r="D1192" t="s">
        <v>39</v>
      </c>
      <c r="E1192" t="s">
        <v>55</v>
      </c>
      <c r="F1192" t="str">
        <f>IF(BBDD_fashion_boutique[[#This Row],[category]]="Accessories","Accesorio",IF(BBDD_fashion_boutique[[#This Row],[size]]="","Desconocido",BBDD_fashion_boutique[[#This Row],[size]]))</f>
        <v>XXL</v>
      </c>
      <c r="G1192" t="s">
        <v>46</v>
      </c>
      <c r="H1192" s="2">
        <v>230.81</v>
      </c>
      <c r="I1192">
        <v>24.3</v>
      </c>
      <c r="J1192" s="5">
        <f>BBDD_fashion_boutique[[#This Row],[markdown_percentage]]/100</f>
        <v>0.24299999999999999</v>
      </c>
      <c r="K1192" s="2">
        <v>174.72</v>
      </c>
      <c r="L1192" s="2">
        <f>BBDD_fashion_boutique[[#This Row],[original_price]]-BBDD_fashion_boutique[[#This Row],[current_price]]</f>
        <v>56.09</v>
      </c>
      <c r="M1192" s="1">
        <v>45875</v>
      </c>
      <c r="N1192" s="1" t="str">
        <f>PROPER(TEXT(BBDD_fashion_boutique[[#This Row],[purchase_date]],"dddd"))</f>
        <v>Miércoles</v>
      </c>
      <c r="O1192" s="1" t="str">
        <f>PROPER(TEXT(BBDD_fashion_boutique[[#This Row],[purchase_date]],"mmmm"))</f>
        <v>Agosto</v>
      </c>
      <c r="P1192" s="4">
        <v>26</v>
      </c>
      <c r="R1192" t="str">
        <f>IF(BBDD_fashion_boutique[[#This Row],[stock_quantity]]&gt;9,"Ok",IF(BBDD_fashion_boutique[[#This Row],[stock_quantity]]=0,"Agotado","Pocas Unidades"))</f>
        <v>Ok</v>
      </c>
      <c r="S1192" s="3" t="str">
        <f>IF(BBDD_fashion_boutique[[#This Row],[customer_rating]]="","No valorado",BBDD_fashion_boutique[[#This Row],[customer_rating]])</f>
        <v>No valorado</v>
      </c>
      <c r="T1192" t="s">
        <v>41</v>
      </c>
      <c r="U1192" t="s">
        <v>79</v>
      </c>
      <c r="V1192">
        <f>IF(BBDD_fashion_boutique[[#This Row],[is_returned]]="False",0,1)</f>
        <v>1</v>
      </c>
      <c r="W1192">
        <f>IF(BBDD_fashion_boutique[[#This Row],[is_returned]]="True",0,BBDD_fashion_boutique[[#This Row],[current_price]])</f>
        <v>0</v>
      </c>
      <c r="X1192" t="str">
        <f>IF(BBDD_fashion_boutique[[#This Row],[return_reason]]="","No return",BBDD_fashion_boutique[[#This Row],[return_reason]])</f>
        <v>Size Issue</v>
      </c>
      <c r="Y1192">
        <f>IF(IFERROR(VLOOKUP(BBDD_fashion_boutique[[#This Row],[product_id]],A1193:A3368,1,FALSE),0),1,0)</f>
        <v>0</v>
      </c>
    </row>
    <row r="1193" spans="1:25" x14ac:dyDescent="0.3">
      <c r="A1193" t="s">
        <v>1252</v>
      </c>
      <c r="B1193" t="s">
        <v>35</v>
      </c>
      <c r="C1193" t="s">
        <v>54</v>
      </c>
      <c r="D1193" t="s">
        <v>21</v>
      </c>
      <c r="E1193" t="s">
        <v>61</v>
      </c>
      <c r="F1193" t="str">
        <f>IF(BBDD_fashion_boutique[[#This Row],[category]]="Accessories","Accesorio",IF(BBDD_fashion_boutique[[#This Row],[size]]="","Desconocido",BBDD_fashion_boutique[[#This Row],[size]]))</f>
        <v>XS</v>
      </c>
      <c r="G1193" t="s">
        <v>52</v>
      </c>
      <c r="H1193" s="2">
        <v>101</v>
      </c>
      <c r="I1193">
        <v>58.6</v>
      </c>
      <c r="J1193" s="5">
        <f>BBDD_fashion_boutique[[#This Row],[markdown_percentage]]/100</f>
        <v>0.58599999999999997</v>
      </c>
      <c r="K1193" s="2">
        <v>41.81</v>
      </c>
      <c r="L1193" s="2">
        <f>BBDD_fashion_boutique[[#This Row],[original_price]]-BBDD_fashion_boutique[[#This Row],[current_price]]</f>
        <v>59.19</v>
      </c>
      <c r="M1193" s="1">
        <v>45842</v>
      </c>
      <c r="N1193" s="1" t="str">
        <f>PROPER(TEXT(BBDD_fashion_boutique[[#This Row],[purchase_date]],"dddd"))</f>
        <v>Viernes</v>
      </c>
      <c r="O1193" s="1" t="str">
        <f>PROPER(TEXT(BBDD_fashion_boutique[[#This Row],[purchase_date]],"mmmm"))</f>
        <v>Julio</v>
      </c>
      <c r="P1193" s="4">
        <v>44</v>
      </c>
      <c r="Q1193" s="2">
        <v>1.2</v>
      </c>
      <c r="R1193" t="str">
        <f>IF(BBDD_fashion_boutique[[#This Row],[stock_quantity]]&gt;9,"Ok",IF(BBDD_fashion_boutique[[#This Row],[stock_quantity]]=0,"Agotado","Pocas Unidades"))</f>
        <v>Ok</v>
      </c>
      <c r="S1193" s="3">
        <f>IF(BBDD_fashion_boutique[[#This Row],[customer_rating]]="","No valorado",BBDD_fashion_boutique[[#This Row],[customer_rating]])</f>
        <v>1.2</v>
      </c>
      <c r="T1193" t="s">
        <v>24</v>
      </c>
      <c r="V1193">
        <f>IF(BBDD_fashion_boutique[[#This Row],[is_returned]]="False",0,1)</f>
        <v>0</v>
      </c>
      <c r="W1193">
        <f>IF(BBDD_fashion_boutique[[#This Row],[is_returned]]="True",0,BBDD_fashion_boutique[[#This Row],[current_price]])</f>
        <v>41.81</v>
      </c>
      <c r="X1193" t="str">
        <f>IF(BBDD_fashion_boutique[[#This Row],[return_reason]]="","No return",BBDD_fashion_boutique[[#This Row],[return_reason]])</f>
        <v>No return</v>
      </c>
      <c r="Y1193">
        <f>IF(IFERROR(VLOOKUP(BBDD_fashion_boutique[[#This Row],[product_id]],A1194:A3369,1,FALSE),0),1,0)</f>
        <v>0</v>
      </c>
    </row>
    <row r="1194" spans="1:25" x14ac:dyDescent="0.3">
      <c r="A1194" t="s">
        <v>1253</v>
      </c>
      <c r="B1194" t="s">
        <v>19</v>
      </c>
      <c r="C1194" t="s">
        <v>49</v>
      </c>
      <c r="D1194" t="s">
        <v>28</v>
      </c>
      <c r="E1194" t="s">
        <v>55</v>
      </c>
      <c r="F1194" t="str">
        <f>IF(BBDD_fashion_boutique[[#This Row],[category]]="Accessories","Accesorio",IF(BBDD_fashion_boutique[[#This Row],[size]]="","Desconocido",BBDD_fashion_boutique[[#This Row],[size]]))</f>
        <v>XXL</v>
      </c>
      <c r="G1194" t="s">
        <v>76</v>
      </c>
      <c r="H1194" s="2">
        <v>116.37</v>
      </c>
      <c r="I1194">
        <v>52.6</v>
      </c>
      <c r="J1194" s="5">
        <f>BBDD_fashion_boutique[[#This Row],[markdown_percentage]]/100</f>
        <v>0.52600000000000002</v>
      </c>
      <c r="K1194" s="2">
        <v>55.16</v>
      </c>
      <c r="L1194" s="2">
        <f>BBDD_fashion_boutique[[#This Row],[original_price]]-BBDD_fashion_boutique[[#This Row],[current_price]]</f>
        <v>61.210000000000008</v>
      </c>
      <c r="M1194" s="1">
        <v>45875</v>
      </c>
      <c r="N1194" s="1" t="str">
        <f>PROPER(TEXT(BBDD_fashion_boutique[[#This Row],[purchase_date]],"dddd"))</f>
        <v>Miércoles</v>
      </c>
      <c r="O1194" s="1" t="str">
        <f>PROPER(TEXT(BBDD_fashion_boutique[[#This Row],[purchase_date]],"mmmm"))</f>
        <v>Agosto</v>
      </c>
      <c r="P1194" s="4">
        <v>43</v>
      </c>
      <c r="Q1194" s="2">
        <v>2.4</v>
      </c>
      <c r="R1194" t="str">
        <f>IF(BBDD_fashion_boutique[[#This Row],[stock_quantity]]&gt;9,"Ok",IF(BBDD_fashion_boutique[[#This Row],[stock_quantity]]=0,"Agotado","Pocas Unidades"))</f>
        <v>Ok</v>
      </c>
      <c r="S1194" s="3">
        <f>IF(BBDD_fashion_boutique[[#This Row],[customer_rating]]="","No valorado",BBDD_fashion_boutique[[#This Row],[customer_rating]])</f>
        <v>2.4</v>
      </c>
      <c r="T1194" t="s">
        <v>24</v>
      </c>
      <c r="V1194">
        <f>IF(BBDD_fashion_boutique[[#This Row],[is_returned]]="False",0,1)</f>
        <v>0</v>
      </c>
      <c r="W1194">
        <f>IF(BBDD_fashion_boutique[[#This Row],[is_returned]]="True",0,BBDD_fashion_boutique[[#This Row],[current_price]])</f>
        <v>55.16</v>
      </c>
      <c r="X1194" t="str">
        <f>IF(BBDD_fashion_boutique[[#This Row],[return_reason]]="","No return",BBDD_fashion_boutique[[#This Row],[return_reason]])</f>
        <v>No return</v>
      </c>
      <c r="Y1194">
        <f>IF(IFERROR(VLOOKUP(BBDD_fashion_boutique[[#This Row],[product_id]],A1195:A3370,1,FALSE),0),1,0)</f>
        <v>0</v>
      </c>
    </row>
    <row r="1195" spans="1:25" x14ac:dyDescent="0.3">
      <c r="A1195" t="s">
        <v>1254</v>
      </c>
      <c r="B1195" t="s">
        <v>35</v>
      </c>
      <c r="C1195" t="s">
        <v>54</v>
      </c>
      <c r="D1195" t="s">
        <v>21</v>
      </c>
      <c r="E1195" t="s">
        <v>29</v>
      </c>
      <c r="F1195" t="str">
        <f>IF(BBDD_fashion_boutique[[#This Row],[category]]="Accessories","Accesorio",IF(BBDD_fashion_boutique[[#This Row],[size]]="","Desconocido",BBDD_fashion_boutique[[#This Row],[size]]))</f>
        <v>L</v>
      </c>
      <c r="G1195" t="s">
        <v>62</v>
      </c>
      <c r="H1195" s="2">
        <v>150.28</v>
      </c>
      <c r="I1195">
        <v>8.3000000000000007</v>
      </c>
      <c r="J1195" s="5">
        <f>BBDD_fashion_boutique[[#This Row],[markdown_percentage]]/100</f>
        <v>8.3000000000000004E-2</v>
      </c>
      <c r="K1195" s="2">
        <v>137.81</v>
      </c>
      <c r="L1195" s="2">
        <f>BBDD_fashion_boutique[[#This Row],[original_price]]-BBDD_fashion_boutique[[#This Row],[current_price]]</f>
        <v>12.469999999999999</v>
      </c>
      <c r="M1195" s="1">
        <v>45679</v>
      </c>
      <c r="N1195" s="1" t="str">
        <f>PROPER(TEXT(BBDD_fashion_boutique[[#This Row],[purchase_date]],"dddd"))</f>
        <v>Miércoles</v>
      </c>
      <c r="O1195" s="1" t="str">
        <f>PROPER(TEXT(BBDD_fashion_boutique[[#This Row],[purchase_date]],"mmmm"))</f>
        <v>Enero</v>
      </c>
      <c r="P1195" s="4">
        <v>48</v>
      </c>
      <c r="Q1195" s="2">
        <v>2.9</v>
      </c>
      <c r="R1195" t="str">
        <f>IF(BBDD_fashion_boutique[[#This Row],[stock_quantity]]&gt;9,"Ok",IF(BBDD_fashion_boutique[[#This Row],[stock_quantity]]=0,"Agotado","Pocas Unidades"))</f>
        <v>Ok</v>
      </c>
      <c r="S1195" s="3">
        <f>IF(BBDD_fashion_boutique[[#This Row],[customer_rating]]="","No valorado",BBDD_fashion_boutique[[#This Row],[customer_rating]])</f>
        <v>2.9</v>
      </c>
      <c r="T1195" t="s">
        <v>24</v>
      </c>
      <c r="V1195">
        <f>IF(BBDD_fashion_boutique[[#This Row],[is_returned]]="False",0,1)</f>
        <v>0</v>
      </c>
      <c r="W1195">
        <f>IF(BBDD_fashion_boutique[[#This Row],[is_returned]]="True",0,BBDD_fashion_boutique[[#This Row],[current_price]])</f>
        <v>137.81</v>
      </c>
      <c r="X1195" t="str">
        <f>IF(BBDD_fashion_boutique[[#This Row],[return_reason]]="","No return",BBDD_fashion_boutique[[#This Row],[return_reason]])</f>
        <v>No return</v>
      </c>
      <c r="Y1195">
        <f>IF(IFERROR(VLOOKUP(BBDD_fashion_boutique[[#This Row],[product_id]],A1196:A3371,1,FALSE),0),1,0)</f>
        <v>0</v>
      </c>
    </row>
    <row r="1196" spans="1:25" x14ac:dyDescent="0.3">
      <c r="A1196" t="s">
        <v>1255</v>
      </c>
      <c r="B1196" t="s">
        <v>19</v>
      </c>
      <c r="C1196" t="s">
        <v>20</v>
      </c>
      <c r="D1196" t="s">
        <v>28</v>
      </c>
      <c r="E1196" t="s">
        <v>22</v>
      </c>
      <c r="F1196" t="str">
        <f>IF(BBDD_fashion_boutique[[#This Row],[category]]="Accessories","Accesorio",IF(BBDD_fashion_boutique[[#This Row],[size]]="","Desconocido",BBDD_fashion_boutique[[#This Row],[size]]))</f>
        <v>XL</v>
      </c>
      <c r="G1196" t="s">
        <v>46</v>
      </c>
      <c r="H1196" s="2">
        <v>107.81</v>
      </c>
      <c r="I1196">
        <v>0</v>
      </c>
      <c r="J1196" s="5">
        <f>BBDD_fashion_boutique[[#This Row],[markdown_percentage]]/100</f>
        <v>0</v>
      </c>
      <c r="K1196" s="2">
        <v>107.81</v>
      </c>
      <c r="L1196" s="2">
        <f>BBDD_fashion_boutique[[#This Row],[original_price]]-BBDD_fashion_boutique[[#This Row],[current_price]]</f>
        <v>0</v>
      </c>
      <c r="M1196" s="1">
        <v>45875</v>
      </c>
      <c r="N1196" s="1" t="str">
        <f>PROPER(TEXT(BBDD_fashion_boutique[[#This Row],[purchase_date]],"dddd"))</f>
        <v>Miércoles</v>
      </c>
      <c r="O1196" s="1" t="str">
        <f>PROPER(TEXT(BBDD_fashion_boutique[[#This Row],[purchase_date]],"mmmm"))</f>
        <v>Agosto</v>
      </c>
      <c r="P1196" s="4">
        <v>15</v>
      </c>
      <c r="Q1196" s="2">
        <v>2.7</v>
      </c>
      <c r="R1196" t="str">
        <f>IF(BBDD_fashion_boutique[[#This Row],[stock_quantity]]&gt;9,"Ok",IF(BBDD_fashion_boutique[[#This Row],[stock_quantity]]=0,"Agotado","Pocas Unidades"))</f>
        <v>Ok</v>
      </c>
      <c r="S1196" s="3">
        <f>IF(BBDD_fashion_boutique[[#This Row],[customer_rating]]="","No valorado",BBDD_fashion_boutique[[#This Row],[customer_rating]])</f>
        <v>2.7</v>
      </c>
      <c r="T1196" t="s">
        <v>24</v>
      </c>
      <c r="V1196">
        <f>IF(BBDD_fashion_boutique[[#This Row],[is_returned]]="False",0,1)</f>
        <v>0</v>
      </c>
      <c r="W1196">
        <f>IF(BBDD_fashion_boutique[[#This Row],[is_returned]]="True",0,BBDD_fashion_boutique[[#This Row],[current_price]])</f>
        <v>107.81</v>
      </c>
      <c r="X1196" t="str">
        <f>IF(BBDD_fashion_boutique[[#This Row],[return_reason]]="","No return",BBDD_fashion_boutique[[#This Row],[return_reason]])</f>
        <v>No return</v>
      </c>
      <c r="Y1196">
        <f>IF(IFERROR(VLOOKUP(BBDD_fashion_boutique[[#This Row],[product_id]],A1197:A3372,1,FALSE),0),1,0)</f>
        <v>0</v>
      </c>
    </row>
    <row r="1197" spans="1:25" x14ac:dyDescent="0.3">
      <c r="A1197" t="s">
        <v>1256</v>
      </c>
      <c r="B1197" t="s">
        <v>48</v>
      </c>
      <c r="C1197" t="s">
        <v>20</v>
      </c>
      <c r="D1197" t="s">
        <v>21</v>
      </c>
      <c r="E1197" t="s">
        <v>29</v>
      </c>
      <c r="F1197" t="str">
        <f>IF(BBDD_fashion_boutique[[#This Row],[category]]="Accessories","Accesorio",IF(BBDD_fashion_boutique[[#This Row],[size]]="","Desconocido",BBDD_fashion_boutique[[#This Row],[size]]))</f>
        <v>L</v>
      </c>
      <c r="G1197" t="s">
        <v>70</v>
      </c>
      <c r="H1197" s="2">
        <v>61.24</v>
      </c>
      <c r="I1197">
        <v>0</v>
      </c>
      <c r="J1197" s="5">
        <f>BBDD_fashion_boutique[[#This Row],[markdown_percentage]]/100</f>
        <v>0</v>
      </c>
      <c r="K1197" s="2">
        <v>61.24</v>
      </c>
      <c r="L1197" s="2">
        <f>BBDD_fashion_boutique[[#This Row],[original_price]]-BBDD_fashion_boutique[[#This Row],[current_price]]</f>
        <v>0</v>
      </c>
      <c r="M1197" s="1">
        <v>45752</v>
      </c>
      <c r="N1197" s="1" t="str">
        <f>PROPER(TEXT(BBDD_fashion_boutique[[#This Row],[purchase_date]],"dddd"))</f>
        <v>Sábado</v>
      </c>
      <c r="O1197" s="1" t="str">
        <f>PROPER(TEXT(BBDD_fashion_boutique[[#This Row],[purchase_date]],"mmmm"))</f>
        <v>Abril</v>
      </c>
      <c r="P1197" s="4">
        <v>3</v>
      </c>
      <c r="R1197" t="str">
        <f>IF(BBDD_fashion_boutique[[#This Row],[stock_quantity]]&gt;9,"Ok",IF(BBDD_fashion_boutique[[#This Row],[stock_quantity]]=0,"Agotado","Pocas Unidades"))</f>
        <v>Pocas Unidades</v>
      </c>
      <c r="S1197" s="3" t="str">
        <f>IF(BBDD_fashion_boutique[[#This Row],[customer_rating]]="","No valorado",BBDD_fashion_boutique[[#This Row],[customer_rating]])</f>
        <v>No valorado</v>
      </c>
      <c r="T1197" t="s">
        <v>24</v>
      </c>
      <c r="V1197">
        <f>IF(BBDD_fashion_boutique[[#This Row],[is_returned]]="False",0,1)</f>
        <v>0</v>
      </c>
      <c r="W1197">
        <f>IF(BBDD_fashion_boutique[[#This Row],[is_returned]]="True",0,BBDD_fashion_boutique[[#This Row],[current_price]])</f>
        <v>61.24</v>
      </c>
      <c r="X1197" t="str">
        <f>IF(BBDD_fashion_boutique[[#This Row],[return_reason]]="","No return",BBDD_fashion_boutique[[#This Row],[return_reason]])</f>
        <v>No return</v>
      </c>
      <c r="Y1197">
        <f>IF(IFERROR(VLOOKUP(BBDD_fashion_boutique[[#This Row],[product_id]],A1198:A3373,1,FALSE),0),1,0)</f>
        <v>0</v>
      </c>
    </row>
    <row r="1198" spans="1:25" x14ac:dyDescent="0.3">
      <c r="A1198" t="s">
        <v>1257</v>
      </c>
      <c r="B1198" t="s">
        <v>32</v>
      </c>
      <c r="C1198" t="s">
        <v>20</v>
      </c>
      <c r="D1198" t="s">
        <v>28</v>
      </c>
      <c r="F1198" t="str">
        <f>IF(BBDD_fashion_boutique[[#This Row],[category]]="Accessories","Accesorio",IF(BBDD_fashion_boutique[[#This Row],[size]]="","Desconocido",BBDD_fashion_boutique[[#This Row],[size]]))</f>
        <v>Accesorio</v>
      </c>
      <c r="G1198" t="s">
        <v>52</v>
      </c>
      <c r="H1198" s="2">
        <v>34.04</v>
      </c>
      <c r="I1198">
        <v>0</v>
      </c>
      <c r="J1198" s="5">
        <f>BBDD_fashion_boutique[[#This Row],[markdown_percentage]]/100</f>
        <v>0</v>
      </c>
      <c r="K1198" s="2">
        <v>34.04</v>
      </c>
      <c r="L1198" s="2">
        <f>BBDD_fashion_boutique[[#This Row],[original_price]]-BBDD_fashion_boutique[[#This Row],[current_price]]</f>
        <v>0</v>
      </c>
      <c r="M1198" s="1">
        <v>45875</v>
      </c>
      <c r="N1198" s="1" t="str">
        <f>PROPER(TEXT(BBDD_fashion_boutique[[#This Row],[purchase_date]],"dddd"))</f>
        <v>Miércoles</v>
      </c>
      <c r="O1198" s="1" t="str">
        <f>PROPER(TEXT(BBDD_fashion_boutique[[#This Row],[purchase_date]],"mmmm"))</f>
        <v>Agosto</v>
      </c>
      <c r="P1198" s="4">
        <v>3</v>
      </c>
      <c r="Q1198" s="2">
        <v>1.9</v>
      </c>
      <c r="R1198" t="str">
        <f>IF(BBDD_fashion_boutique[[#This Row],[stock_quantity]]&gt;9,"Ok",IF(BBDD_fashion_boutique[[#This Row],[stock_quantity]]=0,"Agotado","Pocas Unidades"))</f>
        <v>Pocas Unidades</v>
      </c>
      <c r="S1198" s="3">
        <f>IF(BBDD_fashion_boutique[[#This Row],[customer_rating]]="","No valorado",BBDD_fashion_boutique[[#This Row],[customer_rating]])</f>
        <v>1.9</v>
      </c>
      <c r="T1198" t="s">
        <v>24</v>
      </c>
      <c r="V1198">
        <f>IF(BBDD_fashion_boutique[[#This Row],[is_returned]]="False",0,1)</f>
        <v>0</v>
      </c>
      <c r="W1198">
        <f>IF(BBDD_fashion_boutique[[#This Row],[is_returned]]="True",0,BBDD_fashion_boutique[[#This Row],[current_price]])</f>
        <v>34.04</v>
      </c>
      <c r="X1198" t="str">
        <f>IF(BBDD_fashion_boutique[[#This Row],[return_reason]]="","No return",BBDD_fashion_boutique[[#This Row],[return_reason]])</f>
        <v>No return</v>
      </c>
      <c r="Y1198">
        <f>IF(IFERROR(VLOOKUP(BBDD_fashion_boutique[[#This Row],[product_id]],A1199:A3374,1,FALSE),0),1,0)</f>
        <v>0</v>
      </c>
    </row>
    <row r="1199" spans="1:25" x14ac:dyDescent="0.3">
      <c r="A1199" t="s">
        <v>1258</v>
      </c>
      <c r="B1199" t="s">
        <v>48</v>
      </c>
      <c r="C1199" t="s">
        <v>67</v>
      </c>
      <c r="D1199" t="s">
        <v>68</v>
      </c>
      <c r="E1199" t="s">
        <v>45</v>
      </c>
      <c r="F1199" t="str">
        <f>IF(BBDD_fashion_boutique[[#This Row],[category]]="Accessories","Accesorio",IF(BBDD_fashion_boutique[[#This Row],[size]]="","Desconocido",BBDD_fashion_boutique[[#This Row],[size]]))</f>
        <v>S</v>
      </c>
      <c r="G1199" t="s">
        <v>76</v>
      </c>
      <c r="H1199" s="2">
        <v>168.16</v>
      </c>
      <c r="I1199">
        <v>45.9</v>
      </c>
      <c r="J1199" s="5">
        <f>BBDD_fashion_boutique[[#This Row],[markdown_percentage]]/100</f>
        <v>0.45899999999999996</v>
      </c>
      <c r="K1199" s="2">
        <v>90.97</v>
      </c>
      <c r="L1199" s="2">
        <f>BBDD_fashion_boutique[[#This Row],[original_price]]-BBDD_fashion_boutique[[#This Row],[current_price]]</f>
        <v>77.19</v>
      </c>
      <c r="M1199" s="1">
        <v>45875</v>
      </c>
      <c r="N1199" s="1" t="str">
        <f>PROPER(TEXT(BBDD_fashion_boutique[[#This Row],[purchase_date]],"dddd"))</f>
        <v>Miércoles</v>
      </c>
      <c r="O1199" s="1" t="str">
        <f>PROPER(TEXT(BBDD_fashion_boutique[[#This Row],[purchase_date]],"mmmm"))</f>
        <v>Agosto</v>
      </c>
      <c r="P1199" s="4">
        <v>44</v>
      </c>
      <c r="Q1199" s="2">
        <v>1.5</v>
      </c>
      <c r="R1199" t="str">
        <f>IF(BBDD_fashion_boutique[[#This Row],[stock_quantity]]&gt;9,"Ok",IF(BBDD_fashion_boutique[[#This Row],[stock_quantity]]=0,"Agotado","Pocas Unidades"))</f>
        <v>Ok</v>
      </c>
      <c r="S1199" s="3">
        <f>IF(BBDD_fashion_boutique[[#This Row],[customer_rating]]="","No valorado",BBDD_fashion_boutique[[#This Row],[customer_rating]])</f>
        <v>1.5</v>
      </c>
      <c r="T1199" t="s">
        <v>24</v>
      </c>
      <c r="V1199">
        <f>IF(BBDD_fashion_boutique[[#This Row],[is_returned]]="False",0,1)</f>
        <v>0</v>
      </c>
      <c r="W1199">
        <f>IF(BBDD_fashion_boutique[[#This Row],[is_returned]]="True",0,BBDD_fashion_boutique[[#This Row],[current_price]])</f>
        <v>90.97</v>
      </c>
      <c r="X1199" t="str">
        <f>IF(BBDD_fashion_boutique[[#This Row],[return_reason]]="","No return",BBDD_fashion_boutique[[#This Row],[return_reason]])</f>
        <v>No return</v>
      </c>
      <c r="Y1199">
        <f>IF(IFERROR(VLOOKUP(BBDD_fashion_boutique[[#This Row],[product_id]],A1200:A3375,1,FALSE),0),1,0)</f>
        <v>0</v>
      </c>
    </row>
    <row r="1200" spans="1:25" x14ac:dyDescent="0.3">
      <c r="A1200" t="s">
        <v>1259</v>
      </c>
      <c r="B1200" t="s">
        <v>26</v>
      </c>
      <c r="C1200" t="s">
        <v>59</v>
      </c>
      <c r="D1200" t="s">
        <v>39</v>
      </c>
      <c r="E1200" t="s">
        <v>64</v>
      </c>
      <c r="F1200" t="str">
        <f>IF(BBDD_fashion_boutique[[#This Row],[category]]="Accessories","Accesorio",IF(BBDD_fashion_boutique[[#This Row],[size]]="","Desconocido",BBDD_fashion_boutique[[#This Row],[size]]))</f>
        <v>M</v>
      </c>
      <c r="G1200" t="s">
        <v>23</v>
      </c>
      <c r="H1200" s="2">
        <v>74.069999999999993</v>
      </c>
      <c r="I1200">
        <v>0</v>
      </c>
      <c r="J1200" s="5">
        <f>BBDD_fashion_boutique[[#This Row],[markdown_percentage]]/100</f>
        <v>0</v>
      </c>
      <c r="K1200" s="2">
        <v>74.069999999999993</v>
      </c>
      <c r="L1200" s="2">
        <f>BBDD_fashion_boutique[[#This Row],[original_price]]-BBDD_fashion_boutique[[#This Row],[current_price]]</f>
        <v>0</v>
      </c>
      <c r="M1200" s="1">
        <v>45875</v>
      </c>
      <c r="N1200" s="1" t="str">
        <f>PROPER(TEXT(BBDD_fashion_boutique[[#This Row],[purchase_date]],"dddd"))</f>
        <v>Miércoles</v>
      </c>
      <c r="O1200" s="1" t="str">
        <f>PROPER(TEXT(BBDD_fashion_boutique[[#This Row],[purchase_date]],"mmmm"))</f>
        <v>Agosto</v>
      </c>
      <c r="P1200" s="4">
        <v>47</v>
      </c>
      <c r="Q1200" s="2">
        <v>1.4</v>
      </c>
      <c r="R1200" t="str">
        <f>IF(BBDD_fashion_boutique[[#This Row],[stock_quantity]]&gt;9,"Ok",IF(BBDD_fashion_boutique[[#This Row],[stock_quantity]]=0,"Agotado","Pocas Unidades"))</f>
        <v>Ok</v>
      </c>
      <c r="S1200" s="3">
        <f>IF(BBDD_fashion_boutique[[#This Row],[customer_rating]]="","No valorado",BBDD_fashion_boutique[[#This Row],[customer_rating]])</f>
        <v>1.4</v>
      </c>
      <c r="T1200" t="s">
        <v>24</v>
      </c>
      <c r="V1200">
        <f>IF(BBDD_fashion_boutique[[#This Row],[is_returned]]="False",0,1)</f>
        <v>0</v>
      </c>
      <c r="W1200">
        <f>IF(BBDD_fashion_boutique[[#This Row],[is_returned]]="True",0,BBDD_fashion_boutique[[#This Row],[current_price]])</f>
        <v>74.069999999999993</v>
      </c>
      <c r="X1200" t="str">
        <f>IF(BBDD_fashion_boutique[[#This Row],[return_reason]]="","No return",BBDD_fashion_boutique[[#This Row],[return_reason]])</f>
        <v>No return</v>
      </c>
      <c r="Y1200">
        <f>IF(IFERROR(VLOOKUP(BBDD_fashion_boutique[[#This Row],[product_id]],A1201:A3376,1,FALSE),0),1,0)</f>
        <v>0</v>
      </c>
    </row>
    <row r="1201" spans="1:25" x14ac:dyDescent="0.3">
      <c r="A1201" t="s">
        <v>1260</v>
      </c>
      <c r="B1201" t="s">
        <v>26</v>
      </c>
      <c r="C1201" t="s">
        <v>81</v>
      </c>
      <c r="D1201" t="s">
        <v>28</v>
      </c>
      <c r="E1201" t="s">
        <v>55</v>
      </c>
      <c r="F1201" t="str">
        <f>IF(BBDD_fashion_boutique[[#This Row],[category]]="Accessories","Accesorio",IF(BBDD_fashion_boutique[[#This Row],[size]]="","Desconocido",BBDD_fashion_boutique[[#This Row],[size]]))</f>
        <v>XXL</v>
      </c>
      <c r="G1201" t="s">
        <v>76</v>
      </c>
      <c r="H1201" s="2">
        <v>84.75</v>
      </c>
      <c r="I1201">
        <v>0</v>
      </c>
      <c r="J1201" s="5">
        <f>BBDD_fashion_boutique[[#This Row],[markdown_percentage]]/100</f>
        <v>0</v>
      </c>
      <c r="K1201" s="2">
        <v>84.75</v>
      </c>
      <c r="L1201" s="2">
        <f>BBDD_fashion_boutique[[#This Row],[original_price]]-BBDD_fashion_boutique[[#This Row],[current_price]]</f>
        <v>0</v>
      </c>
      <c r="M1201" s="1">
        <v>45875</v>
      </c>
      <c r="N1201" s="1" t="str">
        <f>PROPER(TEXT(BBDD_fashion_boutique[[#This Row],[purchase_date]],"dddd"))</f>
        <v>Miércoles</v>
      </c>
      <c r="O1201" s="1" t="str">
        <f>PROPER(TEXT(BBDD_fashion_boutique[[#This Row],[purchase_date]],"mmmm"))</f>
        <v>Agosto</v>
      </c>
      <c r="P1201" s="4">
        <v>7</v>
      </c>
      <c r="Q1201" s="2">
        <v>2.5</v>
      </c>
      <c r="R1201" t="str">
        <f>IF(BBDD_fashion_boutique[[#This Row],[stock_quantity]]&gt;9,"Ok",IF(BBDD_fashion_boutique[[#This Row],[stock_quantity]]=0,"Agotado","Pocas Unidades"))</f>
        <v>Pocas Unidades</v>
      </c>
      <c r="S1201" s="3">
        <f>IF(BBDD_fashion_boutique[[#This Row],[customer_rating]]="","No valorado",BBDD_fashion_boutique[[#This Row],[customer_rating]])</f>
        <v>2.5</v>
      </c>
      <c r="T1201" t="s">
        <v>24</v>
      </c>
      <c r="V1201">
        <f>IF(BBDD_fashion_boutique[[#This Row],[is_returned]]="False",0,1)</f>
        <v>0</v>
      </c>
      <c r="W1201">
        <f>IF(BBDD_fashion_boutique[[#This Row],[is_returned]]="True",0,BBDD_fashion_boutique[[#This Row],[current_price]])</f>
        <v>84.75</v>
      </c>
      <c r="X1201" t="str">
        <f>IF(BBDD_fashion_boutique[[#This Row],[return_reason]]="","No return",BBDD_fashion_boutique[[#This Row],[return_reason]])</f>
        <v>No return</v>
      </c>
      <c r="Y1201">
        <f>IF(IFERROR(VLOOKUP(BBDD_fashion_boutique[[#This Row],[product_id]],A1202:A3377,1,FALSE),0),1,0)</f>
        <v>0</v>
      </c>
    </row>
    <row r="1202" spans="1:25" x14ac:dyDescent="0.3">
      <c r="A1202" t="s">
        <v>1261</v>
      </c>
      <c r="B1202" t="s">
        <v>35</v>
      </c>
      <c r="C1202" t="s">
        <v>49</v>
      </c>
      <c r="D1202" t="s">
        <v>68</v>
      </c>
      <c r="E1202" t="s">
        <v>64</v>
      </c>
      <c r="F1202" t="str">
        <f>IF(BBDD_fashion_boutique[[#This Row],[category]]="Accessories","Accesorio",IF(BBDD_fashion_boutique[[#This Row],[size]]="","Desconocido",BBDD_fashion_boutique[[#This Row],[size]]))</f>
        <v>M</v>
      </c>
      <c r="G1202" t="s">
        <v>23</v>
      </c>
      <c r="H1202" s="2">
        <v>187.47</v>
      </c>
      <c r="I1202">
        <v>9.6</v>
      </c>
      <c r="J1202" s="5">
        <f>BBDD_fashion_boutique[[#This Row],[markdown_percentage]]/100</f>
        <v>9.6000000000000002E-2</v>
      </c>
      <c r="K1202" s="2">
        <v>169.47</v>
      </c>
      <c r="L1202" s="2">
        <f>BBDD_fashion_boutique[[#This Row],[original_price]]-BBDD_fashion_boutique[[#This Row],[current_price]]</f>
        <v>18</v>
      </c>
      <c r="M1202" s="1">
        <v>45875</v>
      </c>
      <c r="N1202" s="1" t="str">
        <f>PROPER(TEXT(BBDD_fashion_boutique[[#This Row],[purchase_date]],"dddd"))</f>
        <v>Miércoles</v>
      </c>
      <c r="O1202" s="1" t="str">
        <f>PROPER(TEXT(BBDD_fashion_boutique[[#This Row],[purchase_date]],"mmmm"))</f>
        <v>Agosto</v>
      </c>
      <c r="P1202" s="4">
        <v>28</v>
      </c>
      <c r="Q1202" s="2">
        <v>4</v>
      </c>
      <c r="R1202" t="str">
        <f>IF(BBDD_fashion_boutique[[#This Row],[stock_quantity]]&gt;9,"Ok",IF(BBDD_fashion_boutique[[#This Row],[stock_quantity]]=0,"Agotado","Pocas Unidades"))</f>
        <v>Ok</v>
      </c>
      <c r="S1202" s="3">
        <f>IF(BBDD_fashion_boutique[[#This Row],[customer_rating]]="","No valorado",BBDD_fashion_boutique[[#This Row],[customer_rating]])</f>
        <v>4</v>
      </c>
      <c r="T1202" t="s">
        <v>24</v>
      </c>
      <c r="V1202">
        <f>IF(BBDD_fashion_boutique[[#This Row],[is_returned]]="False",0,1)</f>
        <v>0</v>
      </c>
      <c r="W1202">
        <f>IF(BBDD_fashion_boutique[[#This Row],[is_returned]]="True",0,BBDD_fashion_boutique[[#This Row],[current_price]])</f>
        <v>169.47</v>
      </c>
      <c r="X1202" t="str">
        <f>IF(BBDD_fashion_boutique[[#This Row],[return_reason]]="","No return",BBDD_fashion_boutique[[#This Row],[return_reason]])</f>
        <v>No return</v>
      </c>
      <c r="Y1202">
        <f>IF(IFERROR(VLOOKUP(BBDD_fashion_boutique[[#This Row],[product_id]],A1203:A3378,1,FALSE),0),1,0)</f>
        <v>0</v>
      </c>
    </row>
    <row r="1203" spans="1:25" x14ac:dyDescent="0.3">
      <c r="A1203" t="s">
        <v>1262</v>
      </c>
      <c r="B1203" t="s">
        <v>32</v>
      </c>
      <c r="C1203" t="s">
        <v>27</v>
      </c>
      <c r="D1203" t="s">
        <v>21</v>
      </c>
      <c r="F1203" t="str">
        <f>IF(BBDD_fashion_boutique[[#This Row],[category]]="Accessories","Accesorio",IF(BBDD_fashion_boutique[[#This Row],[size]]="","Desconocido",BBDD_fashion_boutique[[#This Row],[size]]))</f>
        <v>Accesorio</v>
      </c>
      <c r="G1203" t="s">
        <v>52</v>
      </c>
      <c r="H1203" s="2">
        <v>45.81</v>
      </c>
      <c r="I1203">
        <v>14.1</v>
      </c>
      <c r="J1203" s="5">
        <f>BBDD_fashion_boutique[[#This Row],[markdown_percentage]]/100</f>
        <v>0.14099999999999999</v>
      </c>
      <c r="K1203" s="2">
        <v>39.35</v>
      </c>
      <c r="L1203" s="2">
        <f>BBDD_fashion_boutique[[#This Row],[original_price]]-BBDD_fashion_boutique[[#This Row],[current_price]]</f>
        <v>6.4600000000000009</v>
      </c>
      <c r="M1203" s="1">
        <v>45761</v>
      </c>
      <c r="N1203" s="1" t="str">
        <f>PROPER(TEXT(BBDD_fashion_boutique[[#This Row],[purchase_date]],"dddd"))</f>
        <v>Lunes</v>
      </c>
      <c r="O1203" s="1" t="str">
        <f>PROPER(TEXT(BBDD_fashion_boutique[[#This Row],[purchase_date]],"mmmm"))</f>
        <v>Abril</v>
      </c>
      <c r="P1203" s="4">
        <v>29</v>
      </c>
      <c r="R1203" t="str">
        <f>IF(BBDD_fashion_boutique[[#This Row],[stock_quantity]]&gt;9,"Ok",IF(BBDD_fashion_boutique[[#This Row],[stock_quantity]]=0,"Agotado","Pocas Unidades"))</f>
        <v>Ok</v>
      </c>
      <c r="S1203" s="3" t="str">
        <f>IF(BBDD_fashion_boutique[[#This Row],[customer_rating]]="","No valorado",BBDD_fashion_boutique[[#This Row],[customer_rating]])</f>
        <v>No valorado</v>
      </c>
      <c r="T1203" t="s">
        <v>24</v>
      </c>
      <c r="V1203">
        <f>IF(BBDD_fashion_boutique[[#This Row],[is_returned]]="False",0,1)</f>
        <v>0</v>
      </c>
      <c r="W1203">
        <f>IF(BBDD_fashion_boutique[[#This Row],[is_returned]]="True",0,BBDD_fashion_boutique[[#This Row],[current_price]])</f>
        <v>39.35</v>
      </c>
      <c r="X1203" t="str">
        <f>IF(BBDD_fashion_boutique[[#This Row],[return_reason]]="","No return",BBDD_fashion_boutique[[#This Row],[return_reason]])</f>
        <v>No return</v>
      </c>
      <c r="Y1203">
        <f>IF(IFERROR(VLOOKUP(BBDD_fashion_boutique[[#This Row],[product_id]],A1204:A3379,1,FALSE),0),1,0)</f>
        <v>0</v>
      </c>
    </row>
    <row r="1204" spans="1:25" x14ac:dyDescent="0.3">
      <c r="A1204" t="s">
        <v>1263</v>
      </c>
      <c r="B1204" t="s">
        <v>19</v>
      </c>
      <c r="C1204" t="s">
        <v>37</v>
      </c>
      <c r="D1204" t="s">
        <v>39</v>
      </c>
      <c r="E1204" t="s">
        <v>22</v>
      </c>
      <c r="F1204" t="str">
        <f>IF(BBDD_fashion_boutique[[#This Row],[category]]="Accessories","Accesorio",IF(BBDD_fashion_boutique[[#This Row],[size]]="","Desconocido",BBDD_fashion_boutique[[#This Row],[size]]))</f>
        <v>XL</v>
      </c>
      <c r="G1204" t="s">
        <v>76</v>
      </c>
      <c r="H1204" s="2">
        <v>87.09</v>
      </c>
      <c r="I1204">
        <v>0</v>
      </c>
      <c r="J1204" s="5">
        <f>BBDD_fashion_boutique[[#This Row],[markdown_percentage]]/100</f>
        <v>0</v>
      </c>
      <c r="K1204" s="2">
        <v>87.09</v>
      </c>
      <c r="L1204" s="2">
        <f>BBDD_fashion_boutique[[#This Row],[original_price]]-BBDD_fashion_boutique[[#This Row],[current_price]]</f>
        <v>0</v>
      </c>
      <c r="M1204" s="1">
        <v>45875</v>
      </c>
      <c r="N1204" s="1" t="str">
        <f>PROPER(TEXT(BBDD_fashion_boutique[[#This Row],[purchase_date]],"dddd"))</f>
        <v>Miércoles</v>
      </c>
      <c r="O1204" s="1" t="str">
        <f>PROPER(TEXT(BBDD_fashion_boutique[[#This Row],[purchase_date]],"mmmm"))</f>
        <v>Agosto</v>
      </c>
      <c r="P1204" s="4">
        <v>8</v>
      </c>
      <c r="Q1204" s="2">
        <v>2.8</v>
      </c>
      <c r="R1204" t="str">
        <f>IF(BBDD_fashion_boutique[[#This Row],[stock_quantity]]&gt;9,"Ok",IF(BBDD_fashion_boutique[[#This Row],[stock_quantity]]=0,"Agotado","Pocas Unidades"))</f>
        <v>Pocas Unidades</v>
      </c>
      <c r="S1204" s="3">
        <f>IF(BBDD_fashion_boutique[[#This Row],[customer_rating]]="","No valorado",BBDD_fashion_boutique[[#This Row],[customer_rating]])</f>
        <v>2.8</v>
      </c>
      <c r="T1204" t="s">
        <v>24</v>
      </c>
      <c r="V1204">
        <f>IF(BBDD_fashion_boutique[[#This Row],[is_returned]]="False",0,1)</f>
        <v>0</v>
      </c>
      <c r="W1204">
        <f>IF(BBDD_fashion_boutique[[#This Row],[is_returned]]="True",0,BBDD_fashion_boutique[[#This Row],[current_price]])</f>
        <v>87.09</v>
      </c>
      <c r="X1204" t="str">
        <f>IF(BBDD_fashion_boutique[[#This Row],[return_reason]]="","No return",BBDD_fashion_boutique[[#This Row],[return_reason]])</f>
        <v>No return</v>
      </c>
      <c r="Y1204">
        <f>IF(IFERROR(VLOOKUP(BBDD_fashion_boutique[[#This Row],[product_id]],A1205:A3380,1,FALSE),0),1,0)</f>
        <v>0</v>
      </c>
    </row>
    <row r="1205" spans="1:25" x14ac:dyDescent="0.3">
      <c r="A1205" t="s">
        <v>1264</v>
      </c>
      <c r="B1205" t="s">
        <v>19</v>
      </c>
      <c r="C1205" t="s">
        <v>54</v>
      </c>
      <c r="D1205" t="s">
        <v>68</v>
      </c>
      <c r="E1205" t="s">
        <v>61</v>
      </c>
      <c r="F1205" t="str">
        <f>IF(BBDD_fashion_boutique[[#This Row],[category]]="Accessories","Accesorio",IF(BBDD_fashion_boutique[[#This Row],[size]]="","Desconocido",BBDD_fashion_boutique[[#This Row],[size]]))</f>
        <v>XS</v>
      </c>
      <c r="G1205" t="s">
        <v>76</v>
      </c>
      <c r="H1205" s="2">
        <v>232.5</v>
      </c>
      <c r="I1205">
        <v>56.8</v>
      </c>
      <c r="J1205" s="5">
        <f>BBDD_fashion_boutique[[#This Row],[markdown_percentage]]/100</f>
        <v>0.56799999999999995</v>
      </c>
      <c r="K1205" s="2">
        <v>100.44</v>
      </c>
      <c r="L1205" s="2">
        <f>BBDD_fashion_boutique[[#This Row],[original_price]]-BBDD_fashion_boutique[[#This Row],[current_price]]</f>
        <v>132.06</v>
      </c>
      <c r="M1205" s="1">
        <v>45875</v>
      </c>
      <c r="N1205" s="1" t="str">
        <f>PROPER(TEXT(BBDD_fashion_boutique[[#This Row],[purchase_date]],"dddd"))</f>
        <v>Miércoles</v>
      </c>
      <c r="O1205" s="1" t="str">
        <f>PROPER(TEXT(BBDD_fashion_boutique[[#This Row],[purchase_date]],"mmmm"))</f>
        <v>Agosto</v>
      </c>
      <c r="P1205" s="4">
        <v>23</v>
      </c>
      <c r="Q1205" s="2">
        <v>2.9</v>
      </c>
      <c r="R1205" t="str">
        <f>IF(BBDD_fashion_boutique[[#This Row],[stock_quantity]]&gt;9,"Ok",IF(BBDD_fashion_boutique[[#This Row],[stock_quantity]]=0,"Agotado","Pocas Unidades"))</f>
        <v>Ok</v>
      </c>
      <c r="S1205" s="3">
        <f>IF(BBDD_fashion_boutique[[#This Row],[customer_rating]]="","No valorado",BBDD_fashion_boutique[[#This Row],[customer_rating]])</f>
        <v>2.9</v>
      </c>
      <c r="T1205" t="s">
        <v>41</v>
      </c>
      <c r="U1205" t="s">
        <v>79</v>
      </c>
      <c r="V1205">
        <f>IF(BBDD_fashion_boutique[[#This Row],[is_returned]]="False",0,1)</f>
        <v>1</v>
      </c>
      <c r="W1205">
        <f>IF(BBDD_fashion_boutique[[#This Row],[is_returned]]="True",0,BBDD_fashion_boutique[[#This Row],[current_price]])</f>
        <v>0</v>
      </c>
      <c r="X1205" t="str">
        <f>IF(BBDD_fashion_boutique[[#This Row],[return_reason]]="","No return",BBDD_fashion_boutique[[#This Row],[return_reason]])</f>
        <v>Size Issue</v>
      </c>
      <c r="Y1205">
        <f>IF(IFERROR(VLOOKUP(BBDD_fashion_boutique[[#This Row],[product_id]],A1206:A3381,1,FALSE),0),1,0)</f>
        <v>0</v>
      </c>
    </row>
    <row r="1206" spans="1:25" x14ac:dyDescent="0.3">
      <c r="A1206" t="s">
        <v>1265</v>
      </c>
      <c r="B1206" t="s">
        <v>35</v>
      </c>
      <c r="C1206" t="s">
        <v>59</v>
      </c>
      <c r="D1206" t="s">
        <v>21</v>
      </c>
      <c r="E1206" t="s">
        <v>61</v>
      </c>
      <c r="F1206" t="str">
        <f>IF(BBDD_fashion_boutique[[#This Row],[category]]="Accessories","Accesorio",IF(BBDD_fashion_boutique[[#This Row],[size]]="","Desconocido",BBDD_fashion_boutique[[#This Row],[size]]))</f>
        <v>XS</v>
      </c>
      <c r="G1206" t="s">
        <v>72</v>
      </c>
      <c r="H1206" s="2">
        <v>184.87</v>
      </c>
      <c r="I1206">
        <v>0</v>
      </c>
      <c r="J1206" s="5">
        <f>BBDD_fashion_boutique[[#This Row],[markdown_percentage]]/100</f>
        <v>0</v>
      </c>
      <c r="K1206" s="2">
        <v>184.87</v>
      </c>
      <c r="L1206" s="2">
        <f>BBDD_fashion_boutique[[#This Row],[original_price]]-BBDD_fashion_boutique[[#This Row],[current_price]]</f>
        <v>0</v>
      </c>
      <c r="M1206" s="1">
        <v>45563</v>
      </c>
      <c r="N1206" s="1" t="str">
        <f>PROPER(TEXT(BBDD_fashion_boutique[[#This Row],[purchase_date]],"dddd"))</f>
        <v>Sábado</v>
      </c>
      <c r="O1206" s="1" t="str">
        <f>PROPER(TEXT(BBDD_fashion_boutique[[#This Row],[purchase_date]],"mmmm"))</f>
        <v>Septiembre</v>
      </c>
      <c r="P1206" s="4">
        <v>32</v>
      </c>
      <c r="Q1206" s="2">
        <v>1.8</v>
      </c>
      <c r="R1206" t="str">
        <f>IF(BBDD_fashion_boutique[[#This Row],[stock_quantity]]&gt;9,"Ok",IF(BBDD_fashion_boutique[[#This Row],[stock_quantity]]=0,"Agotado","Pocas Unidades"))</f>
        <v>Ok</v>
      </c>
      <c r="S1206" s="3">
        <f>IF(BBDD_fashion_boutique[[#This Row],[customer_rating]]="","No valorado",BBDD_fashion_boutique[[#This Row],[customer_rating]])</f>
        <v>1.8</v>
      </c>
      <c r="T1206" t="s">
        <v>24</v>
      </c>
      <c r="V1206">
        <f>IF(BBDD_fashion_boutique[[#This Row],[is_returned]]="False",0,1)</f>
        <v>0</v>
      </c>
      <c r="W1206">
        <f>IF(BBDD_fashion_boutique[[#This Row],[is_returned]]="True",0,BBDD_fashion_boutique[[#This Row],[current_price]])</f>
        <v>184.87</v>
      </c>
      <c r="X1206" t="str">
        <f>IF(BBDD_fashion_boutique[[#This Row],[return_reason]]="","No return",BBDD_fashion_boutique[[#This Row],[return_reason]])</f>
        <v>No return</v>
      </c>
      <c r="Y1206">
        <f>IF(IFERROR(VLOOKUP(BBDD_fashion_boutique[[#This Row],[product_id]],A1207:A3382,1,FALSE),0),1,0)</f>
        <v>0</v>
      </c>
    </row>
    <row r="1207" spans="1:25" x14ac:dyDescent="0.3">
      <c r="A1207" t="s">
        <v>1266</v>
      </c>
      <c r="B1207" t="s">
        <v>26</v>
      </c>
      <c r="C1207" t="s">
        <v>67</v>
      </c>
      <c r="D1207" t="s">
        <v>39</v>
      </c>
      <c r="E1207" t="s">
        <v>61</v>
      </c>
      <c r="F1207" t="str">
        <f>IF(BBDD_fashion_boutique[[#This Row],[category]]="Accessories","Accesorio",IF(BBDD_fashion_boutique[[#This Row],[size]]="","Desconocido",BBDD_fashion_boutique[[#This Row],[size]]))</f>
        <v>XS</v>
      </c>
      <c r="G1207" t="s">
        <v>46</v>
      </c>
      <c r="H1207" s="2">
        <v>31.36</v>
      </c>
      <c r="I1207">
        <v>0</v>
      </c>
      <c r="J1207" s="5">
        <f>BBDD_fashion_boutique[[#This Row],[markdown_percentage]]/100</f>
        <v>0</v>
      </c>
      <c r="K1207" s="2">
        <v>31.36</v>
      </c>
      <c r="L1207" s="2">
        <f>BBDD_fashion_boutique[[#This Row],[original_price]]-BBDD_fashion_boutique[[#This Row],[current_price]]</f>
        <v>0</v>
      </c>
      <c r="M1207" s="1">
        <v>45875</v>
      </c>
      <c r="N1207" s="1" t="str">
        <f>PROPER(TEXT(BBDD_fashion_boutique[[#This Row],[purchase_date]],"dddd"))</f>
        <v>Miércoles</v>
      </c>
      <c r="O1207" s="1" t="str">
        <f>PROPER(TEXT(BBDD_fashion_boutique[[#This Row],[purchase_date]],"mmmm"))</f>
        <v>Agosto</v>
      </c>
      <c r="P1207" s="4">
        <v>50</v>
      </c>
      <c r="Q1207" s="2">
        <v>3.4</v>
      </c>
      <c r="R1207" t="str">
        <f>IF(BBDD_fashion_boutique[[#This Row],[stock_quantity]]&gt;9,"Ok",IF(BBDD_fashion_boutique[[#This Row],[stock_quantity]]=0,"Agotado","Pocas Unidades"))</f>
        <v>Ok</v>
      </c>
      <c r="S1207" s="3">
        <f>IF(BBDD_fashion_boutique[[#This Row],[customer_rating]]="","No valorado",BBDD_fashion_boutique[[#This Row],[customer_rating]])</f>
        <v>3.4</v>
      </c>
      <c r="T1207" t="s">
        <v>24</v>
      </c>
      <c r="V1207">
        <f>IF(BBDD_fashion_boutique[[#This Row],[is_returned]]="False",0,1)</f>
        <v>0</v>
      </c>
      <c r="W1207">
        <f>IF(BBDD_fashion_boutique[[#This Row],[is_returned]]="True",0,BBDD_fashion_boutique[[#This Row],[current_price]])</f>
        <v>31.36</v>
      </c>
      <c r="X1207" t="str">
        <f>IF(BBDD_fashion_boutique[[#This Row],[return_reason]]="","No return",BBDD_fashion_boutique[[#This Row],[return_reason]])</f>
        <v>No return</v>
      </c>
      <c r="Y1207">
        <f>IF(IFERROR(VLOOKUP(BBDD_fashion_boutique[[#This Row],[product_id]],A1208:A3383,1,FALSE),0),1,0)</f>
        <v>0</v>
      </c>
    </row>
    <row r="1208" spans="1:25" x14ac:dyDescent="0.3">
      <c r="A1208" t="s">
        <v>1267</v>
      </c>
      <c r="B1208" t="s">
        <v>32</v>
      </c>
      <c r="C1208" t="s">
        <v>54</v>
      </c>
      <c r="D1208" t="s">
        <v>28</v>
      </c>
      <c r="F1208" t="str">
        <f>IF(BBDD_fashion_boutique[[#This Row],[category]]="Accessories","Accesorio",IF(BBDD_fashion_boutique[[#This Row],[size]]="","Desconocido",BBDD_fashion_boutique[[#This Row],[size]]))</f>
        <v>Accesorio</v>
      </c>
      <c r="G1208" t="s">
        <v>70</v>
      </c>
      <c r="H1208" s="2">
        <v>62.26</v>
      </c>
      <c r="I1208">
        <v>24.6</v>
      </c>
      <c r="J1208" s="5">
        <f>BBDD_fashion_boutique[[#This Row],[markdown_percentage]]/100</f>
        <v>0.24600000000000002</v>
      </c>
      <c r="K1208" s="2">
        <v>46.94</v>
      </c>
      <c r="L1208" s="2">
        <f>BBDD_fashion_boutique[[#This Row],[original_price]]-BBDD_fashion_boutique[[#This Row],[current_price]]</f>
        <v>15.32</v>
      </c>
      <c r="M1208" s="1">
        <v>45875</v>
      </c>
      <c r="N1208" s="1" t="str">
        <f>PROPER(TEXT(BBDD_fashion_boutique[[#This Row],[purchase_date]],"dddd"))</f>
        <v>Miércoles</v>
      </c>
      <c r="O1208" s="1" t="str">
        <f>PROPER(TEXT(BBDD_fashion_boutique[[#This Row],[purchase_date]],"mmmm"))</f>
        <v>Agosto</v>
      </c>
      <c r="P1208" s="4">
        <v>33</v>
      </c>
      <c r="Q1208" s="2">
        <v>3.5</v>
      </c>
      <c r="R1208" t="str">
        <f>IF(BBDD_fashion_boutique[[#This Row],[stock_quantity]]&gt;9,"Ok",IF(BBDD_fashion_boutique[[#This Row],[stock_quantity]]=0,"Agotado","Pocas Unidades"))</f>
        <v>Ok</v>
      </c>
      <c r="S1208" s="3">
        <f>IF(BBDD_fashion_boutique[[#This Row],[customer_rating]]="","No valorado",BBDD_fashion_boutique[[#This Row],[customer_rating]])</f>
        <v>3.5</v>
      </c>
      <c r="T1208" t="s">
        <v>24</v>
      </c>
      <c r="V1208">
        <f>IF(BBDD_fashion_boutique[[#This Row],[is_returned]]="False",0,1)</f>
        <v>0</v>
      </c>
      <c r="W1208">
        <f>IF(BBDD_fashion_boutique[[#This Row],[is_returned]]="True",0,BBDD_fashion_boutique[[#This Row],[current_price]])</f>
        <v>46.94</v>
      </c>
      <c r="X1208" t="str">
        <f>IF(BBDD_fashion_boutique[[#This Row],[return_reason]]="","No return",BBDD_fashion_boutique[[#This Row],[return_reason]])</f>
        <v>No return</v>
      </c>
      <c r="Y1208">
        <f>IF(IFERROR(VLOOKUP(BBDD_fashion_boutique[[#This Row],[product_id]],A1209:A3384,1,FALSE),0),1,0)</f>
        <v>0</v>
      </c>
    </row>
    <row r="1209" spans="1:25" x14ac:dyDescent="0.3">
      <c r="A1209" t="s">
        <v>1268</v>
      </c>
      <c r="B1209" t="s">
        <v>32</v>
      </c>
      <c r="C1209" t="s">
        <v>49</v>
      </c>
      <c r="D1209" t="s">
        <v>68</v>
      </c>
      <c r="F1209" t="str">
        <f>IF(BBDD_fashion_boutique[[#This Row],[category]]="Accessories","Accesorio",IF(BBDD_fashion_boutique[[#This Row],[size]]="","Desconocido",BBDD_fashion_boutique[[#This Row],[size]]))</f>
        <v>Accesorio</v>
      </c>
      <c r="G1209" t="s">
        <v>70</v>
      </c>
      <c r="H1209" s="2">
        <v>64.819999999999993</v>
      </c>
      <c r="I1209">
        <v>42.2</v>
      </c>
      <c r="J1209" s="5">
        <f>BBDD_fashion_boutique[[#This Row],[markdown_percentage]]/100</f>
        <v>0.42200000000000004</v>
      </c>
      <c r="K1209" s="2">
        <v>37.47</v>
      </c>
      <c r="L1209" s="2">
        <f>BBDD_fashion_boutique[[#This Row],[original_price]]-BBDD_fashion_boutique[[#This Row],[current_price]]</f>
        <v>27.349999999999994</v>
      </c>
      <c r="M1209" s="1">
        <v>45875</v>
      </c>
      <c r="N1209" s="1" t="str">
        <f>PROPER(TEXT(BBDD_fashion_boutique[[#This Row],[purchase_date]],"dddd"))</f>
        <v>Miércoles</v>
      </c>
      <c r="O1209" s="1" t="str">
        <f>PROPER(TEXT(BBDD_fashion_boutique[[#This Row],[purchase_date]],"mmmm"))</f>
        <v>Agosto</v>
      </c>
      <c r="P1209" s="4">
        <v>26</v>
      </c>
      <c r="Q1209" s="2">
        <v>1.3</v>
      </c>
      <c r="R1209" t="str">
        <f>IF(BBDD_fashion_boutique[[#This Row],[stock_quantity]]&gt;9,"Ok",IF(BBDD_fashion_boutique[[#This Row],[stock_quantity]]=0,"Agotado","Pocas Unidades"))</f>
        <v>Ok</v>
      </c>
      <c r="S1209" s="3">
        <f>IF(BBDD_fashion_boutique[[#This Row],[customer_rating]]="","No valorado",BBDD_fashion_boutique[[#This Row],[customer_rating]])</f>
        <v>1.3</v>
      </c>
      <c r="T1209" t="s">
        <v>24</v>
      </c>
      <c r="V1209">
        <f>IF(BBDD_fashion_boutique[[#This Row],[is_returned]]="False",0,1)</f>
        <v>0</v>
      </c>
      <c r="W1209">
        <f>IF(BBDD_fashion_boutique[[#This Row],[is_returned]]="True",0,BBDD_fashion_boutique[[#This Row],[current_price]])</f>
        <v>37.47</v>
      </c>
      <c r="X1209" t="str">
        <f>IF(BBDD_fashion_boutique[[#This Row],[return_reason]]="","No return",BBDD_fashion_boutique[[#This Row],[return_reason]])</f>
        <v>No return</v>
      </c>
      <c r="Y1209">
        <f>IF(IFERROR(VLOOKUP(BBDD_fashion_boutique[[#This Row],[product_id]],A1210:A3385,1,FALSE),0),1,0)</f>
        <v>0</v>
      </c>
    </row>
    <row r="1210" spans="1:25" x14ac:dyDescent="0.3">
      <c r="A1210" t="s">
        <v>1269</v>
      </c>
      <c r="B1210" t="s">
        <v>32</v>
      </c>
      <c r="C1210" t="s">
        <v>20</v>
      </c>
      <c r="D1210" t="s">
        <v>21</v>
      </c>
      <c r="F1210" t="str">
        <f>IF(BBDD_fashion_boutique[[#This Row],[category]]="Accessories","Accesorio",IF(BBDD_fashion_boutique[[#This Row],[size]]="","Desconocido",BBDD_fashion_boutique[[#This Row],[size]]))</f>
        <v>Accesorio</v>
      </c>
      <c r="G1210" t="s">
        <v>50</v>
      </c>
      <c r="H1210" s="2">
        <v>15.92</v>
      </c>
      <c r="I1210">
        <v>0</v>
      </c>
      <c r="J1210" s="5">
        <f>BBDD_fashion_boutique[[#This Row],[markdown_percentage]]/100</f>
        <v>0</v>
      </c>
      <c r="K1210" s="2">
        <v>15.92</v>
      </c>
      <c r="L1210" s="2">
        <f>BBDD_fashion_boutique[[#This Row],[original_price]]-BBDD_fashion_boutique[[#This Row],[current_price]]</f>
        <v>0</v>
      </c>
      <c r="M1210" s="1">
        <v>45541</v>
      </c>
      <c r="N1210" s="1" t="str">
        <f>PROPER(TEXT(BBDD_fashion_boutique[[#This Row],[purchase_date]],"dddd"))</f>
        <v>Viernes</v>
      </c>
      <c r="O1210" s="1" t="str">
        <f>PROPER(TEXT(BBDD_fashion_boutique[[#This Row],[purchase_date]],"mmmm"))</f>
        <v>Septiembre</v>
      </c>
      <c r="P1210" s="4">
        <v>7</v>
      </c>
      <c r="Q1210" s="2">
        <v>4.0999999999999996</v>
      </c>
      <c r="R1210" t="str">
        <f>IF(BBDD_fashion_boutique[[#This Row],[stock_quantity]]&gt;9,"Ok",IF(BBDD_fashion_boutique[[#This Row],[stock_quantity]]=0,"Agotado","Pocas Unidades"))</f>
        <v>Pocas Unidades</v>
      </c>
      <c r="S1210" s="3">
        <f>IF(BBDD_fashion_boutique[[#This Row],[customer_rating]]="","No valorado",BBDD_fashion_boutique[[#This Row],[customer_rating]])</f>
        <v>4.0999999999999996</v>
      </c>
      <c r="T1210" t="s">
        <v>24</v>
      </c>
      <c r="V1210">
        <f>IF(BBDD_fashion_boutique[[#This Row],[is_returned]]="False",0,1)</f>
        <v>0</v>
      </c>
      <c r="W1210">
        <f>IF(BBDD_fashion_boutique[[#This Row],[is_returned]]="True",0,BBDD_fashion_boutique[[#This Row],[current_price]])</f>
        <v>15.92</v>
      </c>
      <c r="X1210" t="str">
        <f>IF(BBDD_fashion_boutique[[#This Row],[return_reason]]="","No return",BBDD_fashion_boutique[[#This Row],[return_reason]])</f>
        <v>No return</v>
      </c>
      <c r="Y1210">
        <f>IF(IFERROR(VLOOKUP(BBDD_fashion_boutique[[#This Row],[product_id]],A1211:A3386,1,FALSE),0),1,0)</f>
        <v>0</v>
      </c>
    </row>
    <row r="1211" spans="1:25" x14ac:dyDescent="0.3">
      <c r="A1211" t="s">
        <v>1270</v>
      </c>
      <c r="B1211" t="s">
        <v>19</v>
      </c>
      <c r="C1211" t="s">
        <v>54</v>
      </c>
      <c r="D1211" t="s">
        <v>21</v>
      </c>
      <c r="E1211" t="s">
        <v>64</v>
      </c>
      <c r="F1211" t="str">
        <f>IF(BBDD_fashion_boutique[[#This Row],[category]]="Accessories","Accesorio",IF(BBDD_fashion_boutique[[#This Row],[size]]="","Desconocido",BBDD_fashion_boutique[[#This Row],[size]]))</f>
        <v>M</v>
      </c>
      <c r="G1211" t="s">
        <v>72</v>
      </c>
      <c r="H1211" s="2">
        <v>180.83</v>
      </c>
      <c r="I1211">
        <v>0</v>
      </c>
      <c r="J1211" s="5">
        <f>BBDD_fashion_boutique[[#This Row],[markdown_percentage]]/100</f>
        <v>0</v>
      </c>
      <c r="K1211" s="2">
        <v>180.83</v>
      </c>
      <c r="L1211" s="2">
        <f>BBDD_fashion_boutique[[#This Row],[original_price]]-BBDD_fashion_boutique[[#This Row],[current_price]]</f>
        <v>0</v>
      </c>
      <c r="M1211" s="1">
        <v>45537</v>
      </c>
      <c r="N1211" s="1" t="str">
        <f>PROPER(TEXT(BBDD_fashion_boutique[[#This Row],[purchase_date]],"dddd"))</f>
        <v>Lunes</v>
      </c>
      <c r="O1211" s="1" t="str">
        <f>PROPER(TEXT(BBDD_fashion_boutique[[#This Row],[purchase_date]],"mmmm"))</f>
        <v>Septiembre</v>
      </c>
      <c r="P1211" s="4">
        <v>20</v>
      </c>
      <c r="Q1211" s="2">
        <v>2</v>
      </c>
      <c r="R1211" t="str">
        <f>IF(BBDD_fashion_boutique[[#This Row],[stock_quantity]]&gt;9,"Ok",IF(BBDD_fashion_boutique[[#This Row],[stock_quantity]]=0,"Agotado","Pocas Unidades"))</f>
        <v>Ok</v>
      </c>
      <c r="S1211" s="3">
        <f>IF(BBDD_fashion_boutique[[#This Row],[customer_rating]]="","No valorado",BBDD_fashion_boutique[[#This Row],[customer_rating]])</f>
        <v>2</v>
      </c>
      <c r="T1211" t="s">
        <v>24</v>
      </c>
      <c r="V1211">
        <f>IF(BBDD_fashion_boutique[[#This Row],[is_returned]]="False",0,1)</f>
        <v>0</v>
      </c>
      <c r="W1211">
        <f>IF(BBDD_fashion_boutique[[#This Row],[is_returned]]="True",0,BBDD_fashion_boutique[[#This Row],[current_price]])</f>
        <v>180.83</v>
      </c>
      <c r="X1211" t="str">
        <f>IF(BBDD_fashion_boutique[[#This Row],[return_reason]]="","No return",BBDD_fashion_boutique[[#This Row],[return_reason]])</f>
        <v>No return</v>
      </c>
      <c r="Y1211">
        <f>IF(IFERROR(VLOOKUP(BBDD_fashion_boutique[[#This Row],[product_id]],A1212:A3387,1,FALSE),0),1,0)</f>
        <v>0</v>
      </c>
    </row>
    <row r="1212" spans="1:25" x14ac:dyDescent="0.3">
      <c r="A1212" t="s">
        <v>1271</v>
      </c>
      <c r="B1212" t="s">
        <v>35</v>
      </c>
      <c r="C1212" t="s">
        <v>81</v>
      </c>
      <c r="D1212" t="s">
        <v>68</v>
      </c>
      <c r="E1212" t="s">
        <v>29</v>
      </c>
      <c r="F1212" t="str">
        <f>IF(BBDD_fashion_boutique[[#This Row],[category]]="Accessories","Accesorio",IF(BBDD_fashion_boutique[[#This Row],[size]]="","Desconocido",BBDD_fashion_boutique[[#This Row],[size]]))</f>
        <v>L</v>
      </c>
      <c r="G1212" t="s">
        <v>76</v>
      </c>
      <c r="H1212" s="2">
        <v>73.81</v>
      </c>
      <c r="I1212">
        <v>0</v>
      </c>
      <c r="J1212" s="5">
        <f>BBDD_fashion_boutique[[#This Row],[markdown_percentage]]/100</f>
        <v>0</v>
      </c>
      <c r="K1212" s="2">
        <v>73.81</v>
      </c>
      <c r="L1212" s="2">
        <f>BBDD_fashion_boutique[[#This Row],[original_price]]-BBDD_fashion_boutique[[#This Row],[current_price]]</f>
        <v>0</v>
      </c>
      <c r="M1212" s="1">
        <v>45875</v>
      </c>
      <c r="N1212" s="1" t="str">
        <f>PROPER(TEXT(BBDD_fashion_boutique[[#This Row],[purchase_date]],"dddd"))</f>
        <v>Miércoles</v>
      </c>
      <c r="O1212" s="1" t="str">
        <f>PROPER(TEXT(BBDD_fashion_boutique[[#This Row],[purchase_date]],"mmmm"))</f>
        <v>Agosto</v>
      </c>
      <c r="P1212" s="4">
        <v>44</v>
      </c>
      <c r="Q1212" s="2">
        <v>1.3</v>
      </c>
      <c r="R1212" t="str">
        <f>IF(BBDD_fashion_boutique[[#This Row],[stock_quantity]]&gt;9,"Ok",IF(BBDD_fashion_boutique[[#This Row],[stock_quantity]]=0,"Agotado","Pocas Unidades"))</f>
        <v>Ok</v>
      </c>
      <c r="S1212" s="3">
        <f>IF(BBDD_fashion_boutique[[#This Row],[customer_rating]]="","No valorado",BBDD_fashion_boutique[[#This Row],[customer_rating]])</f>
        <v>1.3</v>
      </c>
      <c r="T1212" t="s">
        <v>24</v>
      </c>
      <c r="V1212">
        <f>IF(BBDD_fashion_boutique[[#This Row],[is_returned]]="False",0,1)</f>
        <v>0</v>
      </c>
      <c r="W1212">
        <f>IF(BBDD_fashion_boutique[[#This Row],[is_returned]]="True",0,BBDD_fashion_boutique[[#This Row],[current_price]])</f>
        <v>73.81</v>
      </c>
      <c r="X1212" t="str">
        <f>IF(BBDD_fashion_boutique[[#This Row],[return_reason]]="","No return",BBDD_fashion_boutique[[#This Row],[return_reason]])</f>
        <v>No return</v>
      </c>
      <c r="Y1212">
        <f>IF(IFERROR(VLOOKUP(BBDD_fashion_boutique[[#This Row],[product_id]],A1213:A3388,1,FALSE),0),1,0)</f>
        <v>0</v>
      </c>
    </row>
    <row r="1213" spans="1:25" x14ac:dyDescent="0.3">
      <c r="A1213" t="s">
        <v>1272</v>
      </c>
      <c r="B1213" t="s">
        <v>35</v>
      </c>
      <c r="C1213" t="s">
        <v>59</v>
      </c>
      <c r="D1213" t="s">
        <v>68</v>
      </c>
      <c r="E1213" t="s">
        <v>55</v>
      </c>
      <c r="F1213" t="str">
        <f>IF(BBDD_fashion_boutique[[#This Row],[category]]="Accessories","Accesorio",IF(BBDD_fashion_boutique[[#This Row],[size]]="","Desconocido",BBDD_fashion_boutique[[#This Row],[size]]))</f>
        <v>XXL</v>
      </c>
      <c r="G1213" t="s">
        <v>62</v>
      </c>
      <c r="H1213" s="2">
        <v>127.52</v>
      </c>
      <c r="I1213">
        <v>0</v>
      </c>
      <c r="J1213" s="5">
        <f>BBDD_fashion_boutique[[#This Row],[markdown_percentage]]/100</f>
        <v>0</v>
      </c>
      <c r="K1213" s="2">
        <v>127.52</v>
      </c>
      <c r="L1213" s="2">
        <f>BBDD_fashion_boutique[[#This Row],[original_price]]-BBDD_fashion_boutique[[#This Row],[current_price]]</f>
        <v>0</v>
      </c>
      <c r="M1213" s="1">
        <v>45875</v>
      </c>
      <c r="N1213" s="1" t="str">
        <f>PROPER(TEXT(BBDD_fashion_boutique[[#This Row],[purchase_date]],"dddd"))</f>
        <v>Miércoles</v>
      </c>
      <c r="O1213" s="1" t="str">
        <f>PROPER(TEXT(BBDD_fashion_boutique[[#This Row],[purchase_date]],"mmmm"))</f>
        <v>Agosto</v>
      </c>
      <c r="P1213" s="4">
        <v>0</v>
      </c>
      <c r="Q1213" s="2">
        <v>3.4</v>
      </c>
      <c r="R1213" t="str">
        <f>IF(BBDD_fashion_boutique[[#This Row],[stock_quantity]]&gt;9,"Ok",IF(BBDD_fashion_boutique[[#This Row],[stock_quantity]]=0,"Agotado","Pocas Unidades"))</f>
        <v>Agotado</v>
      </c>
      <c r="S1213" s="3">
        <f>IF(BBDD_fashion_boutique[[#This Row],[customer_rating]]="","No valorado",BBDD_fashion_boutique[[#This Row],[customer_rating]])</f>
        <v>3.4</v>
      </c>
      <c r="T1213" t="s">
        <v>24</v>
      </c>
      <c r="V1213">
        <f>IF(BBDD_fashion_boutique[[#This Row],[is_returned]]="False",0,1)</f>
        <v>0</v>
      </c>
      <c r="W1213">
        <f>IF(BBDD_fashion_boutique[[#This Row],[is_returned]]="True",0,BBDD_fashion_boutique[[#This Row],[current_price]])</f>
        <v>127.52</v>
      </c>
      <c r="X1213" t="str">
        <f>IF(BBDD_fashion_boutique[[#This Row],[return_reason]]="","No return",BBDD_fashion_boutique[[#This Row],[return_reason]])</f>
        <v>No return</v>
      </c>
      <c r="Y1213">
        <f>IF(IFERROR(VLOOKUP(BBDD_fashion_boutique[[#This Row],[product_id]],A1214:A3389,1,FALSE),0),1,0)</f>
        <v>0</v>
      </c>
    </row>
    <row r="1214" spans="1:25" x14ac:dyDescent="0.3">
      <c r="A1214" t="s">
        <v>1273</v>
      </c>
      <c r="B1214" t="s">
        <v>44</v>
      </c>
      <c r="C1214" t="s">
        <v>54</v>
      </c>
      <c r="D1214" t="s">
        <v>39</v>
      </c>
      <c r="F1214" t="str">
        <f>IF(BBDD_fashion_boutique[[#This Row],[category]]="Accessories","Accesorio",IF(BBDD_fashion_boutique[[#This Row],[size]]="","Desconocido",BBDD_fashion_boutique[[#This Row],[size]]))</f>
        <v>Desconocido</v>
      </c>
      <c r="G1214" t="s">
        <v>76</v>
      </c>
      <c r="H1214" s="2">
        <v>52.08</v>
      </c>
      <c r="I1214">
        <v>0</v>
      </c>
      <c r="J1214" s="5">
        <f>BBDD_fashion_boutique[[#This Row],[markdown_percentage]]/100</f>
        <v>0</v>
      </c>
      <c r="K1214" s="2">
        <v>52.08</v>
      </c>
      <c r="L1214" s="2">
        <f>BBDD_fashion_boutique[[#This Row],[original_price]]-BBDD_fashion_boutique[[#This Row],[current_price]]</f>
        <v>0</v>
      </c>
      <c r="M1214" s="1">
        <v>45875</v>
      </c>
      <c r="N1214" s="1" t="str">
        <f>PROPER(TEXT(BBDD_fashion_boutique[[#This Row],[purchase_date]],"dddd"))</f>
        <v>Miércoles</v>
      </c>
      <c r="O1214" s="1" t="str">
        <f>PROPER(TEXT(BBDD_fashion_boutique[[#This Row],[purchase_date]],"mmmm"))</f>
        <v>Agosto</v>
      </c>
      <c r="P1214" s="4">
        <v>12</v>
      </c>
      <c r="R1214" t="str">
        <f>IF(BBDD_fashion_boutique[[#This Row],[stock_quantity]]&gt;9,"Ok",IF(BBDD_fashion_boutique[[#This Row],[stock_quantity]]=0,"Agotado","Pocas Unidades"))</f>
        <v>Ok</v>
      </c>
      <c r="S1214" s="3" t="str">
        <f>IF(BBDD_fashion_boutique[[#This Row],[customer_rating]]="","No valorado",BBDD_fashion_boutique[[#This Row],[customer_rating]])</f>
        <v>No valorado</v>
      </c>
      <c r="T1214" t="s">
        <v>24</v>
      </c>
      <c r="V1214">
        <f>IF(BBDD_fashion_boutique[[#This Row],[is_returned]]="False",0,1)</f>
        <v>0</v>
      </c>
      <c r="W1214">
        <f>IF(BBDD_fashion_boutique[[#This Row],[is_returned]]="True",0,BBDD_fashion_boutique[[#This Row],[current_price]])</f>
        <v>52.08</v>
      </c>
      <c r="X1214" t="str">
        <f>IF(BBDD_fashion_boutique[[#This Row],[return_reason]]="","No return",BBDD_fashion_boutique[[#This Row],[return_reason]])</f>
        <v>No return</v>
      </c>
      <c r="Y1214">
        <f>IF(IFERROR(VLOOKUP(BBDD_fashion_boutique[[#This Row],[product_id]],A1215:A3390,1,FALSE),0),1,0)</f>
        <v>0</v>
      </c>
    </row>
    <row r="1215" spans="1:25" x14ac:dyDescent="0.3">
      <c r="A1215" t="s">
        <v>1274</v>
      </c>
      <c r="B1215" t="s">
        <v>44</v>
      </c>
      <c r="C1215" t="s">
        <v>81</v>
      </c>
      <c r="D1215" t="s">
        <v>28</v>
      </c>
      <c r="E1215" t="s">
        <v>61</v>
      </c>
      <c r="F1215" t="str">
        <f>IF(BBDD_fashion_boutique[[#This Row],[category]]="Accessories","Accesorio",IF(BBDD_fashion_boutique[[#This Row],[size]]="","Desconocido",BBDD_fashion_boutique[[#This Row],[size]]))</f>
        <v>XS</v>
      </c>
      <c r="G1215" t="s">
        <v>23</v>
      </c>
      <c r="H1215" s="2">
        <v>32.83</v>
      </c>
      <c r="I1215">
        <v>23</v>
      </c>
      <c r="J1215" s="5">
        <f>BBDD_fashion_boutique[[#This Row],[markdown_percentage]]/100</f>
        <v>0.23</v>
      </c>
      <c r="K1215" s="2">
        <v>25.28</v>
      </c>
      <c r="L1215" s="2">
        <f>BBDD_fashion_boutique[[#This Row],[original_price]]-BBDD_fashion_boutique[[#This Row],[current_price]]</f>
        <v>7.5499999999999972</v>
      </c>
      <c r="M1215" s="1">
        <v>45875</v>
      </c>
      <c r="N1215" s="1" t="str">
        <f>PROPER(TEXT(BBDD_fashion_boutique[[#This Row],[purchase_date]],"dddd"))</f>
        <v>Miércoles</v>
      </c>
      <c r="O1215" s="1" t="str">
        <f>PROPER(TEXT(BBDD_fashion_boutique[[#This Row],[purchase_date]],"mmmm"))</f>
        <v>Agosto</v>
      </c>
      <c r="P1215" s="4">
        <v>24</v>
      </c>
      <c r="Q1215" s="2">
        <v>1.1000000000000001</v>
      </c>
      <c r="R1215" t="str">
        <f>IF(BBDD_fashion_boutique[[#This Row],[stock_quantity]]&gt;9,"Ok",IF(BBDD_fashion_boutique[[#This Row],[stock_quantity]]=0,"Agotado","Pocas Unidades"))</f>
        <v>Ok</v>
      </c>
      <c r="S1215" s="3">
        <f>IF(BBDD_fashion_boutique[[#This Row],[customer_rating]]="","No valorado",BBDD_fashion_boutique[[#This Row],[customer_rating]])</f>
        <v>1.1000000000000001</v>
      </c>
      <c r="T1215" t="s">
        <v>24</v>
      </c>
      <c r="V1215">
        <f>IF(BBDD_fashion_boutique[[#This Row],[is_returned]]="False",0,1)</f>
        <v>0</v>
      </c>
      <c r="W1215">
        <f>IF(BBDD_fashion_boutique[[#This Row],[is_returned]]="True",0,BBDD_fashion_boutique[[#This Row],[current_price]])</f>
        <v>25.28</v>
      </c>
      <c r="X1215" t="str">
        <f>IF(BBDD_fashion_boutique[[#This Row],[return_reason]]="","No return",BBDD_fashion_boutique[[#This Row],[return_reason]])</f>
        <v>No return</v>
      </c>
      <c r="Y1215">
        <f>IF(IFERROR(VLOOKUP(BBDD_fashion_boutique[[#This Row],[product_id]],A1216:A3391,1,FALSE),0),1,0)</f>
        <v>0</v>
      </c>
    </row>
    <row r="1216" spans="1:25" x14ac:dyDescent="0.3">
      <c r="A1216" t="s">
        <v>1275</v>
      </c>
      <c r="B1216" t="s">
        <v>26</v>
      </c>
      <c r="C1216" t="s">
        <v>37</v>
      </c>
      <c r="D1216" t="s">
        <v>28</v>
      </c>
      <c r="E1216" t="s">
        <v>45</v>
      </c>
      <c r="F1216" t="str">
        <f>IF(BBDD_fashion_boutique[[#This Row],[category]]="Accessories","Accesorio",IF(BBDD_fashion_boutique[[#This Row],[size]]="","Desconocido",BBDD_fashion_boutique[[#This Row],[size]]))</f>
        <v>S</v>
      </c>
      <c r="G1216" t="s">
        <v>72</v>
      </c>
      <c r="H1216" s="2">
        <v>108.92</v>
      </c>
      <c r="I1216">
        <v>0</v>
      </c>
      <c r="J1216" s="5">
        <f>BBDD_fashion_boutique[[#This Row],[markdown_percentage]]/100</f>
        <v>0</v>
      </c>
      <c r="K1216" s="2">
        <v>108.92</v>
      </c>
      <c r="L1216" s="2">
        <f>BBDD_fashion_boutique[[#This Row],[original_price]]-BBDD_fashion_boutique[[#This Row],[current_price]]</f>
        <v>0</v>
      </c>
      <c r="M1216" s="1">
        <v>45875</v>
      </c>
      <c r="N1216" s="1" t="str">
        <f>PROPER(TEXT(BBDD_fashion_boutique[[#This Row],[purchase_date]],"dddd"))</f>
        <v>Miércoles</v>
      </c>
      <c r="O1216" s="1" t="str">
        <f>PROPER(TEXT(BBDD_fashion_boutique[[#This Row],[purchase_date]],"mmmm"))</f>
        <v>Agosto</v>
      </c>
      <c r="P1216" s="4">
        <v>6</v>
      </c>
      <c r="Q1216" s="2">
        <v>1.8</v>
      </c>
      <c r="R1216" t="str">
        <f>IF(BBDD_fashion_boutique[[#This Row],[stock_quantity]]&gt;9,"Ok",IF(BBDD_fashion_boutique[[#This Row],[stock_quantity]]=0,"Agotado","Pocas Unidades"))</f>
        <v>Pocas Unidades</v>
      </c>
      <c r="S1216" s="3">
        <f>IF(BBDD_fashion_boutique[[#This Row],[customer_rating]]="","No valorado",BBDD_fashion_boutique[[#This Row],[customer_rating]])</f>
        <v>1.8</v>
      </c>
      <c r="T1216" t="s">
        <v>24</v>
      </c>
      <c r="V1216">
        <f>IF(BBDD_fashion_boutique[[#This Row],[is_returned]]="False",0,1)</f>
        <v>0</v>
      </c>
      <c r="W1216">
        <f>IF(BBDD_fashion_boutique[[#This Row],[is_returned]]="True",0,BBDD_fashion_boutique[[#This Row],[current_price]])</f>
        <v>108.92</v>
      </c>
      <c r="X1216" t="str">
        <f>IF(BBDD_fashion_boutique[[#This Row],[return_reason]]="","No return",BBDD_fashion_boutique[[#This Row],[return_reason]])</f>
        <v>No return</v>
      </c>
      <c r="Y1216">
        <f>IF(IFERROR(VLOOKUP(BBDD_fashion_boutique[[#This Row],[product_id]],A1217:A3392,1,FALSE),0),1,0)</f>
        <v>0</v>
      </c>
    </row>
    <row r="1217" spans="1:25" x14ac:dyDescent="0.3">
      <c r="A1217" t="s">
        <v>1276</v>
      </c>
      <c r="B1217" t="s">
        <v>35</v>
      </c>
      <c r="C1217" t="s">
        <v>81</v>
      </c>
      <c r="D1217" t="s">
        <v>28</v>
      </c>
      <c r="F1217" t="str">
        <f>IF(BBDD_fashion_boutique[[#This Row],[category]]="Accessories","Accesorio",IF(BBDD_fashion_boutique[[#This Row],[size]]="","Desconocido",BBDD_fashion_boutique[[#This Row],[size]]))</f>
        <v>Desconocido</v>
      </c>
      <c r="G1217" t="s">
        <v>70</v>
      </c>
      <c r="H1217" s="2">
        <v>85.83</v>
      </c>
      <c r="I1217">
        <v>47.5</v>
      </c>
      <c r="J1217" s="5">
        <f>BBDD_fashion_boutique[[#This Row],[markdown_percentage]]/100</f>
        <v>0.47499999999999998</v>
      </c>
      <c r="K1217" s="2">
        <v>45.06</v>
      </c>
      <c r="L1217" s="2">
        <f>BBDD_fashion_boutique[[#This Row],[original_price]]-BBDD_fashion_boutique[[#This Row],[current_price]]</f>
        <v>40.769999999999996</v>
      </c>
      <c r="M1217" s="1">
        <v>45875</v>
      </c>
      <c r="N1217" s="1" t="str">
        <f>PROPER(TEXT(BBDD_fashion_boutique[[#This Row],[purchase_date]],"dddd"))</f>
        <v>Miércoles</v>
      </c>
      <c r="O1217" s="1" t="str">
        <f>PROPER(TEXT(BBDD_fashion_boutique[[#This Row],[purchase_date]],"mmmm"))</f>
        <v>Agosto</v>
      </c>
      <c r="P1217" s="4">
        <v>8</v>
      </c>
      <c r="Q1217" s="2">
        <v>1.1000000000000001</v>
      </c>
      <c r="R1217" t="str">
        <f>IF(BBDD_fashion_boutique[[#This Row],[stock_quantity]]&gt;9,"Ok",IF(BBDD_fashion_boutique[[#This Row],[stock_quantity]]=0,"Agotado","Pocas Unidades"))</f>
        <v>Pocas Unidades</v>
      </c>
      <c r="S1217" s="3">
        <f>IF(BBDD_fashion_boutique[[#This Row],[customer_rating]]="","No valorado",BBDD_fashion_boutique[[#This Row],[customer_rating]])</f>
        <v>1.1000000000000001</v>
      </c>
      <c r="T1217" t="s">
        <v>24</v>
      </c>
      <c r="V1217">
        <f>IF(BBDD_fashion_boutique[[#This Row],[is_returned]]="False",0,1)</f>
        <v>0</v>
      </c>
      <c r="W1217">
        <f>IF(BBDD_fashion_boutique[[#This Row],[is_returned]]="True",0,BBDD_fashion_boutique[[#This Row],[current_price]])</f>
        <v>45.06</v>
      </c>
      <c r="X1217" t="str">
        <f>IF(BBDD_fashion_boutique[[#This Row],[return_reason]]="","No return",BBDD_fashion_boutique[[#This Row],[return_reason]])</f>
        <v>No return</v>
      </c>
      <c r="Y1217">
        <f>IF(IFERROR(VLOOKUP(BBDD_fashion_boutique[[#This Row],[product_id]],A1218:A3393,1,FALSE),0),1,0)</f>
        <v>0</v>
      </c>
    </row>
    <row r="1218" spans="1:25" x14ac:dyDescent="0.3">
      <c r="A1218" t="s">
        <v>1277</v>
      </c>
      <c r="B1218" t="s">
        <v>32</v>
      </c>
      <c r="C1218" t="s">
        <v>20</v>
      </c>
      <c r="D1218" t="s">
        <v>21</v>
      </c>
      <c r="F1218" t="str">
        <f>IF(BBDD_fashion_boutique[[#This Row],[category]]="Accessories","Accesorio",IF(BBDD_fashion_boutique[[#This Row],[size]]="","Desconocido",BBDD_fashion_boutique[[#This Row],[size]]))</f>
        <v>Accesorio</v>
      </c>
      <c r="G1218" t="s">
        <v>50</v>
      </c>
      <c r="H1218" s="2">
        <v>62.02</v>
      </c>
      <c r="I1218">
        <v>0</v>
      </c>
      <c r="J1218" s="5">
        <f>BBDD_fashion_boutique[[#This Row],[markdown_percentage]]/100</f>
        <v>0</v>
      </c>
      <c r="K1218" s="2">
        <v>62.02</v>
      </c>
      <c r="L1218" s="2">
        <f>BBDD_fashion_boutique[[#This Row],[original_price]]-BBDD_fashion_boutique[[#This Row],[current_price]]</f>
        <v>0</v>
      </c>
      <c r="M1218" s="1">
        <v>45772</v>
      </c>
      <c r="N1218" s="1" t="str">
        <f>PROPER(TEXT(BBDD_fashion_boutique[[#This Row],[purchase_date]],"dddd"))</f>
        <v>Viernes</v>
      </c>
      <c r="O1218" s="1" t="str">
        <f>PROPER(TEXT(BBDD_fashion_boutique[[#This Row],[purchase_date]],"mmmm"))</f>
        <v>Abril</v>
      </c>
      <c r="P1218" s="4">
        <v>3</v>
      </c>
      <c r="Q1218" s="2">
        <v>3.7</v>
      </c>
      <c r="R1218" t="str">
        <f>IF(BBDD_fashion_boutique[[#This Row],[stock_quantity]]&gt;9,"Ok",IF(BBDD_fashion_boutique[[#This Row],[stock_quantity]]=0,"Agotado","Pocas Unidades"))</f>
        <v>Pocas Unidades</v>
      </c>
      <c r="S1218" s="3">
        <f>IF(BBDD_fashion_boutique[[#This Row],[customer_rating]]="","No valorado",BBDD_fashion_boutique[[#This Row],[customer_rating]])</f>
        <v>3.7</v>
      </c>
      <c r="T1218" t="s">
        <v>24</v>
      </c>
      <c r="V1218">
        <f>IF(BBDD_fashion_boutique[[#This Row],[is_returned]]="False",0,1)</f>
        <v>0</v>
      </c>
      <c r="W1218">
        <f>IF(BBDD_fashion_boutique[[#This Row],[is_returned]]="True",0,BBDD_fashion_boutique[[#This Row],[current_price]])</f>
        <v>62.02</v>
      </c>
      <c r="X1218" t="str">
        <f>IF(BBDD_fashion_boutique[[#This Row],[return_reason]]="","No return",BBDD_fashion_boutique[[#This Row],[return_reason]])</f>
        <v>No return</v>
      </c>
      <c r="Y1218">
        <f>IF(IFERROR(VLOOKUP(BBDD_fashion_boutique[[#This Row],[product_id]],A1219:A3394,1,FALSE),0),1,0)</f>
        <v>0</v>
      </c>
    </row>
    <row r="1219" spans="1:25" x14ac:dyDescent="0.3">
      <c r="A1219" t="s">
        <v>1278</v>
      </c>
      <c r="B1219" t="s">
        <v>35</v>
      </c>
      <c r="C1219" t="s">
        <v>54</v>
      </c>
      <c r="D1219" t="s">
        <v>68</v>
      </c>
      <c r="E1219" t="s">
        <v>22</v>
      </c>
      <c r="F1219" t="str">
        <f>IF(BBDD_fashion_boutique[[#This Row],[category]]="Accessories","Accesorio",IF(BBDD_fashion_boutique[[#This Row],[size]]="","Desconocido",BBDD_fashion_boutique[[#This Row],[size]]))</f>
        <v>XL</v>
      </c>
      <c r="G1219" t="s">
        <v>33</v>
      </c>
      <c r="H1219" s="2">
        <v>127.31</v>
      </c>
      <c r="I1219">
        <v>5.4</v>
      </c>
      <c r="J1219" s="5">
        <f>BBDD_fashion_boutique[[#This Row],[markdown_percentage]]/100</f>
        <v>5.4000000000000006E-2</v>
      </c>
      <c r="K1219" s="2">
        <v>120.44</v>
      </c>
      <c r="L1219" s="2">
        <f>BBDD_fashion_boutique[[#This Row],[original_price]]-BBDD_fashion_boutique[[#This Row],[current_price]]</f>
        <v>6.8700000000000045</v>
      </c>
      <c r="M1219" s="1">
        <v>45875</v>
      </c>
      <c r="N1219" s="1" t="str">
        <f>PROPER(TEXT(BBDD_fashion_boutique[[#This Row],[purchase_date]],"dddd"))</f>
        <v>Miércoles</v>
      </c>
      <c r="O1219" s="1" t="str">
        <f>PROPER(TEXT(BBDD_fashion_boutique[[#This Row],[purchase_date]],"mmmm"))</f>
        <v>Agosto</v>
      </c>
      <c r="P1219" s="4">
        <v>34</v>
      </c>
      <c r="Q1219" s="2">
        <v>2.5</v>
      </c>
      <c r="R1219" t="str">
        <f>IF(BBDD_fashion_boutique[[#This Row],[stock_quantity]]&gt;9,"Ok",IF(BBDD_fashion_boutique[[#This Row],[stock_quantity]]=0,"Agotado","Pocas Unidades"))</f>
        <v>Ok</v>
      </c>
      <c r="S1219" s="3">
        <f>IF(BBDD_fashion_boutique[[#This Row],[customer_rating]]="","No valorado",BBDD_fashion_boutique[[#This Row],[customer_rating]])</f>
        <v>2.5</v>
      </c>
      <c r="T1219" t="s">
        <v>24</v>
      </c>
      <c r="V1219">
        <f>IF(BBDD_fashion_boutique[[#This Row],[is_returned]]="False",0,1)</f>
        <v>0</v>
      </c>
      <c r="W1219">
        <f>IF(BBDD_fashion_boutique[[#This Row],[is_returned]]="True",0,BBDD_fashion_boutique[[#This Row],[current_price]])</f>
        <v>120.44</v>
      </c>
      <c r="X1219" t="str">
        <f>IF(BBDD_fashion_boutique[[#This Row],[return_reason]]="","No return",BBDD_fashion_boutique[[#This Row],[return_reason]])</f>
        <v>No return</v>
      </c>
      <c r="Y1219">
        <f>IF(IFERROR(VLOOKUP(BBDD_fashion_boutique[[#This Row],[product_id]],A1220:A3395,1,FALSE),0),1,0)</f>
        <v>0</v>
      </c>
    </row>
    <row r="1220" spans="1:25" x14ac:dyDescent="0.3">
      <c r="A1220" t="s">
        <v>1279</v>
      </c>
      <c r="B1220" t="s">
        <v>26</v>
      </c>
      <c r="C1220" t="s">
        <v>59</v>
      </c>
      <c r="D1220" t="s">
        <v>39</v>
      </c>
      <c r="F1220" t="str">
        <f>IF(BBDD_fashion_boutique[[#This Row],[category]]="Accessories","Accesorio",IF(BBDD_fashion_boutique[[#This Row],[size]]="","Desconocido",BBDD_fashion_boutique[[#This Row],[size]]))</f>
        <v>Desconocido</v>
      </c>
      <c r="G1220" t="s">
        <v>23</v>
      </c>
      <c r="H1220" s="2">
        <v>35.74</v>
      </c>
      <c r="I1220">
        <v>0</v>
      </c>
      <c r="J1220" s="5">
        <f>BBDD_fashion_boutique[[#This Row],[markdown_percentage]]/100</f>
        <v>0</v>
      </c>
      <c r="K1220" s="2">
        <v>35.74</v>
      </c>
      <c r="L1220" s="2">
        <f>BBDD_fashion_boutique[[#This Row],[original_price]]-BBDD_fashion_boutique[[#This Row],[current_price]]</f>
        <v>0</v>
      </c>
      <c r="M1220" s="1">
        <v>45875</v>
      </c>
      <c r="N1220" s="1" t="str">
        <f>PROPER(TEXT(BBDD_fashion_boutique[[#This Row],[purchase_date]],"dddd"))</f>
        <v>Miércoles</v>
      </c>
      <c r="O1220" s="1" t="str">
        <f>PROPER(TEXT(BBDD_fashion_boutique[[#This Row],[purchase_date]],"mmmm"))</f>
        <v>Agosto</v>
      </c>
      <c r="P1220" s="4">
        <v>33</v>
      </c>
      <c r="R1220" t="str">
        <f>IF(BBDD_fashion_boutique[[#This Row],[stock_quantity]]&gt;9,"Ok",IF(BBDD_fashion_boutique[[#This Row],[stock_quantity]]=0,"Agotado","Pocas Unidades"))</f>
        <v>Ok</v>
      </c>
      <c r="S1220" s="3" t="str">
        <f>IF(BBDD_fashion_boutique[[#This Row],[customer_rating]]="","No valorado",BBDD_fashion_boutique[[#This Row],[customer_rating]])</f>
        <v>No valorado</v>
      </c>
      <c r="T1220" t="s">
        <v>41</v>
      </c>
      <c r="U1220" t="s">
        <v>42</v>
      </c>
      <c r="V1220">
        <f>IF(BBDD_fashion_boutique[[#This Row],[is_returned]]="False",0,1)</f>
        <v>1</v>
      </c>
      <c r="W1220">
        <f>IF(BBDD_fashion_boutique[[#This Row],[is_returned]]="True",0,BBDD_fashion_boutique[[#This Row],[current_price]])</f>
        <v>0</v>
      </c>
      <c r="X1220" t="str">
        <f>IF(BBDD_fashion_boutique[[#This Row],[return_reason]]="","No return",BBDD_fashion_boutique[[#This Row],[return_reason]])</f>
        <v>Color Mismatch</v>
      </c>
      <c r="Y1220">
        <f>IF(IFERROR(VLOOKUP(BBDD_fashion_boutique[[#This Row],[product_id]],A1221:A3396,1,FALSE),0),1,0)</f>
        <v>0</v>
      </c>
    </row>
    <row r="1221" spans="1:25" x14ac:dyDescent="0.3">
      <c r="A1221" t="s">
        <v>1280</v>
      </c>
      <c r="B1221" t="s">
        <v>32</v>
      </c>
      <c r="C1221" t="s">
        <v>54</v>
      </c>
      <c r="D1221" t="s">
        <v>68</v>
      </c>
      <c r="F1221" t="str">
        <f>IF(BBDD_fashion_boutique[[#This Row],[category]]="Accessories","Accesorio",IF(BBDD_fashion_boutique[[#This Row],[size]]="","Desconocido",BBDD_fashion_boutique[[#This Row],[size]]))</f>
        <v>Accesorio</v>
      </c>
      <c r="G1221" t="s">
        <v>46</v>
      </c>
      <c r="H1221" s="2">
        <v>69.62</v>
      </c>
      <c r="I1221">
        <v>27.9</v>
      </c>
      <c r="J1221" s="5">
        <f>BBDD_fashion_boutique[[#This Row],[markdown_percentage]]/100</f>
        <v>0.27899999999999997</v>
      </c>
      <c r="K1221" s="2">
        <v>50.2</v>
      </c>
      <c r="L1221" s="2">
        <f>BBDD_fashion_boutique[[#This Row],[original_price]]-BBDD_fashion_boutique[[#This Row],[current_price]]</f>
        <v>19.420000000000002</v>
      </c>
      <c r="M1221" s="1">
        <v>45875</v>
      </c>
      <c r="N1221" s="1" t="str">
        <f>PROPER(TEXT(BBDD_fashion_boutique[[#This Row],[purchase_date]],"dddd"))</f>
        <v>Miércoles</v>
      </c>
      <c r="O1221" s="1" t="str">
        <f>PROPER(TEXT(BBDD_fashion_boutique[[#This Row],[purchase_date]],"mmmm"))</f>
        <v>Agosto</v>
      </c>
      <c r="P1221" s="4">
        <v>5</v>
      </c>
      <c r="Q1221" s="2">
        <v>1.1000000000000001</v>
      </c>
      <c r="R1221" t="str">
        <f>IF(BBDD_fashion_boutique[[#This Row],[stock_quantity]]&gt;9,"Ok",IF(BBDD_fashion_boutique[[#This Row],[stock_quantity]]=0,"Agotado","Pocas Unidades"))</f>
        <v>Pocas Unidades</v>
      </c>
      <c r="S1221" s="3">
        <f>IF(BBDD_fashion_boutique[[#This Row],[customer_rating]]="","No valorado",BBDD_fashion_boutique[[#This Row],[customer_rating]])</f>
        <v>1.1000000000000001</v>
      </c>
      <c r="T1221" t="s">
        <v>24</v>
      </c>
      <c r="V1221">
        <f>IF(BBDD_fashion_boutique[[#This Row],[is_returned]]="False",0,1)</f>
        <v>0</v>
      </c>
      <c r="W1221">
        <f>IF(BBDD_fashion_boutique[[#This Row],[is_returned]]="True",0,BBDD_fashion_boutique[[#This Row],[current_price]])</f>
        <v>50.2</v>
      </c>
      <c r="X1221" t="str">
        <f>IF(BBDD_fashion_boutique[[#This Row],[return_reason]]="","No return",BBDD_fashion_boutique[[#This Row],[return_reason]])</f>
        <v>No return</v>
      </c>
      <c r="Y1221">
        <f>IF(IFERROR(VLOOKUP(BBDD_fashion_boutique[[#This Row],[product_id]],A1222:A3397,1,FALSE),0),1,0)</f>
        <v>0</v>
      </c>
    </row>
    <row r="1222" spans="1:25" x14ac:dyDescent="0.3">
      <c r="A1222" t="s">
        <v>1281</v>
      </c>
      <c r="B1222" t="s">
        <v>26</v>
      </c>
      <c r="C1222" t="s">
        <v>20</v>
      </c>
      <c r="D1222" t="s">
        <v>28</v>
      </c>
      <c r="E1222" t="s">
        <v>55</v>
      </c>
      <c r="F1222" t="str">
        <f>IF(BBDD_fashion_boutique[[#This Row],[category]]="Accessories","Accesorio",IF(BBDD_fashion_boutique[[#This Row],[size]]="","Desconocido",BBDD_fashion_boutique[[#This Row],[size]]))</f>
        <v>XXL</v>
      </c>
      <c r="G1222" t="s">
        <v>33</v>
      </c>
      <c r="H1222" s="2">
        <v>92.01</v>
      </c>
      <c r="I1222">
        <v>28.8</v>
      </c>
      <c r="J1222" s="5">
        <f>BBDD_fashion_boutique[[#This Row],[markdown_percentage]]/100</f>
        <v>0.28800000000000003</v>
      </c>
      <c r="K1222" s="2">
        <v>65.510000000000005</v>
      </c>
      <c r="L1222" s="2">
        <f>BBDD_fashion_boutique[[#This Row],[original_price]]-BBDD_fashion_boutique[[#This Row],[current_price]]</f>
        <v>26.5</v>
      </c>
      <c r="M1222" s="1">
        <v>45875</v>
      </c>
      <c r="N1222" s="1" t="str">
        <f>PROPER(TEXT(BBDD_fashion_boutique[[#This Row],[purchase_date]],"dddd"))</f>
        <v>Miércoles</v>
      </c>
      <c r="O1222" s="1" t="str">
        <f>PROPER(TEXT(BBDD_fashion_boutique[[#This Row],[purchase_date]],"mmmm"))</f>
        <v>Agosto</v>
      </c>
      <c r="P1222" s="4">
        <v>37</v>
      </c>
      <c r="Q1222" s="2">
        <v>1.9</v>
      </c>
      <c r="R1222" t="str">
        <f>IF(BBDD_fashion_boutique[[#This Row],[stock_quantity]]&gt;9,"Ok",IF(BBDD_fashion_boutique[[#This Row],[stock_quantity]]=0,"Agotado","Pocas Unidades"))</f>
        <v>Ok</v>
      </c>
      <c r="S1222" s="3">
        <f>IF(BBDD_fashion_boutique[[#This Row],[customer_rating]]="","No valorado",BBDD_fashion_boutique[[#This Row],[customer_rating]])</f>
        <v>1.9</v>
      </c>
      <c r="T1222" t="s">
        <v>24</v>
      </c>
      <c r="V1222">
        <f>IF(BBDD_fashion_boutique[[#This Row],[is_returned]]="False",0,1)</f>
        <v>0</v>
      </c>
      <c r="W1222">
        <f>IF(BBDD_fashion_boutique[[#This Row],[is_returned]]="True",0,BBDD_fashion_boutique[[#This Row],[current_price]])</f>
        <v>65.510000000000005</v>
      </c>
      <c r="X1222" t="str">
        <f>IF(BBDD_fashion_boutique[[#This Row],[return_reason]]="","No return",BBDD_fashion_boutique[[#This Row],[return_reason]])</f>
        <v>No return</v>
      </c>
      <c r="Y1222">
        <f>IF(IFERROR(VLOOKUP(BBDD_fashion_boutique[[#This Row],[product_id]],A1223:A3398,1,FALSE),0),1,0)</f>
        <v>0</v>
      </c>
    </row>
    <row r="1223" spans="1:25" x14ac:dyDescent="0.3">
      <c r="A1223" t="s">
        <v>1282</v>
      </c>
      <c r="B1223" t="s">
        <v>35</v>
      </c>
      <c r="C1223" t="s">
        <v>49</v>
      </c>
      <c r="D1223" t="s">
        <v>39</v>
      </c>
      <c r="E1223" t="s">
        <v>64</v>
      </c>
      <c r="F1223" t="str">
        <f>IF(BBDD_fashion_boutique[[#This Row],[category]]="Accessories","Accesorio",IF(BBDD_fashion_boutique[[#This Row],[size]]="","Desconocido",BBDD_fashion_boutique[[#This Row],[size]]))</f>
        <v>M</v>
      </c>
      <c r="G1223" t="s">
        <v>33</v>
      </c>
      <c r="H1223" s="2">
        <v>110.1</v>
      </c>
      <c r="I1223">
        <v>0</v>
      </c>
      <c r="J1223" s="5">
        <f>BBDD_fashion_boutique[[#This Row],[markdown_percentage]]/100</f>
        <v>0</v>
      </c>
      <c r="K1223" s="2">
        <v>110.1</v>
      </c>
      <c r="L1223" s="2">
        <f>BBDD_fashion_boutique[[#This Row],[original_price]]-BBDD_fashion_boutique[[#This Row],[current_price]]</f>
        <v>0</v>
      </c>
      <c r="M1223" s="1">
        <v>45875</v>
      </c>
      <c r="N1223" s="1" t="str">
        <f>PROPER(TEXT(BBDD_fashion_boutique[[#This Row],[purchase_date]],"dddd"))</f>
        <v>Miércoles</v>
      </c>
      <c r="O1223" s="1" t="str">
        <f>PROPER(TEXT(BBDD_fashion_boutique[[#This Row],[purchase_date]],"mmmm"))</f>
        <v>Agosto</v>
      </c>
      <c r="P1223" s="4">
        <v>13</v>
      </c>
      <c r="Q1223" s="2">
        <v>3.6</v>
      </c>
      <c r="R1223" t="str">
        <f>IF(BBDD_fashion_boutique[[#This Row],[stock_quantity]]&gt;9,"Ok",IF(BBDD_fashion_boutique[[#This Row],[stock_quantity]]=0,"Agotado","Pocas Unidades"))</f>
        <v>Ok</v>
      </c>
      <c r="S1223" s="3">
        <f>IF(BBDD_fashion_boutique[[#This Row],[customer_rating]]="","No valorado",BBDD_fashion_boutique[[#This Row],[customer_rating]])</f>
        <v>3.6</v>
      </c>
      <c r="T1223" t="s">
        <v>41</v>
      </c>
      <c r="U1223" t="s">
        <v>121</v>
      </c>
      <c r="V1223">
        <f>IF(BBDD_fashion_boutique[[#This Row],[is_returned]]="False",0,1)</f>
        <v>1</v>
      </c>
      <c r="W1223">
        <f>IF(BBDD_fashion_boutique[[#This Row],[is_returned]]="True",0,BBDD_fashion_boutique[[#This Row],[current_price]])</f>
        <v>0</v>
      </c>
      <c r="X1223" t="str">
        <f>IF(BBDD_fashion_boutique[[#This Row],[return_reason]]="","No return",BBDD_fashion_boutique[[#This Row],[return_reason]])</f>
        <v>Changed Mind</v>
      </c>
      <c r="Y1223">
        <f>IF(IFERROR(VLOOKUP(BBDD_fashion_boutique[[#This Row],[product_id]],A1224:A3399,1,FALSE),0),1,0)</f>
        <v>0</v>
      </c>
    </row>
    <row r="1224" spans="1:25" x14ac:dyDescent="0.3">
      <c r="A1224" t="s">
        <v>1283</v>
      </c>
      <c r="B1224" t="s">
        <v>44</v>
      </c>
      <c r="C1224" t="s">
        <v>20</v>
      </c>
      <c r="D1224" t="s">
        <v>39</v>
      </c>
      <c r="E1224" t="s">
        <v>55</v>
      </c>
      <c r="F1224" t="str">
        <f>IF(BBDD_fashion_boutique[[#This Row],[category]]="Accessories","Accesorio",IF(BBDD_fashion_boutique[[#This Row],[size]]="","Desconocido",BBDD_fashion_boutique[[#This Row],[size]]))</f>
        <v>XXL</v>
      </c>
      <c r="G1224" t="s">
        <v>23</v>
      </c>
      <c r="H1224" s="2">
        <v>109.05</v>
      </c>
      <c r="I1224">
        <v>0</v>
      </c>
      <c r="J1224" s="5">
        <f>BBDD_fashion_boutique[[#This Row],[markdown_percentage]]/100</f>
        <v>0</v>
      </c>
      <c r="K1224" s="2">
        <v>109.05</v>
      </c>
      <c r="L1224" s="2">
        <f>BBDD_fashion_boutique[[#This Row],[original_price]]-BBDD_fashion_boutique[[#This Row],[current_price]]</f>
        <v>0</v>
      </c>
      <c r="M1224" s="1">
        <v>45875</v>
      </c>
      <c r="N1224" s="1" t="str">
        <f>PROPER(TEXT(BBDD_fashion_boutique[[#This Row],[purchase_date]],"dddd"))</f>
        <v>Miércoles</v>
      </c>
      <c r="O1224" s="1" t="str">
        <f>PROPER(TEXT(BBDD_fashion_boutique[[#This Row],[purchase_date]],"mmmm"))</f>
        <v>Agosto</v>
      </c>
      <c r="P1224" s="4">
        <v>13</v>
      </c>
      <c r="Q1224" s="2">
        <v>3.7</v>
      </c>
      <c r="R1224" t="str">
        <f>IF(BBDD_fashion_boutique[[#This Row],[stock_quantity]]&gt;9,"Ok",IF(BBDD_fashion_boutique[[#This Row],[stock_quantity]]=0,"Agotado","Pocas Unidades"))</f>
        <v>Ok</v>
      </c>
      <c r="S1224" s="3">
        <f>IF(BBDD_fashion_boutique[[#This Row],[customer_rating]]="","No valorado",BBDD_fashion_boutique[[#This Row],[customer_rating]])</f>
        <v>3.7</v>
      </c>
      <c r="T1224" t="s">
        <v>24</v>
      </c>
      <c r="V1224">
        <f>IF(BBDD_fashion_boutique[[#This Row],[is_returned]]="False",0,1)</f>
        <v>0</v>
      </c>
      <c r="W1224">
        <f>IF(BBDD_fashion_boutique[[#This Row],[is_returned]]="True",0,BBDD_fashion_boutique[[#This Row],[current_price]])</f>
        <v>109.05</v>
      </c>
      <c r="X1224" t="str">
        <f>IF(BBDD_fashion_boutique[[#This Row],[return_reason]]="","No return",BBDD_fashion_boutique[[#This Row],[return_reason]])</f>
        <v>No return</v>
      </c>
      <c r="Y1224">
        <f>IF(IFERROR(VLOOKUP(BBDD_fashion_boutique[[#This Row],[product_id]],A1225:A3400,1,FALSE),0),1,0)</f>
        <v>0</v>
      </c>
    </row>
    <row r="1225" spans="1:25" x14ac:dyDescent="0.3">
      <c r="A1225" t="s">
        <v>1284</v>
      </c>
      <c r="B1225" t="s">
        <v>32</v>
      </c>
      <c r="C1225" t="s">
        <v>81</v>
      </c>
      <c r="D1225" t="s">
        <v>28</v>
      </c>
      <c r="F1225" t="str">
        <f>IF(BBDD_fashion_boutique[[#This Row],[category]]="Accessories","Accesorio",IF(BBDD_fashion_boutique[[#This Row],[size]]="","Desconocido",BBDD_fashion_boutique[[#This Row],[size]]))</f>
        <v>Accesorio</v>
      </c>
      <c r="G1225" t="s">
        <v>62</v>
      </c>
      <c r="H1225" s="2">
        <v>67.459999999999994</v>
      </c>
      <c r="I1225">
        <v>0</v>
      </c>
      <c r="J1225" s="5">
        <f>BBDD_fashion_boutique[[#This Row],[markdown_percentage]]/100</f>
        <v>0</v>
      </c>
      <c r="K1225" s="2">
        <v>67.459999999999994</v>
      </c>
      <c r="L1225" s="2">
        <f>BBDD_fashion_boutique[[#This Row],[original_price]]-BBDD_fashion_boutique[[#This Row],[current_price]]</f>
        <v>0</v>
      </c>
      <c r="M1225" s="1">
        <v>45875</v>
      </c>
      <c r="N1225" s="1" t="str">
        <f>PROPER(TEXT(BBDD_fashion_boutique[[#This Row],[purchase_date]],"dddd"))</f>
        <v>Miércoles</v>
      </c>
      <c r="O1225" s="1" t="str">
        <f>PROPER(TEXT(BBDD_fashion_boutique[[#This Row],[purchase_date]],"mmmm"))</f>
        <v>Agosto</v>
      </c>
      <c r="P1225" s="4">
        <v>28</v>
      </c>
      <c r="Q1225" s="2">
        <v>1.4</v>
      </c>
      <c r="R1225" t="str">
        <f>IF(BBDD_fashion_boutique[[#This Row],[stock_quantity]]&gt;9,"Ok",IF(BBDD_fashion_boutique[[#This Row],[stock_quantity]]=0,"Agotado","Pocas Unidades"))</f>
        <v>Ok</v>
      </c>
      <c r="S1225" s="3">
        <f>IF(BBDD_fashion_boutique[[#This Row],[customer_rating]]="","No valorado",BBDD_fashion_boutique[[#This Row],[customer_rating]])</f>
        <v>1.4</v>
      </c>
      <c r="T1225" t="s">
        <v>24</v>
      </c>
      <c r="V1225">
        <f>IF(BBDD_fashion_boutique[[#This Row],[is_returned]]="False",0,1)</f>
        <v>0</v>
      </c>
      <c r="W1225">
        <f>IF(BBDD_fashion_boutique[[#This Row],[is_returned]]="True",0,BBDD_fashion_boutique[[#This Row],[current_price]])</f>
        <v>67.459999999999994</v>
      </c>
      <c r="X1225" t="str">
        <f>IF(BBDD_fashion_boutique[[#This Row],[return_reason]]="","No return",BBDD_fashion_boutique[[#This Row],[return_reason]])</f>
        <v>No return</v>
      </c>
      <c r="Y1225">
        <f>IF(IFERROR(VLOOKUP(BBDD_fashion_boutique[[#This Row],[product_id]],A1226:A3401,1,FALSE),0),1,0)</f>
        <v>0</v>
      </c>
    </row>
    <row r="1226" spans="1:25" x14ac:dyDescent="0.3">
      <c r="A1226" t="s">
        <v>1285</v>
      </c>
      <c r="B1226" t="s">
        <v>35</v>
      </c>
      <c r="C1226" t="s">
        <v>59</v>
      </c>
      <c r="D1226" t="s">
        <v>28</v>
      </c>
      <c r="E1226" t="s">
        <v>64</v>
      </c>
      <c r="F1226" t="str">
        <f>IF(BBDD_fashion_boutique[[#This Row],[category]]="Accessories","Accesorio",IF(BBDD_fashion_boutique[[#This Row],[size]]="","Desconocido",BBDD_fashion_boutique[[#This Row],[size]]))</f>
        <v>M</v>
      </c>
      <c r="G1226" t="s">
        <v>40</v>
      </c>
      <c r="H1226" s="2">
        <v>110.11</v>
      </c>
      <c r="I1226">
        <v>10.199999999999999</v>
      </c>
      <c r="J1226" s="5">
        <f>BBDD_fashion_boutique[[#This Row],[markdown_percentage]]/100</f>
        <v>0.10199999999999999</v>
      </c>
      <c r="K1226" s="2">
        <v>98.88</v>
      </c>
      <c r="L1226" s="2">
        <f>BBDD_fashion_boutique[[#This Row],[original_price]]-BBDD_fashion_boutique[[#This Row],[current_price]]</f>
        <v>11.230000000000004</v>
      </c>
      <c r="M1226" s="1">
        <v>45875</v>
      </c>
      <c r="N1226" s="1" t="str">
        <f>PROPER(TEXT(BBDD_fashion_boutique[[#This Row],[purchase_date]],"dddd"))</f>
        <v>Miércoles</v>
      </c>
      <c r="O1226" s="1" t="str">
        <f>PROPER(TEXT(BBDD_fashion_boutique[[#This Row],[purchase_date]],"mmmm"))</f>
        <v>Agosto</v>
      </c>
      <c r="P1226" s="4">
        <v>47</v>
      </c>
      <c r="R1226" t="str">
        <f>IF(BBDD_fashion_boutique[[#This Row],[stock_quantity]]&gt;9,"Ok",IF(BBDD_fashion_boutique[[#This Row],[stock_quantity]]=0,"Agotado","Pocas Unidades"))</f>
        <v>Ok</v>
      </c>
      <c r="S1226" s="3" t="str">
        <f>IF(BBDD_fashion_boutique[[#This Row],[customer_rating]]="","No valorado",BBDD_fashion_boutique[[#This Row],[customer_rating]])</f>
        <v>No valorado</v>
      </c>
      <c r="T1226" t="s">
        <v>24</v>
      </c>
      <c r="V1226">
        <f>IF(BBDD_fashion_boutique[[#This Row],[is_returned]]="False",0,1)</f>
        <v>0</v>
      </c>
      <c r="W1226">
        <f>IF(BBDD_fashion_boutique[[#This Row],[is_returned]]="True",0,BBDD_fashion_boutique[[#This Row],[current_price]])</f>
        <v>98.88</v>
      </c>
      <c r="X1226" t="str">
        <f>IF(BBDD_fashion_boutique[[#This Row],[return_reason]]="","No return",BBDD_fashion_boutique[[#This Row],[return_reason]])</f>
        <v>No return</v>
      </c>
      <c r="Y1226">
        <f>IF(IFERROR(VLOOKUP(BBDD_fashion_boutique[[#This Row],[product_id]],A1227:A3402,1,FALSE),0),1,0)</f>
        <v>0</v>
      </c>
    </row>
    <row r="1227" spans="1:25" x14ac:dyDescent="0.3">
      <c r="A1227" t="s">
        <v>1286</v>
      </c>
      <c r="B1227" t="s">
        <v>35</v>
      </c>
      <c r="C1227" t="s">
        <v>37</v>
      </c>
      <c r="D1227" t="s">
        <v>68</v>
      </c>
      <c r="E1227" t="s">
        <v>22</v>
      </c>
      <c r="F1227" t="str">
        <f>IF(BBDD_fashion_boutique[[#This Row],[category]]="Accessories","Accesorio",IF(BBDD_fashion_boutique[[#This Row],[size]]="","Desconocido",BBDD_fashion_boutique[[#This Row],[size]]))</f>
        <v>XL</v>
      </c>
      <c r="G1227" t="s">
        <v>40</v>
      </c>
      <c r="H1227" s="2">
        <v>162.5</v>
      </c>
      <c r="I1227">
        <v>0</v>
      </c>
      <c r="J1227" s="5">
        <f>BBDD_fashion_boutique[[#This Row],[markdown_percentage]]/100</f>
        <v>0</v>
      </c>
      <c r="K1227" s="2">
        <v>162.5</v>
      </c>
      <c r="L1227" s="2">
        <f>BBDD_fashion_boutique[[#This Row],[original_price]]-BBDD_fashion_boutique[[#This Row],[current_price]]</f>
        <v>0</v>
      </c>
      <c r="M1227" s="1">
        <v>45875</v>
      </c>
      <c r="N1227" s="1" t="str">
        <f>PROPER(TEXT(BBDD_fashion_boutique[[#This Row],[purchase_date]],"dddd"))</f>
        <v>Miércoles</v>
      </c>
      <c r="O1227" s="1" t="str">
        <f>PROPER(TEXT(BBDD_fashion_boutique[[#This Row],[purchase_date]],"mmmm"))</f>
        <v>Agosto</v>
      </c>
      <c r="P1227" s="4">
        <v>45</v>
      </c>
      <c r="R1227" t="str">
        <f>IF(BBDD_fashion_boutique[[#This Row],[stock_quantity]]&gt;9,"Ok",IF(BBDD_fashion_boutique[[#This Row],[stock_quantity]]=0,"Agotado","Pocas Unidades"))</f>
        <v>Ok</v>
      </c>
      <c r="S1227" s="3" t="str">
        <f>IF(BBDD_fashion_boutique[[#This Row],[customer_rating]]="","No valorado",BBDD_fashion_boutique[[#This Row],[customer_rating]])</f>
        <v>No valorado</v>
      </c>
      <c r="T1227" t="s">
        <v>24</v>
      </c>
      <c r="V1227">
        <f>IF(BBDD_fashion_boutique[[#This Row],[is_returned]]="False",0,1)</f>
        <v>0</v>
      </c>
      <c r="W1227">
        <f>IF(BBDD_fashion_boutique[[#This Row],[is_returned]]="True",0,BBDD_fashion_boutique[[#This Row],[current_price]])</f>
        <v>162.5</v>
      </c>
      <c r="X1227" t="str">
        <f>IF(BBDD_fashion_boutique[[#This Row],[return_reason]]="","No return",BBDD_fashion_boutique[[#This Row],[return_reason]])</f>
        <v>No return</v>
      </c>
      <c r="Y1227">
        <f>IF(IFERROR(VLOOKUP(BBDD_fashion_boutique[[#This Row],[product_id]],A1228:A3403,1,FALSE),0),1,0)</f>
        <v>0</v>
      </c>
    </row>
    <row r="1228" spans="1:25" x14ac:dyDescent="0.3">
      <c r="A1228" t="s">
        <v>1287</v>
      </c>
      <c r="B1228" t="s">
        <v>32</v>
      </c>
      <c r="C1228" t="s">
        <v>27</v>
      </c>
      <c r="D1228" t="s">
        <v>68</v>
      </c>
      <c r="F1228" t="str">
        <f>IF(BBDD_fashion_boutique[[#This Row],[category]]="Accessories","Accesorio",IF(BBDD_fashion_boutique[[#This Row],[size]]="","Desconocido",BBDD_fashion_boutique[[#This Row],[size]]))</f>
        <v>Accesorio</v>
      </c>
      <c r="G1228" t="s">
        <v>33</v>
      </c>
      <c r="H1228" s="2">
        <v>23.8</v>
      </c>
      <c r="I1228">
        <v>8.3000000000000007</v>
      </c>
      <c r="J1228" s="5">
        <f>BBDD_fashion_boutique[[#This Row],[markdown_percentage]]/100</f>
        <v>8.3000000000000004E-2</v>
      </c>
      <c r="K1228" s="2">
        <v>21.82</v>
      </c>
      <c r="L1228" s="2">
        <f>BBDD_fashion_boutique[[#This Row],[original_price]]-BBDD_fashion_boutique[[#This Row],[current_price]]</f>
        <v>1.9800000000000004</v>
      </c>
      <c r="M1228" s="1">
        <v>45875</v>
      </c>
      <c r="N1228" s="1" t="str">
        <f>PROPER(TEXT(BBDD_fashion_boutique[[#This Row],[purchase_date]],"dddd"))</f>
        <v>Miércoles</v>
      </c>
      <c r="O1228" s="1" t="str">
        <f>PROPER(TEXT(BBDD_fashion_boutique[[#This Row],[purchase_date]],"mmmm"))</f>
        <v>Agosto</v>
      </c>
      <c r="P1228" s="4">
        <v>0</v>
      </c>
      <c r="Q1228" s="2">
        <v>3.5</v>
      </c>
      <c r="R1228" t="str">
        <f>IF(BBDD_fashion_boutique[[#This Row],[stock_quantity]]&gt;9,"Ok",IF(BBDD_fashion_boutique[[#This Row],[stock_quantity]]=0,"Agotado","Pocas Unidades"))</f>
        <v>Agotado</v>
      </c>
      <c r="S1228" s="3">
        <f>IF(BBDD_fashion_boutique[[#This Row],[customer_rating]]="","No valorado",BBDD_fashion_boutique[[#This Row],[customer_rating]])</f>
        <v>3.5</v>
      </c>
      <c r="T1228" t="s">
        <v>24</v>
      </c>
      <c r="V1228">
        <f>IF(BBDD_fashion_boutique[[#This Row],[is_returned]]="False",0,1)</f>
        <v>0</v>
      </c>
      <c r="W1228">
        <f>IF(BBDD_fashion_boutique[[#This Row],[is_returned]]="True",0,BBDD_fashion_boutique[[#This Row],[current_price]])</f>
        <v>21.82</v>
      </c>
      <c r="X1228" t="str">
        <f>IF(BBDD_fashion_boutique[[#This Row],[return_reason]]="","No return",BBDD_fashion_boutique[[#This Row],[return_reason]])</f>
        <v>No return</v>
      </c>
      <c r="Y1228">
        <f>IF(IFERROR(VLOOKUP(BBDD_fashion_boutique[[#This Row],[product_id]],A1229:A3404,1,FALSE),0),1,0)</f>
        <v>0</v>
      </c>
    </row>
    <row r="1229" spans="1:25" x14ac:dyDescent="0.3">
      <c r="A1229" t="s">
        <v>1288</v>
      </c>
      <c r="B1229" t="s">
        <v>44</v>
      </c>
      <c r="C1229" t="s">
        <v>37</v>
      </c>
      <c r="D1229" t="s">
        <v>39</v>
      </c>
      <c r="E1229" t="s">
        <v>61</v>
      </c>
      <c r="F1229" t="str">
        <f>IF(BBDD_fashion_boutique[[#This Row],[category]]="Accessories","Accesorio",IF(BBDD_fashion_boutique[[#This Row],[size]]="","Desconocido",BBDD_fashion_boutique[[#This Row],[size]]))</f>
        <v>XS</v>
      </c>
      <c r="G1229" t="s">
        <v>76</v>
      </c>
      <c r="H1229" s="2">
        <v>115.89</v>
      </c>
      <c r="I1229">
        <v>0</v>
      </c>
      <c r="J1229" s="5">
        <f>BBDD_fashion_boutique[[#This Row],[markdown_percentage]]/100</f>
        <v>0</v>
      </c>
      <c r="K1229" s="2">
        <v>115.89</v>
      </c>
      <c r="L1229" s="2">
        <f>BBDD_fashion_boutique[[#This Row],[original_price]]-BBDD_fashion_boutique[[#This Row],[current_price]]</f>
        <v>0</v>
      </c>
      <c r="M1229" s="1">
        <v>45875</v>
      </c>
      <c r="N1229" s="1" t="str">
        <f>PROPER(TEXT(BBDD_fashion_boutique[[#This Row],[purchase_date]],"dddd"))</f>
        <v>Miércoles</v>
      </c>
      <c r="O1229" s="1" t="str">
        <f>PROPER(TEXT(BBDD_fashion_boutique[[#This Row],[purchase_date]],"mmmm"))</f>
        <v>Agosto</v>
      </c>
      <c r="P1229" s="4">
        <v>34</v>
      </c>
      <c r="Q1229" s="2">
        <v>2.9</v>
      </c>
      <c r="R1229" t="str">
        <f>IF(BBDD_fashion_boutique[[#This Row],[stock_quantity]]&gt;9,"Ok",IF(BBDD_fashion_boutique[[#This Row],[stock_quantity]]=0,"Agotado","Pocas Unidades"))</f>
        <v>Ok</v>
      </c>
      <c r="S1229" s="3">
        <f>IF(BBDD_fashion_boutique[[#This Row],[customer_rating]]="","No valorado",BBDD_fashion_boutique[[#This Row],[customer_rating]])</f>
        <v>2.9</v>
      </c>
      <c r="T1229" t="s">
        <v>24</v>
      </c>
      <c r="V1229">
        <f>IF(BBDD_fashion_boutique[[#This Row],[is_returned]]="False",0,1)</f>
        <v>0</v>
      </c>
      <c r="W1229">
        <f>IF(BBDD_fashion_boutique[[#This Row],[is_returned]]="True",0,BBDD_fashion_boutique[[#This Row],[current_price]])</f>
        <v>115.89</v>
      </c>
      <c r="X1229" t="str">
        <f>IF(BBDD_fashion_boutique[[#This Row],[return_reason]]="","No return",BBDD_fashion_boutique[[#This Row],[return_reason]])</f>
        <v>No return</v>
      </c>
      <c r="Y1229">
        <f>IF(IFERROR(VLOOKUP(BBDD_fashion_boutique[[#This Row],[product_id]],A1230:A3405,1,FALSE),0),1,0)</f>
        <v>0</v>
      </c>
    </row>
    <row r="1230" spans="1:25" x14ac:dyDescent="0.3">
      <c r="A1230" t="s">
        <v>1289</v>
      </c>
      <c r="B1230" t="s">
        <v>19</v>
      </c>
      <c r="C1230" t="s">
        <v>54</v>
      </c>
      <c r="D1230" t="s">
        <v>21</v>
      </c>
      <c r="E1230" t="s">
        <v>64</v>
      </c>
      <c r="F1230" t="str">
        <f>IF(BBDD_fashion_boutique[[#This Row],[category]]="Accessories","Accesorio",IF(BBDD_fashion_boutique[[#This Row],[size]]="","Desconocido",BBDD_fashion_boutique[[#This Row],[size]]))</f>
        <v>M</v>
      </c>
      <c r="G1230" t="s">
        <v>23</v>
      </c>
      <c r="H1230" s="2">
        <v>139.19999999999999</v>
      </c>
      <c r="I1230">
        <v>42.5</v>
      </c>
      <c r="J1230" s="5">
        <f>BBDD_fashion_boutique[[#This Row],[markdown_percentage]]/100</f>
        <v>0.42499999999999999</v>
      </c>
      <c r="K1230" s="2">
        <v>80.040000000000006</v>
      </c>
      <c r="L1230" s="2">
        <f>BBDD_fashion_boutique[[#This Row],[original_price]]-BBDD_fashion_boutique[[#This Row],[current_price]]</f>
        <v>59.159999999999982</v>
      </c>
      <c r="M1230" s="1">
        <v>45567</v>
      </c>
      <c r="N1230" s="1" t="str">
        <f>PROPER(TEXT(BBDD_fashion_boutique[[#This Row],[purchase_date]],"dddd"))</f>
        <v>Miércoles</v>
      </c>
      <c r="O1230" s="1" t="str">
        <f>PROPER(TEXT(BBDD_fashion_boutique[[#This Row],[purchase_date]],"mmmm"))</f>
        <v>Octubre</v>
      </c>
      <c r="P1230" s="4">
        <v>27</v>
      </c>
      <c r="Q1230" s="2">
        <v>2.9</v>
      </c>
      <c r="R1230" t="str">
        <f>IF(BBDD_fashion_boutique[[#This Row],[stock_quantity]]&gt;9,"Ok",IF(BBDD_fashion_boutique[[#This Row],[stock_quantity]]=0,"Agotado","Pocas Unidades"))</f>
        <v>Ok</v>
      </c>
      <c r="S1230" s="3">
        <f>IF(BBDD_fashion_boutique[[#This Row],[customer_rating]]="","No valorado",BBDD_fashion_boutique[[#This Row],[customer_rating]])</f>
        <v>2.9</v>
      </c>
      <c r="T1230" t="s">
        <v>24</v>
      </c>
      <c r="V1230">
        <f>IF(BBDD_fashion_boutique[[#This Row],[is_returned]]="False",0,1)</f>
        <v>0</v>
      </c>
      <c r="W1230">
        <f>IF(BBDD_fashion_boutique[[#This Row],[is_returned]]="True",0,BBDD_fashion_boutique[[#This Row],[current_price]])</f>
        <v>80.040000000000006</v>
      </c>
      <c r="X1230" t="str">
        <f>IF(BBDD_fashion_boutique[[#This Row],[return_reason]]="","No return",BBDD_fashion_boutique[[#This Row],[return_reason]])</f>
        <v>No return</v>
      </c>
      <c r="Y1230">
        <f>IF(IFERROR(VLOOKUP(BBDD_fashion_boutique[[#This Row],[product_id]],A1231:A3406,1,FALSE),0),1,0)</f>
        <v>0</v>
      </c>
    </row>
    <row r="1231" spans="1:25" x14ac:dyDescent="0.3">
      <c r="A1231" t="s">
        <v>1290</v>
      </c>
      <c r="B1231" t="s">
        <v>48</v>
      </c>
      <c r="C1231" t="s">
        <v>81</v>
      </c>
      <c r="D1231" t="s">
        <v>39</v>
      </c>
      <c r="E1231" t="s">
        <v>45</v>
      </c>
      <c r="F1231" t="str">
        <f>IF(BBDD_fashion_boutique[[#This Row],[category]]="Accessories","Accesorio",IF(BBDD_fashion_boutique[[#This Row],[size]]="","Desconocido",BBDD_fashion_boutique[[#This Row],[size]]))</f>
        <v>S</v>
      </c>
      <c r="G1231" t="s">
        <v>70</v>
      </c>
      <c r="H1231" s="2">
        <v>120.42</v>
      </c>
      <c r="I1231">
        <v>36.700000000000003</v>
      </c>
      <c r="J1231" s="5">
        <f>BBDD_fashion_boutique[[#This Row],[markdown_percentage]]/100</f>
        <v>0.36700000000000005</v>
      </c>
      <c r="K1231" s="2">
        <v>76.23</v>
      </c>
      <c r="L1231" s="2">
        <f>BBDD_fashion_boutique[[#This Row],[original_price]]-BBDD_fashion_boutique[[#This Row],[current_price]]</f>
        <v>44.19</v>
      </c>
      <c r="M1231" s="1">
        <v>45875</v>
      </c>
      <c r="N1231" s="1" t="str">
        <f>PROPER(TEXT(BBDD_fashion_boutique[[#This Row],[purchase_date]],"dddd"))</f>
        <v>Miércoles</v>
      </c>
      <c r="O1231" s="1" t="str">
        <f>PROPER(TEXT(BBDD_fashion_boutique[[#This Row],[purchase_date]],"mmmm"))</f>
        <v>Agosto</v>
      </c>
      <c r="P1231" s="4">
        <v>46</v>
      </c>
      <c r="Q1231" s="2">
        <v>2.4</v>
      </c>
      <c r="R1231" t="str">
        <f>IF(BBDD_fashion_boutique[[#This Row],[stock_quantity]]&gt;9,"Ok",IF(BBDD_fashion_boutique[[#This Row],[stock_quantity]]=0,"Agotado","Pocas Unidades"))</f>
        <v>Ok</v>
      </c>
      <c r="S1231" s="3">
        <f>IF(BBDD_fashion_boutique[[#This Row],[customer_rating]]="","No valorado",BBDD_fashion_boutique[[#This Row],[customer_rating]])</f>
        <v>2.4</v>
      </c>
      <c r="T1231" t="s">
        <v>24</v>
      </c>
      <c r="V1231">
        <f>IF(BBDD_fashion_boutique[[#This Row],[is_returned]]="False",0,1)</f>
        <v>0</v>
      </c>
      <c r="W1231">
        <f>IF(BBDD_fashion_boutique[[#This Row],[is_returned]]="True",0,BBDD_fashion_boutique[[#This Row],[current_price]])</f>
        <v>76.23</v>
      </c>
      <c r="X1231" t="str">
        <f>IF(BBDD_fashion_boutique[[#This Row],[return_reason]]="","No return",BBDD_fashion_boutique[[#This Row],[return_reason]])</f>
        <v>No return</v>
      </c>
      <c r="Y1231">
        <f>IF(IFERROR(VLOOKUP(BBDD_fashion_boutique[[#This Row],[product_id]],A1232:A3407,1,FALSE),0),1,0)</f>
        <v>0</v>
      </c>
    </row>
    <row r="1232" spans="1:25" x14ac:dyDescent="0.3">
      <c r="A1232" t="s">
        <v>1291</v>
      </c>
      <c r="B1232" t="s">
        <v>32</v>
      </c>
      <c r="C1232" t="s">
        <v>37</v>
      </c>
      <c r="D1232" t="s">
        <v>39</v>
      </c>
      <c r="F1232" t="str">
        <f>IF(BBDD_fashion_boutique[[#This Row],[category]]="Accessories","Accesorio",IF(BBDD_fashion_boutique[[#This Row],[size]]="","Desconocido",BBDD_fashion_boutique[[#This Row],[size]]))</f>
        <v>Accesorio</v>
      </c>
      <c r="G1232" t="s">
        <v>62</v>
      </c>
      <c r="H1232" s="2">
        <v>72.81</v>
      </c>
      <c r="I1232">
        <v>0</v>
      </c>
      <c r="J1232" s="5">
        <f>BBDD_fashion_boutique[[#This Row],[markdown_percentage]]/100</f>
        <v>0</v>
      </c>
      <c r="K1232" s="2">
        <v>72.81</v>
      </c>
      <c r="L1232" s="2">
        <f>BBDD_fashion_boutique[[#This Row],[original_price]]-BBDD_fashion_boutique[[#This Row],[current_price]]</f>
        <v>0</v>
      </c>
      <c r="M1232" s="1">
        <v>45875</v>
      </c>
      <c r="N1232" s="1" t="str">
        <f>PROPER(TEXT(BBDD_fashion_boutique[[#This Row],[purchase_date]],"dddd"))</f>
        <v>Miércoles</v>
      </c>
      <c r="O1232" s="1" t="str">
        <f>PROPER(TEXT(BBDD_fashion_boutique[[#This Row],[purchase_date]],"mmmm"))</f>
        <v>Agosto</v>
      </c>
      <c r="P1232" s="4">
        <v>4</v>
      </c>
      <c r="Q1232" s="2">
        <v>4.3</v>
      </c>
      <c r="R1232" t="str">
        <f>IF(BBDD_fashion_boutique[[#This Row],[stock_quantity]]&gt;9,"Ok",IF(BBDD_fashion_boutique[[#This Row],[stock_quantity]]=0,"Agotado","Pocas Unidades"))</f>
        <v>Pocas Unidades</v>
      </c>
      <c r="S1232" s="3">
        <f>IF(BBDD_fashion_boutique[[#This Row],[customer_rating]]="","No valorado",BBDD_fashion_boutique[[#This Row],[customer_rating]])</f>
        <v>4.3</v>
      </c>
      <c r="T1232" t="s">
        <v>24</v>
      </c>
      <c r="V1232">
        <f>IF(BBDD_fashion_boutique[[#This Row],[is_returned]]="False",0,1)</f>
        <v>0</v>
      </c>
      <c r="W1232">
        <f>IF(BBDD_fashion_boutique[[#This Row],[is_returned]]="True",0,BBDD_fashion_boutique[[#This Row],[current_price]])</f>
        <v>72.81</v>
      </c>
      <c r="X1232" t="str">
        <f>IF(BBDD_fashion_boutique[[#This Row],[return_reason]]="","No return",BBDD_fashion_boutique[[#This Row],[return_reason]])</f>
        <v>No return</v>
      </c>
      <c r="Y1232">
        <f>IF(IFERROR(VLOOKUP(BBDD_fashion_boutique[[#This Row],[product_id]],A1233:A3408,1,FALSE),0),1,0)</f>
        <v>0</v>
      </c>
    </row>
    <row r="1233" spans="1:25" x14ac:dyDescent="0.3">
      <c r="A1233" t="s">
        <v>1292</v>
      </c>
      <c r="B1233" t="s">
        <v>32</v>
      </c>
      <c r="C1233" t="s">
        <v>20</v>
      </c>
      <c r="D1233" t="s">
        <v>21</v>
      </c>
      <c r="F1233" t="str">
        <f>IF(BBDD_fashion_boutique[[#This Row],[category]]="Accessories","Accesorio",IF(BBDD_fashion_boutique[[#This Row],[size]]="","Desconocido",BBDD_fashion_boutique[[#This Row],[size]]))</f>
        <v>Accesorio</v>
      </c>
      <c r="G1233" t="s">
        <v>76</v>
      </c>
      <c r="H1233" s="2">
        <v>29.75</v>
      </c>
      <c r="I1233">
        <v>0</v>
      </c>
      <c r="J1233" s="5">
        <f>BBDD_fashion_boutique[[#This Row],[markdown_percentage]]/100</f>
        <v>0</v>
      </c>
      <c r="K1233" s="2">
        <v>29.75</v>
      </c>
      <c r="L1233" s="2">
        <f>BBDD_fashion_boutique[[#This Row],[original_price]]-BBDD_fashion_boutique[[#This Row],[current_price]]</f>
        <v>0</v>
      </c>
      <c r="M1233" s="1">
        <v>45695</v>
      </c>
      <c r="N1233" s="1" t="str">
        <f>PROPER(TEXT(BBDD_fashion_boutique[[#This Row],[purchase_date]],"dddd"))</f>
        <v>Viernes</v>
      </c>
      <c r="O1233" s="1" t="str">
        <f>PROPER(TEXT(BBDD_fashion_boutique[[#This Row],[purchase_date]],"mmmm"))</f>
        <v>Febrero</v>
      </c>
      <c r="P1233" s="4">
        <v>37</v>
      </c>
      <c r="Q1233" s="2">
        <v>3.9</v>
      </c>
      <c r="R1233" t="str">
        <f>IF(BBDD_fashion_boutique[[#This Row],[stock_quantity]]&gt;9,"Ok",IF(BBDD_fashion_boutique[[#This Row],[stock_quantity]]=0,"Agotado","Pocas Unidades"))</f>
        <v>Ok</v>
      </c>
      <c r="S1233" s="3">
        <f>IF(BBDD_fashion_boutique[[#This Row],[customer_rating]]="","No valorado",BBDD_fashion_boutique[[#This Row],[customer_rating]])</f>
        <v>3.9</v>
      </c>
      <c r="T1233" t="s">
        <v>24</v>
      </c>
      <c r="V1233">
        <f>IF(BBDD_fashion_boutique[[#This Row],[is_returned]]="False",0,1)</f>
        <v>0</v>
      </c>
      <c r="W1233">
        <f>IF(BBDD_fashion_boutique[[#This Row],[is_returned]]="True",0,BBDD_fashion_boutique[[#This Row],[current_price]])</f>
        <v>29.75</v>
      </c>
      <c r="X1233" t="str">
        <f>IF(BBDD_fashion_boutique[[#This Row],[return_reason]]="","No return",BBDD_fashion_boutique[[#This Row],[return_reason]])</f>
        <v>No return</v>
      </c>
      <c r="Y1233">
        <f>IF(IFERROR(VLOOKUP(BBDD_fashion_boutique[[#This Row],[product_id]],A1234:A3409,1,FALSE),0),1,0)</f>
        <v>0</v>
      </c>
    </row>
    <row r="1234" spans="1:25" x14ac:dyDescent="0.3">
      <c r="A1234" t="s">
        <v>1293</v>
      </c>
      <c r="B1234" t="s">
        <v>26</v>
      </c>
      <c r="C1234" t="s">
        <v>67</v>
      </c>
      <c r="D1234" t="s">
        <v>68</v>
      </c>
      <c r="E1234" t="s">
        <v>22</v>
      </c>
      <c r="F1234" t="str">
        <f>IF(BBDD_fashion_boutique[[#This Row],[category]]="Accessories","Accesorio",IF(BBDD_fashion_boutique[[#This Row],[size]]="","Desconocido",BBDD_fashion_boutique[[#This Row],[size]]))</f>
        <v>XL</v>
      </c>
      <c r="G1234" t="s">
        <v>33</v>
      </c>
      <c r="H1234" s="2">
        <v>33.630000000000003</v>
      </c>
      <c r="I1234">
        <v>0</v>
      </c>
      <c r="J1234" s="5">
        <f>BBDD_fashion_boutique[[#This Row],[markdown_percentage]]/100</f>
        <v>0</v>
      </c>
      <c r="K1234" s="2">
        <v>33.630000000000003</v>
      </c>
      <c r="L1234" s="2">
        <f>BBDD_fashion_boutique[[#This Row],[original_price]]-BBDD_fashion_boutique[[#This Row],[current_price]]</f>
        <v>0</v>
      </c>
      <c r="M1234" s="1">
        <v>45875</v>
      </c>
      <c r="N1234" s="1" t="str">
        <f>PROPER(TEXT(BBDD_fashion_boutique[[#This Row],[purchase_date]],"dddd"))</f>
        <v>Miércoles</v>
      </c>
      <c r="O1234" s="1" t="str">
        <f>PROPER(TEXT(BBDD_fashion_boutique[[#This Row],[purchase_date]],"mmmm"))</f>
        <v>Agosto</v>
      </c>
      <c r="P1234" s="4">
        <v>13</v>
      </c>
      <c r="Q1234" s="2">
        <v>4.7</v>
      </c>
      <c r="R1234" t="str">
        <f>IF(BBDD_fashion_boutique[[#This Row],[stock_quantity]]&gt;9,"Ok",IF(BBDD_fashion_boutique[[#This Row],[stock_quantity]]=0,"Agotado","Pocas Unidades"))</f>
        <v>Ok</v>
      </c>
      <c r="S1234" s="3">
        <f>IF(BBDD_fashion_boutique[[#This Row],[customer_rating]]="","No valorado",BBDD_fashion_boutique[[#This Row],[customer_rating]])</f>
        <v>4.7</v>
      </c>
      <c r="T1234" t="s">
        <v>24</v>
      </c>
      <c r="V1234">
        <f>IF(BBDD_fashion_boutique[[#This Row],[is_returned]]="False",0,1)</f>
        <v>0</v>
      </c>
      <c r="W1234">
        <f>IF(BBDD_fashion_boutique[[#This Row],[is_returned]]="True",0,BBDD_fashion_boutique[[#This Row],[current_price]])</f>
        <v>33.630000000000003</v>
      </c>
      <c r="X1234" t="str">
        <f>IF(BBDD_fashion_boutique[[#This Row],[return_reason]]="","No return",BBDD_fashion_boutique[[#This Row],[return_reason]])</f>
        <v>No return</v>
      </c>
      <c r="Y1234">
        <f>IF(IFERROR(VLOOKUP(BBDD_fashion_boutique[[#This Row],[product_id]],A1235:A3410,1,FALSE),0),1,0)</f>
        <v>0</v>
      </c>
    </row>
    <row r="1235" spans="1:25" x14ac:dyDescent="0.3">
      <c r="A1235" t="s">
        <v>1294</v>
      </c>
      <c r="B1235" t="s">
        <v>19</v>
      </c>
      <c r="C1235" t="s">
        <v>37</v>
      </c>
      <c r="D1235" t="s">
        <v>39</v>
      </c>
      <c r="E1235" t="s">
        <v>45</v>
      </c>
      <c r="F1235" t="str">
        <f>IF(BBDD_fashion_boutique[[#This Row],[category]]="Accessories","Accesorio",IF(BBDD_fashion_boutique[[#This Row],[size]]="","Desconocido",BBDD_fashion_boutique[[#This Row],[size]]))</f>
        <v>S</v>
      </c>
      <c r="G1235" t="s">
        <v>76</v>
      </c>
      <c r="H1235" s="2">
        <v>101.93</v>
      </c>
      <c r="I1235">
        <v>0</v>
      </c>
      <c r="J1235" s="5">
        <f>BBDD_fashion_boutique[[#This Row],[markdown_percentage]]/100</f>
        <v>0</v>
      </c>
      <c r="K1235" s="2">
        <v>101.93</v>
      </c>
      <c r="L1235" s="2">
        <f>BBDD_fashion_boutique[[#This Row],[original_price]]-BBDD_fashion_boutique[[#This Row],[current_price]]</f>
        <v>0</v>
      </c>
      <c r="M1235" s="1">
        <v>45875</v>
      </c>
      <c r="N1235" s="1" t="str">
        <f>PROPER(TEXT(BBDD_fashion_boutique[[#This Row],[purchase_date]],"dddd"))</f>
        <v>Miércoles</v>
      </c>
      <c r="O1235" s="1" t="str">
        <f>PROPER(TEXT(BBDD_fashion_boutique[[#This Row],[purchase_date]],"mmmm"))</f>
        <v>Agosto</v>
      </c>
      <c r="P1235" s="4">
        <v>31</v>
      </c>
      <c r="R1235" t="str">
        <f>IF(BBDD_fashion_boutique[[#This Row],[stock_quantity]]&gt;9,"Ok",IF(BBDD_fashion_boutique[[#This Row],[stock_quantity]]=0,"Agotado","Pocas Unidades"))</f>
        <v>Ok</v>
      </c>
      <c r="S1235" s="3" t="str">
        <f>IF(BBDD_fashion_boutique[[#This Row],[customer_rating]]="","No valorado",BBDD_fashion_boutique[[#This Row],[customer_rating]])</f>
        <v>No valorado</v>
      </c>
      <c r="T1235" t="s">
        <v>24</v>
      </c>
      <c r="V1235">
        <f>IF(BBDD_fashion_boutique[[#This Row],[is_returned]]="False",0,1)</f>
        <v>0</v>
      </c>
      <c r="W1235">
        <f>IF(BBDD_fashion_boutique[[#This Row],[is_returned]]="True",0,BBDD_fashion_boutique[[#This Row],[current_price]])</f>
        <v>101.93</v>
      </c>
      <c r="X1235" t="str">
        <f>IF(BBDD_fashion_boutique[[#This Row],[return_reason]]="","No return",BBDD_fashion_boutique[[#This Row],[return_reason]])</f>
        <v>No return</v>
      </c>
      <c r="Y1235">
        <f>IF(IFERROR(VLOOKUP(BBDD_fashion_boutique[[#This Row],[product_id]],A1236:A3411,1,FALSE),0),1,0)</f>
        <v>0</v>
      </c>
    </row>
    <row r="1236" spans="1:25" x14ac:dyDescent="0.3">
      <c r="A1236" t="s">
        <v>1295</v>
      </c>
      <c r="B1236" t="s">
        <v>32</v>
      </c>
      <c r="C1236" t="s">
        <v>49</v>
      </c>
      <c r="D1236" t="s">
        <v>28</v>
      </c>
      <c r="F1236" t="str">
        <f>IF(BBDD_fashion_boutique[[#This Row],[category]]="Accessories","Accesorio",IF(BBDD_fashion_boutique[[#This Row],[size]]="","Desconocido",BBDD_fashion_boutique[[#This Row],[size]]))</f>
        <v>Accesorio</v>
      </c>
      <c r="G1236" t="s">
        <v>40</v>
      </c>
      <c r="H1236" s="2">
        <v>41.43</v>
      </c>
      <c r="I1236">
        <v>0</v>
      </c>
      <c r="J1236" s="5">
        <f>BBDD_fashion_boutique[[#This Row],[markdown_percentage]]/100</f>
        <v>0</v>
      </c>
      <c r="K1236" s="2">
        <v>41.43</v>
      </c>
      <c r="L1236" s="2">
        <f>BBDD_fashion_boutique[[#This Row],[original_price]]-BBDD_fashion_boutique[[#This Row],[current_price]]</f>
        <v>0</v>
      </c>
      <c r="M1236" s="1">
        <v>45875</v>
      </c>
      <c r="N1236" s="1" t="str">
        <f>PROPER(TEXT(BBDD_fashion_boutique[[#This Row],[purchase_date]],"dddd"))</f>
        <v>Miércoles</v>
      </c>
      <c r="O1236" s="1" t="str">
        <f>PROPER(TEXT(BBDD_fashion_boutique[[#This Row],[purchase_date]],"mmmm"))</f>
        <v>Agosto</v>
      </c>
      <c r="P1236" s="4">
        <v>10</v>
      </c>
      <c r="R1236" t="str">
        <f>IF(BBDD_fashion_boutique[[#This Row],[stock_quantity]]&gt;9,"Ok",IF(BBDD_fashion_boutique[[#This Row],[stock_quantity]]=0,"Agotado","Pocas Unidades"))</f>
        <v>Ok</v>
      </c>
      <c r="S1236" s="3" t="str">
        <f>IF(BBDD_fashion_boutique[[#This Row],[customer_rating]]="","No valorado",BBDD_fashion_boutique[[#This Row],[customer_rating]])</f>
        <v>No valorado</v>
      </c>
      <c r="T1236" t="s">
        <v>24</v>
      </c>
      <c r="V1236">
        <f>IF(BBDD_fashion_boutique[[#This Row],[is_returned]]="False",0,1)</f>
        <v>0</v>
      </c>
      <c r="W1236">
        <f>IF(BBDD_fashion_boutique[[#This Row],[is_returned]]="True",0,BBDD_fashion_boutique[[#This Row],[current_price]])</f>
        <v>41.43</v>
      </c>
      <c r="X1236" t="str">
        <f>IF(BBDD_fashion_boutique[[#This Row],[return_reason]]="","No return",BBDD_fashion_boutique[[#This Row],[return_reason]])</f>
        <v>No return</v>
      </c>
      <c r="Y1236">
        <f>IF(IFERROR(VLOOKUP(BBDD_fashion_boutique[[#This Row],[product_id]],A1237:A3412,1,FALSE),0),1,0)</f>
        <v>0</v>
      </c>
    </row>
    <row r="1237" spans="1:25" x14ac:dyDescent="0.3">
      <c r="A1237" t="s">
        <v>1296</v>
      </c>
      <c r="B1237" t="s">
        <v>19</v>
      </c>
      <c r="C1237" t="s">
        <v>59</v>
      </c>
      <c r="D1237" t="s">
        <v>21</v>
      </c>
      <c r="E1237" t="s">
        <v>29</v>
      </c>
      <c r="F1237" t="str">
        <f>IF(BBDD_fashion_boutique[[#This Row],[category]]="Accessories","Accesorio",IF(BBDD_fashion_boutique[[#This Row],[size]]="","Desconocido",BBDD_fashion_boutique[[#This Row],[size]]))</f>
        <v>L</v>
      </c>
      <c r="G1237" t="s">
        <v>52</v>
      </c>
      <c r="H1237" s="2">
        <v>126.14</v>
      </c>
      <c r="I1237">
        <v>0</v>
      </c>
      <c r="J1237" s="5">
        <f>BBDD_fashion_boutique[[#This Row],[markdown_percentage]]/100</f>
        <v>0</v>
      </c>
      <c r="K1237" s="2">
        <v>126.14</v>
      </c>
      <c r="L1237" s="2">
        <f>BBDD_fashion_boutique[[#This Row],[original_price]]-BBDD_fashion_boutique[[#This Row],[current_price]]</f>
        <v>0</v>
      </c>
      <c r="M1237" s="1">
        <v>45795</v>
      </c>
      <c r="N1237" s="1" t="str">
        <f>PROPER(TEXT(BBDD_fashion_boutique[[#This Row],[purchase_date]],"dddd"))</f>
        <v>Domingo</v>
      </c>
      <c r="O1237" s="1" t="str">
        <f>PROPER(TEXT(BBDD_fashion_boutique[[#This Row],[purchase_date]],"mmmm"))</f>
        <v>Mayo</v>
      </c>
      <c r="P1237" s="4">
        <v>24</v>
      </c>
      <c r="Q1237" s="2">
        <v>3.6</v>
      </c>
      <c r="R1237" t="str">
        <f>IF(BBDD_fashion_boutique[[#This Row],[stock_quantity]]&gt;9,"Ok",IF(BBDD_fashion_boutique[[#This Row],[stock_quantity]]=0,"Agotado","Pocas Unidades"))</f>
        <v>Ok</v>
      </c>
      <c r="S1237" s="3">
        <f>IF(BBDD_fashion_boutique[[#This Row],[customer_rating]]="","No valorado",BBDD_fashion_boutique[[#This Row],[customer_rating]])</f>
        <v>3.6</v>
      </c>
      <c r="T1237" t="s">
        <v>24</v>
      </c>
      <c r="V1237">
        <f>IF(BBDD_fashion_boutique[[#This Row],[is_returned]]="False",0,1)</f>
        <v>0</v>
      </c>
      <c r="W1237">
        <f>IF(BBDD_fashion_boutique[[#This Row],[is_returned]]="True",0,BBDD_fashion_boutique[[#This Row],[current_price]])</f>
        <v>126.14</v>
      </c>
      <c r="X1237" t="str">
        <f>IF(BBDD_fashion_boutique[[#This Row],[return_reason]]="","No return",BBDD_fashion_boutique[[#This Row],[return_reason]])</f>
        <v>No return</v>
      </c>
      <c r="Y1237">
        <f>IF(IFERROR(VLOOKUP(BBDD_fashion_boutique[[#This Row],[product_id]],A1238:A3413,1,FALSE),0),1,0)</f>
        <v>0</v>
      </c>
    </row>
    <row r="1238" spans="1:25" x14ac:dyDescent="0.3">
      <c r="A1238" t="s">
        <v>1297</v>
      </c>
      <c r="B1238" t="s">
        <v>44</v>
      </c>
      <c r="C1238" t="s">
        <v>20</v>
      </c>
      <c r="D1238" t="s">
        <v>21</v>
      </c>
      <c r="E1238" t="s">
        <v>64</v>
      </c>
      <c r="F1238" t="str">
        <f>IF(BBDD_fashion_boutique[[#This Row],[category]]="Accessories","Accesorio",IF(BBDD_fashion_boutique[[#This Row],[size]]="","Desconocido",BBDD_fashion_boutique[[#This Row],[size]]))</f>
        <v>M</v>
      </c>
      <c r="G1238" t="s">
        <v>72</v>
      </c>
      <c r="H1238" s="2">
        <v>96.76</v>
      </c>
      <c r="I1238">
        <v>0</v>
      </c>
      <c r="J1238" s="5">
        <f>BBDD_fashion_boutique[[#This Row],[markdown_percentage]]/100</f>
        <v>0</v>
      </c>
      <c r="K1238" s="2">
        <v>96.76</v>
      </c>
      <c r="L1238" s="2">
        <f>BBDD_fashion_boutique[[#This Row],[original_price]]-BBDD_fashion_boutique[[#This Row],[current_price]]</f>
        <v>0</v>
      </c>
      <c r="M1238" s="1">
        <v>45714</v>
      </c>
      <c r="N1238" s="1" t="str">
        <f>PROPER(TEXT(BBDD_fashion_boutique[[#This Row],[purchase_date]],"dddd"))</f>
        <v>Miércoles</v>
      </c>
      <c r="O1238" s="1" t="str">
        <f>PROPER(TEXT(BBDD_fashion_boutique[[#This Row],[purchase_date]],"mmmm"))</f>
        <v>Febrero</v>
      </c>
      <c r="P1238" s="4">
        <v>6</v>
      </c>
      <c r="R1238" t="str">
        <f>IF(BBDD_fashion_boutique[[#This Row],[stock_quantity]]&gt;9,"Ok",IF(BBDD_fashion_boutique[[#This Row],[stock_quantity]]=0,"Agotado","Pocas Unidades"))</f>
        <v>Pocas Unidades</v>
      </c>
      <c r="S1238" s="3" t="str">
        <f>IF(BBDD_fashion_boutique[[#This Row],[customer_rating]]="","No valorado",BBDD_fashion_boutique[[#This Row],[customer_rating]])</f>
        <v>No valorado</v>
      </c>
      <c r="T1238" t="s">
        <v>24</v>
      </c>
      <c r="V1238">
        <f>IF(BBDD_fashion_boutique[[#This Row],[is_returned]]="False",0,1)</f>
        <v>0</v>
      </c>
      <c r="W1238">
        <f>IF(BBDD_fashion_boutique[[#This Row],[is_returned]]="True",0,BBDD_fashion_boutique[[#This Row],[current_price]])</f>
        <v>96.76</v>
      </c>
      <c r="X1238" t="str">
        <f>IF(BBDD_fashion_boutique[[#This Row],[return_reason]]="","No return",BBDD_fashion_boutique[[#This Row],[return_reason]])</f>
        <v>No return</v>
      </c>
      <c r="Y1238">
        <f>IF(IFERROR(VLOOKUP(BBDD_fashion_boutique[[#This Row],[product_id]],A1239:A3414,1,FALSE),0),1,0)</f>
        <v>0</v>
      </c>
    </row>
    <row r="1239" spans="1:25" x14ac:dyDescent="0.3">
      <c r="A1239" t="s">
        <v>1298</v>
      </c>
      <c r="B1239" t="s">
        <v>26</v>
      </c>
      <c r="C1239" t="s">
        <v>49</v>
      </c>
      <c r="D1239" t="s">
        <v>28</v>
      </c>
      <c r="E1239" t="s">
        <v>61</v>
      </c>
      <c r="F1239" t="str">
        <f>IF(BBDD_fashion_boutique[[#This Row],[category]]="Accessories","Accesorio",IF(BBDD_fashion_boutique[[#This Row],[size]]="","Desconocido",BBDD_fashion_boutique[[#This Row],[size]]))</f>
        <v>XS</v>
      </c>
      <c r="G1239" t="s">
        <v>70</v>
      </c>
      <c r="H1239" s="2">
        <v>114.32</v>
      </c>
      <c r="I1239">
        <v>0</v>
      </c>
      <c r="J1239" s="5">
        <f>BBDD_fashion_boutique[[#This Row],[markdown_percentage]]/100</f>
        <v>0</v>
      </c>
      <c r="K1239" s="2">
        <v>114.32</v>
      </c>
      <c r="L1239" s="2">
        <f>BBDD_fashion_boutique[[#This Row],[original_price]]-BBDD_fashion_boutique[[#This Row],[current_price]]</f>
        <v>0</v>
      </c>
      <c r="M1239" s="1">
        <v>45875</v>
      </c>
      <c r="N1239" s="1" t="str">
        <f>PROPER(TEXT(BBDD_fashion_boutique[[#This Row],[purchase_date]],"dddd"))</f>
        <v>Miércoles</v>
      </c>
      <c r="O1239" s="1" t="str">
        <f>PROPER(TEXT(BBDD_fashion_boutique[[#This Row],[purchase_date]],"mmmm"))</f>
        <v>Agosto</v>
      </c>
      <c r="P1239" s="4">
        <v>27</v>
      </c>
      <c r="Q1239" s="2">
        <v>5</v>
      </c>
      <c r="R1239" t="str">
        <f>IF(BBDD_fashion_boutique[[#This Row],[stock_quantity]]&gt;9,"Ok",IF(BBDD_fashion_boutique[[#This Row],[stock_quantity]]=0,"Agotado","Pocas Unidades"))</f>
        <v>Ok</v>
      </c>
      <c r="S1239" s="3">
        <f>IF(BBDD_fashion_boutique[[#This Row],[customer_rating]]="","No valorado",BBDD_fashion_boutique[[#This Row],[customer_rating]])</f>
        <v>5</v>
      </c>
      <c r="T1239" t="s">
        <v>24</v>
      </c>
      <c r="V1239">
        <f>IF(BBDD_fashion_boutique[[#This Row],[is_returned]]="False",0,1)</f>
        <v>0</v>
      </c>
      <c r="W1239">
        <f>IF(BBDD_fashion_boutique[[#This Row],[is_returned]]="True",0,BBDD_fashion_boutique[[#This Row],[current_price]])</f>
        <v>114.32</v>
      </c>
      <c r="X1239" t="str">
        <f>IF(BBDD_fashion_boutique[[#This Row],[return_reason]]="","No return",BBDD_fashion_boutique[[#This Row],[return_reason]])</f>
        <v>No return</v>
      </c>
      <c r="Y1239">
        <f>IF(IFERROR(VLOOKUP(BBDD_fashion_boutique[[#This Row],[product_id]],A1240:A3415,1,FALSE),0),1,0)</f>
        <v>0</v>
      </c>
    </row>
    <row r="1240" spans="1:25" x14ac:dyDescent="0.3">
      <c r="A1240" t="s">
        <v>1299</v>
      </c>
      <c r="B1240" t="s">
        <v>35</v>
      </c>
      <c r="C1240" t="s">
        <v>54</v>
      </c>
      <c r="D1240" t="s">
        <v>21</v>
      </c>
      <c r="E1240" t="s">
        <v>45</v>
      </c>
      <c r="F1240" t="str">
        <f>IF(BBDD_fashion_boutique[[#This Row],[category]]="Accessories","Accesorio",IF(BBDD_fashion_boutique[[#This Row],[size]]="","Desconocido",BBDD_fashion_boutique[[#This Row],[size]]))</f>
        <v>S</v>
      </c>
      <c r="G1240" t="s">
        <v>72</v>
      </c>
      <c r="H1240" s="2">
        <v>102.46</v>
      </c>
      <c r="I1240">
        <v>0</v>
      </c>
      <c r="J1240" s="5">
        <f>BBDD_fashion_boutique[[#This Row],[markdown_percentage]]/100</f>
        <v>0</v>
      </c>
      <c r="K1240" s="2">
        <v>102.46</v>
      </c>
      <c r="L1240" s="2">
        <f>BBDD_fashion_boutique[[#This Row],[original_price]]-BBDD_fashion_boutique[[#This Row],[current_price]]</f>
        <v>0</v>
      </c>
      <c r="M1240" s="1">
        <v>45643</v>
      </c>
      <c r="N1240" s="1" t="str">
        <f>PROPER(TEXT(BBDD_fashion_boutique[[#This Row],[purchase_date]],"dddd"))</f>
        <v>Martes</v>
      </c>
      <c r="O1240" s="1" t="str">
        <f>PROPER(TEXT(BBDD_fashion_boutique[[#This Row],[purchase_date]],"mmmm"))</f>
        <v>Diciembre</v>
      </c>
      <c r="P1240" s="4">
        <v>20</v>
      </c>
      <c r="Q1240" s="2">
        <v>3.7</v>
      </c>
      <c r="R1240" t="str">
        <f>IF(BBDD_fashion_boutique[[#This Row],[stock_quantity]]&gt;9,"Ok",IF(BBDD_fashion_boutique[[#This Row],[stock_quantity]]=0,"Agotado","Pocas Unidades"))</f>
        <v>Ok</v>
      </c>
      <c r="S1240" s="3">
        <f>IF(BBDD_fashion_boutique[[#This Row],[customer_rating]]="","No valorado",BBDD_fashion_boutique[[#This Row],[customer_rating]])</f>
        <v>3.7</v>
      </c>
      <c r="T1240" t="s">
        <v>41</v>
      </c>
      <c r="U1240" t="s">
        <v>89</v>
      </c>
      <c r="V1240">
        <f>IF(BBDD_fashion_boutique[[#This Row],[is_returned]]="False",0,1)</f>
        <v>1</v>
      </c>
      <c r="W1240">
        <f>IF(BBDD_fashion_boutique[[#This Row],[is_returned]]="True",0,BBDD_fashion_boutique[[#This Row],[current_price]])</f>
        <v>0</v>
      </c>
      <c r="X1240" t="str">
        <f>IF(BBDD_fashion_boutique[[#This Row],[return_reason]]="","No return",BBDD_fashion_boutique[[#This Row],[return_reason]])</f>
        <v>Quality Issue</v>
      </c>
      <c r="Y1240">
        <f>IF(IFERROR(VLOOKUP(BBDD_fashion_boutique[[#This Row],[product_id]],A1241:A3416,1,FALSE),0),1,0)</f>
        <v>0</v>
      </c>
    </row>
    <row r="1241" spans="1:25" x14ac:dyDescent="0.3">
      <c r="A1241" t="s">
        <v>1300</v>
      </c>
      <c r="B1241" t="s">
        <v>44</v>
      </c>
      <c r="C1241" t="s">
        <v>27</v>
      </c>
      <c r="D1241" t="s">
        <v>68</v>
      </c>
      <c r="E1241" t="s">
        <v>29</v>
      </c>
      <c r="F1241" t="str">
        <f>IF(BBDD_fashion_boutique[[#This Row],[category]]="Accessories","Accesorio",IF(BBDD_fashion_boutique[[#This Row],[size]]="","Desconocido",BBDD_fashion_boutique[[#This Row],[size]]))</f>
        <v>L</v>
      </c>
      <c r="G1241" t="s">
        <v>30</v>
      </c>
      <c r="H1241" s="2">
        <v>95.7</v>
      </c>
      <c r="I1241">
        <v>15</v>
      </c>
      <c r="J1241" s="5">
        <f>BBDD_fashion_boutique[[#This Row],[markdown_percentage]]/100</f>
        <v>0.15</v>
      </c>
      <c r="K1241" s="2">
        <v>81.34</v>
      </c>
      <c r="L1241" s="2">
        <f>BBDD_fashion_boutique[[#This Row],[original_price]]-BBDD_fashion_boutique[[#This Row],[current_price]]</f>
        <v>14.36</v>
      </c>
      <c r="M1241" s="1">
        <v>45875</v>
      </c>
      <c r="N1241" s="1" t="str">
        <f>PROPER(TEXT(BBDD_fashion_boutique[[#This Row],[purchase_date]],"dddd"))</f>
        <v>Miércoles</v>
      </c>
      <c r="O1241" s="1" t="str">
        <f>PROPER(TEXT(BBDD_fashion_boutique[[#This Row],[purchase_date]],"mmmm"))</f>
        <v>Agosto</v>
      </c>
      <c r="P1241" s="4">
        <v>9</v>
      </c>
      <c r="Q1241" s="2">
        <v>4.9000000000000004</v>
      </c>
      <c r="R1241" t="str">
        <f>IF(BBDD_fashion_boutique[[#This Row],[stock_quantity]]&gt;9,"Ok",IF(BBDD_fashion_boutique[[#This Row],[stock_quantity]]=0,"Agotado","Pocas Unidades"))</f>
        <v>Pocas Unidades</v>
      </c>
      <c r="S1241" s="3">
        <f>IF(BBDD_fashion_boutique[[#This Row],[customer_rating]]="","No valorado",BBDD_fashion_boutique[[#This Row],[customer_rating]])</f>
        <v>4.9000000000000004</v>
      </c>
      <c r="T1241" t="s">
        <v>24</v>
      </c>
      <c r="V1241">
        <f>IF(BBDD_fashion_boutique[[#This Row],[is_returned]]="False",0,1)</f>
        <v>0</v>
      </c>
      <c r="W1241">
        <f>IF(BBDD_fashion_boutique[[#This Row],[is_returned]]="True",0,BBDD_fashion_boutique[[#This Row],[current_price]])</f>
        <v>81.34</v>
      </c>
      <c r="X1241" t="str">
        <f>IF(BBDD_fashion_boutique[[#This Row],[return_reason]]="","No return",BBDD_fashion_boutique[[#This Row],[return_reason]])</f>
        <v>No return</v>
      </c>
      <c r="Y1241">
        <f>IF(IFERROR(VLOOKUP(BBDD_fashion_boutique[[#This Row],[product_id]],A1242:A3417,1,FALSE),0),1,0)</f>
        <v>0</v>
      </c>
    </row>
    <row r="1242" spans="1:25" x14ac:dyDescent="0.3">
      <c r="A1242" t="s">
        <v>1301</v>
      </c>
      <c r="B1242" t="s">
        <v>44</v>
      </c>
      <c r="C1242" t="s">
        <v>54</v>
      </c>
      <c r="D1242" t="s">
        <v>28</v>
      </c>
      <c r="E1242" t="s">
        <v>64</v>
      </c>
      <c r="F1242" t="str">
        <f>IF(BBDD_fashion_boutique[[#This Row],[category]]="Accessories","Accesorio",IF(BBDD_fashion_boutique[[#This Row],[size]]="","Desconocido",BBDD_fashion_boutique[[#This Row],[size]]))</f>
        <v>M</v>
      </c>
      <c r="G1242" t="s">
        <v>50</v>
      </c>
      <c r="H1242" s="2">
        <v>55.49</v>
      </c>
      <c r="I1242">
        <v>0</v>
      </c>
      <c r="J1242" s="5">
        <f>BBDD_fashion_boutique[[#This Row],[markdown_percentage]]/100</f>
        <v>0</v>
      </c>
      <c r="K1242" s="2">
        <v>55.49</v>
      </c>
      <c r="L1242" s="2">
        <f>BBDD_fashion_boutique[[#This Row],[original_price]]-BBDD_fashion_boutique[[#This Row],[current_price]]</f>
        <v>0</v>
      </c>
      <c r="M1242" s="1">
        <v>45875</v>
      </c>
      <c r="N1242" s="1" t="str">
        <f>PROPER(TEXT(BBDD_fashion_boutique[[#This Row],[purchase_date]],"dddd"))</f>
        <v>Miércoles</v>
      </c>
      <c r="O1242" s="1" t="str">
        <f>PROPER(TEXT(BBDD_fashion_boutique[[#This Row],[purchase_date]],"mmmm"))</f>
        <v>Agosto</v>
      </c>
      <c r="P1242" s="4">
        <v>25</v>
      </c>
      <c r="Q1242" s="2">
        <v>4.5999999999999996</v>
      </c>
      <c r="R1242" t="str">
        <f>IF(BBDD_fashion_boutique[[#This Row],[stock_quantity]]&gt;9,"Ok",IF(BBDD_fashion_boutique[[#This Row],[stock_quantity]]=0,"Agotado","Pocas Unidades"))</f>
        <v>Ok</v>
      </c>
      <c r="S1242" s="3">
        <f>IF(BBDD_fashion_boutique[[#This Row],[customer_rating]]="","No valorado",BBDD_fashion_boutique[[#This Row],[customer_rating]])</f>
        <v>4.5999999999999996</v>
      </c>
      <c r="T1242" t="s">
        <v>24</v>
      </c>
      <c r="V1242">
        <f>IF(BBDD_fashion_boutique[[#This Row],[is_returned]]="False",0,1)</f>
        <v>0</v>
      </c>
      <c r="W1242">
        <f>IF(BBDD_fashion_boutique[[#This Row],[is_returned]]="True",0,BBDD_fashion_boutique[[#This Row],[current_price]])</f>
        <v>55.49</v>
      </c>
      <c r="X1242" t="str">
        <f>IF(BBDD_fashion_boutique[[#This Row],[return_reason]]="","No return",BBDD_fashion_boutique[[#This Row],[return_reason]])</f>
        <v>No return</v>
      </c>
      <c r="Y1242">
        <f>IF(IFERROR(VLOOKUP(BBDD_fashion_boutique[[#This Row],[product_id]],A1243:A3418,1,FALSE),0),1,0)</f>
        <v>0</v>
      </c>
    </row>
    <row r="1243" spans="1:25" x14ac:dyDescent="0.3">
      <c r="A1243" t="s">
        <v>1302</v>
      </c>
      <c r="B1243" t="s">
        <v>32</v>
      </c>
      <c r="C1243" t="s">
        <v>59</v>
      </c>
      <c r="D1243" t="s">
        <v>28</v>
      </c>
      <c r="F1243" t="str">
        <f>IF(BBDD_fashion_boutique[[#This Row],[category]]="Accessories","Accesorio",IF(BBDD_fashion_boutique[[#This Row],[size]]="","Desconocido",BBDD_fashion_boutique[[#This Row],[size]]))</f>
        <v>Accesorio</v>
      </c>
      <c r="G1243" t="s">
        <v>40</v>
      </c>
      <c r="H1243" s="2">
        <v>30.58</v>
      </c>
      <c r="I1243">
        <v>9.8000000000000007</v>
      </c>
      <c r="J1243" s="5">
        <f>BBDD_fashion_boutique[[#This Row],[markdown_percentage]]/100</f>
        <v>9.8000000000000004E-2</v>
      </c>
      <c r="K1243" s="2">
        <v>27.58</v>
      </c>
      <c r="L1243" s="2">
        <f>BBDD_fashion_boutique[[#This Row],[original_price]]-BBDD_fashion_boutique[[#This Row],[current_price]]</f>
        <v>3</v>
      </c>
      <c r="M1243" s="1">
        <v>45875</v>
      </c>
      <c r="N1243" s="1" t="str">
        <f>PROPER(TEXT(BBDD_fashion_boutique[[#This Row],[purchase_date]],"dddd"))</f>
        <v>Miércoles</v>
      </c>
      <c r="O1243" s="1" t="str">
        <f>PROPER(TEXT(BBDD_fashion_boutique[[#This Row],[purchase_date]],"mmmm"))</f>
        <v>Agosto</v>
      </c>
      <c r="P1243" s="4">
        <v>34</v>
      </c>
      <c r="Q1243" s="2">
        <v>3.4</v>
      </c>
      <c r="R1243" t="str">
        <f>IF(BBDD_fashion_boutique[[#This Row],[stock_quantity]]&gt;9,"Ok",IF(BBDD_fashion_boutique[[#This Row],[stock_quantity]]=0,"Agotado","Pocas Unidades"))</f>
        <v>Ok</v>
      </c>
      <c r="S1243" s="3">
        <f>IF(BBDD_fashion_boutique[[#This Row],[customer_rating]]="","No valorado",BBDD_fashion_boutique[[#This Row],[customer_rating]])</f>
        <v>3.4</v>
      </c>
      <c r="T1243" t="s">
        <v>24</v>
      </c>
      <c r="V1243">
        <f>IF(BBDD_fashion_boutique[[#This Row],[is_returned]]="False",0,1)</f>
        <v>0</v>
      </c>
      <c r="W1243">
        <f>IF(BBDD_fashion_boutique[[#This Row],[is_returned]]="True",0,BBDD_fashion_boutique[[#This Row],[current_price]])</f>
        <v>27.58</v>
      </c>
      <c r="X1243" t="str">
        <f>IF(BBDD_fashion_boutique[[#This Row],[return_reason]]="","No return",BBDD_fashion_boutique[[#This Row],[return_reason]])</f>
        <v>No return</v>
      </c>
      <c r="Y1243">
        <f>IF(IFERROR(VLOOKUP(BBDD_fashion_boutique[[#This Row],[product_id]],A1244:A3419,1,FALSE),0),1,0)</f>
        <v>0</v>
      </c>
    </row>
    <row r="1244" spans="1:25" x14ac:dyDescent="0.3">
      <c r="A1244" t="s">
        <v>1303</v>
      </c>
      <c r="B1244" t="s">
        <v>44</v>
      </c>
      <c r="C1244" t="s">
        <v>49</v>
      </c>
      <c r="D1244" t="s">
        <v>39</v>
      </c>
      <c r="E1244" t="s">
        <v>45</v>
      </c>
      <c r="F1244" t="str">
        <f>IF(BBDD_fashion_boutique[[#This Row],[category]]="Accessories","Accesorio",IF(BBDD_fashion_boutique[[#This Row],[size]]="","Desconocido",BBDD_fashion_boutique[[#This Row],[size]]))</f>
        <v>S</v>
      </c>
      <c r="G1244" t="s">
        <v>23</v>
      </c>
      <c r="H1244" s="2">
        <v>116.58</v>
      </c>
      <c r="I1244">
        <v>0</v>
      </c>
      <c r="J1244" s="5">
        <f>BBDD_fashion_boutique[[#This Row],[markdown_percentage]]/100</f>
        <v>0</v>
      </c>
      <c r="K1244" s="2">
        <v>116.58</v>
      </c>
      <c r="L1244" s="2">
        <f>BBDD_fashion_boutique[[#This Row],[original_price]]-BBDD_fashion_boutique[[#This Row],[current_price]]</f>
        <v>0</v>
      </c>
      <c r="M1244" s="1">
        <v>45875</v>
      </c>
      <c r="N1244" s="1" t="str">
        <f>PROPER(TEXT(BBDD_fashion_boutique[[#This Row],[purchase_date]],"dddd"))</f>
        <v>Miércoles</v>
      </c>
      <c r="O1244" s="1" t="str">
        <f>PROPER(TEXT(BBDD_fashion_boutique[[#This Row],[purchase_date]],"mmmm"))</f>
        <v>Agosto</v>
      </c>
      <c r="P1244" s="4">
        <v>47</v>
      </c>
      <c r="Q1244" s="2">
        <v>1.2</v>
      </c>
      <c r="R1244" t="str">
        <f>IF(BBDD_fashion_boutique[[#This Row],[stock_quantity]]&gt;9,"Ok",IF(BBDD_fashion_boutique[[#This Row],[stock_quantity]]=0,"Agotado","Pocas Unidades"))</f>
        <v>Ok</v>
      </c>
      <c r="S1244" s="3">
        <f>IF(BBDD_fashion_boutique[[#This Row],[customer_rating]]="","No valorado",BBDD_fashion_boutique[[#This Row],[customer_rating]])</f>
        <v>1.2</v>
      </c>
      <c r="T1244" t="s">
        <v>24</v>
      </c>
      <c r="V1244">
        <f>IF(BBDD_fashion_boutique[[#This Row],[is_returned]]="False",0,1)</f>
        <v>0</v>
      </c>
      <c r="W1244">
        <f>IF(BBDD_fashion_boutique[[#This Row],[is_returned]]="True",0,BBDD_fashion_boutique[[#This Row],[current_price]])</f>
        <v>116.58</v>
      </c>
      <c r="X1244" t="str">
        <f>IF(BBDD_fashion_boutique[[#This Row],[return_reason]]="","No return",BBDD_fashion_boutique[[#This Row],[return_reason]])</f>
        <v>No return</v>
      </c>
      <c r="Y1244">
        <f>IF(IFERROR(VLOOKUP(BBDD_fashion_boutique[[#This Row],[product_id]],A1245:A3420,1,FALSE),0),1,0)</f>
        <v>0</v>
      </c>
    </row>
    <row r="1245" spans="1:25" x14ac:dyDescent="0.3">
      <c r="A1245" t="s">
        <v>1304</v>
      </c>
      <c r="B1245" t="s">
        <v>48</v>
      </c>
      <c r="C1245" t="s">
        <v>20</v>
      </c>
      <c r="D1245" t="s">
        <v>28</v>
      </c>
      <c r="E1245" t="s">
        <v>22</v>
      </c>
      <c r="F1245" t="str">
        <f>IF(BBDD_fashion_boutique[[#This Row],[category]]="Accessories","Accesorio",IF(BBDD_fashion_boutique[[#This Row],[size]]="","Desconocido",BBDD_fashion_boutique[[#This Row],[size]]))</f>
        <v>XL</v>
      </c>
      <c r="G1245" t="s">
        <v>70</v>
      </c>
      <c r="H1245" s="2">
        <v>79.180000000000007</v>
      </c>
      <c r="I1245">
        <v>21.1</v>
      </c>
      <c r="J1245" s="5">
        <f>BBDD_fashion_boutique[[#This Row],[markdown_percentage]]/100</f>
        <v>0.21100000000000002</v>
      </c>
      <c r="K1245" s="2">
        <v>62.47</v>
      </c>
      <c r="L1245" s="2">
        <f>BBDD_fashion_boutique[[#This Row],[original_price]]-BBDD_fashion_boutique[[#This Row],[current_price]]</f>
        <v>16.710000000000008</v>
      </c>
      <c r="M1245" s="1">
        <v>45875</v>
      </c>
      <c r="N1245" s="1" t="str">
        <f>PROPER(TEXT(BBDD_fashion_boutique[[#This Row],[purchase_date]],"dddd"))</f>
        <v>Miércoles</v>
      </c>
      <c r="O1245" s="1" t="str">
        <f>PROPER(TEXT(BBDD_fashion_boutique[[#This Row],[purchase_date]],"mmmm"))</f>
        <v>Agosto</v>
      </c>
      <c r="P1245" s="4">
        <v>36</v>
      </c>
      <c r="Q1245" s="2">
        <v>1.5</v>
      </c>
      <c r="R1245" t="str">
        <f>IF(BBDD_fashion_boutique[[#This Row],[stock_quantity]]&gt;9,"Ok",IF(BBDD_fashion_boutique[[#This Row],[stock_quantity]]=0,"Agotado","Pocas Unidades"))</f>
        <v>Ok</v>
      </c>
      <c r="S1245" s="3">
        <f>IF(BBDD_fashion_boutique[[#This Row],[customer_rating]]="","No valorado",BBDD_fashion_boutique[[#This Row],[customer_rating]])</f>
        <v>1.5</v>
      </c>
      <c r="T1245" t="s">
        <v>41</v>
      </c>
      <c r="U1245" t="s">
        <v>121</v>
      </c>
      <c r="V1245">
        <f>IF(BBDD_fashion_boutique[[#This Row],[is_returned]]="False",0,1)</f>
        <v>1</v>
      </c>
      <c r="W1245">
        <f>IF(BBDD_fashion_boutique[[#This Row],[is_returned]]="True",0,BBDD_fashion_boutique[[#This Row],[current_price]])</f>
        <v>0</v>
      </c>
      <c r="X1245" t="str">
        <f>IF(BBDD_fashion_boutique[[#This Row],[return_reason]]="","No return",BBDD_fashion_boutique[[#This Row],[return_reason]])</f>
        <v>Changed Mind</v>
      </c>
      <c r="Y1245">
        <f>IF(IFERROR(VLOOKUP(BBDD_fashion_boutique[[#This Row],[product_id]],A1246:A3421,1,FALSE),0),1,0)</f>
        <v>0</v>
      </c>
    </row>
    <row r="1246" spans="1:25" x14ac:dyDescent="0.3">
      <c r="A1246" t="s">
        <v>1305</v>
      </c>
      <c r="B1246" t="s">
        <v>48</v>
      </c>
      <c r="C1246" t="s">
        <v>81</v>
      </c>
      <c r="D1246" t="s">
        <v>68</v>
      </c>
      <c r="F1246" t="str">
        <f>IF(BBDD_fashion_boutique[[#This Row],[category]]="Accessories","Accesorio",IF(BBDD_fashion_boutique[[#This Row],[size]]="","Desconocido",BBDD_fashion_boutique[[#This Row],[size]]))</f>
        <v>Desconocido</v>
      </c>
      <c r="G1246" t="s">
        <v>70</v>
      </c>
      <c r="H1246" s="2">
        <v>88.71</v>
      </c>
      <c r="I1246">
        <v>0</v>
      </c>
      <c r="J1246" s="5">
        <f>BBDD_fashion_boutique[[#This Row],[markdown_percentage]]/100</f>
        <v>0</v>
      </c>
      <c r="K1246" s="2">
        <v>88.71</v>
      </c>
      <c r="L1246" s="2">
        <f>BBDD_fashion_boutique[[#This Row],[original_price]]-BBDD_fashion_boutique[[#This Row],[current_price]]</f>
        <v>0</v>
      </c>
      <c r="M1246" s="1">
        <v>45875</v>
      </c>
      <c r="N1246" s="1" t="str">
        <f>PROPER(TEXT(BBDD_fashion_boutique[[#This Row],[purchase_date]],"dddd"))</f>
        <v>Miércoles</v>
      </c>
      <c r="O1246" s="1" t="str">
        <f>PROPER(TEXT(BBDD_fashion_boutique[[#This Row],[purchase_date]],"mmmm"))</f>
        <v>Agosto</v>
      </c>
      <c r="P1246" s="4">
        <v>3</v>
      </c>
      <c r="Q1246" s="2">
        <v>3.5</v>
      </c>
      <c r="R1246" t="str">
        <f>IF(BBDD_fashion_boutique[[#This Row],[stock_quantity]]&gt;9,"Ok",IF(BBDD_fashion_boutique[[#This Row],[stock_quantity]]=0,"Agotado","Pocas Unidades"))</f>
        <v>Pocas Unidades</v>
      </c>
      <c r="S1246" s="3">
        <f>IF(BBDD_fashion_boutique[[#This Row],[customer_rating]]="","No valorado",BBDD_fashion_boutique[[#This Row],[customer_rating]])</f>
        <v>3.5</v>
      </c>
      <c r="T1246" t="s">
        <v>24</v>
      </c>
      <c r="V1246">
        <f>IF(BBDD_fashion_boutique[[#This Row],[is_returned]]="False",0,1)</f>
        <v>0</v>
      </c>
      <c r="W1246">
        <f>IF(BBDD_fashion_boutique[[#This Row],[is_returned]]="True",0,BBDD_fashion_boutique[[#This Row],[current_price]])</f>
        <v>88.71</v>
      </c>
      <c r="X1246" t="str">
        <f>IF(BBDD_fashion_boutique[[#This Row],[return_reason]]="","No return",BBDD_fashion_boutique[[#This Row],[return_reason]])</f>
        <v>No return</v>
      </c>
      <c r="Y1246">
        <f>IF(IFERROR(VLOOKUP(BBDD_fashion_boutique[[#This Row],[product_id]],A1247:A3422,1,FALSE),0),1,0)</f>
        <v>0</v>
      </c>
    </row>
    <row r="1247" spans="1:25" x14ac:dyDescent="0.3">
      <c r="A1247" t="s">
        <v>1306</v>
      </c>
      <c r="B1247" t="s">
        <v>48</v>
      </c>
      <c r="C1247" t="s">
        <v>37</v>
      </c>
      <c r="D1247" t="s">
        <v>21</v>
      </c>
      <c r="E1247" t="s">
        <v>55</v>
      </c>
      <c r="F1247" t="str">
        <f>IF(BBDD_fashion_boutique[[#This Row],[category]]="Accessories","Accesorio",IF(BBDD_fashion_boutique[[#This Row],[size]]="","Desconocido",BBDD_fashion_boutique[[#This Row],[size]]))</f>
        <v>XXL</v>
      </c>
      <c r="G1247" t="s">
        <v>72</v>
      </c>
      <c r="H1247" s="2">
        <v>150.58000000000001</v>
      </c>
      <c r="I1247">
        <v>0</v>
      </c>
      <c r="J1247" s="5">
        <f>BBDD_fashion_boutique[[#This Row],[markdown_percentage]]/100</f>
        <v>0</v>
      </c>
      <c r="K1247" s="2">
        <v>150.58000000000001</v>
      </c>
      <c r="L1247" s="2">
        <f>BBDD_fashion_boutique[[#This Row],[original_price]]-BBDD_fashion_boutique[[#This Row],[current_price]]</f>
        <v>0</v>
      </c>
      <c r="M1247" s="1">
        <v>45645</v>
      </c>
      <c r="N1247" s="1" t="str">
        <f>PROPER(TEXT(BBDD_fashion_boutique[[#This Row],[purchase_date]],"dddd"))</f>
        <v>Jueves</v>
      </c>
      <c r="O1247" s="1" t="str">
        <f>PROPER(TEXT(BBDD_fashion_boutique[[#This Row],[purchase_date]],"mmmm"))</f>
        <v>Diciembre</v>
      </c>
      <c r="P1247" s="4">
        <v>38</v>
      </c>
      <c r="Q1247" s="2">
        <v>2.1</v>
      </c>
      <c r="R1247" t="str">
        <f>IF(BBDD_fashion_boutique[[#This Row],[stock_quantity]]&gt;9,"Ok",IF(BBDD_fashion_boutique[[#This Row],[stock_quantity]]=0,"Agotado","Pocas Unidades"))</f>
        <v>Ok</v>
      </c>
      <c r="S1247" s="3">
        <f>IF(BBDD_fashion_boutique[[#This Row],[customer_rating]]="","No valorado",BBDD_fashion_boutique[[#This Row],[customer_rating]])</f>
        <v>2.1</v>
      </c>
      <c r="T1247" t="s">
        <v>24</v>
      </c>
      <c r="V1247">
        <f>IF(BBDD_fashion_boutique[[#This Row],[is_returned]]="False",0,1)</f>
        <v>0</v>
      </c>
      <c r="W1247">
        <f>IF(BBDD_fashion_boutique[[#This Row],[is_returned]]="True",0,BBDD_fashion_boutique[[#This Row],[current_price]])</f>
        <v>150.58000000000001</v>
      </c>
      <c r="X1247" t="str">
        <f>IF(BBDD_fashion_boutique[[#This Row],[return_reason]]="","No return",BBDD_fashion_boutique[[#This Row],[return_reason]])</f>
        <v>No return</v>
      </c>
      <c r="Y1247">
        <f>IF(IFERROR(VLOOKUP(BBDD_fashion_boutique[[#This Row],[product_id]],A1248:A3423,1,FALSE),0),1,0)</f>
        <v>0</v>
      </c>
    </row>
    <row r="1248" spans="1:25" x14ac:dyDescent="0.3">
      <c r="A1248" t="s">
        <v>1307</v>
      </c>
      <c r="B1248" t="s">
        <v>48</v>
      </c>
      <c r="C1248" t="s">
        <v>27</v>
      </c>
      <c r="D1248" t="s">
        <v>68</v>
      </c>
      <c r="E1248" t="s">
        <v>55</v>
      </c>
      <c r="F1248" t="str">
        <f>IF(BBDD_fashion_boutique[[#This Row],[category]]="Accessories","Accesorio",IF(BBDD_fashion_boutique[[#This Row],[size]]="","Desconocido",BBDD_fashion_boutique[[#This Row],[size]]))</f>
        <v>XXL</v>
      </c>
      <c r="G1248" t="s">
        <v>40</v>
      </c>
      <c r="H1248" s="2">
        <v>179.9</v>
      </c>
      <c r="I1248">
        <v>9.3000000000000007</v>
      </c>
      <c r="J1248" s="5">
        <f>BBDD_fashion_boutique[[#This Row],[markdown_percentage]]/100</f>
        <v>9.3000000000000013E-2</v>
      </c>
      <c r="K1248" s="2">
        <v>163.16999999999999</v>
      </c>
      <c r="L1248" s="2">
        <f>BBDD_fashion_boutique[[#This Row],[original_price]]-BBDD_fashion_boutique[[#This Row],[current_price]]</f>
        <v>16.730000000000018</v>
      </c>
      <c r="M1248" s="1">
        <v>45875</v>
      </c>
      <c r="N1248" s="1" t="str">
        <f>PROPER(TEXT(BBDD_fashion_boutique[[#This Row],[purchase_date]],"dddd"))</f>
        <v>Miércoles</v>
      </c>
      <c r="O1248" s="1" t="str">
        <f>PROPER(TEXT(BBDD_fashion_boutique[[#This Row],[purchase_date]],"mmmm"))</f>
        <v>Agosto</v>
      </c>
      <c r="P1248" s="4">
        <v>34</v>
      </c>
      <c r="Q1248" s="2">
        <v>2.1</v>
      </c>
      <c r="R1248" t="str">
        <f>IF(BBDD_fashion_boutique[[#This Row],[stock_quantity]]&gt;9,"Ok",IF(BBDD_fashion_boutique[[#This Row],[stock_quantity]]=0,"Agotado","Pocas Unidades"))</f>
        <v>Ok</v>
      </c>
      <c r="S1248" s="3">
        <f>IF(BBDD_fashion_boutique[[#This Row],[customer_rating]]="","No valorado",BBDD_fashion_boutique[[#This Row],[customer_rating]])</f>
        <v>2.1</v>
      </c>
      <c r="T1248" t="s">
        <v>24</v>
      </c>
      <c r="V1248">
        <f>IF(BBDD_fashion_boutique[[#This Row],[is_returned]]="False",0,1)</f>
        <v>0</v>
      </c>
      <c r="W1248">
        <f>IF(BBDD_fashion_boutique[[#This Row],[is_returned]]="True",0,BBDD_fashion_boutique[[#This Row],[current_price]])</f>
        <v>163.16999999999999</v>
      </c>
      <c r="X1248" t="str">
        <f>IF(BBDD_fashion_boutique[[#This Row],[return_reason]]="","No return",BBDD_fashion_boutique[[#This Row],[return_reason]])</f>
        <v>No return</v>
      </c>
      <c r="Y1248">
        <f>IF(IFERROR(VLOOKUP(BBDD_fashion_boutique[[#This Row],[product_id]],A1249:A3424,1,FALSE),0),1,0)</f>
        <v>0</v>
      </c>
    </row>
    <row r="1249" spans="1:25" x14ac:dyDescent="0.3">
      <c r="A1249" t="s">
        <v>1308</v>
      </c>
      <c r="B1249" t="s">
        <v>19</v>
      </c>
      <c r="C1249" t="s">
        <v>81</v>
      </c>
      <c r="D1249" t="s">
        <v>21</v>
      </c>
      <c r="E1249" t="s">
        <v>22</v>
      </c>
      <c r="F1249" t="str">
        <f>IF(BBDD_fashion_boutique[[#This Row],[category]]="Accessories","Accesorio",IF(BBDD_fashion_boutique[[#This Row],[size]]="","Desconocido",BBDD_fashion_boutique[[#This Row],[size]]))</f>
        <v>XL</v>
      </c>
      <c r="G1249" t="s">
        <v>23</v>
      </c>
      <c r="H1249" s="2">
        <v>135.30000000000001</v>
      </c>
      <c r="I1249">
        <v>0</v>
      </c>
      <c r="J1249" s="5">
        <f>BBDD_fashion_boutique[[#This Row],[markdown_percentage]]/100</f>
        <v>0</v>
      </c>
      <c r="K1249" s="2">
        <v>135.30000000000001</v>
      </c>
      <c r="L1249" s="2">
        <f>BBDD_fashion_boutique[[#This Row],[original_price]]-BBDD_fashion_boutique[[#This Row],[current_price]]</f>
        <v>0</v>
      </c>
      <c r="M1249" s="1">
        <v>45704</v>
      </c>
      <c r="N1249" s="1" t="str">
        <f>PROPER(TEXT(BBDD_fashion_boutique[[#This Row],[purchase_date]],"dddd"))</f>
        <v>Domingo</v>
      </c>
      <c r="O1249" s="1" t="str">
        <f>PROPER(TEXT(BBDD_fashion_boutique[[#This Row],[purchase_date]],"mmmm"))</f>
        <v>Febrero</v>
      </c>
      <c r="P1249" s="4">
        <v>19</v>
      </c>
      <c r="Q1249" s="2">
        <v>4.5999999999999996</v>
      </c>
      <c r="R1249" t="str">
        <f>IF(BBDD_fashion_boutique[[#This Row],[stock_quantity]]&gt;9,"Ok",IF(BBDD_fashion_boutique[[#This Row],[stock_quantity]]=0,"Agotado","Pocas Unidades"))</f>
        <v>Ok</v>
      </c>
      <c r="S1249" s="3">
        <f>IF(BBDD_fashion_boutique[[#This Row],[customer_rating]]="","No valorado",BBDD_fashion_boutique[[#This Row],[customer_rating]])</f>
        <v>4.5999999999999996</v>
      </c>
      <c r="T1249" t="s">
        <v>24</v>
      </c>
      <c r="V1249">
        <f>IF(BBDD_fashion_boutique[[#This Row],[is_returned]]="False",0,1)</f>
        <v>0</v>
      </c>
      <c r="W1249">
        <f>IF(BBDD_fashion_boutique[[#This Row],[is_returned]]="True",0,BBDD_fashion_boutique[[#This Row],[current_price]])</f>
        <v>135.30000000000001</v>
      </c>
      <c r="X1249" t="str">
        <f>IF(BBDD_fashion_boutique[[#This Row],[return_reason]]="","No return",BBDD_fashion_boutique[[#This Row],[return_reason]])</f>
        <v>No return</v>
      </c>
      <c r="Y1249">
        <f>IF(IFERROR(VLOOKUP(BBDD_fashion_boutique[[#This Row],[product_id]],A1250:A3425,1,FALSE),0),1,0)</f>
        <v>0</v>
      </c>
    </row>
    <row r="1250" spans="1:25" x14ac:dyDescent="0.3">
      <c r="A1250" t="s">
        <v>1309</v>
      </c>
      <c r="B1250" t="s">
        <v>35</v>
      </c>
      <c r="C1250" t="s">
        <v>27</v>
      </c>
      <c r="D1250" t="s">
        <v>39</v>
      </c>
      <c r="E1250" t="s">
        <v>55</v>
      </c>
      <c r="F1250" t="str">
        <f>IF(BBDD_fashion_boutique[[#This Row],[category]]="Accessories","Accesorio",IF(BBDD_fashion_boutique[[#This Row],[size]]="","Desconocido",BBDD_fashion_boutique[[#This Row],[size]]))</f>
        <v>XXL</v>
      </c>
      <c r="G1250" t="s">
        <v>33</v>
      </c>
      <c r="H1250" s="2">
        <v>146.43</v>
      </c>
      <c r="I1250">
        <v>0</v>
      </c>
      <c r="J1250" s="5">
        <f>BBDD_fashion_boutique[[#This Row],[markdown_percentage]]/100</f>
        <v>0</v>
      </c>
      <c r="K1250" s="2">
        <v>146.43</v>
      </c>
      <c r="L1250" s="2">
        <f>BBDD_fashion_boutique[[#This Row],[original_price]]-BBDD_fashion_boutique[[#This Row],[current_price]]</f>
        <v>0</v>
      </c>
      <c r="M1250" s="1">
        <v>45875</v>
      </c>
      <c r="N1250" s="1" t="str">
        <f>PROPER(TEXT(BBDD_fashion_boutique[[#This Row],[purchase_date]],"dddd"))</f>
        <v>Miércoles</v>
      </c>
      <c r="O1250" s="1" t="str">
        <f>PROPER(TEXT(BBDD_fashion_boutique[[#This Row],[purchase_date]],"mmmm"))</f>
        <v>Agosto</v>
      </c>
      <c r="P1250" s="4">
        <v>7</v>
      </c>
      <c r="Q1250" s="2">
        <v>2.5</v>
      </c>
      <c r="R1250" t="str">
        <f>IF(BBDD_fashion_boutique[[#This Row],[stock_quantity]]&gt;9,"Ok",IF(BBDD_fashion_boutique[[#This Row],[stock_quantity]]=0,"Agotado","Pocas Unidades"))</f>
        <v>Pocas Unidades</v>
      </c>
      <c r="S1250" s="3">
        <f>IF(BBDD_fashion_boutique[[#This Row],[customer_rating]]="","No valorado",BBDD_fashion_boutique[[#This Row],[customer_rating]])</f>
        <v>2.5</v>
      </c>
      <c r="T1250" t="s">
        <v>24</v>
      </c>
      <c r="V1250">
        <f>IF(BBDD_fashion_boutique[[#This Row],[is_returned]]="False",0,1)</f>
        <v>0</v>
      </c>
      <c r="W1250">
        <f>IF(BBDD_fashion_boutique[[#This Row],[is_returned]]="True",0,BBDD_fashion_boutique[[#This Row],[current_price]])</f>
        <v>146.43</v>
      </c>
      <c r="X1250" t="str">
        <f>IF(BBDD_fashion_boutique[[#This Row],[return_reason]]="","No return",BBDD_fashion_boutique[[#This Row],[return_reason]])</f>
        <v>No return</v>
      </c>
      <c r="Y1250">
        <f>IF(IFERROR(VLOOKUP(BBDD_fashion_boutique[[#This Row],[product_id]],A1251:A3426,1,FALSE),0),1,0)</f>
        <v>0</v>
      </c>
    </row>
    <row r="1251" spans="1:25" x14ac:dyDescent="0.3">
      <c r="A1251" t="s">
        <v>1310</v>
      </c>
      <c r="B1251" t="s">
        <v>19</v>
      </c>
      <c r="C1251" t="s">
        <v>81</v>
      </c>
      <c r="D1251" t="s">
        <v>28</v>
      </c>
      <c r="E1251" t="s">
        <v>64</v>
      </c>
      <c r="F1251" t="str">
        <f>IF(BBDD_fashion_boutique[[#This Row],[category]]="Accessories","Accesorio",IF(BBDD_fashion_boutique[[#This Row],[size]]="","Desconocido",BBDD_fashion_boutique[[#This Row],[size]]))</f>
        <v>M</v>
      </c>
      <c r="G1251" t="s">
        <v>52</v>
      </c>
      <c r="H1251" s="2">
        <v>160.27000000000001</v>
      </c>
      <c r="I1251">
        <v>0</v>
      </c>
      <c r="J1251" s="5">
        <f>BBDD_fashion_boutique[[#This Row],[markdown_percentage]]/100</f>
        <v>0</v>
      </c>
      <c r="K1251" s="2">
        <v>160.27000000000001</v>
      </c>
      <c r="L1251" s="2">
        <f>BBDD_fashion_boutique[[#This Row],[original_price]]-BBDD_fashion_boutique[[#This Row],[current_price]]</f>
        <v>0</v>
      </c>
      <c r="M1251" s="1">
        <v>45875</v>
      </c>
      <c r="N1251" s="1" t="str">
        <f>PROPER(TEXT(BBDD_fashion_boutique[[#This Row],[purchase_date]],"dddd"))</f>
        <v>Miércoles</v>
      </c>
      <c r="O1251" s="1" t="str">
        <f>PROPER(TEXT(BBDD_fashion_boutique[[#This Row],[purchase_date]],"mmmm"))</f>
        <v>Agosto</v>
      </c>
      <c r="P1251" s="4">
        <v>11</v>
      </c>
      <c r="Q1251" s="2">
        <v>2</v>
      </c>
      <c r="R1251" t="str">
        <f>IF(BBDD_fashion_boutique[[#This Row],[stock_quantity]]&gt;9,"Ok",IF(BBDD_fashion_boutique[[#This Row],[stock_quantity]]=0,"Agotado","Pocas Unidades"))</f>
        <v>Ok</v>
      </c>
      <c r="S1251" s="3">
        <f>IF(BBDD_fashion_boutique[[#This Row],[customer_rating]]="","No valorado",BBDD_fashion_boutique[[#This Row],[customer_rating]])</f>
        <v>2</v>
      </c>
      <c r="T1251" t="s">
        <v>24</v>
      </c>
      <c r="V1251">
        <f>IF(BBDD_fashion_boutique[[#This Row],[is_returned]]="False",0,1)</f>
        <v>0</v>
      </c>
      <c r="W1251">
        <f>IF(BBDD_fashion_boutique[[#This Row],[is_returned]]="True",0,BBDD_fashion_boutique[[#This Row],[current_price]])</f>
        <v>160.27000000000001</v>
      </c>
      <c r="X1251" t="str">
        <f>IF(BBDD_fashion_boutique[[#This Row],[return_reason]]="","No return",BBDD_fashion_boutique[[#This Row],[return_reason]])</f>
        <v>No return</v>
      </c>
      <c r="Y1251">
        <f>IF(IFERROR(VLOOKUP(BBDD_fashion_boutique[[#This Row],[product_id]],A1252:A3427,1,FALSE),0),1,0)</f>
        <v>0</v>
      </c>
    </row>
    <row r="1252" spans="1:25" x14ac:dyDescent="0.3">
      <c r="A1252" t="s">
        <v>1311</v>
      </c>
      <c r="B1252" t="s">
        <v>35</v>
      </c>
      <c r="C1252" t="s">
        <v>49</v>
      </c>
      <c r="D1252" t="s">
        <v>28</v>
      </c>
      <c r="E1252" t="s">
        <v>64</v>
      </c>
      <c r="F1252" t="str">
        <f>IF(BBDD_fashion_boutique[[#This Row],[category]]="Accessories","Accesorio",IF(BBDD_fashion_boutique[[#This Row],[size]]="","Desconocido",BBDD_fashion_boutique[[#This Row],[size]]))</f>
        <v>M</v>
      </c>
      <c r="G1252" t="s">
        <v>46</v>
      </c>
      <c r="H1252" s="2">
        <v>169.87</v>
      </c>
      <c r="I1252">
        <v>8.8000000000000007</v>
      </c>
      <c r="J1252" s="5">
        <f>BBDD_fashion_boutique[[#This Row],[markdown_percentage]]/100</f>
        <v>8.8000000000000009E-2</v>
      </c>
      <c r="K1252" s="2">
        <v>154.91999999999999</v>
      </c>
      <c r="L1252" s="2">
        <f>BBDD_fashion_boutique[[#This Row],[original_price]]-BBDD_fashion_boutique[[#This Row],[current_price]]</f>
        <v>14.950000000000017</v>
      </c>
      <c r="M1252" s="1">
        <v>45875</v>
      </c>
      <c r="N1252" s="1" t="str">
        <f>PROPER(TEXT(BBDD_fashion_boutique[[#This Row],[purchase_date]],"dddd"))</f>
        <v>Miércoles</v>
      </c>
      <c r="O1252" s="1" t="str">
        <f>PROPER(TEXT(BBDD_fashion_boutique[[#This Row],[purchase_date]],"mmmm"))</f>
        <v>Agosto</v>
      </c>
      <c r="P1252" s="4">
        <v>36</v>
      </c>
      <c r="Q1252" s="2">
        <v>2.1</v>
      </c>
      <c r="R1252" t="str">
        <f>IF(BBDD_fashion_boutique[[#This Row],[stock_quantity]]&gt;9,"Ok",IF(BBDD_fashion_boutique[[#This Row],[stock_quantity]]=0,"Agotado","Pocas Unidades"))</f>
        <v>Ok</v>
      </c>
      <c r="S1252" s="3">
        <f>IF(BBDD_fashion_boutique[[#This Row],[customer_rating]]="","No valorado",BBDD_fashion_boutique[[#This Row],[customer_rating]])</f>
        <v>2.1</v>
      </c>
      <c r="T1252" t="s">
        <v>24</v>
      </c>
      <c r="V1252">
        <f>IF(BBDD_fashion_boutique[[#This Row],[is_returned]]="False",0,1)</f>
        <v>0</v>
      </c>
      <c r="W1252">
        <f>IF(BBDD_fashion_boutique[[#This Row],[is_returned]]="True",0,BBDD_fashion_boutique[[#This Row],[current_price]])</f>
        <v>154.91999999999999</v>
      </c>
      <c r="X1252" t="str">
        <f>IF(BBDD_fashion_boutique[[#This Row],[return_reason]]="","No return",BBDD_fashion_boutique[[#This Row],[return_reason]])</f>
        <v>No return</v>
      </c>
      <c r="Y1252">
        <f>IF(IFERROR(VLOOKUP(BBDD_fashion_boutique[[#This Row],[product_id]],A1253:A3428,1,FALSE),0),1,0)</f>
        <v>0</v>
      </c>
    </row>
    <row r="1253" spans="1:25" x14ac:dyDescent="0.3">
      <c r="A1253" t="s">
        <v>1312</v>
      </c>
      <c r="B1253" t="s">
        <v>35</v>
      </c>
      <c r="C1253" t="s">
        <v>59</v>
      </c>
      <c r="D1253" t="s">
        <v>68</v>
      </c>
      <c r="F1253" t="str">
        <f>IF(BBDD_fashion_boutique[[#This Row],[category]]="Accessories","Accesorio",IF(BBDD_fashion_boutique[[#This Row],[size]]="","Desconocido",BBDD_fashion_boutique[[#This Row],[size]]))</f>
        <v>Desconocido</v>
      </c>
      <c r="G1253" t="s">
        <v>46</v>
      </c>
      <c r="H1253" s="2">
        <v>137.33000000000001</v>
      </c>
      <c r="I1253">
        <v>0</v>
      </c>
      <c r="J1253" s="5">
        <f>BBDD_fashion_boutique[[#This Row],[markdown_percentage]]/100</f>
        <v>0</v>
      </c>
      <c r="K1253" s="2">
        <v>137.33000000000001</v>
      </c>
      <c r="L1253" s="2">
        <f>BBDD_fashion_boutique[[#This Row],[original_price]]-BBDD_fashion_boutique[[#This Row],[current_price]]</f>
        <v>0</v>
      </c>
      <c r="M1253" s="1">
        <v>45875</v>
      </c>
      <c r="N1253" s="1" t="str">
        <f>PROPER(TEXT(BBDD_fashion_boutique[[#This Row],[purchase_date]],"dddd"))</f>
        <v>Miércoles</v>
      </c>
      <c r="O1253" s="1" t="str">
        <f>PROPER(TEXT(BBDD_fashion_boutique[[#This Row],[purchase_date]],"mmmm"))</f>
        <v>Agosto</v>
      </c>
      <c r="P1253" s="4">
        <v>35</v>
      </c>
      <c r="Q1253" s="2">
        <v>4.5999999999999996</v>
      </c>
      <c r="R1253" t="str">
        <f>IF(BBDD_fashion_boutique[[#This Row],[stock_quantity]]&gt;9,"Ok",IF(BBDD_fashion_boutique[[#This Row],[stock_quantity]]=0,"Agotado","Pocas Unidades"))</f>
        <v>Ok</v>
      </c>
      <c r="S1253" s="3">
        <f>IF(BBDD_fashion_boutique[[#This Row],[customer_rating]]="","No valorado",BBDD_fashion_boutique[[#This Row],[customer_rating]])</f>
        <v>4.5999999999999996</v>
      </c>
      <c r="T1253" t="s">
        <v>24</v>
      </c>
      <c r="V1253">
        <f>IF(BBDD_fashion_boutique[[#This Row],[is_returned]]="False",0,1)</f>
        <v>0</v>
      </c>
      <c r="W1253">
        <f>IF(BBDD_fashion_boutique[[#This Row],[is_returned]]="True",0,BBDD_fashion_boutique[[#This Row],[current_price]])</f>
        <v>137.33000000000001</v>
      </c>
      <c r="X1253" t="str">
        <f>IF(BBDD_fashion_boutique[[#This Row],[return_reason]]="","No return",BBDD_fashion_boutique[[#This Row],[return_reason]])</f>
        <v>No return</v>
      </c>
      <c r="Y1253">
        <f>IF(IFERROR(VLOOKUP(BBDD_fashion_boutique[[#This Row],[product_id]],A1254:A3429,1,FALSE),0),1,0)</f>
        <v>0</v>
      </c>
    </row>
    <row r="1254" spans="1:25" x14ac:dyDescent="0.3">
      <c r="A1254" t="s">
        <v>1313</v>
      </c>
      <c r="B1254" t="s">
        <v>44</v>
      </c>
      <c r="C1254" t="s">
        <v>81</v>
      </c>
      <c r="D1254" t="s">
        <v>68</v>
      </c>
      <c r="E1254" t="s">
        <v>55</v>
      </c>
      <c r="F1254" t="str">
        <f>IF(BBDD_fashion_boutique[[#This Row],[category]]="Accessories","Accesorio",IF(BBDD_fashion_boutique[[#This Row],[size]]="","Desconocido",BBDD_fashion_boutique[[#This Row],[size]]))</f>
        <v>XXL</v>
      </c>
      <c r="G1254" t="s">
        <v>23</v>
      </c>
      <c r="H1254" s="2">
        <v>38.18</v>
      </c>
      <c r="I1254">
        <v>0</v>
      </c>
      <c r="J1254" s="5">
        <f>BBDD_fashion_boutique[[#This Row],[markdown_percentage]]/100</f>
        <v>0</v>
      </c>
      <c r="K1254" s="2">
        <v>38.18</v>
      </c>
      <c r="L1254" s="2">
        <f>BBDD_fashion_boutique[[#This Row],[original_price]]-BBDD_fashion_boutique[[#This Row],[current_price]]</f>
        <v>0</v>
      </c>
      <c r="M1254" s="1">
        <v>45875</v>
      </c>
      <c r="N1254" s="1" t="str">
        <f>PROPER(TEXT(BBDD_fashion_boutique[[#This Row],[purchase_date]],"dddd"))</f>
        <v>Miércoles</v>
      </c>
      <c r="O1254" s="1" t="str">
        <f>PROPER(TEXT(BBDD_fashion_boutique[[#This Row],[purchase_date]],"mmmm"))</f>
        <v>Agosto</v>
      </c>
      <c r="P1254" s="4">
        <v>38</v>
      </c>
      <c r="R1254" t="str">
        <f>IF(BBDD_fashion_boutique[[#This Row],[stock_quantity]]&gt;9,"Ok",IF(BBDD_fashion_boutique[[#This Row],[stock_quantity]]=0,"Agotado","Pocas Unidades"))</f>
        <v>Ok</v>
      </c>
      <c r="S1254" s="3" t="str">
        <f>IF(BBDD_fashion_boutique[[#This Row],[customer_rating]]="","No valorado",BBDD_fashion_boutique[[#This Row],[customer_rating]])</f>
        <v>No valorado</v>
      </c>
      <c r="T1254" t="s">
        <v>24</v>
      </c>
      <c r="V1254">
        <f>IF(BBDD_fashion_boutique[[#This Row],[is_returned]]="False",0,1)</f>
        <v>0</v>
      </c>
      <c r="W1254">
        <f>IF(BBDD_fashion_boutique[[#This Row],[is_returned]]="True",0,BBDD_fashion_boutique[[#This Row],[current_price]])</f>
        <v>38.18</v>
      </c>
      <c r="X1254" t="str">
        <f>IF(BBDD_fashion_boutique[[#This Row],[return_reason]]="","No return",BBDD_fashion_boutique[[#This Row],[return_reason]])</f>
        <v>No return</v>
      </c>
      <c r="Y1254">
        <f>IF(IFERROR(VLOOKUP(BBDD_fashion_boutique[[#This Row],[product_id]],A1255:A3430,1,FALSE),0),1,0)</f>
        <v>0</v>
      </c>
    </row>
    <row r="1255" spans="1:25" x14ac:dyDescent="0.3">
      <c r="A1255" t="s">
        <v>1314</v>
      </c>
      <c r="B1255" t="s">
        <v>26</v>
      </c>
      <c r="C1255" t="s">
        <v>20</v>
      </c>
      <c r="D1255" t="s">
        <v>68</v>
      </c>
      <c r="E1255" t="s">
        <v>55</v>
      </c>
      <c r="F1255" t="str">
        <f>IF(BBDD_fashion_boutique[[#This Row],[category]]="Accessories","Accesorio",IF(BBDD_fashion_boutique[[#This Row],[size]]="","Desconocido",BBDD_fashion_boutique[[#This Row],[size]]))</f>
        <v>XXL</v>
      </c>
      <c r="G1255" t="s">
        <v>50</v>
      </c>
      <c r="H1255" s="2">
        <v>40.619999999999997</v>
      </c>
      <c r="I1255">
        <v>20.100000000000001</v>
      </c>
      <c r="J1255" s="5">
        <f>BBDD_fashion_boutique[[#This Row],[markdown_percentage]]/100</f>
        <v>0.20100000000000001</v>
      </c>
      <c r="K1255" s="2">
        <v>32.46</v>
      </c>
      <c r="L1255" s="2">
        <f>BBDD_fashion_boutique[[#This Row],[original_price]]-BBDD_fashion_boutique[[#This Row],[current_price]]</f>
        <v>8.1599999999999966</v>
      </c>
      <c r="M1255" s="1">
        <v>45875</v>
      </c>
      <c r="N1255" s="1" t="str">
        <f>PROPER(TEXT(BBDD_fashion_boutique[[#This Row],[purchase_date]],"dddd"))</f>
        <v>Miércoles</v>
      </c>
      <c r="O1255" s="1" t="str">
        <f>PROPER(TEXT(BBDD_fashion_boutique[[#This Row],[purchase_date]],"mmmm"))</f>
        <v>Agosto</v>
      </c>
      <c r="P1255" s="4">
        <v>7</v>
      </c>
      <c r="R1255" t="str">
        <f>IF(BBDD_fashion_boutique[[#This Row],[stock_quantity]]&gt;9,"Ok",IF(BBDD_fashion_boutique[[#This Row],[stock_quantity]]=0,"Agotado","Pocas Unidades"))</f>
        <v>Pocas Unidades</v>
      </c>
      <c r="S1255" s="3" t="str">
        <f>IF(BBDD_fashion_boutique[[#This Row],[customer_rating]]="","No valorado",BBDD_fashion_boutique[[#This Row],[customer_rating]])</f>
        <v>No valorado</v>
      </c>
      <c r="T1255" t="s">
        <v>24</v>
      </c>
      <c r="V1255">
        <f>IF(BBDD_fashion_boutique[[#This Row],[is_returned]]="False",0,1)</f>
        <v>0</v>
      </c>
      <c r="W1255">
        <f>IF(BBDD_fashion_boutique[[#This Row],[is_returned]]="True",0,BBDD_fashion_boutique[[#This Row],[current_price]])</f>
        <v>32.46</v>
      </c>
      <c r="X1255" t="str">
        <f>IF(BBDD_fashion_boutique[[#This Row],[return_reason]]="","No return",BBDD_fashion_boutique[[#This Row],[return_reason]])</f>
        <v>No return</v>
      </c>
      <c r="Y1255">
        <f>IF(IFERROR(VLOOKUP(BBDD_fashion_boutique[[#This Row],[product_id]],A1256:A3431,1,FALSE),0),1,0)</f>
        <v>0</v>
      </c>
    </row>
    <row r="1256" spans="1:25" x14ac:dyDescent="0.3">
      <c r="A1256" t="s">
        <v>1315</v>
      </c>
      <c r="B1256" t="s">
        <v>44</v>
      </c>
      <c r="C1256" t="s">
        <v>54</v>
      </c>
      <c r="D1256" t="s">
        <v>28</v>
      </c>
      <c r="E1256" t="s">
        <v>61</v>
      </c>
      <c r="F1256" t="str">
        <f>IF(BBDD_fashion_boutique[[#This Row],[category]]="Accessories","Accesorio",IF(BBDD_fashion_boutique[[#This Row],[size]]="","Desconocido",BBDD_fashion_boutique[[#This Row],[size]]))</f>
        <v>XS</v>
      </c>
      <c r="G1256" t="s">
        <v>33</v>
      </c>
      <c r="H1256" s="2">
        <v>56.4</v>
      </c>
      <c r="I1256">
        <v>23.3</v>
      </c>
      <c r="J1256" s="5">
        <f>BBDD_fashion_boutique[[#This Row],[markdown_percentage]]/100</f>
        <v>0.23300000000000001</v>
      </c>
      <c r="K1256" s="2">
        <v>43.26</v>
      </c>
      <c r="L1256" s="2">
        <f>BBDD_fashion_boutique[[#This Row],[original_price]]-BBDD_fashion_boutique[[#This Row],[current_price]]</f>
        <v>13.14</v>
      </c>
      <c r="M1256" s="1">
        <v>45875</v>
      </c>
      <c r="N1256" s="1" t="str">
        <f>PROPER(TEXT(BBDD_fashion_boutique[[#This Row],[purchase_date]],"dddd"))</f>
        <v>Miércoles</v>
      </c>
      <c r="O1256" s="1" t="str">
        <f>PROPER(TEXT(BBDD_fashion_boutique[[#This Row],[purchase_date]],"mmmm"))</f>
        <v>Agosto</v>
      </c>
      <c r="P1256" s="4">
        <v>35</v>
      </c>
      <c r="R1256" t="str">
        <f>IF(BBDD_fashion_boutique[[#This Row],[stock_quantity]]&gt;9,"Ok",IF(BBDD_fashion_boutique[[#This Row],[stock_quantity]]=0,"Agotado","Pocas Unidades"))</f>
        <v>Ok</v>
      </c>
      <c r="S1256" s="3" t="str">
        <f>IF(BBDD_fashion_boutique[[#This Row],[customer_rating]]="","No valorado",BBDD_fashion_boutique[[#This Row],[customer_rating]])</f>
        <v>No valorado</v>
      </c>
      <c r="T1256" t="s">
        <v>24</v>
      </c>
      <c r="V1256">
        <f>IF(BBDD_fashion_boutique[[#This Row],[is_returned]]="False",0,1)</f>
        <v>0</v>
      </c>
      <c r="W1256">
        <f>IF(BBDD_fashion_boutique[[#This Row],[is_returned]]="True",0,BBDD_fashion_boutique[[#This Row],[current_price]])</f>
        <v>43.26</v>
      </c>
      <c r="X1256" t="str">
        <f>IF(BBDD_fashion_boutique[[#This Row],[return_reason]]="","No return",BBDD_fashion_boutique[[#This Row],[return_reason]])</f>
        <v>No return</v>
      </c>
      <c r="Y1256">
        <f>IF(IFERROR(VLOOKUP(BBDD_fashion_boutique[[#This Row],[product_id]],A1257:A3432,1,FALSE),0),1,0)</f>
        <v>0</v>
      </c>
    </row>
    <row r="1257" spans="1:25" x14ac:dyDescent="0.3">
      <c r="A1257" t="s">
        <v>1316</v>
      </c>
      <c r="B1257" t="s">
        <v>32</v>
      </c>
      <c r="C1257" t="s">
        <v>81</v>
      </c>
      <c r="D1257" t="s">
        <v>68</v>
      </c>
      <c r="F1257" t="str">
        <f>IF(BBDD_fashion_boutique[[#This Row],[category]]="Accessories","Accesorio",IF(BBDD_fashion_boutique[[#This Row],[size]]="","Desconocido",BBDD_fashion_boutique[[#This Row],[size]]))</f>
        <v>Accesorio</v>
      </c>
      <c r="G1257" t="s">
        <v>52</v>
      </c>
      <c r="H1257" s="2">
        <v>19.559999999999999</v>
      </c>
      <c r="I1257">
        <v>0</v>
      </c>
      <c r="J1257" s="5">
        <f>BBDD_fashion_boutique[[#This Row],[markdown_percentage]]/100</f>
        <v>0</v>
      </c>
      <c r="K1257" s="2">
        <v>19.559999999999999</v>
      </c>
      <c r="L1257" s="2">
        <f>BBDD_fashion_boutique[[#This Row],[original_price]]-BBDD_fashion_boutique[[#This Row],[current_price]]</f>
        <v>0</v>
      </c>
      <c r="M1257" s="1">
        <v>45875</v>
      </c>
      <c r="N1257" s="1" t="str">
        <f>PROPER(TEXT(BBDD_fashion_boutique[[#This Row],[purchase_date]],"dddd"))</f>
        <v>Miércoles</v>
      </c>
      <c r="O1257" s="1" t="str">
        <f>PROPER(TEXT(BBDD_fashion_boutique[[#This Row],[purchase_date]],"mmmm"))</f>
        <v>Agosto</v>
      </c>
      <c r="P1257" s="4">
        <v>13</v>
      </c>
      <c r="Q1257" s="2">
        <v>3.1</v>
      </c>
      <c r="R1257" t="str">
        <f>IF(BBDD_fashion_boutique[[#This Row],[stock_quantity]]&gt;9,"Ok",IF(BBDD_fashion_boutique[[#This Row],[stock_quantity]]=0,"Agotado","Pocas Unidades"))</f>
        <v>Ok</v>
      </c>
      <c r="S1257" s="3">
        <f>IF(BBDD_fashion_boutique[[#This Row],[customer_rating]]="","No valorado",BBDD_fashion_boutique[[#This Row],[customer_rating]])</f>
        <v>3.1</v>
      </c>
      <c r="T1257" t="s">
        <v>24</v>
      </c>
      <c r="V1257">
        <f>IF(BBDD_fashion_boutique[[#This Row],[is_returned]]="False",0,1)</f>
        <v>0</v>
      </c>
      <c r="W1257">
        <f>IF(BBDD_fashion_boutique[[#This Row],[is_returned]]="True",0,BBDD_fashion_boutique[[#This Row],[current_price]])</f>
        <v>19.559999999999999</v>
      </c>
      <c r="X1257" t="str">
        <f>IF(BBDD_fashion_boutique[[#This Row],[return_reason]]="","No return",BBDD_fashion_boutique[[#This Row],[return_reason]])</f>
        <v>No return</v>
      </c>
      <c r="Y1257">
        <f>IF(IFERROR(VLOOKUP(BBDD_fashion_boutique[[#This Row],[product_id]],A1258:A3433,1,FALSE),0),1,0)</f>
        <v>0</v>
      </c>
    </row>
    <row r="1258" spans="1:25" x14ac:dyDescent="0.3">
      <c r="A1258" t="s">
        <v>1317</v>
      </c>
      <c r="B1258" t="s">
        <v>35</v>
      </c>
      <c r="C1258" t="s">
        <v>54</v>
      </c>
      <c r="D1258" t="s">
        <v>28</v>
      </c>
      <c r="E1258" t="s">
        <v>29</v>
      </c>
      <c r="F1258" t="str">
        <f>IF(BBDD_fashion_boutique[[#This Row],[category]]="Accessories","Accesorio",IF(BBDD_fashion_boutique[[#This Row],[size]]="","Desconocido",BBDD_fashion_boutique[[#This Row],[size]]))</f>
        <v>L</v>
      </c>
      <c r="G1258" t="s">
        <v>40</v>
      </c>
      <c r="H1258" s="2">
        <v>155.66</v>
      </c>
      <c r="I1258">
        <v>0</v>
      </c>
      <c r="J1258" s="5">
        <f>BBDD_fashion_boutique[[#This Row],[markdown_percentage]]/100</f>
        <v>0</v>
      </c>
      <c r="K1258" s="2">
        <v>155.66</v>
      </c>
      <c r="L1258" s="2">
        <f>BBDD_fashion_boutique[[#This Row],[original_price]]-BBDD_fashion_boutique[[#This Row],[current_price]]</f>
        <v>0</v>
      </c>
      <c r="M1258" s="1">
        <v>45875</v>
      </c>
      <c r="N1258" s="1" t="str">
        <f>PROPER(TEXT(BBDD_fashion_boutique[[#This Row],[purchase_date]],"dddd"))</f>
        <v>Miércoles</v>
      </c>
      <c r="O1258" s="1" t="str">
        <f>PROPER(TEXT(BBDD_fashion_boutique[[#This Row],[purchase_date]],"mmmm"))</f>
        <v>Agosto</v>
      </c>
      <c r="P1258" s="4">
        <v>3</v>
      </c>
      <c r="Q1258" s="2">
        <v>4</v>
      </c>
      <c r="R1258" t="str">
        <f>IF(BBDD_fashion_boutique[[#This Row],[stock_quantity]]&gt;9,"Ok",IF(BBDD_fashion_boutique[[#This Row],[stock_quantity]]=0,"Agotado","Pocas Unidades"))</f>
        <v>Pocas Unidades</v>
      </c>
      <c r="S1258" s="3">
        <f>IF(BBDD_fashion_boutique[[#This Row],[customer_rating]]="","No valorado",BBDD_fashion_boutique[[#This Row],[customer_rating]])</f>
        <v>4</v>
      </c>
      <c r="T1258" t="s">
        <v>24</v>
      </c>
      <c r="V1258">
        <f>IF(BBDD_fashion_boutique[[#This Row],[is_returned]]="False",0,1)</f>
        <v>0</v>
      </c>
      <c r="W1258">
        <f>IF(BBDD_fashion_boutique[[#This Row],[is_returned]]="True",0,BBDD_fashion_boutique[[#This Row],[current_price]])</f>
        <v>155.66</v>
      </c>
      <c r="X1258" t="str">
        <f>IF(BBDD_fashion_boutique[[#This Row],[return_reason]]="","No return",BBDD_fashion_boutique[[#This Row],[return_reason]])</f>
        <v>No return</v>
      </c>
      <c r="Y1258">
        <f>IF(IFERROR(VLOOKUP(BBDD_fashion_boutique[[#This Row],[product_id]],A1259:A3434,1,FALSE),0),1,0)</f>
        <v>0</v>
      </c>
    </row>
    <row r="1259" spans="1:25" x14ac:dyDescent="0.3">
      <c r="A1259" t="s">
        <v>1318</v>
      </c>
      <c r="B1259" t="s">
        <v>26</v>
      </c>
      <c r="C1259" t="s">
        <v>20</v>
      </c>
      <c r="D1259" t="s">
        <v>68</v>
      </c>
      <c r="E1259" t="s">
        <v>45</v>
      </c>
      <c r="F1259" t="str">
        <f>IF(BBDD_fashion_boutique[[#This Row],[category]]="Accessories","Accesorio",IF(BBDD_fashion_boutique[[#This Row],[size]]="","Desconocido",BBDD_fashion_boutique[[#This Row],[size]]))</f>
        <v>S</v>
      </c>
      <c r="G1259" t="s">
        <v>72</v>
      </c>
      <c r="H1259" s="2">
        <v>106.2</v>
      </c>
      <c r="I1259">
        <v>0</v>
      </c>
      <c r="J1259" s="5">
        <f>BBDD_fashion_boutique[[#This Row],[markdown_percentage]]/100</f>
        <v>0</v>
      </c>
      <c r="K1259" s="2">
        <v>106.2</v>
      </c>
      <c r="L1259" s="2">
        <f>BBDD_fashion_boutique[[#This Row],[original_price]]-BBDD_fashion_boutique[[#This Row],[current_price]]</f>
        <v>0</v>
      </c>
      <c r="M1259" s="1">
        <v>45875</v>
      </c>
      <c r="N1259" s="1" t="str">
        <f>PROPER(TEXT(BBDD_fashion_boutique[[#This Row],[purchase_date]],"dddd"))</f>
        <v>Miércoles</v>
      </c>
      <c r="O1259" s="1" t="str">
        <f>PROPER(TEXT(BBDD_fashion_boutique[[#This Row],[purchase_date]],"mmmm"))</f>
        <v>Agosto</v>
      </c>
      <c r="P1259" s="4">
        <v>10</v>
      </c>
      <c r="Q1259" s="2">
        <v>1.1000000000000001</v>
      </c>
      <c r="R1259" t="str">
        <f>IF(BBDD_fashion_boutique[[#This Row],[stock_quantity]]&gt;9,"Ok",IF(BBDD_fashion_boutique[[#This Row],[stock_quantity]]=0,"Agotado","Pocas Unidades"))</f>
        <v>Ok</v>
      </c>
      <c r="S1259" s="3">
        <f>IF(BBDD_fashion_boutique[[#This Row],[customer_rating]]="","No valorado",BBDD_fashion_boutique[[#This Row],[customer_rating]])</f>
        <v>1.1000000000000001</v>
      </c>
      <c r="T1259" t="s">
        <v>24</v>
      </c>
      <c r="V1259">
        <f>IF(BBDD_fashion_boutique[[#This Row],[is_returned]]="False",0,1)</f>
        <v>0</v>
      </c>
      <c r="W1259">
        <f>IF(BBDD_fashion_boutique[[#This Row],[is_returned]]="True",0,BBDD_fashion_boutique[[#This Row],[current_price]])</f>
        <v>106.2</v>
      </c>
      <c r="X1259" t="str">
        <f>IF(BBDD_fashion_boutique[[#This Row],[return_reason]]="","No return",BBDD_fashion_boutique[[#This Row],[return_reason]])</f>
        <v>No return</v>
      </c>
      <c r="Y1259">
        <f>IF(IFERROR(VLOOKUP(BBDD_fashion_boutique[[#This Row],[product_id]],A1260:A3435,1,FALSE),0),1,0)</f>
        <v>0</v>
      </c>
    </row>
    <row r="1260" spans="1:25" x14ac:dyDescent="0.3">
      <c r="A1260" t="s">
        <v>1319</v>
      </c>
      <c r="B1260" t="s">
        <v>19</v>
      </c>
      <c r="C1260" t="s">
        <v>59</v>
      </c>
      <c r="D1260" t="s">
        <v>39</v>
      </c>
      <c r="E1260" t="s">
        <v>55</v>
      </c>
      <c r="F1260" t="str">
        <f>IF(BBDD_fashion_boutique[[#This Row],[category]]="Accessories","Accesorio",IF(BBDD_fashion_boutique[[#This Row],[size]]="","Desconocido",BBDD_fashion_boutique[[#This Row],[size]]))</f>
        <v>XXL</v>
      </c>
      <c r="G1260" t="s">
        <v>70</v>
      </c>
      <c r="H1260" s="2">
        <v>158.31</v>
      </c>
      <c r="I1260">
        <v>0</v>
      </c>
      <c r="J1260" s="5">
        <f>BBDD_fashion_boutique[[#This Row],[markdown_percentage]]/100</f>
        <v>0</v>
      </c>
      <c r="K1260" s="2">
        <v>158.31</v>
      </c>
      <c r="L1260" s="2">
        <f>BBDD_fashion_boutique[[#This Row],[original_price]]-BBDD_fashion_boutique[[#This Row],[current_price]]</f>
        <v>0</v>
      </c>
      <c r="M1260" s="1">
        <v>45875</v>
      </c>
      <c r="N1260" s="1" t="str">
        <f>PROPER(TEXT(BBDD_fashion_boutique[[#This Row],[purchase_date]],"dddd"))</f>
        <v>Miércoles</v>
      </c>
      <c r="O1260" s="1" t="str">
        <f>PROPER(TEXT(BBDD_fashion_boutique[[#This Row],[purchase_date]],"mmmm"))</f>
        <v>Agosto</v>
      </c>
      <c r="P1260" s="4">
        <v>7</v>
      </c>
      <c r="Q1260" s="2">
        <v>5</v>
      </c>
      <c r="R1260" t="str">
        <f>IF(BBDD_fashion_boutique[[#This Row],[stock_quantity]]&gt;9,"Ok",IF(BBDD_fashion_boutique[[#This Row],[stock_quantity]]=0,"Agotado","Pocas Unidades"))</f>
        <v>Pocas Unidades</v>
      </c>
      <c r="S1260" s="3">
        <f>IF(BBDD_fashion_boutique[[#This Row],[customer_rating]]="","No valorado",BBDD_fashion_boutique[[#This Row],[customer_rating]])</f>
        <v>5</v>
      </c>
      <c r="T1260" t="s">
        <v>24</v>
      </c>
      <c r="V1260">
        <f>IF(BBDD_fashion_boutique[[#This Row],[is_returned]]="False",0,1)</f>
        <v>0</v>
      </c>
      <c r="W1260">
        <f>IF(BBDD_fashion_boutique[[#This Row],[is_returned]]="True",0,BBDD_fashion_boutique[[#This Row],[current_price]])</f>
        <v>158.31</v>
      </c>
      <c r="X1260" t="str">
        <f>IF(BBDD_fashion_boutique[[#This Row],[return_reason]]="","No return",BBDD_fashion_boutique[[#This Row],[return_reason]])</f>
        <v>No return</v>
      </c>
      <c r="Y1260">
        <f>IF(IFERROR(VLOOKUP(BBDD_fashion_boutique[[#This Row],[product_id]],A1261:A3436,1,FALSE),0),1,0)</f>
        <v>0</v>
      </c>
    </row>
    <row r="1261" spans="1:25" x14ac:dyDescent="0.3">
      <c r="A1261" t="s">
        <v>1320</v>
      </c>
      <c r="B1261" t="s">
        <v>48</v>
      </c>
      <c r="C1261" t="s">
        <v>49</v>
      </c>
      <c r="D1261" t="s">
        <v>21</v>
      </c>
      <c r="E1261" t="s">
        <v>22</v>
      </c>
      <c r="F1261" t="str">
        <f>IF(BBDD_fashion_boutique[[#This Row],[category]]="Accessories","Accesorio",IF(BBDD_fashion_boutique[[#This Row],[size]]="","Desconocido",BBDD_fashion_boutique[[#This Row],[size]]))</f>
        <v>XL</v>
      </c>
      <c r="G1261" t="s">
        <v>30</v>
      </c>
      <c r="H1261" s="2">
        <v>102.3</v>
      </c>
      <c r="I1261">
        <v>42.2</v>
      </c>
      <c r="J1261" s="5">
        <f>BBDD_fashion_boutique[[#This Row],[markdown_percentage]]/100</f>
        <v>0.42200000000000004</v>
      </c>
      <c r="K1261" s="2">
        <v>59.13</v>
      </c>
      <c r="L1261" s="2">
        <f>BBDD_fashion_boutique[[#This Row],[original_price]]-BBDD_fashion_boutique[[#This Row],[current_price]]</f>
        <v>43.169999999999995</v>
      </c>
      <c r="M1261" s="1">
        <v>45807</v>
      </c>
      <c r="N1261" s="1" t="str">
        <f>PROPER(TEXT(BBDD_fashion_boutique[[#This Row],[purchase_date]],"dddd"))</f>
        <v>Viernes</v>
      </c>
      <c r="O1261" s="1" t="str">
        <f>PROPER(TEXT(BBDD_fashion_boutique[[#This Row],[purchase_date]],"mmmm"))</f>
        <v>Mayo</v>
      </c>
      <c r="P1261" s="4">
        <v>43</v>
      </c>
      <c r="Q1261" s="2">
        <v>1.3</v>
      </c>
      <c r="R1261" t="str">
        <f>IF(BBDD_fashion_boutique[[#This Row],[stock_quantity]]&gt;9,"Ok",IF(BBDD_fashion_boutique[[#This Row],[stock_quantity]]=0,"Agotado","Pocas Unidades"))</f>
        <v>Ok</v>
      </c>
      <c r="S1261" s="3">
        <f>IF(BBDD_fashion_boutique[[#This Row],[customer_rating]]="","No valorado",BBDD_fashion_boutique[[#This Row],[customer_rating]])</f>
        <v>1.3</v>
      </c>
      <c r="T1261" t="s">
        <v>24</v>
      </c>
      <c r="V1261">
        <f>IF(BBDD_fashion_boutique[[#This Row],[is_returned]]="False",0,1)</f>
        <v>0</v>
      </c>
      <c r="W1261">
        <f>IF(BBDD_fashion_boutique[[#This Row],[is_returned]]="True",0,BBDD_fashion_boutique[[#This Row],[current_price]])</f>
        <v>59.13</v>
      </c>
      <c r="X1261" t="str">
        <f>IF(BBDD_fashion_boutique[[#This Row],[return_reason]]="","No return",BBDD_fashion_boutique[[#This Row],[return_reason]])</f>
        <v>No return</v>
      </c>
      <c r="Y1261">
        <f>IF(IFERROR(VLOOKUP(BBDD_fashion_boutique[[#This Row],[product_id]],A1262:A3437,1,FALSE),0),1,0)</f>
        <v>0</v>
      </c>
    </row>
    <row r="1262" spans="1:25" x14ac:dyDescent="0.3">
      <c r="A1262" t="s">
        <v>1321</v>
      </c>
      <c r="B1262" t="s">
        <v>32</v>
      </c>
      <c r="C1262" t="s">
        <v>67</v>
      </c>
      <c r="D1262" t="s">
        <v>39</v>
      </c>
      <c r="F1262" t="str">
        <f>IF(BBDD_fashion_boutique[[#This Row],[category]]="Accessories","Accesorio",IF(BBDD_fashion_boutique[[#This Row],[size]]="","Desconocido",BBDD_fashion_boutique[[#This Row],[size]]))</f>
        <v>Accesorio</v>
      </c>
      <c r="G1262" t="s">
        <v>70</v>
      </c>
      <c r="H1262" s="2">
        <v>53.46</v>
      </c>
      <c r="I1262">
        <v>58</v>
      </c>
      <c r="J1262" s="5">
        <f>BBDD_fashion_boutique[[#This Row],[markdown_percentage]]/100</f>
        <v>0.57999999999999996</v>
      </c>
      <c r="K1262" s="2">
        <v>22.45</v>
      </c>
      <c r="L1262" s="2">
        <f>BBDD_fashion_boutique[[#This Row],[original_price]]-BBDD_fashion_boutique[[#This Row],[current_price]]</f>
        <v>31.01</v>
      </c>
      <c r="M1262" s="1">
        <v>45875</v>
      </c>
      <c r="N1262" s="1" t="str">
        <f>PROPER(TEXT(BBDD_fashion_boutique[[#This Row],[purchase_date]],"dddd"))</f>
        <v>Miércoles</v>
      </c>
      <c r="O1262" s="1" t="str">
        <f>PROPER(TEXT(BBDD_fashion_boutique[[#This Row],[purchase_date]],"mmmm"))</f>
        <v>Agosto</v>
      </c>
      <c r="P1262" s="4">
        <v>6</v>
      </c>
      <c r="Q1262" s="2">
        <v>4.2</v>
      </c>
      <c r="R1262" t="str">
        <f>IF(BBDD_fashion_boutique[[#This Row],[stock_quantity]]&gt;9,"Ok",IF(BBDD_fashion_boutique[[#This Row],[stock_quantity]]=0,"Agotado","Pocas Unidades"))</f>
        <v>Pocas Unidades</v>
      </c>
      <c r="S1262" s="3">
        <f>IF(BBDD_fashion_boutique[[#This Row],[customer_rating]]="","No valorado",BBDD_fashion_boutique[[#This Row],[customer_rating]])</f>
        <v>4.2</v>
      </c>
      <c r="T1262" t="s">
        <v>24</v>
      </c>
      <c r="V1262">
        <f>IF(BBDD_fashion_boutique[[#This Row],[is_returned]]="False",0,1)</f>
        <v>0</v>
      </c>
      <c r="W1262">
        <f>IF(BBDD_fashion_boutique[[#This Row],[is_returned]]="True",0,BBDD_fashion_boutique[[#This Row],[current_price]])</f>
        <v>22.45</v>
      </c>
      <c r="X1262" t="str">
        <f>IF(BBDD_fashion_boutique[[#This Row],[return_reason]]="","No return",BBDD_fashion_boutique[[#This Row],[return_reason]])</f>
        <v>No return</v>
      </c>
      <c r="Y1262">
        <f>IF(IFERROR(VLOOKUP(BBDD_fashion_boutique[[#This Row],[product_id]],A1263:A3438,1,FALSE),0),1,0)</f>
        <v>0</v>
      </c>
    </row>
    <row r="1263" spans="1:25" x14ac:dyDescent="0.3">
      <c r="A1263" t="s">
        <v>1322</v>
      </c>
      <c r="B1263" t="s">
        <v>48</v>
      </c>
      <c r="C1263" t="s">
        <v>27</v>
      </c>
      <c r="D1263" t="s">
        <v>68</v>
      </c>
      <c r="E1263" t="s">
        <v>61</v>
      </c>
      <c r="F1263" t="str">
        <f>IF(BBDD_fashion_boutique[[#This Row],[category]]="Accessories","Accesorio",IF(BBDD_fashion_boutique[[#This Row],[size]]="","Desconocido",BBDD_fashion_boutique[[#This Row],[size]]))</f>
        <v>XS</v>
      </c>
      <c r="G1263" t="s">
        <v>50</v>
      </c>
      <c r="H1263" s="2">
        <v>101.78</v>
      </c>
      <c r="I1263">
        <v>22.9</v>
      </c>
      <c r="J1263" s="5">
        <f>BBDD_fashion_boutique[[#This Row],[markdown_percentage]]/100</f>
        <v>0.22899999999999998</v>
      </c>
      <c r="K1263" s="2">
        <v>78.47</v>
      </c>
      <c r="L1263" s="2">
        <f>BBDD_fashion_boutique[[#This Row],[original_price]]-BBDD_fashion_boutique[[#This Row],[current_price]]</f>
        <v>23.310000000000002</v>
      </c>
      <c r="M1263" s="1">
        <v>45875</v>
      </c>
      <c r="N1263" s="1" t="str">
        <f>PROPER(TEXT(BBDD_fashion_boutique[[#This Row],[purchase_date]],"dddd"))</f>
        <v>Miércoles</v>
      </c>
      <c r="O1263" s="1" t="str">
        <f>PROPER(TEXT(BBDD_fashion_boutique[[#This Row],[purchase_date]],"mmmm"))</f>
        <v>Agosto</v>
      </c>
      <c r="P1263" s="4">
        <v>5</v>
      </c>
      <c r="Q1263" s="2">
        <v>1.2</v>
      </c>
      <c r="R1263" t="str">
        <f>IF(BBDD_fashion_boutique[[#This Row],[stock_quantity]]&gt;9,"Ok",IF(BBDD_fashion_boutique[[#This Row],[stock_quantity]]=0,"Agotado","Pocas Unidades"))</f>
        <v>Pocas Unidades</v>
      </c>
      <c r="S1263" s="3">
        <f>IF(BBDD_fashion_boutique[[#This Row],[customer_rating]]="","No valorado",BBDD_fashion_boutique[[#This Row],[customer_rating]])</f>
        <v>1.2</v>
      </c>
      <c r="T1263" t="s">
        <v>41</v>
      </c>
      <c r="U1263" t="s">
        <v>84</v>
      </c>
      <c r="V1263">
        <f>IF(BBDD_fashion_boutique[[#This Row],[is_returned]]="False",0,1)</f>
        <v>1</v>
      </c>
      <c r="W1263">
        <f>IF(BBDD_fashion_boutique[[#This Row],[is_returned]]="True",0,BBDD_fashion_boutique[[#This Row],[current_price]])</f>
        <v>0</v>
      </c>
      <c r="X1263" t="str">
        <f>IF(BBDD_fashion_boutique[[#This Row],[return_reason]]="","No return",BBDD_fashion_boutique[[#This Row],[return_reason]])</f>
        <v>Damaged</v>
      </c>
      <c r="Y1263">
        <f>IF(IFERROR(VLOOKUP(BBDD_fashion_boutique[[#This Row],[product_id]],A1264:A3439,1,FALSE),0),1,0)</f>
        <v>0</v>
      </c>
    </row>
    <row r="1264" spans="1:25" x14ac:dyDescent="0.3">
      <c r="A1264" t="s">
        <v>1323</v>
      </c>
      <c r="B1264" t="s">
        <v>19</v>
      </c>
      <c r="C1264" t="s">
        <v>37</v>
      </c>
      <c r="D1264" t="s">
        <v>68</v>
      </c>
      <c r="E1264" t="s">
        <v>64</v>
      </c>
      <c r="F1264" t="str">
        <f>IF(BBDD_fashion_boutique[[#This Row],[category]]="Accessories","Accesorio",IF(BBDD_fashion_boutique[[#This Row],[size]]="","Desconocido",BBDD_fashion_boutique[[#This Row],[size]]))</f>
        <v>M</v>
      </c>
      <c r="G1264" t="s">
        <v>46</v>
      </c>
      <c r="H1264" s="2">
        <v>112.28</v>
      </c>
      <c r="I1264">
        <v>0</v>
      </c>
      <c r="J1264" s="5">
        <f>BBDD_fashion_boutique[[#This Row],[markdown_percentage]]/100</f>
        <v>0</v>
      </c>
      <c r="K1264" s="2">
        <v>112.28</v>
      </c>
      <c r="L1264" s="2">
        <f>BBDD_fashion_boutique[[#This Row],[original_price]]-BBDD_fashion_boutique[[#This Row],[current_price]]</f>
        <v>0</v>
      </c>
      <c r="M1264" s="1">
        <v>45875</v>
      </c>
      <c r="N1264" s="1" t="str">
        <f>PROPER(TEXT(BBDD_fashion_boutique[[#This Row],[purchase_date]],"dddd"))</f>
        <v>Miércoles</v>
      </c>
      <c r="O1264" s="1" t="str">
        <f>PROPER(TEXT(BBDD_fashion_boutique[[#This Row],[purchase_date]],"mmmm"))</f>
        <v>Agosto</v>
      </c>
      <c r="P1264" s="4">
        <v>41</v>
      </c>
      <c r="Q1264" s="2">
        <v>4.0999999999999996</v>
      </c>
      <c r="R1264" t="str">
        <f>IF(BBDD_fashion_boutique[[#This Row],[stock_quantity]]&gt;9,"Ok",IF(BBDD_fashion_boutique[[#This Row],[stock_quantity]]=0,"Agotado","Pocas Unidades"))</f>
        <v>Ok</v>
      </c>
      <c r="S1264" s="3">
        <f>IF(BBDD_fashion_boutique[[#This Row],[customer_rating]]="","No valorado",BBDD_fashion_boutique[[#This Row],[customer_rating]])</f>
        <v>4.0999999999999996</v>
      </c>
      <c r="T1264" t="s">
        <v>24</v>
      </c>
      <c r="V1264">
        <f>IF(BBDD_fashion_boutique[[#This Row],[is_returned]]="False",0,1)</f>
        <v>0</v>
      </c>
      <c r="W1264">
        <f>IF(BBDD_fashion_boutique[[#This Row],[is_returned]]="True",0,BBDD_fashion_boutique[[#This Row],[current_price]])</f>
        <v>112.28</v>
      </c>
      <c r="X1264" t="str">
        <f>IF(BBDD_fashion_boutique[[#This Row],[return_reason]]="","No return",BBDD_fashion_boutique[[#This Row],[return_reason]])</f>
        <v>No return</v>
      </c>
      <c r="Y1264">
        <f>IF(IFERROR(VLOOKUP(BBDD_fashion_boutique[[#This Row],[product_id]],A1265:A3440,1,FALSE),0),1,0)</f>
        <v>0</v>
      </c>
    </row>
    <row r="1265" spans="1:25" x14ac:dyDescent="0.3">
      <c r="A1265" t="s">
        <v>1324</v>
      </c>
      <c r="B1265" t="s">
        <v>32</v>
      </c>
      <c r="C1265" t="s">
        <v>37</v>
      </c>
      <c r="D1265" t="s">
        <v>28</v>
      </c>
      <c r="F1265" t="str">
        <f>IF(BBDD_fashion_boutique[[#This Row],[category]]="Accessories","Accesorio",IF(BBDD_fashion_boutique[[#This Row],[size]]="","Desconocido",BBDD_fashion_boutique[[#This Row],[size]]))</f>
        <v>Accesorio</v>
      </c>
      <c r="G1265" t="s">
        <v>30</v>
      </c>
      <c r="H1265" s="2">
        <v>47.51</v>
      </c>
      <c r="I1265">
        <v>0</v>
      </c>
      <c r="J1265" s="5">
        <f>BBDD_fashion_boutique[[#This Row],[markdown_percentage]]/100</f>
        <v>0</v>
      </c>
      <c r="K1265" s="2">
        <v>47.51</v>
      </c>
      <c r="L1265" s="2">
        <f>BBDD_fashion_boutique[[#This Row],[original_price]]-BBDD_fashion_boutique[[#This Row],[current_price]]</f>
        <v>0</v>
      </c>
      <c r="M1265" s="1">
        <v>45875</v>
      </c>
      <c r="N1265" s="1" t="str">
        <f>PROPER(TEXT(BBDD_fashion_boutique[[#This Row],[purchase_date]],"dddd"))</f>
        <v>Miércoles</v>
      </c>
      <c r="O1265" s="1" t="str">
        <f>PROPER(TEXT(BBDD_fashion_boutique[[#This Row],[purchase_date]],"mmmm"))</f>
        <v>Agosto</v>
      </c>
      <c r="P1265" s="4">
        <v>39</v>
      </c>
      <c r="Q1265" s="2">
        <v>4.4000000000000004</v>
      </c>
      <c r="R1265" t="str">
        <f>IF(BBDD_fashion_boutique[[#This Row],[stock_quantity]]&gt;9,"Ok",IF(BBDD_fashion_boutique[[#This Row],[stock_quantity]]=0,"Agotado","Pocas Unidades"))</f>
        <v>Ok</v>
      </c>
      <c r="S1265" s="3">
        <f>IF(BBDD_fashion_boutique[[#This Row],[customer_rating]]="","No valorado",BBDD_fashion_boutique[[#This Row],[customer_rating]])</f>
        <v>4.4000000000000004</v>
      </c>
      <c r="T1265" t="s">
        <v>24</v>
      </c>
      <c r="V1265">
        <f>IF(BBDD_fashion_boutique[[#This Row],[is_returned]]="False",0,1)</f>
        <v>0</v>
      </c>
      <c r="W1265">
        <f>IF(BBDD_fashion_boutique[[#This Row],[is_returned]]="True",0,BBDD_fashion_boutique[[#This Row],[current_price]])</f>
        <v>47.51</v>
      </c>
      <c r="X1265" t="str">
        <f>IF(BBDD_fashion_boutique[[#This Row],[return_reason]]="","No return",BBDD_fashion_boutique[[#This Row],[return_reason]])</f>
        <v>No return</v>
      </c>
      <c r="Y1265">
        <f>IF(IFERROR(VLOOKUP(BBDD_fashion_boutique[[#This Row],[product_id]],A1266:A3441,1,FALSE),0),1,0)</f>
        <v>0</v>
      </c>
    </row>
    <row r="1266" spans="1:25" x14ac:dyDescent="0.3">
      <c r="A1266" t="s">
        <v>1325</v>
      </c>
      <c r="B1266" t="s">
        <v>26</v>
      </c>
      <c r="C1266" t="s">
        <v>27</v>
      </c>
      <c r="D1266" t="s">
        <v>28</v>
      </c>
      <c r="E1266" t="s">
        <v>55</v>
      </c>
      <c r="F1266" t="str">
        <f>IF(BBDD_fashion_boutique[[#This Row],[category]]="Accessories","Accesorio",IF(BBDD_fashion_boutique[[#This Row],[size]]="","Desconocido",BBDD_fashion_boutique[[#This Row],[size]]))</f>
        <v>XXL</v>
      </c>
      <c r="G1266" t="s">
        <v>62</v>
      </c>
      <c r="H1266" s="2">
        <v>80.39</v>
      </c>
      <c r="I1266">
        <v>0</v>
      </c>
      <c r="J1266" s="5">
        <f>BBDD_fashion_boutique[[#This Row],[markdown_percentage]]/100</f>
        <v>0</v>
      </c>
      <c r="K1266" s="2">
        <v>80.39</v>
      </c>
      <c r="L1266" s="2">
        <f>BBDD_fashion_boutique[[#This Row],[original_price]]-BBDD_fashion_boutique[[#This Row],[current_price]]</f>
        <v>0</v>
      </c>
      <c r="M1266" s="1">
        <v>45875</v>
      </c>
      <c r="N1266" s="1" t="str">
        <f>PROPER(TEXT(BBDD_fashion_boutique[[#This Row],[purchase_date]],"dddd"))</f>
        <v>Miércoles</v>
      </c>
      <c r="O1266" s="1" t="str">
        <f>PROPER(TEXT(BBDD_fashion_boutique[[#This Row],[purchase_date]],"mmmm"))</f>
        <v>Agosto</v>
      </c>
      <c r="P1266" s="4">
        <v>24</v>
      </c>
      <c r="R1266" t="str">
        <f>IF(BBDD_fashion_boutique[[#This Row],[stock_quantity]]&gt;9,"Ok",IF(BBDD_fashion_boutique[[#This Row],[stock_quantity]]=0,"Agotado","Pocas Unidades"))</f>
        <v>Ok</v>
      </c>
      <c r="S1266" s="3" t="str">
        <f>IF(BBDD_fashion_boutique[[#This Row],[customer_rating]]="","No valorado",BBDD_fashion_boutique[[#This Row],[customer_rating]])</f>
        <v>No valorado</v>
      </c>
      <c r="T1266" t="s">
        <v>24</v>
      </c>
      <c r="V1266">
        <f>IF(BBDD_fashion_boutique[[#This Row],[is_returned]]="False",0,1)</f>
        <v>0</v>
      </c>
      <c r="W1266">
        <f>IF(BBDD_fashion_boutique[[#This Row],[is_returned]]="True",0,BBDD_fashion_boutique[[#This Row],[current_price]])</f>
        <v>80.39</v>
      </c>
      <c r="X1266" t="str">
        <f>IF(BBDD_fashion_boutique[[#This Row],[return_reason]]="","No return",BBDD_fashion_boutique[[#This Row],[return_reason]])</f>
        <v>No return</v>
      </c>
      <c r="Y1266">
        <f>IF(IFERROR(VLOOKUP(BBDD_fashion_boutique[[#This Row],[product_id]],A1267:A3442,1,FALSE),0),1,0)</f>
        <v>0</v>
      </c>
    </row>
    <row r="1267" spans="1:25" x14ac:dyDescent="0.3">
      <c r="A1267" t="s">
        <v>1326</v>
      </c>
      <c r="B1267" t="s">
        <v>44</v>
      </c>
      <c r="C1267" t="s">
        <v>49</v>
      </c>
      <c r="D1267" t="s">
        <v>28</v>
      </c>
      <c r="E1267" t="s">
        <v>29</v>
      </c>
      <c r="F1267" t="str">
        <f>IF(BBDD_fashion_boutique[[#This Row],[category]]="Accessories","Accesorio",IF(BBDD_fashion_boutique[[#This Row],[size]]="","Desconocido",BBDD_fashion_boutique[[#This Row],[size]]))</f>
        <v>L</v>
      </c>
      <c r="G1267" t="s">
        <v>23</v>
      </c>
      <c r="H1267" s="2">
        <v>64.75</v>
      </c>
      <c r="I1267">
        <v>26.4</v>
      </c>
      <c r="J1267" s="5">
        <f>BBDD_fashion_boutique[[#This Row],[markdown_percentage]]/100</f>
        <v>0.26400000000000001</v>
      </c>
      <c r="K1267" s="2">
        <v>47.66</v>
      </c>
      <c r="L1267" s="2">
        <f>BBDD_fashion_boutique[[#This Row],[original_price]]-BBDD_fashion_boutique[[#This Row],[current_price]]</f>
        <v>17.090000000000003</v>
      </c>
      <c r="M1267" s="1">
        <v>45875</v>
      </c>
      <c r="N1267" s="1" t="str">
        <f>PROPER(TEXT(BBDD_fashion_boutique[[#This Row],[purchase_date]],"dddd"))</f>
        <v>Miércoles</v>
      </c>
      <c r="O1267" s="1" t="str">
        <f>PROPER(TEXT(BBDD_fashion_boutique[[#This Row],[purchase_date]],"mmmm"))</f>
        <v>Agosto</v>
      </c>
      <c r="P1267" s="4">
        <v>7</v>
      </c>
      <c r="Q1267" s="2">
        <v>2.9</v>
      </c>
      <c r="R1267" t="str">
        <f>IF(BBDD_fashion_boutique[[#This Row],[stock_quantity]]&gt;9,"Ok",IF(BBDD_fashion_boutique[[#This Row],[stock_quantity]]=0,"Agotado","Pocas Unidades"))</f>
        <v>Pocas Unidades</v>
      </c>
      <c r="S1267" s="3">
        <f>IF(BBDD_fashion_boutique[[#This Row],[customer_rating]]="","No valorado",BBDD_fashion_boutique[[#This Row],[customer_rating]])</f>
        <v>2.9</v>
      </c>
      <c r="T1267" t="s">
        <v>41</v>
      </c>
      <c r="U1267" t="s">
        <v>131</v>
      </c>
      <c r="V1267">
        <f>IF(BBDD_fashion_boutique[[#This Row],[is_returned]]="False",0,1)</f>
        <v>1</v>
      </c>
      <c r="W1267">
        <f>IF(BBDD_fashion_boutique[[#This Row],[is_returned]]="True",0,BBDD_fashion_boutique[[#This Row],[current_price]])</f>
        <v>0</v>
      </c>
      <c r="X1267" t="str">
        <f>IF(BBDD_fashion_boutique[[#This Row],[return_reason]]="","No return",BBDD_fashion_boutique[[#This Row],[return_reason]])</f>
        <v>Wrong Item</v>
      </c>
      <c r="Y1267">
        <f>IF(IFERROR(VLOOKUP(BBDD_fashion_boutique[[#This Row],[product_id]],A1268:A3443,1,FALSE),0),1,0)</f>
        <v>0</v>
      </c>
    </row>
    <row r="1268" spans="1:25" x14ac:dyDescent="0.3">
      <c r="A1268" t="s">
        <v>1327</v>
      </c>
      <c r="B1268" t="s">
        <v>19</v>
      </c>
      <c r="C1268" t="s">
        <v>20</v>
      </c>
      <c r="D1268" t="s">
        <v>28</v>
      </c>
      <c r="E1268" t="s">
        <v>29</v>
      </c>
      <c r="F1268" t="str">
        <f>IF(BBDD_fashion_boutique[[#This Row],[category]]="Accessories","Accesorio",IF(BBDD_fashion_boutique[[#This Row],[size]]="","Desconocido",BBDD_fashion_boutique[[#This Row],[size]]))</f>
        <v>L</v>
      </c>
      <c r="G1268" t="s">
        <v>23</v>
      </c>
      <c r="H1268" s="2">
        <v>129.86000000000001</v>
      </c>
      <c r="I1268">
        <v>0</v>
      </c>
      <c r="J1268" s="5">
        <f>BBDD_fashion_boutique[[#This Row],[markdown_percentage]]/100</f>
        <v>0</v>
      </c>
      <c r="K1268" s="2">
        <v>129.86000000000001</v>
      </c>
      <c r="L1268" s="2">
        <f>BBDD_fashion_boutique[[#This Row],[original_price]]-BBDD_fashion_boutique[[#This Row],[current_price]]</f>
        <v>0</v>
      </c>
      <c r="M1268" s="1">
        <v>45875</v>
      </c>
      <c r="N1268" s="1" t="str">
        <f>PROPER(TEXT(BBDD_fashion_boutique[[#This Row],[purchase_date]],"dddd"))</f>
        <v>Miércoles</v>
      </c>
      <c r="O1268" s="1" t="str">
        <f>PROPER(TEXT(BBDD_fashion_boutique[[#This Row],[purchase_date]],"mmmm"))</f>
        <v>Agosto</v>
      </c>
      <c r="P1268" s="4">
        <v>41</v>
      </c>
      <c r="Q1268" s="2">
        <v>1.7</v>
      </c>
      <c r="R1268" t="str">
        <f>IF(BBDD_fashion_boutique[[#This Row],[stock_quantity]]&gt;9,"Ok",IF(BBDD_fashion_boutique[[#This Row],[stock_quantity]]=0,"Agotado","Pocas Unidades"))</f>
        <v>Ok</v>
      </c>
      <c r="S1268" s="3">
        <f>IF(BBDD_fashion_boutique[[#This Row],[customer_rating]]="","No valorado",BBDD_fashion_boutique[[#This Row],[customer_rating]])</f>
        <v>1.7</v>
      </c>
      <c r="T1268" t="s">
        <v>24</v>
      </c>
      <c r="V1268">
        <f>IF(BBDD_fashion_boutique[[#This Row],[is_returned]]="False",0,1)</f>
        <v>0</v>
      </c>
      <c r="W1268">
        <f>IF(BBDD_fashion_boutique[[#This Row],[is_returned]]="True",0,BBDD_fashion_boutique[[#This Row],[current_price]])</f>
        <v>129.86000000000001</v>
      </c>
      <c r="X1268" t="str">
        <f>IF(BBDD_fashion_boutique[[#This Row],[return_reason]]="","No return",BBDD_fashion_boutique[[#This Row],[return_reason]])</f>
        <v>No return</v>
      </c>
      <c r="Y1268">
        <f>IF(IFERROR(VLOOKUP(BBDD_fashion_boutique[[#This Row],[product_id]],A1269:A3444,1,FALSE),0),1,0)</f>
        <v>0</v>
      </c>
    </row>
    <row r="1269" spans="1:25" x14ac:dyDescent="0.3">
      <c r="A1269" t="s">
        <v>1328</v>
      </c>
      <c r="B1269" t="s">
        <v>44</v>
      </c>
      <c r="C1269" t="s">
        <v>37</v>
      </c>
      <c r="D1269" t="s">
        <v>21</v>
      </c>
      <c r="E1269" t="s">
        <v>29</v>
      </c>
      <c r="F1269" t="str">
        <f>IF(BBDD_fashion_boutique[[#This Row],[category]]="Accessories","Accesorio",IF(BBDD_fashion_boutique[[#This Row],[size]]="","Desconocido",BBDD_fashion_boutique[[#This Row],[size]]))</f>
        <v>L</v>
      </c>
      <c r="G1269" t="s">
        <v>52</v>
      </c>
      <c r="H1269" s="2">
        <v>32.74</v>
      </c>
      <c r="I1269">
        <v>0</v>
      </c>
      <c r="J1269" s="5">
        <f>BBDD_fashion_boutique[[#This Row],[markdown_percentage]]/100</f>
        <v>0</v>
      </c>
      <c r="K1269" s="2">
        <v>32.74</v>
      </c>
      <c r="L1269" s="2">
        <f>BBDD_fashion_boutique[[#This Row],[original_price]]-BBDD_fashion_boutique[[#This Row],[current_price]]</f>
        <v>0</v>
      </c>
      <c r="M1269" s="1">
        <v>45516</v>
      </c>
      <c r="N1269" s="1" t="str">
        <f>PROPER(TEXT(BBDD_fashion_boutique[[#This Row],[purchase_date]],"dddd"))</f>
        <v>Lunes</v>
      </c>
      <c r="O1269" s="1" t="str">
        <f>PROPER(TEXT(BBDD_fashion_boutique[[#This Row],[purchase_date]],"mmmm"))</f>
        <v>Agosto</v>
      </c>
      <c r="P1269" s="4">
        <v>23</v>
      </c>
      <c r="Q1269" s="2">
        <v>4</v>
      </c>
      <c r="R1269" t="str">
        <f>IF(BBDD_fashion_boutique[[#This Row],[stock_quantity]]&gt;9,"Ok",IF(BBDD_fashion_boutique[[#This Row],[stock_quantity]]=0,"Agotado","Pocas Unidades"))</f>
        <v>Ok</v>
      </c>
      <c r="S1269" s="3">
        <f>IF(BBDD_fashion_boutique[[#This Row],[customer_rating]]="","No valorado",BBDD_fashion_boutique[[#This Row],[customer_rating]])</f>
        <v>4</v>
      </c>
      <c r="T1269" t="s">
        <v>41</v>
      </c>
      <c r="U1269" t="s">
        <v>84</v>
      </c>
      <c r="V1269">
        <f>IF(BBDD_fashion_boutique[[#This Row],[is_returned]]="False",0,1)</f>
        <v>1</v>
      </c>
      <c r="W1269">
        <f>IF(BBDD_fashion_boutique[[#This Row],[is_returned]]="True",0,BBDD_fashion_boutique[[#This Row],[current_price]])</f>
        <v>0</v>
      </c>
      <c r="X1269" t="str">
        <f>IF(BBDD_fashion_boutique[[#This Row],[return_reason]]="","No return",BBDD_fashion_boutique[[#This Row],[return_reason]])</f>
        <v>Damaged</v>
      </c>
      <c r="Y1269">
        <f>IF(IFERROR(VLOOKUP(BBDD_fashion_boutique[[#This Row],[product_id]],A1270:A3445,1,FALSE),0),1,0)</f>
        <v>0</v>
      </c>
    </row>
    <row r="1270" spans="1:25" x14ac:dyDescent="0.3">
      <c r="A1270" t="s">
        <v>1329</v>
      </c>
      <c r="B1270" t="s">
        <v>44</v>
      </c>
      <c r="C1270" t="s">
        <v>27</v>
      </c>
      <c r="D1270" t="s">
        <v>21</v>
      </c>
      <c r="E1270" t="s">
        <v>29</v>
      </c>
      <c r="F1270" t="str">
        <f>IF(BBDD_fashion_boutique[[#This Row],[category]]="Accessories","Accesorio",IF(BBDD_fashion_boutique[[#This Row],[size]]="","Desconocido",BBDD_fashion_boutique[[#This Row],[size]]))</f>
        <v>L</v>
      </c>
      <c r="G1270" t="s">
        <v>50</v>
      </c>
      <c r="H1270" s="2">
        <v>79.27</v>
      </c>
      <c r="I1270">
        <v>0</v>
      </c>
      <c r="J1270" s="5">
        <f>BBDD_fashion_boutique[[#This Row],[markdown_percentage]]/100</f>
        <v>0</v>
      </c>
      <c r="K1270" s="2">
        <v>79.27</v>
      </c>
      <c r="L1270" s="2">
        <f>BBDD_fashion_boutique[[#This Row],[original_price]]-BBDD_fashion_boutique[[#This Row],[current_price]]</f>
        <v>0</v>
      </c>
      <c r="M1270" s="1">
        <v>45788</v>
      </c>
      <c r="N1270" s="1" t="str">
        <f>PROPER(TEXT(BBDD_fashion_boutique[[#This Row],[purchase_date]],"dddd"))</f>
        <v>Domingo</v>
      </c>
      <c r="O1270" s="1" t="str">
        <f>PROPER(TEXT(BBDD_fashion_boutique[[#This Row],[purchase_date]],"mmmm"))</f>
        <v>Mayo</v>
      </c>
      <c r="P1270" s="4">
        <v>13</v>
      </c>
      <c r="Q1270" s="2">
        <v>3.5</v>
      </c>
      <c r="R1270" t="str">
        <f>IF(BBDD_fashion_boutique[[#This Row],[stock_quantity]]&gt;9,"Ok",IF(BBDD_fashion_boutique[[#This Row],[stock_quantity]]=0,"Agotado","Pocas Unidades"))</f>
        <v>Ok</v>
      </c>
      <c r="S1270" s="3">
        <f>IF(BBDD_fashion_boutique[[#This Row],[customer_rating]]="","No valorado",BBDD_fashion_boutique[[#This Row],[customer_rating]])</f>
        <v>3.5</v>
      </c>
      <c r="T1270" t="s">
        <v>24</v>
      </c>
      <c r="V1270">
        <f>IF(BBDD_fashion_boutique[[#This Row],[is_returned]]="False",0,1)</f>
        <v>0</v>
      </c>
      <c r="W1270">
        <f>IF(BBDD_fashion_boutique[[#This Row],[is_returned]]="True",0,BBDD_fashion_boutique[[#This Row],[current_price]])</f>
        <v>79.27</v>
      </c>
      <c r="X1270" t="str">
        <f>IF(BBDD_fashion_boutique[[#This Row],[return_reason]]="","No return",BBDD_fashion_boutique[[#This Row],[return_reason]])</f>
        <v>No return</v>
      </c>
      <c r="Y1270">
        <f>IF(IFERROR(VLOOKUP(BBDD_fashion_boutique[[#This Row],[product_id]],A1271:A3446,1,FALSE),0),1,0)</f>
        <v>0</v>
      </c>
    </row>
    <row r="1271" spans="1:25" x14ac:dyDescent="0.3">
      <c r="A1271" t="s">
        <v>1330</v>
      </c>
      <c r="B1271" t="s">
        <v>26</v>
      </c>
      <c r="C1271" t="s">
        <v>81</v>
      </c>
      <c r="D1271" t="s">
        <v>21</v>
      </c>
      <c r="E1271" t="s">
        <v>45</v>
      </c>
      <c r="F1271" t="str">
        <f>IF(BBDD_fashion_boutique[[#This Row],[category]]="Accessories","Accesorio",IF(BBDD_fashion_boutique[[#This Row],[size]]="","Desconocido",BBDD_fashion_boutique[[#This Row],[size]]))</f>
        <v>S</v>
      </c>
      <c r="G1271" t="s">
        <v>62</v>
      </c>
      <c r="H1271" s="2">
        <v>119.38</v>
      </c>
      <c r="I1271">
        <v>0</v>
      </c>
      <c r="J1271" s="5">
        <f>BBDD_fashion_boutique[[#This Row],[markdown_percentage]]/100</f>
        <v>0</v>
      </c>
      <c r="K1271" s="2">
        <v>119.38</v>
      </c>
      <c r="L1271" s="2">
        <f>BBDD_fashion_boutique[[#This Row],[original_price]]-BBDD_fashion_boutique[[#This Row],[current_price]]</f>
        <v>0</v>
      </c>
      <c r="M1271" s="1">
        <v>45708</v>
      </c>
      <c r="N1271" s="1" t="str">
        <f>PROPER(TEXT(BBDD_fashion_boutique[[#This Row],[purchase_date]],"dddd"))</f>
        <v>Jueves</v>
      </c>
      <c r="O1271" s="1" t="str">
        <f>PROPER(TEXT(BBDD_fashion_boutique[[#This Row],[purchase_date]],"mmmm"))</f>
        <v>Febrero</v>
      </c>
      <c r="P1271" s="4">
        <v>18</v>
      </c>
      <c r="Q1271" s="2">
        <v>4.4000000000000004</v>
      </c>
      <c r="R1271" t="str">
        <f>IF(BBDD_fashion_boutique[[#This Row],[stock_quantity]]&gt;9,"Ok",IF(BBDD_fashion_boutique[[#This Row],[stock_quantity]]=0,"Agotado","Pocas Unidades"))</f>
        <v>Ok</v>
      </c>
      <c r="S1271" s="3">
        <f>IF(BBDD_fashion_boutique[[#This Row],[customer_rating]]="","No valorado",BBDD_fashion_boutique[[#This Row],[customer_rating]])</f>
        <v>4.4000000000000004</v>
      </c>
      <c r="T1271" t="s">
        <v>24</v>
      </c>
      <c r="V1271">
        <f>IF(BBDD_fashion_boutique[[#This Row],[is_returned]]="False",0,1)</f>
        <v>0</v>
      </c>
      <c r="W1271">
        <f>IF(BBDD_fashion_boutique[[#This Row],[is_returned]]="True",0,BBDD_fashion_boutique[[#This Row],[current_price]])</f>
        <v>119.38</v>
      </c>
      <c r="X1271" t="str">
        <f>IF(BBDD_fashion_boutique[[#This Row],[return_reason]]="","No return",BBDD_fashion_boutique[[#This Row],[return_reason]])</f>
        <v>No return</v>
      </c>
      <c r="Y1271">
        <f>IF(IFERROR(VLOOKUP(BBDD_fashion_boutique[[#This Row],[product_id]],A1272:A3447,1,FALSE),0),1,0)</f>
        <v>0</v>
      </c>
    </row>
    <row r="1272" spans="1:25" x14ac:dyDescent="0.3">
      <c r="A1272" t="s">
        <v>1331</v>
      </c>
      <c r="B1272" t="s">
        <v>48</v>
      </c>
      <c r="C1272" t="s">
        <v>54</v>
      </c>
      <c r="D1272" t="s">
        <v>28</v>
      </c>
      <c r="E1272" t="s">
        <v>45</v>
      </c>
      <c r="F1272" t="str">
        <f>IF(BBDD_fashion_boutique[[#This Row],[category]]="Accessories","Accesorio",IF(BBDD_fashion_boutique[[#This Row],[size]]="","Desconocido",BBDD_fashion_boutique[[#This Row],[size]]))</f>
        <v>S</v>
      </c>
      <c r="G1272" t="s">
        <v>40</v>
      </c>
      <c r="H1272" s="2">
        <v>66.17</v>
      </c>
      <c r="I1272">
        <v>0</v>
      </c>
      <c r="J1272" s="5">
        <f>BBDD_fashion_boutique[[#This Row],[markdown_percentage]]/100</f>
        <v>0</v>
      </c>
      <c r="K1272" s="2">
        <v>66.17</v>
      </c>
      <c r="L1272" s="2">
        <f>BBDD_fashion_boutique[[#This Row],[original_price]]-BBDD_fashion_boutique[[#This Row],[current_price]]</f>
        <v>0</v>
      </c>
      <c r="M1272" s="1">
        <v>45875</v>
      </c>
      <c r="N1272" s="1" t="str">
        <f>PROPER(TEXT(BBDD_fashion_boutique[[#This Row],[purchase_date]],"dddd"))</f>
        <v>Miércoles</v>
      </c>
      <c r="O1272" s="1" t="str">
        <f>PROPER(TEXT(BBDD_fashion_boutique[[#This Row],[purchase_date]],"mmmm"))</f>
        <v>Agosto</v>
      </c>
      <c r="P1272" s="4">
        <v>1</v>
      </c>
      <c r="R1272" t="str">
        <f>IF(BBDD_fashion_boutique[[#This Row],[stock_quantity]]&gt;9,"Ok",IF(BBDD_fashion_boutique[[#This Row],[stock_quantity]]=0,"Agotado","Pocas Unidades"))</f>
        <v>Pocas Unidades</v>
      </c>
      <c r="S1272" s="3" t="str">
        <f>IF(BBDD_fashion_boutique[[#This Row],[customer_rating]]="","No valorado",BBDD_fashion_boutique[[#This Row],[customer_rating]])</f>
        <v>No valorado</v>
      </c>
      <c r="T1272" t="s">
        <v>24</v>
      </c>
      <c r="V1272">
        <f>IF(BBDD_fashion_boutique[[#This Row],[is_returned]]="False",0,1)</f>
        <v>0</v>
      </c>
      <c r="W1272">
        <f>IF(BBDD_fashion_boutique[[#This Row],[is_returned]]="True",0,BBDD_fashion_boutique[[#This Row],[current_price]])</f>
        <v>66.17</v>
      </c>
      <c r="X1272" t="str">
        <f>IF(BBDD_fashion_boutique[[#This Row],[return_reason]]="","No return",BBDD_fashion_boutique[[#This Row],[return_reason]])</f>
        <v>No return</v>
      </c>
      <c r="Y1272">
        <f>IF(IFERROR(VLOOKUP(BBDD_fashion_boutique[[#This Row],[product_id]],A1273:A3448,1,FALSE),0),1,0)</f>
        <v>0</v>
      </c>
    </row>
    <row r="1273" spans="1:25" x14ac:dyDescent="0.3">
      <c r="A1273" t="s">
        <v>1332</v>
      </c>
      <c r="B1273" t="s">
        <v>32</v>
      </c>
      <c r="C1273" t="s">
        <v>54</v>
      </c>
      <c r="D1273" t="s">
        <v>39</v>
      </c>
      <c r="F1273" t="str">
        <f>IF(BBDD_fashion_boutique[[#This Row],[category]]="Accessories","Accesorio",IF(BBDD_fashion_boutique[[#This Row],[size]]="","Desconocido",BBDD_fashion_boutique[[#This Row],[size]]))</f>
        <v>Accesorio</v>
      </c>
      <c r="G1273" t="s">
        <v>72</v>
      </c>
      <c r="H1273" s="2">
        <v>68.3</v>
      </c>
      <c r="I1273">
        <v>8</v>
      </c>
      <c r="J1273" s="5">
        <f>BBDD_fashion_boutique[[#This Row],[markdown_percentage]]/100</f>
        <v>0.08</v>
      </c>
      <c r="K1273" s="2">
        <v>62.84</v>
      </c>
      <c r="L1273" s="2">
        <f>BBDD_fashion_boutique[[#This Row],[original_price]]-BBDD_fashion_boutique[[#This Row],[current_price]]</f>
        <v>5.4599999999999937</v>
      </c>
      <c r="M1273" s="1">
        <v>45875</v>
      </c>
      <c r="N1273" s="1" t="str">
        <f>PROPER(TEXT(BBDD_fashion_boutique[[#This Row],[purchase_date]],"dddd"))</f>
        <v>Miércoles</v>
      </c>
      <c r="O1273" s="1" t="str">
        <f>PROPER(TEXT(BBDD_fashion_boutique[[#This Row],[purchase_date]],"mmmm"))</f>
        <v>Agosto</v>
      </c>
      <c r="P1273" s="4">
        <v>18</v>
      </c>
      <c r="Q1273" s="2">
        <v>3.1</v>
      </c>
      <c r="R1273" t="str">
        <f>IF(BBDD_fashion_boutique[[#This Row],[stock_quantity]]&gt;9,"Ok",IF(BBDD_fashion_boutique[[#This Row],[stock_quantity]]=0,"Agotado","Pocas Unidades"))</f>
        <v>Ok</v>
      </c>
      <c r="S1273" s="3">
        <f>IF(BBDD_fashion_boutique[[#This Row],[customer_rating]]="","No valorado",BBDD_fashion_boutique[[#This Row],[customer_rating]])</f>
        <v>3.1</v>
      </c>
      <c r="T1273" t="s">
        <v>24</v>
      </c>
      <c r="V1273">
        <f>IF(BBDD_fashion_boutique[[#This Row],[is_returned]]="False",0,1)</f>
        <v>0</v>
      </c>
      <c r="W1273">
        <f>IF(BBDD_fashion_boutique[[#This Row],[is_returned]]="True",0,BBDD_fashion_boutique[[#This Row],[current_price]])</f>
        <v>62.84</v>
      </c>
      <c r="X1273" t="str">
        <f>IF(BBDD_fashion_boutique[[#This Row],[return_reason]]="","No return",BBDD_fashion_boutique[[#This Row],[return_reason]])</f>
        <v>No return</v>
      </c>
      <c r="Y1273">
        <f>IF(IFERROR(VLOOKUP(BBDD_fashion_boutique[[#This Row],[product_id]],A1274:A3449,1,FALSE),0),1,0)</f>
        <v>0</v>
      </c>
    </row>
    <row r="1274" spans="1:25" x14ac:dyDescent="0.3">
      <c r="A1274" t="s">
        <v>1333</v>
      </c>
      <c r="B1274" t="s">
        <v>19</v>
      </c>
      <c r="C1274" t="s">
        <v>49</v>
      </c>
      <c r="D1274" t="s">
        <v>39</v>
      </c>
      <c r="E1274" t="s">
        <v>29</v>
      </c>
      <c r="F1274" t="str">
        <f>IF(BBDD_fashion_boutique[[#This Row],[category]]="Accessories","Accesorio",IF(BBDD_fashion_boutique[[#This Row],[size]]="","Desconocido",BBDD_fashion_boutique[[#This Row],[size]]))</f>
        <v>L</v>
      </c>
      <c r="G1274" t="s">
        <v>72</v>
      </c>
      <c r="H1274" s="2">
        <v>209.66</v>
      </c>
      <c r="I1274">
        <v>0</v>
      </c>
      <c r="J1274" s="5">
        <f>BBDD_fashion_boutique[[#This Row],[markdown_percentage]]/100</f>
        <v>0</v>
      </c>
      <c r="K1274" s="2">
        <v>209.66</v>
      </c>
      <c r="L1274" s="2">
        <f>BBDD_fashion_boutique[[#This Row],[original_price]]-BBDD_fashion_boutique[[#This Row],[current_price]]</f>
        <v>0</v>
      </c>
      <c r="M1274" s="1">
        <v>45875</v>
      </c>
      <c r="N1274" s="1" t="str">
        <f>PROPER(TEXT(BBDD_fashion_boutique[[#This Row],[purchase_date]],"dddd"))</f>
        <v>Miércoles</v>
      </c>
      <c r="O1274" s="1" t="str">
        <f>PROPER(TEXT(BBDD_fashion_boutique[[#This Row],[purchase_date]],"mmmm"))</f>
        <v>Agosto</v>
      </c>
      <c r="P1274" s="4">
        <v>30</v>
      </c>
      <c r="Q1274" s="2">
        <v>2.1</v>
      </c>
      <c r="R1274" t="str">
        <f>IF(BBDD_fashion_boutique[[#This Row],[stock_quantity]]&gt;9,"Ok",IF(BBDD_fashion_boutique[[#This Row],[stock_quantity]]=0,"Agotado","Pocas Unidades"))</f>
        <v>Ok</v>
      </c>
      <c r="S1274" s="3">
        <f>IF(BBDD_fashion_boutique[[#This Row],[customer_rating]]="","No valorado",BBDD_fashion_boutique[[#This Row],[customer_rating]])</f>
        <v>2.1</v>
      </c>
      <c r="T1274" t="s">
        <v>24</v>
      </c>
      <c r="V1274">
        <f>IF(BBDD_fashion_boutique[[#This Row],[is_returned]]="False",0,1)</f>
        <v>0</v>
      </c>
      <c r="W1274">
        <f>IF(BBDD_fashion_boutique[[#This Row],[is_returned]]="True",0,BBDD_fashion_boutique[[#This Row],[current_price]])</f>
        <v>209.66</v>
      </c>
      <c r="X1274" t="str">
        <f>IF(BBDD_fashion_boutique[[#This Row],[return_reason]]="","No return",BBDD_fashion_boutique[[#This Row],[return_reason]])</f>
        <v>No return</v>
      </c>
      <c r="Y1274">
        <f>IF(IFERROR(VLOOKUP(BBDD_fashion_boutique[[#This Row],[product_id]],A1275:A3450,1,FALSE),0),1,0)</f>
        <v>0</v>
      </c>
    </row>
    <row r="1275" spans="1:25" x14ac:dyDescent="0.3">
      <c r="A1275" t="s">
        <v>1334</v>
      </c>
      <c r="B1275" t="s">
        <v>35</v>
      </c>
      <c r="C1275" t="s">
        <v>27</v>
      </c>
      <c r="D1275" t="s">
        <v>68</v>
      </c>
      <c r="E1275" t="s">
        <v>61</v>
      </c>
      <c r="F1275" t="str">
        <f>IF(BBDD_fashion_boutique[[#This Row],[category]]="Accessories","Accesorio",IF(BBDD_fashion_boutique[[#This Row],[size]]="","Desconocido",BBDD_fashion_boutique[[#This Row],[size]]))</f>
        <v>XS</v>
      </c>
      <c r="G1275" t="s">
        <v>50</v>
      </c>
      <c r="H1275" s="2">
        <v>154.82</v>
      </c>
      <c r="I1275">
        <v>0</v>
      </c>
      <c r="J1275" s="5">
        <f>BBDD_fashion_boutique[[#This Row],[markdown_percentage]]/100</f>
        <v>0</v>
      </c>
      <c r="K1275" s="2">
        <v>154.82</v>
      </c>
      <c r="L1275" s="2">
        <f>BBDD_fashion_boutique[[#This Row],[original_price]]-BBDD_fashion_boutique[[#This Row],[current_price]]</f>
        <v>0</v>
      </c>
      <c r="M1275" s="1">
        <v>45875</v>
      </c>
      <c r="N1275" s="1" t="str">
        <f>PROPER(TEXT(BBDD_fashion_boutique[[#This Row],[purchase_date]],"dddd"))</f>
        <v>Miércoles</v>
      </c>
      <c r="O1275" s="1" t="str">
        <f>PROPER(TEXT(BBDD_fashion_boutique[[#This Row],[purchase_date]],"mmmm"))</f>
        <v>Agosto</v>
      </c>
      <c r="P1275" s="4">
        <v>31</v>
      </c>
      <c r="R1275" t="str">
        <f>IF(BBDD_fashion_boutique[[#This Row],[stock_quantity]]&gt;9,"Ok",IF(BBDD_fashion_boutique[[#This Row],[stock_quantity]]=0,"Agotado","Pocas Unidades"))</f>
        <v>Ok</v>
      </c>
      <c r="S1275" s="3" t="str">
        <f>IF(BBDD_fashion_boutique[[#This Row],[customer_rating]]="","No valorado",BBDD_fashion_boutique[[#This Row],[customer_rating]])</f>
        <v>No valorado</v>
      </c>
      <c r="T1275" t="s">
        <v>24</v>
      </c>
      <c r="V1275">
        <f>IF(BBDD_fashion_boutique[[#This Row],[is_returned]]="False",0,1)</f>
        <v>0</v>
      </c>
      <c r="W1275">
        <f>IF(BBDD_fashion_boutique[[#This Row],[is_returned]]="True",0,BBDD_fashion_boutique[[#This Row],[current_price]])</f>
        <v>154.82</v>
      </c>
      <c r="X1275" t="str">
        <f>IF(BBDD_fashion_boutique[[#This Row],[return_reason]]="","No return",BBDD_fashion_boutique[[#This Row],[return_reason]])</f>
        <v>No return</v>
      </c>
      <c r="Y1275">
        <f>IF(IFERROR(VLOOKUP(BBDD_fashion_boutique[[#This Row],[product_id]],A1276:A3451,1,FALSE),0),1,0)</f>
        <v>0</v>
      </c>
    </row>
    <row r="1276" spans="1:25" x14ac:dyDescent="0.3">
      <c r="A1276" t="s">
        <v>1335</v>
      </c>
      <c r="B1276" t="s">
        <v>44</v>
      </c>
      <c r="C1276" t="s">
        <v>54</v>
      </c>
      <c r="D1276" t="s">
        <v>28</v>
      </c>
      <c r="E1276" t="s">
        <v>45</v>
      </c>
      <c r="F1276" t="str">
        <f>IF(BBDD_fashion_boutique[[#This Row],[category]]="Accessories","Accesorio",IF(BBDD_fashion_boutique[[#This Row],[size]]="","Desconocido",BBDD_fashion_boutique[[#This Row],[size]]))</f>
        <v>S</v>
      </c>
      <c r="G1276" t="s">
        <v>46</v>
      </c>
      <c r="H1276" s="2">
        <v>37.53</v>
      </c>
      <c r="I1276">
        <v>0</v>
      </c>
      <c r="J1276" s="5">
        <f>BBDD_fashion_boutique[[#This Row],[markdown_percentage]]/100</f>
        <v>0</v>
      </c>
      <c r="K1276" s="2">
        <v>37.53</v>
      </c>
      <c r="L1276" s="2">
        <f>BBDD_fashion_boutique[[#This Row],[original_price]]-BBDD_fashion_boutique[[#This Row],[current_price]]</f>
        <v>0</v>
      </c>
      <c r="M1276" s="1">
        <v>45875</v>
      </c>
      <c r="N1276" s="1" t="str">
        <f>PROPER(TEXT(BBDD_fashion_boutique[[#This Row],[purchase_date]],"dddd"))</f>
        <v>Miércoles</v>
      </c>
      <c r="O1276" s="1" t="str">
        <f>PROPER(TEXT(BBDD_fashion_boutique[[#This Row],[purchase_date]],"mmmm"))</f>
        <v>Agosto</v>
      </c>
      <c r="P1276" s="4">
        <v>8</v>
      </c>
      <c r="Q1276" s="2">
        <v>3</v>
      </c>
      <c r="R1276" t="str">
        <f>IF(BBDD_fashion_boutique[[#This Row],[stock_quantity]]&gt;9,"Ok",IF(BBDD_fashion_boutique[[#This Row],[stock_quantity]]=0,"Agotado","Pocas Unidades"))</f>
        <v>Pocas Unidades</v>
      </c>
      <c r="S1276" s="3">
        <f>IF(BBDD_fashion_boutique[[#This Row],[customer_rating]]="","No valorado",BBDD_fashion_boutique[[#This Row],[customer_rating]])</f>
        <v>3</v>
      </c>
      <c r="T1276" t="s">
        <v>41</v>
      </c>
      <c r="U1276" t="s">
        <v>121</v>
      </c>
      <c r="V1276">
        <f>IF(BBDD_fashion_boutique[[#This Row],[is_returned]]="False",0,1)</f>
        <v>1</v>
      </c>
      <c r="W1276">
        <f>IF(BBDD_fashion_boutique[[#This Row],[is_returned]]="True",0,BBDD_fashion_boutique[[#This Row],[current_price]])</f>
        <v>0</v>
      </c>
      <c r="X1276" t="str">
        <f>IF(BBDD_fashion_boutique[[#This Row],[return_reason]]="","No return",BBDD_fashion_boutique[[#This Row],[return_reason]])</f>
        <v>Changed Mind</v>
      </c>
      <c r="Y1276">
        <f>IF(IFERROR(VLOOKUP(BBDD_fashion_boutique[[#This Row],[product_id]],A1277:A3452,1,FALSE),0),1,0)</f>
        <v>0</v>
      </c>
    </row>
    <row r="1277" spans="1:25" x14ac:dyDescent="0.3">
      <c r="A1277" t="s">
        <v>1336</v>
      </c>
      <c r="B1277" t="s">
        <v>35</v>
      </c>
      <c r="C1277" t="s">
        <v>20</v>
      </c>
      <c r="D1277" t="s">
        <v>68</v>
      </c>
      <c r="E1277" t="s">
        <v>61</v>
      </c>
      <c r="F1277" t="str">
        <f>IF(BBDD_fashion_boutique[[#This Row],[category]]="Accessories","Accesorio",IF(BBDD_fashion_boutique[[#This Row],[size]]="","Desconocido",BBDD_fashion_boutique[[#This Row],[size]]))</f>
        <v>XS</v>
      </c>
      <c r="G1277" t="s">
        <v>33</v>
      </c>
      <c r="H1277" s="2">
        <v>140.28</v>
      </c>
      <c r="I1277">
        <v>0</v>
      </c>
      <c r="J1277" s="5">
        <f>BBDD_fashion_boutique[[#This Row],[markdown_percentage]]/100</f>
        <v>0</v>
      </c>
      <c r="K1277" s="2">
        <v>140.28</v>
      </c>
      <c r="L1277" s="2">
        <f>BBDD_fashion_boutique[[#This Row],[original_price]]-BBDD_fashion_boutique[[#This Row],[current_price]]</f>
        <v>0</v>
      </c>
      <c r="M1277" s="1">
        <v>45875</v>
      </c>
      <c r="N1277" s="1" t="str">
        <f>PROPER(TEXT(BBDD_fashion_boutique[[#This Row],[purchase_date]],"dddd"))</f>
        <v>Miércoles</v>
      </c>
      <c r="O1277" s="1" t="str">
        <f>PROPER(TEXT(BBDD_fashion_boutique[[#This Row],[purchase_date]],"mmmm"))</f>
        <v>Agosto</v>
      </c>
      <c r="P1277" s="4">
        <v>10</v>
      </c>
      <c r="Q1277" s="2">
        <v>1.9</v>
      </c>
      <c r="R1277" t="str">
        <f>IF(BBDD_fashion_boutique[[#This Row],[stock_quantity]]&gt;9,"Ok",IF(BBDD_fashion_boutique[[#This Row],[stock_quantity]]=0,"Agotado","Pocas Unidades"))</f>
        <v>Ok</v>
      </c>
      <c r="S1277" s="3">
        <f>IF(BBDD_fashion_boutique[[#This Row],[customer_rating]]="","No valorado",BBDD_fashion_boutique[[#This Row],[customer_rating]])</f>
        <v>1.9</v>
      </c>
      <c r="T1277" t="s">
        <v>24</v>
      </c>
      <c r="V1277">
        <f>IF(BBDD_fashion_boutique[[#This Row],[is_returned]]="False",0,1)</f>
        <v>0</v>
      </c>
      <c r="W1277">
        <f>IF(BBDD_fashion_boutique[[#This Row],[is_returned]]="True",0,BBDD_fashion_boutique[[#This Row],[current_price]])</f>
        <v>140.28</v>
      </c>
      <c r="X1277" t="str">
        <f>IF(BBDD_fashion_boutique[[#This Row],[return_reason]]="","No return",BBDD_fashion_boutique[[#This Row],[return_reason]])</f>
        <v>No return</v>
      </c>
      <c r="Y1277">
        <f>IF(IFERROR(VLOOKUP(BBDD_fashion_boutique[[#This Row],[product_id]],A1278:A3453,1,FALSE),0),1,0)</f>
        <v>0</v>
      </c>
    </row>
    <row r="1278" spans="1:25" x14ac:dyDescent="0.3">
      <c r="A1278" t="s">
        <v>1337</v>
      </c>
      <c r="B1278" t="s">
        <v>35</v>
      </c>
      <c r="C1278" t="s">
        <v>27</v>
      </c>
      <c r="D1278" t="s">
        <v>68</v>
      </c>
      <c r="E1278" t="s">
        <v>61</v>
      </c>
      <c r="F1278" t="str">
        <f>IF(BBDD_fashion_boutique[[#This Row],[category]]="Accessories","Accesorio",IF(BBDD_fashion_boutique[[#This Row],[size]]="","Desconocido",BBDD_fashion_boutique[[#This Row],[size]]))</f>
        <v>XS</v>
      </c>
      <c r="G1278" t="s">
        <v>40</v>
      </c>
      <c r="H1278" s="2">
        <v>171.07</v>
      </c>
      <c r="I1278">
        <v>0</v>
      </c>
      <c r="J1278" s="5">
        <f>BBDD_fashion_boutique[[#This Row],[markdown_percentage]]/100</f>
        <v>0</v>
      </c>
      <c r="K1278" s="2">
        <v>171.07</v>
      </c>
      <c r="L1278" s="2">
        <f>BBDD_fashion_boutique[[#This Row],[original_price]]-BBDD_fashion_boutique[[#This Row],[current_price]]</f>
        <v>0</v>
      </c>
      <c r="M1278" s="1">
        <v>45875</v>
      </c>
      <c r="N1278" s="1" t="str">
        <f>PROPER(TEXT(BBDD_fashion_boutique[[#This Row],[purchase_date]],"dddd"))</f>
        <v>Miércoles</v>
      </c>
      <c r="O1278" s="1" t="str">
        <f>PROPER(TEXT(BBDD_fashion_boutique[[#This Row],[purchase_date]],"mmmm"))</f>
        <v>Agosto</v>
      </c>
      <c r="P1278" s="4">
        <v>25</v>
      </c>
      <c r="Q1278" s="2">
        <v>3</v>
      </c>
      <c r="R1278" t="str">
        <f>IF(BBDD_fashion_boutique[[#This Row],[stock_quantity]]&gt;9,"Ok",IF(BBDD_fashion_boutique[[#This Row],[stock_quantity]]=0,"Agotado","Pocas Unidades"))</f>
        <v>Ok</v>
      </c>
      <c r="S1278" s="3">
        <f>IF(BBDD_fashion_boutique[[#This Row],[customer_rating]]="","No valorado",BBDD_fashion_boutique[[#This Row],[customer_rating]])</f>
        <v>3</v>
      </c>
      <c r="T1278" t="s">
        <v>24</v>
      </c>
      <c r="V1278">
        <f>IF(BBDD_fashion_boutique[[#This Row],[is_returned]]="False",0,1)</f>
        <v>0</v>
      </c>
      <c r="W1278">
        <f>IF(BBDD_fashion_boutique[[#This Row],[is_returned]]="True",0,BBDD_fashion_boutique[[#This Row],[current_price]])</f>
        <v>171.07</v>
      </c>
      <c r="X1278" t="str">
        <f>IF(BBDD_fashion_boutique[[#This Row],[return_reason]]="","No return",BBDD_fashion_boutique[[#This Row],[return_reason]])</f>
        <v>No return</v>
      </c>
      <c r="Y1278">
        <f>IF(IFERROR(VLOOKUP(BBDD_fashion_boutique[[#This Row],[product_id]],A1279:A3454,1,FALSE),0),1,0)</f>
        <v>0</v>
      </c>
    </row>
    <row r="1279" spans="1:25" x14ac:dyDescent="0.3">
      <c r="A1279" t="s">
        <v>1338</v>
      </c>
      <c r="B1279" t="s">
        <v>26</v>
      </c>
      <c r="C1279" t="s">
        <v>20</v>
      </c>
      <c r="D1279" t="s">
        <v>68</v>
      </c>
      <c r="E1279" t="s">
        <v>64</v>
      </c>
      <c r="F1279" t="str">
        <f>IF(BBDD_fashion_boutique[[#This Row],[category]]="Accessories","Accesorio",IF(BBDD_fashion_boutique[[#This Row],[size]]="","Desconocido",BBDD_fashion_boutique[[#This Row],[size]]))</f>
        <v>M</v>
      </c>
      <c r="G1279" t="s">
        <v>72</v>
      </c>
      <c r="H1279" s="2">
        <v>77.87</v>
      </c>
      <c r="I1279">
        <v>0</v>
      </c>
      <c r="J1279" s="5">
        <f>BBDD_fashion_boutique[[#This Row],[markdown_percentage]]/100</f>
        <v>0</v>
      </c>
      <c r="K1279" s="2">
        <v>77.87</v>
      </c>
      <c r="L1279" s="2">
        <f>BBDD_fashion_boutique[[#This Row],[original_price]]-BBDD_fashion_boutique[[#This Row],[current_price]]</f>
        <v>0</v>
      </c>
      <c r="M1279" s="1">
        <v>45875</v>
      </c>
      <c r="N1279" s="1" t="str">
        <f>PROPER(TEXT(BBDD_fashion_boutique[[#This Row],[purchase_date]],"dddd"))</f>
        <v>Miércoles</v>
      </c>
      <c r="O1279" s="1" t="str">
        <f>PROPER(TEXT(BBDD_fashion_boutique[[#This Row],[purchase_date]],"mmmm"))</f>
        <v>Agosto</v>
      </c>
      <c r="P1279" s="4">
        <v>4</v>
      </c>
      <c r="Q1279" s="2">
        <v>2.7</v>
      </c>
      <c r="R1279" t="str">
        <f>IF(BBDD_fashion_boutique[[#This Row],[stock_quantity]]&gt;9,"Ok",IF(BBDD_fashion_boutique[[#This Row],[stock_quantity]]=0,"Agotado","Pocas Unidades"))</f>
        <v>Pocas Unidades</v>
      </c>
      <c r="S1279" s="3">
        <f>IF(BBDD_fashion_boutique[[#This Row],[customer_rating]]="","No valorado",BBDD_fashion_boutique[[#This Row],[customer_rating]])</f>
        <v>2.7</v>
      </c>
      <c r="T1279" t="s">
        <v>24</v>
      </c>
      <c r="V1279">
        <f>IF(BBDD_fashion_boutique[[#This Row],[is_returned]]="False",0,1)</f>
        <v>0</v>
      </c>
      <c r="W1279">
        <f>IF(BBDD_fashion_boutique[[#This Row],[is_returned]]="True",0,BBDD_fashion_boutique[[#This Row],[current_price]])</f>
        <v>77.87</v>
      </c>
      <c r="X1279" t="str">
        <f>IF(BBDD_fashion_boutique[[#This Row],[return_reason]]="","No return",BBDD_fashion_boutique[[#This Row],[return_reason]])</f>
        <v>No return</v>
      </c>
      <c r="Y1279">
        <f>IF(IFERROR(VLOOKUP(BBDD_fashion_boutique[[#This Row],[product_id]],A1280:A3455,1,FALSE),0),1,0)</f>
        <v>0</v>
      </c>
    </row>
    <row r="1280" spans="1:25" x14ac:dyDescent="0.3">
      <c r="A1280" t="s">
        <v>1339</v>
      </c>
      <c r="B1280" t="s">
        <v>26</v>
      </c>
      <c r="C1280" t="s">
        <v>54</v>
      </c>
      <c r="D1280" t="s">
        <v>21</v>
      </c>
      <c r="E1280" t="s">
        <v>22</v>
      </c>
      <c r="F1280" t="str">
        <f>IF(BBDD_fashion_boutique[[#This Row],[category]]="Accessories","Accesorio",IF(BBDD_fashion_boutique[[#This Row],[size]]="","Desconocido",BBDD_fashion_boutique[[#This Row],[size]]))</f>
        <v>XL</v>
      </c>
      <c r="G1280" t="s">
        <v>70</v>
      </c>
      <c r="H1280" s="2">
        <v>80.540000000000006</v>
      </c>
      <c r="I1280">
        <v>0</v>
      </c>
      <c r="J1280" s="5">
        <f>BBDD_fashion_boutique[[#This Row],[markdown_percentage]]/100</f>
        <v>0</v>
      </c>
      <c r="K1280" s="2">
        <v>80.540000000000006</v>
      </c>
      <c r="L1280" s="2">
        <f>BBDD_fashion_boutique[[#This Row],[original_price]]-BBDD_fashion_boutique[[#This Row],[current_price]]</f>
        <v>0</v>
      </c>
      <c r="M1280" s="1">
        <v>45636</v>
      </c>
      <c r="N1280" s="1" t="str">
        <f>PROPER(TEXT(BBDD_fashion_boutique[[#This Row],[purchase_date]],"dddd"))</f>
        <v>Martes</v>
      </c>
      <c r="O1280" s="1" t="str">
        <f>PROPER(TEXT(BBDD_fashion_boutique[[#This Row],[purchase_date]],"mmmm"))</f>
        <v>Diciembre</v>
      </c>
      <c r="P1280" s="4">
        <v>50</v>
      </c>
      <c r="Q1280" s="2">
        <v>2.1</v>
      </c>
      <c r="R1280" t="str">
        <f>IF(BBDD_fashion_boutique[[#This Row],[stock_quantity]]&gt;9,"Ok",IF(BBDD_fashion_boutique[[#This Row],[stock_quantity]]=0,"Agotado","Pocas Unidades"))</f>
        <v>Ok</v>
      </c>
      <c r="S1280" s="3">
        <f>IF(BBDD_fashion_boutique[[#This Row],[customer_rating]]="","No valorado",BBDD_fashion_boutique[[#This Row],[customer_rating]])</f>
        <v>2.1</v>
      </c>
      <c r="T1280" t="s">
        <v>24</v>
      </c>
      <c r="V1280">
        <f>IF(BBDD_fashion_boutique[[#This Row],[is_returned]]="False",0,1)</f>
        <v>0</v>
      </c>
      <c r="W1280">
        <f>IF(BBDD_fashion_boutique[[#This Row],[is_returned]]="True",0,BBDD_fashion_boutique[[#This Row],[current_price]])</f>
        <v>80.540000000000006</v>
      </c>
      <c r="X1280" t="str">
        <f>IF(BBDD_fashion_boutique[[#This Row],[return_reason]]="","No return",BBDD_fashion_boutique[[#This Row],[return_reason]])</f>
        <v>No return</v>
      </c>
      <c r="Y1280">
        <f>IF(IFERROR(VLOOKUP(BBDD_fashion_boutique[[#This Row],[product_id]],A1281:A3456,1,FALSE),0),1,0)</f>
        <v>0</v>
      </c>
    </row>
    <row r="1281" spans="1:25" x14ac:dyDescent="0.3">
      <c r="A1281" t="s">
        <v>1340</v>
      </c>
      <c r="B1281" t="s">
        <v>44</v>
      </c>
      <c r="C1281" t="s">
        <v>27</v>
      </c>
      <c r="D1281" t="s">
        <v>68</v>
      </c>
      <c r="E1281" t="s">
        <v>45</v>
      </c>
      <c r="F1281" t="str">
        <f>IF(BBDD_fashion_boutique[[#This Row],[category]]="Accessories","Accesorio",IF(BBDD_fashion_boutique[[#This Row],[size]]="","Desconocido",BBDD_fashion_boutique[[#This Row],[size]]))</f>
        <v>S</v>
      </c>
      <c r="G1281" t="s">
        <v>40</v>
      </c>
      <c r="H1281" s="2">
        <v>48.68</v>
      </c>
      <c r="I1281">
        <v>41.7</v>
      </c>
      <c r="J1281" s="5">
        <f>BBDD_fashion_boutique[[#This Row],[markdown_percentage]]/100</f>
        <v>0.41700000000000004</v>
      </c>
      <c r="K1281" s="2">
        <v>28.38</v>
      </c>
      <c r="L1281" s="2">
        <f>BBDD_fashion_boutique[[#This Row],[original_price]]-BBDD_fashion_boutique[[#This Row],[current_price]]</f>
        <v>20.3</v>
      </c>
      <c r="M1281" s="1">
        <v>45875</v>
      </c>
      <c r="N1281" s="1" t="str">
        <f>PROPER(TEXT(BBDD_fashion_boutique[[#This Row],[purchase_date]],"dddd"))</f>
        <v>Miércoles</v>
      </c>
      <c r="O1281" s="1" t="str">
        <f>PROPER(TEXT(BBDD_fashion_boutique[[#This Row],[purchase_date]],"mmmm"))</f>
        <v>Agosto</v>
      </c>
      <c r="P1281" s="4">
        <v>20</v>
      </c>
      <c r="Q1281" s="2">
        <v>1.3</v>
      </c>
      <c r="R1281" t="str">
        <f>IF(BBDD_fashion_boutique[[#This Row],[stock_quantity]]&gt;9,"Ok",IF(BBDD_fashion_boutique[[#This Row],[stock_quantity]]=0,"Agotado","Pocas Unidades"))</f>
        <v>Ok</v>
      </c>
      <c r="S1281" s="3">
        <f>IF(BBDD_fashion_boutique[[#This Row],[customer_rating]]="","No valorado",BBDD_fashion_boutique[[#This Row],[customer_rating]])</f>
        <v>1.3</v>
      </c>
      <c r="T1281" t="s">
        <v>41</v>
      </c>
      <c r="U1281" t="s">
        <v>84</v>
      </c>
      <c r="V1281">
        <f>IF(BBDD_fashion_boutique[[#This Row],[is_returned]]="False",0,1)</f>
        <v>1</v>
      </c>
      <c r="W1281">
        <f>IF(BBDD_fashion_boutique[[#This Row],[is_returned]]="True",0,BBDD_fashion_boutique[[#This Row],[current_price]])</f>
        <v>0</v>
      </c>
      <c r="X1281" t="str">
        <f>IF(BBDD_fashion_boutique[[#This Row],[return_reason]]="","No return",BBDD_fashion_boutique[[#This Row],[return_reason]])</f>
        <v>Damaged</v>
      </c>
      <c r="Y1281">
        <f>IF(IFERROR(VLOOKUP(BBDD_fashion_boutique[[#This Row],[product_id]],A1282:A3457,1,FALSE),0),1,0)</f>
        <v>0</v>
      </c>
    </row>
    <row r="1282" spans="1:25" x14ac:dyDescent="0.3">
      <c r="A1282" t="s">
        <v>1341</v>
      </c>
      <c r="B1282" t="s">
        <v>35</v>
      </c>
      <c r="C1282" t="s">
        <v>59</v>
      </c>
      <c r="D1282" t="s">
        <v>28</v>
      </c>
      <c r="E1282" t="s">
        <v>61</v>
      </c>
      <c r="F1282" t="str">
        <f>IF(BBDD_fashion_boutique[[#This Row],[category]]="Accessories","Accesorio",IF(BBDD_fashion_boutique[[#This Row],[size]]="","Desconocido",BBDD_fashion_boutique[[#This Row],[size]]))</f>
        <v>XS</v>
      </c>
      <c r="G1282" t="s">
        <v>72</v>
      </c>
      <c r="H1282" s="2">
        <v>137.83000000000001</v>
      </c>
      <c r="I1282">
        <v>0</v>
      </c>
      <c r="J1282" s="5">
        <f>BBDD_fashion_boutique[[#This Row],[markdown_percentage]]/100</f>
        <v>0</v>
      </c>
      <c r="K1282" s="2">
        <v>137.83000000000001</v>
      </c>
      <c r="L1282" s="2">
        <f>BBDD_fashion_boutique[[#This Row],[original_price]]-BBDD_fashion_boutique[[#This Row],[current_price]]</f>
        <v>0</v>
      </c>
      <c r="M1282" s="1">
        <v>45875</v>
      </c>
      <c r="N1282" s="1" t="str">
        <f>PROPER(TEXT(BBDD_fashion_boutique[[#This Row],[purchase_date]],"dddd"))</f>
        <v>Miércoles</v>
      </c>
      <c r="O1282" s="1" t="str">
        <f>PROPER(TEXT(BBDD_fashion_boutique[[#This Row],[purchase_date]],"mmmm"))</f>
        <v>Agosto</v>
      </c>
      <c r="P1282" s="4">
        <v>32</v>
      </c>
      <c r="Q1282" s="2">
        <v>3.4</v>
      </c>
      <c r="R1282" t="str">
        <f>IF(BBDD_fashion_boutique[[#This Row],[stock_quantity]]&gt;9,"Ok",IF(BBDD_fashion_boutique[[#This Row],[stock_quantity]]=0,"Agotado","Pocas Unidades"))</f>
        <v>Ok</v>
      </c>
      <c r="S1282" s="3">
        <f>IF(BBDD_fashion_boutique[[#This Row],[customer_rating]]="","No valorado",BBDD_fashion_boutique[[#This Row],[customer_rating]])</f>
        <v>3.4</v>
      </c>
      <c r="T1282" t="s">
        <v>41</v>
      </c>
      <c r="U1282" t="s">
        <v>121</v>
      </c>
      <c r="V1282">
        <f>IF(BBDD_fashion_boutique[[#This Row],[is_returned]]="False",0,1)</f>
        <v>1</v>
      </c>
      <c r="W1282">
        <f>IF(BBDD_fashion_boutique[[#This Row],[is_returned]]="True",0,BBDD_fashion_boutique[[#This Row],[current_price]])</f>
        <v>0</v>
      </c>
      <c r="X1282" t="str">
        <f>IF(BBDD_fashion_boutique[[#This Row],[return_reason]]="","No return",BBDD_fashion_boutique[[#This Row],[return_reason]])</f>
        <v>Changed Mind</v>
      </c>
      <c r="Y1282">
        <f>IF(IFERROR(VLOOKUP(BBDD_fashion_boutique[[#This Row],[product_id]],A1283:A3458,1,FALSE),0),1,0)</f>
        <v>0</v>
      </c>
    </row>
    <row r="1283" spans="1:25" x14ac:dyDescent="0.3">
      <c r="A1283" t="s">
        <v>1342</v>
      </c>
      <c r="B1283" t="s">
        <v>44</v>
      </c>
      <c r="C1283" t="s">
        <v>20</v>
      </c>
      <c r="D1283" t="s">
        <v>39</v>
      </c>
      <c r="E1283" t="s">
        <v>55</v>
      </c>
      <c r="F1283" t="str">
        <f>IF(BBDD_fashion_boutique[[#This Row],[category]]="Accessories","Accesorio",IF(BBDD_fashion_boutique[[#This Row],[size]]="","Desconocido",BBDD_fashion_boutique[[#This Row],[size]]))</f>
        <v>XXL</v>
      </c>
      <c r="G1283" t="s">
        <v>76</v>
      </c>
      <c r="H1283" s="2">
        <v>96.88</v>
      </c>
      <c r="I1283">
        <v>44.8</v>
      </c>
      <c r="J1283" s="5">
        <f>BBDD_fashion_boutique[[#This Row],[markdown_percentage]]/100</f>
        <v>0.44799999999999995</v>
      </c>
      <c r="K1283" s="2">
        <v>53.48</v>
      </c>
      <c r="L1283" s="2">
        <f>BBDD_fashion_boutique[[#This Row],[original_price]]-BBDD_fashion_boutique[[#This Row],[current_price]]</f>
        <v>43.4</v>
      </c>
      <c r="M1283" s="1">
        <v>45875</v>
      </c>
      <c r="N1283" s="1" t="str">
        <f>PROPER(TEXT(BBDD_fashion_boutique[[#This Row],[purchase_date]],"dddd"))</f>
        <v>Miércoles</v>
      </c>
      <c r="O1283" s="1" t="str">
        <f>PROPER(TEXT(BBDD_fashion_boutique[[#This Row],[purchase_date]],"mmmm"))</f>
        <v>Agosto</v>
      </c>
      <c r="P1283" s="4">
        <v>15</v>
      </c>
      <c r="Q1283" s="2">
        <v>1.3</v>
      </c>
      <c r="R1283" t="str">
        <f>IF(BBDD_fashion_boutique[[#This Row],[stock_quantity]]&gt;9,"Ok",IF(BBDD_fashion_boutique[[#This Row],[stock_quantity]]=0,"Agotado","Pocas Unidades"))</f>
        <v>Ok</v>
      </c>
      <c r="S1283" s="3">
        <f>IF(BBDD_fashion_boutique[[#This Row],[customer_rating]]="","No valorado",BBDD_fashion_boutique[[#This Row],[customer_rating]])</f>
        <v>1.3</v>
      </c>
      <c r="T1283" t="s">
        <v>24</v>
      </c>
      <c r="V1283">
        <f>IF(BBDD_fashion_boutique[[#This Row],[is_returned]]="False",0,1)</f>
        <v>0</v>
      </c>
      <c r="W1283">
        <f>IF(BBDD_fashion_boutique[[#This Row],[is_returned]]="True",0,BBDD_fashion_boutique[[#This Row],[current_price]])</f>
        <v>53.48</v>
      </c>
      <c r="X1283" t="str">
        <f>IF(BBDD_fashion_boutique[[#This Row],[return_reason]]="","No return",BBDD_fashion_boutique[[#This Row],[return_reason]])</f>
        <v>No return</v>
      </c>
      <c r="Y1283">
        <f>IF(IFERROR(VLOOKUP(BBDD_fashion_boutique[[#This Row],[product_id]],A1284:A3459,1,FALSE),0),1,0)</f>
        <v>0</v>
      </c>
    </row>
    <row r="1284" spans="1:25" x14ac:dyDescent="0.3">
      <c r="A1284" t="s">
        <v>1343</v>
      </c>
      <c r="B1284" t="s">
        <v>26</v>
      </c>
      <c r="C1284" t="s">
        <v>54</v>
      </c>
      <c r="D1284" t="s">
        <v>21</v>
      </c>
      <c r="E1284" t="s">
        <v>22</v>
      </c>
      <c r="F1284" t="str">
        <f>IF(BBDD_fashion_boutique[[#This Row],[category]]="Accessories","Accesorio",IF(BBDD_fashion_boutique[[#This Row],[size]]="","Desconocido",BBDD_fashion_boutique[[#This Row],[size]]))</f>
        <v>XL</v>
      </c>
      <c r="G1284" t="s">
        <v>50</v>
      </c>
      <c r="H1284" s="2">
        <v>46.44</v>
      </c>
      <c r="I1284">
        <v>36.799999999999997</v>
      </c>
      <c r="J1284" s="5">
        <f>BBDD_fashion_boutique[[#This Row],[markdown_percentage]]/100</f>
        <v>0.36799999999999999</v>
      </c>
      <c r="K1284" s="2">
        <v>29.35</v>
      </c>
      <c r="L1284" s="2">
        <f>BBDD_fashion_boutique[[#This Row],[original_price]]-BBDD_fashion_boutique[[#This Row],[current_price]]</f>
        <v>17.089999999999996</v>
      </c>
      <c r="M1284" s="1">
        <v>45727</v>
      </c>
      <c r="N1284" s="1" t="str">
        <f>PROPER(TEXT(BBDD_fashion_boutique[[#This Row],[purchase_date]],"dddd"))</f>
        <v>Martes</v>
      </c>
      <c r="O1284" s="1" t="str">
        <f>PROPER(TEXT(BBDD_fashion_boutique[[#This Row],[purchase_date]],"mmmm"))</f>
        <v>Marzo</v>
      </c>
      <c r="P1284" s="4">
        <v>19</v>
      </c>
      <c r="Q1284" s="2">
        <v>1.9</v>
      </c>
      <c r="R1284" t="str">
        <f>IF(BBDD_fashion_boutique[[#This Row],[stock_quantity]]&gt;9,"Ok",IF(BBDD_fashion_boutique[[#This Row],[stock_quantity]]=0,"Agotado","Pocas Unidades"))</f>
        <v>Ok</v>
      </c>
      <c r="S1284" s="3">
        <f>IF(BBDD_fashion_boutique[[#This Row],[customer_rating]]="","No valorado",BBDD_fashion_boutique[[#This Row],[customer_rating]])</f>
        <v>1.9</v>
      </c>
      <c r="T1284" t="s">
        <v>24</v>
      </c>
      <c r="V1284">
        <f>IF(BBDD_fashion_boutique[[#This Row],[is_returned]]="False",0,1)</f>
        <v>0</v>
      </c>
      <c r="W1284">
        <f>IF(BBDD_fashion_boutique[[#This Row],[is_returned]]="True",0,BBDD_fashion_boutique[[#This Row],[current_price]])</f>
        <v>29.35</v>
      </c>
      <c r="X1284" t="str">
        <f>IF(BBDD_fashion_boutique[[#This Row],[return_reason]]="","No return",BBDD_fashion_boutique[[#This Row],[return_reason]])</f>
        <v>No return</v>
      </c>
      <c r="Y1284">
        <f>IF(IFERROR(VLOOKUP(BBDD_fashion_boutique[[#This Row],[product_id]],A1285:A3460,1,FALSE),0),1,0)</f>
        <v>0</v>
      </c>
    </row>
    <row r="1285" spans="1:25" x14ac:dyDescent="0.3">
      <c r="A1285" t="s">
        <v>1344</v>
      </c>
      <c r="B1285" t="s">
        <v>44</v>
      </c>
      <c r="C1285" t="s">
        <v>67</v>
      </c>
      <c r="D1285" t="s">
        <v>28</v>
      </c>
      <c r="E1285" t="s">
        <v>29</v>
      </c>
      <c r="F1285" t="str">
        <f>IF(BBDD_fashion_boutique[[#This Row],[category]]="Accessories","Accesorio",IF(BBDD_fashion_boutique[[#This Row],[size]]="","Desconocido",BBDD_fashion_boutique[[#This Row],[size]]))</f>
        <v>L</v>
      </c>
      <c r="G1285" t="s">
        <v>76</v>
      </c>
      <c r="H1285" s="2">
        <v>86.4</v>
      </c>
      <c r="I1285">
        <v>0</v>
      </c>
      <c r="J1285" s="5">
        <f>BBDD_fashion_boutique[[#This Row],[markdown_percentage]]/100</f>
        <v>0</v>
      </c>
      <c r="K1285" s="2">
        <v>86.4</v>
      </c>
      <c r="L1285" s="2">
        <f>BBDD_fashion_boutique[[#This Row],[original_price]]-BBDD_fashion_boutique[[#This Row],[current_price]]</f>
        <v>0</v>
      </c>
      <c r="M1285" s="1">
        <v>45875</v>
      </c>
      <c r="N1285" s="1" t="str">
        <f>PROPER(TEXT(BBDD_fashion_boutique[[#This Row],[purchase_date]],"dddd"))</f>
        <v>Miércoles</v>
      </c>
      <c r="O1285" s="1" t="str">
        <f>PROPER(TEXT(BBDD_fashion_boutique[[#This Row],[purchase_date]],"mmmm"))</f>
        <v>Agosto</v>
      </c>
      <c r="P1285" s="4">
        <v>26</v>
      </c>
      <c r="Q1285" s="2">
        <v>3.7</v>
      </c>
      <c r="R1285" t="str">
        <f>IF(BBDD_fashion_boutique[[#This Row],[stock_quantity]]&gt;9,"Ok",IF(BBDD_fashion_boutique[[#This Row],[stock_quantity]]=0,"Agotado","Pocas Unidades"))</f>
        <v>Ok</v>
      </c>
      <c r="S1285" s="3">
        <f>IF(BBDD_fashion_boutique[[#This Row],[customer_rating]]="","No valorado",BBDD_fashion_boutique[[#This Row],[customer_rating]])</f>
        <v>3.7</v>
      </c>
      <c r="T1285" t="s">
        <v>24</v>
      </c>
      <c r="V1285">
        <f>IF(BBDD_fashion_boutique[[#This Row],[is_returned]]="False",0,1)</f>
        <v>0</v>
      </c>
      <c r="W1285">
        <f>IF(BBDD_fashion_boutique[[#This Row],[is_returned]]="True",0,BBDD_fashion_boutique[[#This Row],[current_price]])</f>
        <v>86.4</v>
      </c>
      <c r="X1285" t="str">
        <f>IF(BBDD_fashion_boutique[[#This Row],[return_reason]]="","No return",BBDD_fashion_boutique[[#This Row],[return_reason]])</f>
        <v>No return</v>
      </c>
      <c r="Y1285">
        <f>IF(IFERROR(VLOOKUP(BBDD_fashion_boutique[[#This Row],[product_id]],A1286:A3461,1,FALSE),0),1,0)</f>
        <v>0</v>
      </c>
    </row>
    <row r="1286" spans="1:25" x14ac:dyDescent="0.3">
      <c r="A1286" t="s">
        <v>1345</v>
      </c>
      <c r="B1286" t="s">
        <v>44</v>
      </c>
      <c r="C1286" t="s">
        <v>49</v>
      </c>
      <c r="D1286" t="s">
        <v>39</v>
      </c>
      <c r="E1286" t="s">
        <v>55</v>
      </c>
      <c r="F1286" t="str">
        <f>IF(BBDD_fashion_boutique[[#This Row],[category]]="Accessories","Accesorio",IF(BBDD_fashion_boutique[[#This Row],[size]]="","Desconocido",BBDD_fashion_boutique[[#This Row],[size]]))</f>
        <v>XXL</v>
      </c>
      <c r="G1286" t="s">
        <v>52</v>
      </c>
      <c r="H1286" s="2">
        <v>113.83</v>
      </c>
      <c r="I1286">
        <v>51.6</v>
      </c>
      <c r="J1286" s="5">
        <f>BBDD_fashion_boutique[[#This Row],[markdown_percentage]]/100</f>
        <v>0.51600000000000001</v>
      </c>
      <c r="K1286" s="2">
        <v>55.09</v>
      </c>
      <c r="L1286" s="2">
        <f>BBDD_fashion_boutique[[#This Row],[original_price]]-BBDD_fashion_boutique[[#This Row],[current_price]]</f>
        <v>58.739999999999995</v>
      </c>
      <c r="M1286" s="1">
        <v>45875</v>
      </c>
      <c r="N1286" s="1" t="str">
        <f>PROPER(TEXT(BBDD_fashion_boutique[[#This Row],[purchase_date]],"dddd"))</f>
        <v>Miércoles</v>
      </c>
      <c r="O1286" s="1" t="str">
        <f>PROPER(TEXT(BBDD_fashion_boutique[[#This Row],[purchase_date]],"mmmm"))</f>
        <v>Agosto</v>
      </c>
      <c r="P1286" s="4">
        <v>12</v>
      </c>
      <c r="Q1286" s="2">
        <v>2.9</v>
      </c>
      <c r="R1286" t="str">
        <f>IF(BBDD_fashion_boutique[[#This Row],[stock_quantity]]&gt;9,"Ok",IF(BBDD_fashion_boutique[[#This Row],[stock_quantity]]=0,"Agotado","Pocas Unidades"))</f>
        <v>Ok</v>
      </c>
      <c r="S1286" s="3">
        <f>IF(BBDD_fashion_boutique[[#This Row],[customer_rating]]="","No valorado",BBDD_fashion_boutique[[#This Row],[customer_rating]])</f>
        <v>2.9</v>
      </c>
      <c r="T1286" t="s">
        <v>24</v>
      </c>
      <c r="V1286">
        <f>IF(BBDD_fashion_boutique[[#This Row],[is_returned]]="False",0,1)</f>
        <v>0</v>
      </c>
      <c r="W1286">
        <f>IF(BBDD_fashion_boutique[[#This Row],[is_returned]]="True",0,BBDD_fashion_boutique[[#This Row],[current_price]])</f>
        <v>55.09</v>
      </c>
      <c r="X1286" t="str">
        <f>IF(BBDD_fashion_boutique[[#This Row],[return_reason]]="","No return",BBDD_fashion_boutique[[#This Row],[return_reason]])</f>
        <v>No return</v>
      </c>
      <c r="Y1286">
        <f>IF(IFERROR(VLOOKUP(BBDD_fashion_boutique[[#This Row],[product_id]],A1287:A3462,1,FALSE),0),1,0)</f>
        <v>0</v>
      </c>
    </row>
    <row r="1287" spans="1:25" x14ac:dyDescent="0.3">
      <c r="A1287" t="s">
        <v>1346</v>
      </c>
      <c r="B1287" t="s">
        <v>44</v>
      </c>
      <c r="C1287" t="s">
        <v>20</v>
      </c>
      <c r="D1287" t="s">
        <v>68</v>
      </c>
      <c r="E1287" t="s">
        <v>61</v>
      </c>
      <c r="F1287" t="str">
        <f>IF(BBDD_fashion_boutique[[#This Row],[category]]="Accessories","Accesorio",IF(BBDD_fashion_boutique[[#This Row],[size]]="","Desconocido",BBDD_fashion_boutique[[#This Row],[size]]))</f>
        <v>XS</v>
      </c>
      <c r="G1287" t="s">
        <v>72</v>
      </c>
      <c r="H1287" s="2">
        <v>64.680000000000007</v>
      </c>
      <c r="I1287">
        <v>42.9</v>
      </c>
      <c r="J1287" s="5">
        <f>BBDD_fashion_boutique[[#This Row],[markdown_percentage]]/100</f>
        <v>0.42899999999999999</v>
      </c>
      <c r="K1287" s="2">
        <v>36.93</v>
      </c>
      <c r="L1287" s="2">
        <f>BBDD_fashion_boutique[[#This Row],[original_price]]-BBDD_fashion_boutique[[#This Row],[current_price]]</f>
        <v>27.750000000000007</v>
      </c>
      <c r="M1287" s="1">
        <v>45875</v>
      </c>
      <c r="N1287" s="1" t="str">
        <f>PROPER(TEXT(BBDD_fashion_boutique[[#This Row],[purchase_date]],"dddd"))</f>
        <v>Miércoles</v>
      </c>
      <c r="O1287" s="1" t="str">
        <f>PROPER(TEXT(BBDD_fashion_boutique[[#This Row],[purchase_date]],"mmmm"))</f>
        <v>Agosto</v>
      </c>
      <c r="P1287" s="4">
        <v>36</v>
      </c>
      <c r="R1287" t="str">
        <f>IF(BBDD_fashion_boutique[[#This Row],[stock_quantity]]&gt;9,"Ok",IF(BBDD_fashion_boutique[[#This Row],[stock_quantity]]=0,"Agotado","Pocas Unidades"))</f>
        <v>Ok</v>
      </c>
      <c r="S1287" s="3" t="str">
        <f>IF(BBDD_fashion_boutique[[#This Row],[customer_rating]]="","No valorado",BBDD_fashion_boutique[[#This Row],[customer_rating]])</f>
        <v>No valorado</v>
      </c>
      <c r="T1287" t="s">
        <v>24</v>
      </c>
      <c r="V1287">
        <f>IF(BBDD_fashion_boutique[[#This Row],[is_returned]]="False",0,1)</f>
        <v>0</v>
      </c>
      <c r="W1287">
        <f>IF(BBDD_fashion_boutique[[#This Row],[is_returned]]="True",0,BBDD_fashion_boutique[[#This Row],[current_price]])</f>
        <v>36.93</v>
      </c>
      <c r="X1287" t="str">
        <f>IF(BBDD_fashion_boutique[[#This Row],[return_reason]]="","No return",BBDD_fashion_boutique[[#This Row],[return_reason]])</f>
        <v>No return</v>
      </c>
      <c r="Y1287">
        <f>IF(IFERROR(VLOOKUP(BBDD_fashion_boutique[[#This Row],[product_id]],A1288:A3463,1,FALSE),0),1,0)</f>
        <v>0</v>
      </c>
    </row>
    <row r="1288" spans="1:25" x14ac:dyDescent="0.3">
      <c r="A1288" t="s">
        <v>1347</v>
      </c>
      <c r="B1288" t="s">
        <v>35</v>
      </c>
      <c r="C1288" t="s">
        <v>81</v>
      </c>
      <c r="D1288" t="s">
        <v>39</v>
      </c>
      <c r="F1288" t="str">
        <f>IF(BBDD_fashion_boutique[[#This Row],[category]]="Accessories","Accesorio",IF(BBDD_fashion_boutique[[#This Row],[size]]="","Desconocido",BBDD_fashion_boutique[[#This Row],[size]]))</f>
        <v>Desconocido</v>
      </c>
      <c r="G1288" t="s">
        <v>62</v>
      </c>
      <c r="H1288" s="2">
        <v>123.23</v>
      </c>
      <c r="I1288">
        <v>0</v>
      </c>
      <c r="J1288" s="5">
        <f>BBDD_fashion_boutique[[#This Row],[markdown_percentage]]/100</f>
        <v>0</v>
      </c>
      <c r="K1288" s="2">
        <v>123.23</v>
      </c>
      <c r="L1288" s="2">
        <f>BBDD_fashion_boutique[[#This Row],[original_price]]-BBDD_fashion_boutique[[#This Row],[current_price]]</f>
        <v>0</v>
      </c>
      <c r="M1288" s="1">
        <v>45875</v>
      </c>
      <c r="N1288" s="1" t="str">
        <f>PROPER(TEXT(BBDD_fashion_boutique[[#This Row],[purchase_date]],"dddd"))</f>
        <v>Miércoles</v>
      </c>
      <c r="O1288" s="1" t="str">
        <f>PROPER(TEXT(BBDD_fashion_boutique[[#This Row],[purchase_date]],"mmmm"))</f>
        <v>Agosto</v>
      </c>
      <c r="P1288" s="4">
        <v>40</v>
      </c>
      <c r="Q1288" s="2">
        <v>4.3</v>
      </c>
      <c r="R1288" t="str">
        <f>IF(BBDD_fashion_boutique[[#This Row],[stock_quantity]]&gt;9,"Ok",IF(BBDD_fashion_boutique[[#This Row],[stock_quantity]]=0,"Agotado","Pocas Unidades"))</f>
        <v>Ok</v>
      </c>
      <c r="S1288" s="3">
        <f>IF(BBDD_fashion_boutique[[#This Row],[customer_rating]]="","No valorado",BBDD_fashion_boutique[[#This Row],[customer_rating]])</f>
        <v>4.3</v>
      </c>
      <c r="T1288" t="s">
        <v>24</v>
      </c>
      <c r="V1288">
        <f>IF(BBDD_fashion_boutique[[#This Row],[is_returned]]="False",0,1)</f>
        <v>0</v>
      </c>
      <c r="W1288">
        <f>IF(BBDD_fashion_boutique[[#This Row],[is_returned]]="True",0,BBDD_fashion_boutique[[#This Row],[current_price]])</f>
        <v>123.23</v>
      </c>
      <c r="X1288" t="str">
        <f>IF(BBDD_fashion_boutique[[#This Row],[return_reason]]="","No return",BBDD_fashion_boutique[[#This Row],[return_reason]])</f>
        <v>No return</v>
      </c>
      <c r="Y1288">
        <f>IF(IFERROR(VLOOKUP(BBDD_fashion_boutique[[#This Row],[product_id]],A1289:A3464,1,FALSE),0),1,0)</f>
        <v>0</v>
      </c>
    </row>
    <row r="1289" spans="1:25" x14ac:dyDescent="0.3">
      <c r="A1289" t="s">
        <v>1348</v>
      </c>
      <c r="B1289" t="s">
        <v>32</v>
      </c>
      <c r="C1289" t="s">
        <v>59</v>
      </c>
      <c r="D1289" t="s">
        <v>28</v>
      </c>
      <c r="F1289" t="str">
        <f>IF(BBDD_fashion_boutique[[#This Row],[category]]="Accessories","Accesorio",IF(BBDD_fashion_boutique[[#This Row],[size]]="","Desconocido",BBDD_fashion_boutique[[#This Row],[size]]))</f>
        <v>Accesorio</v>
      </c>
      <c r="G1289" t="s">
        <v>23</v>
      </c>
      <c r="H1289" s="2">
        <v>69.69</v>
      </c>
      <c r="I1289">
        <v>0</v>
      </c>
      <c r="J1289" s="5">
        <f>BBDD_fashion_boutique[[#This Row],[markdown_percentage]]/100</f>
        <v>0</v>
      </c>
      <c r="K1289" s="2">
        <v>69.69</v>
      </c>
      <c r="L1289" s="2">
        <f>BBDD_fashion_boutique[[#This Row],[original_price]]-BBDD_fashion_boutique[[#This Row],[current_price]]</f>
        <v>0</v>
      </c>
      <c r="M1289" s="1">
        <v>45875</v>
      </c>
      <c r="N1289" s="1" t="str">
        <f>PROPER(TEXT(BBDD_fashion_boutique[[#This Row],[purchase_date]],"dddd"))</f>
        <v>Miércoles</v>
      </c>
      <c r="O1289" s="1" t="str">
        <f>PROPER(TEXT(BBDD_fashion_boutique[[#This Row],[purchase_date]],"mmmm"))</f>
        <v>Agosto</v>
      </c>
      <c r="P1289" s="4">
        <v>35</v>
      </c>
      <c r="Q1289" s="2">
        <v>3</v>
      </c>
      <c r="R1289" t="str">
        <f>IF(BBDD_fashion_boutique[[#This Row],[stock_quantity]]&gt;9,"Ok",IF(BBDD_fashion_boutique[[#This Row],[stock_quantity]]=0,"Agotado","Pocas Unidades"))</f>
        <v>Ok</v>
      </c>
      <c r="S1289" s="3">
        <f>IF(BBDD_fashion_boutique[[#This Row],[customer_rating]]="","No valorado",BBDD_fashion_boutique[[#This Row],[customer_rating]])</f>
        <v>3</v>
      </c>
      <c r="T1289" t="s">
        <v>24</v>
      </c>
      <c r="V1289">
        <f>IF(BBDD_fashion_boutique[[#This Row],[is_returned]]="False",0,1)</f>
        <v>0</v>
      </c>
      <c r="W1289">
        <f>IF(BBDD_fashion_boutique[[#This Row],[is_returned]]="True",0,BBDD_fashion_boutique[[#This Row],[current_price]])</f>
        <v>69.69</v>
      </c>
      <c r="X1289" t="str">
        <f>IF(BBDD_fashion_boutique[[#This Row],[return_reason]]="","No return",BBDD_fashion_boutique[[#This Row],[return_reason]])</f>
        <v>No return</v>
      </c>
      <c r="Y1289">
        <f>IF(IFERROR(VLOOKUP(BBDD_fashion_boutique[[#This Row],[product_id]],A1290:A3465,1,FALSE),0),1,0)</f>
        <v>0</v>
      </c>
    </row>
    <row r="1290" spans="1:25" x14ac:dyDescent="0.3">
      <c r="A1290" t="s">
        <v>1349</v>
      </c>
      <c r="B1290" t="s">
        <v>32</v>
      </c>
      <c r="C1290" t="s">
        <v>37</v>
      </c>
      <c r="D1290" t="s">
        <v>28</v>
      </c>
      <c r="F1290" t="str">
        <f>IF(BBDD_fashion_boutique[[#This Row],[category]]="Accessories","Accesorio",IF(BBDD_fashion_boutique[[#This Row],[size]]="","Desconocido",BBDD_fashion_boutique[[#This Row],[size]]))</f>
        <v>Accesorio</v>
      </c>
      <c r="G1290" t="s">
        <v>52</v>
      </c>
      <c r="H1290" s="2">
        <v>46.15</v>
      </c>
      <c r="I1290">
        <v>24.4</v>
      </c>
      <c r="J1290" s="5">
        <f>BBDD_fashion_boutique[[#This Row],[markdown_percentage]]/100</f>
        <v>0.24399999999999999</v>
      </c>
      <c r="K1290" s="2">
        <v>34.89</v>
      </c>
      <c r="L1290" s="2">
        <f>BBDD_fashion_boutique[[#This Row],[original_price]]-BBDD_fashion_boutique[[#This Row],[current_price]]</f>
        <v>11.259999999999998</v>
      </c>
      <c r="M1290" s="1">
        <v>45875</v>
      </c>
      <c r="N1290" s="1" t="str">
        <f>PROPER(TEXT(BBDD_fashion_boutique[[#This Row],[purchase_date]],"dddd"))</f>
        <v>Miércoles</v>
      </c>
      <c r="O1290" s="1" t="str">
        <f>PROPER(TEXT(BBDD_fashion_boutique[[#This Row],[purchase_date]],"mmmm"))</f>
        <v>Agosto</v>
      </c>
      <c r="P1290" s="4">
        <v>31</v>
      </c>
      <c r="Q1290" s="2">
        <v>4.4000000000000004</v>
      </c>
      <c r="R1290" t="str">
        <f>IF(BBDD_fashion_boutique[[#This Row],[stock_quantity]]&gt;9,"Ok",IF(BBDD_fashion_boutique[[#This Row],[stock_quantity]]=0,"Agotado","Pocas Unidades"))</f>
        <v>Ok</v>
      </c>
      <c r="S1290" s="3">
        <f>IF(BBDD_fashion_boutique[[#This Row],[customer_rating]]="","No valorado",BBDD_fashion_boutique[[#This Row],[customer_rating]])</f>
        <v>4.4000000000000004</v>
      </c>
      <c r="T1290" t="s">
        <v>41</v>
      </c>
      <c r="U1290" t="s">
        <v>79</v>
      </c>
      <c r="V1290">
        <f>IF(BBDD_fashion_boutique[[#This Row],[is_returned]]="False",0,1)</f>
        <v>1</v>
      </c>
      <c r="W1290">
        <f>IF(BBDD_fashion_boutique[[#This Row],[is_returned]]="True",0,BBDD_fashion_boutique[[#This Row],[current_price]])</f>
        <v>0</v>
      </c>
      <c r="X1290" t="str">
        <f>IF(BBDD_fashion_boutique[[#This Row],[return_reason]]="","No return",BBDD_fashion_boutique[[#This Row],[return_reason]])</f>
        <v>Size Issue</v>
      </c>
      <c r="Y1290">
        <f>IF(IFERROR(VLOOKUP(BBDD_fashion_boutique[[#This Row],[product_id]],A1291:A3466,1,FALSE),0),1,0)</f>
        <v>0</v>
      </c>
    </row>
    <row r="1291" spans="1:25" x14ac:dyDescent="0.3">
      <c r="A1291" t="s">
        <v>1350</v>
      </c>
      <c r="B1291" t="s">
        <v>19</v>
      </c>
      <c r="C1291" t="s">
        <v>54</v>
      </c>
      <c r="D1291" t="s">
        <v>68</v>
      </c>
      <c r="E1291" t="s">
        <v>61</v>
      </c>
      <c r="F1291" t="str">
        <f>IF(BBDD_fashion_boutique[[#This Row],[category]]="Accessories","Accesorio",IF(BBDD_fashion_boutique[[#This Row],[size]]="","Desconocido",BBDD_fashion_boutique[[#This Row],[size]]))</f>
        <v>XS</v>
      </c>
      <c r="G1291" t="s">
        <v>70</v>
      </c>
      <c r="H1291" s="2">
        <v>229.8</v>
      </c>
      <c r="I1291">
        <v>0</v>
      </c>
      <c r="J1291" s="5">
        <f>BBDD_fashion_boutique[[#This Row],[markdown_percentage]]/100</f>
        <v>0</v>
      </c>
      <c r="K1291" s="2">
        <v>229.8</v>
      </c>
      <c r="L1291" s="2">
        <f>BBDD_fashion_boutique[[#This Row],[original_price]]-BBDD_fashion_boutique[[#This Row],[current_price]]</f>
        <v>0</v>
      </c>
      <c r="M1291" s="1">
        <v>45875</v>
      </c>
      <c r="N1291" s="1" t="str">
        <f>PROPER(TEXT(BBDD_fashion_boutique[[#This Row],[purchase_date]],"dddd"))</f>
        <v>Miércoles</v>
      </c>
      <c r="O1291" s="1" t="str">
        <f>PROPER(TEXT(BBDD_fashion_boutique[[#This Row],[purchase_date]],"mmmm"))</f>
        <v>Agosto</v>
      </c>
      <c r="P1291" s="4">
        <v>46</v>
      </c>
      <c r="Q1291" s="2">
        <v>3.6</v>
      </c>
      <c r="R1291" t="str">
        <f>IF(BBDD_fashion_boutique[[#This Row],[stock_quantity]]&gt;9,"Ok",IF(BBDD_fashion_boutique[[#This Row],[stock_quantity]]=0,"Agotado","Pocas Unidades"))</f>
        <v>Ok</v>
      </c>
      <c r="S1291" s="3">
        <f>IF(BBDD_fashion_boutique[[#This Row],[customer_rating]]="","No valorado",BBDD_fashion_boutique[[#This Row],[customer_rating]])</f>
        <v>3.6</v>
      </c>
      <c r="T1291" t="s">
        <v>24</v>
      </c>
      <c r="V1291">
        <f>IF(BBDD_fashion_boutique[[#This Row],[is_returned]]="False",0,1)</f>
        <v>0</v>
      </c>
      <c r="W1291">
        <f>IF(BBDD_fashion_boutique[[#This Row],[is_returned]]="True",0,BBDD_fashion_boutique[[#This Row],[current_price]])</f>
        <v>229.8</v>
      </c>
      <c r="X1291" t="str">
        <f>IF(BBDD_fashion_boutique[[#This Row],[return_reason]]="","No return",BBDD_fashion_boutique[[#This Row],[return_reason]])</f>
        <v>No return</v>
      </c>
      <c r="Y1291">
        <f>IF(IFERROR(VLOOKUP(BBDD_fashion_boutique[[#This Row],[product_id]],A1292:A3467,1,FALSE),0),1,0)</f>
        <v>0</v>
      </c>
    </row>
    <row r="1292" spans="1:25" x14ac:dyDescent="0.3">
      <c r="A1292" t="s">
        <v>1351</v>
      </c>
      <c r="B1292" t="s">
        <v>19</v>
      </c>
      <c r="C1292" t="s">
        <v>27</v>
      </c>
      <c r="D1292" t="s">
        <v>39</v>
      </c>
      <c r="E1292" t="s">
        <v>61</v>
      </c>
      <c r="F1292" t="str">
        <f>IF(BBDD_fashion_boutique[[#This Row],[category]]="Accessories","Accesorio",IF(BBDD_fashion_boutique[[#This Row],[size]]="","Desconocido",BBDD_fashion_boutique[[#This Row],[size]]))</f>
        <v>XS</v>
      </c>
      <c r="G1292" t="s">
        <v>72</v>
      </c>
      <c r="H1292" s="2">
        <v>179.44</v>
      </c>
      <c r="I1292">
        <v>19.600000000000001</v>
      </c>
      <c r="J1292" s="5">
        <f>BBDD_fashion_boutique[[#This Row],[markdown_percentage]]/100</f>
        <v>0.19600000000000001</v>
      </c>
      <c r="K1292" s="2">
        <v>144.27000000000001</v>
      </c>
      <c r="L1292" s="2">
        <f>BBDD_fashion_boutique[[#This Row],[original_price]]-BBDD_fashion_boutique[[#This Row],[current_price]]</f>
        <v>35.169999999999987</v>
      </c>
      <c r="M1292" s="1">
        <v>45875</v>
      </c>
      <c r="N1292" s="1" t="str">
        <f>PROPER(TEXT(BBDD_fashion_boutique[[#This Row],[purchase_date]],"dddd"))</f>
        <v>Miércoles</v>
      </c>
      <c r="O1292" s="1" t="str">
        <f>PROPER(TEXT(BBDD_fashion_boutique[[#This Row],[purchase_date]],"mmmm"))</f>
        <v>Agosto</v>
      </c>
      <c r="P1292" s="4">
        <v>42</v>
      </c>
      <c r="Q1292" s="2">
        <v>3</v>
      </c>
      <c r="R1292" t="str">
        <f>IF(BBDD_fashion_boutique[[#This Row],[stock_quantity]]&gt;9,"Ok",IF(BBDD_fashion_boutique[[#This Row],[stock_quantity]]=0,"Agotado","Pocas Unidades"))</f>
        <v>Ok</v>
      </c>
      <c r="S1292" s="3">
        <f>IF(BBDD_fashion_boutique[[#This Row],[customer_rating]]="","No valorado",BBDD_fashion_boutique[[#This Row],[customer_rating]])</f>
        <v>3</v>
      </c>
      <c r="T1292" t="s">
        <v>24</v>
      </c>
      <c r="V1292">
        <f>IF(BBDD_fashion_boutique[[#This Row],[is_returned]]="False",0,1)</f>
        <v>0</v>
      </c>
      <c r="W1292">
        <f>IF(BBDD_fashion_boutique[[#This Row],[is_returned]]="True",0,BBDD_fashion_boutique[[#This Row],[current_price]])</f>
        <v>144.27000000000001</v>
      </c>
      <c r="X1292" t="str">
        <f>IF(BBDD_fashion_boutique[[#This Row],[return_reason]]="","No return",BBDD_fashion_boutique[[#This Row],[return_reason]])</f>
        <v>No return</v>
      </c>
      <c r="Y1292">
        <f>IF(IFERROR(VLOOKUP(BBDD_fashion_boutique[[#This Row],[product_id]],A1293:A3468,1,FALSE),0),1,0)</f>
        <v>0</v>
      </c>
    </row>
    <row r="1293" spans="1:25" x14ac:dyDescent="0.3">
      <c r="A1293" t="s">
        <v>1352</v>
      </c>
      <c r="B1293" t="s">
        <v>35</v>
      </c>
      <c r="C1293" t="s">
        <v>37</v>
      </c>
      <c r="D1293" t="s">
        <v>39</v>
      </c>
      <c r="E1293" t="s">
        <v>29</v>
      </c>
      <c r="F1293" t="str">
        <f>IF(BBDD_fashion_boutique[[#This Row],[category]]="Accessories","Accesorio",IF(BBDD_fashion_boutique[[#This Row],[size]]="","Desconocido",BBDD_fashion_boutique[[#This Row],[size]]))</f>
        <v>L</v>
      </c>
      <c r="G1293" t="s">
        <v>52</v>
      </c>
      <c r="H1293" s="2">
        <v>80.959999999999994</v>
      </c>
      <c r="I1293">
        <v>56.3</v>
      </c>
      <c r="J1293" s="5">
        <f>BBDD_fashion_boutique[[#This Row],[markdown_percentage]]/100</f>
        <v>0.56299999999999994</v>
      </c>
      <c r="K1293" s="2">
        <v>35.380000000000003</v>
      </c>
      <c r="L1293" s="2">
        <f>BBDD_fashion_boutique[[#This Row],[original_price]]-BBDD_fashion_boutique[[#This Row],[current_price]]</f>
        <v>45.579999999999991</v>
      </c>
      <c r="M1293" s="1">
        <v>45875</v>
      </c>
      <c r="N1293" s="1" t="str">
        <f>PROPER(TEXT(BBDD_fashion_boutique[[#This Row],[purchase_date]],"dddd"))</f>
        <v>Miércoles</v>
      </c>
      <c r="O1293" s="1" t="str">
        <f>PROPER(TEXT(BBDD_fashion_boutique[[#This Row],[purchase_date]],"mmmm"))</f>
        <v>Agosto</v>
      </c>
      <c r="P1293" s="4">
        <v>41</v>
      </c>
      <c r="Q1293" s="2">
        <v>2.2000000000000002</v>
      </c>
      <c r="R1293" t="str">
        <f>IF(BBDD_fashion_boutique[[#This Row],[stock_quantity]]&gt;9,"Ok",IF(BBDD_fashion_boutique[[#This Row],[stock_quantity]]=0,"Agotado","Pocas Unidades"))</f>
        <v>Ok</v>
      </c>
      <c r="S1293" s="3">
        <f>IF(BBDD_fashion_boutique[[#This Row],[customer_rating]]="","No valorado",BBDD_fashion_boutique[[#This Row],[customer_rating]])</f>
        <v>2.2000000000000002</v>
      </c>
      <c r="T1293" t="s">
        <v>41</v>
      </c>
      <c r="U1293" t="s">
        <v>121</v>
      </c>
      <c r="V1293">
        <f>IF(BBDD_fashion_boutique[[#This Row],[is_returned]]="False",0,1)</f>
        <v>1</v>
      </c>
      <c r="W1293">
        <f>IF(BBDD_fashion_boutique[[#This Row],[is_returned]]="True",0,BBDD_fashion_boutique[[#This Row],[current_price]])</f>
        <v>0</v>
      </c>
      <c r="X1293" t="str">
        <f>IF(BBDD_fashion_boutique[[#This Row],[return_reason]]="","No return",BBDD_fashion_boutique[[#This Row],[return_reason]])</f>
        <v>Changed Mind</v>
      </c>
      <c r="Y1293">
        <f>IF(IFERROR(VLOOKUP(BBDD_fashion_boutique[[#This Row],[product_id]],A1294:A3469,1,FALSE),0),1,0)</f>
        <v>0</v>
      </c>
    </row>
    <row r="1294" spans="1:25" x14ac:dyDescent="0.3">
      <c r="A1294" t="s">
        <v>1353</v>
      </c>
      <c r="B1294" t="s">
        <v>44</v>
      </c>
      <c r="C1294" t="s">
        <v>27</v>
      </c>
      <c r="D1294" t="s">
        <v>39</v>
      </c>
      <c r="E1294" t="s">
        <v>29</v>
      </c>
      <c r="F1294" t="str">
        <f>IF(BBDD_fashion_boutique[[#This Row],[category]]="Accessories","Accesorio",IF(BBDD_fashion_boutique[[#This Row],[size]]="","Desconocido",BBDD_fashion_boutique[[#This Row],[size]]))</f>
        <v>L</v>
      </c>
      <c r="G1294" t="s">
        <v>52</v>
      </c>
      <c r="H1294" s="2">
        <v>62.3</v>
      </c>
      <c r="I1294">
        <v>19.2</v>
      </c>
      <c r="J1294" s="5">
        <f>BBDD_fashion_boutique[[#This Row],[markdown_percentage]]/100</f>
        <v>0.192</v>
      </c>
      <c r="K1294" s="2">
        <v>50.34</v>
      </c>
      <c r="L1294" s="2">
        <f>BBDD_fashion_boutique[[#This Row],[original_price]]-BBDD_fashion_boutique[[#This Row],[current_price]]</f>
        <v>11.959999999999994</v>
      </c>
      <c r="M1294" s="1">
        <v>45875</v>
      </c>
      <c r="N1294" s="1" t="str">
        <f>PROPER(TEXT(BBDD_fashion_boutique[[#This Row],[purchase_date]],"dddd"))</f>
        <v>Miércoles</v>
      </c>
      <c r="O1294" s="1" t="str">
        <f>PROPER(TEXT(BBDD_fashion_boutique[[#This Row],[purchase_date]],"mmmm"))</f>
        <v>Agosto</v>
      </c>
      <c r="P1294" s="4">
        <v>9</v>
      </c>
      <c r="Q1294" s="2">
        <v>2.5</v>
      </c>
      <c r="R1294" t="str">
        <f>IF(BBDD_fashion_boutique[[#This Row],[stock_quantity]]&gt;9,"Ok",IF(BBDD_fashion_boutique[[#This Row],[stock_quantity]]=0,"Agotado","Pocas Unidades"))</f>
        <v>Pocas Unidades</v>
      </c>
      <c r="S1294" s="3">
        <f>IF(BBDD_fashion_boutique[[#This Row],[customer_rating]]="","No valorado",BBDD_fashion_boutique[[#This Row],[customer_rating]])</f>
        <v>2.5</v>
      </c>
      <c r="T1294" t="s">
        <v>24</v>
      </c>
      <c r="V1294">
        <f>IF(BBDD_fashion_boutique[[#This Row],[is_returned]]="False",0,1)</f>
        <v>0</v>
      </c>
      <c r="W1294">
        <f>IF(BBDD_fashion_boutique[[#This Row],[is_returned]]="True",0,BBDD_fashion_boutique[[#This Row],[current_price]])</f>
        <v>50.34</v>
      </c>
      <c r="X1294" t="str">
        <f>IF(BBDD_fashion_boutique[[#This Row],[return_reason]]="","No return",BBDD_fashion_boutique[[#This Row],[return_reason]])</f>
        <v>No return</v>
      </c>
      <c r="Y1294">
        <f>IF(IFERROR(VLOOKUP(BBDD_fashion_boutique[[#This Row],[product_id]],A1295:A3470,1,FALSE),0),1,0)</f>
        <v>0</v>
      </c>
    </row>
    <row r="1295" spans="1:25" x14ac:dyDescent="0.3">
      <c r="A1295" t="s">
        <v>1354</v>
      </c>
      <c r="B1295" t="s">
        <v>32</v>
      </c>
      <c r="C1295" t="s">
        <v>27</v>
      </c>
      <c r="D1295" t="s">
        <v>39</v>
      </c>
      <c r="F1295" t="str">
        <f>IF(BBDD_fashion_boutique[[#This Row],[category]]="Accessories","Accesorio",IF(BBDD_fashion_boutique[[#This Row],[size]]="","Desconocido",BBDD_fashion_boutique[[#This Row],[size]]))</f>
        <v>Accesorio</v>
      </c>
      <c r="G1295" t="s">
        <v>62</v>
      </c>
      <c r="H1295" s="2">
        <v>58.83</v>
      </c>
      <c r="I1295">
        <v>12.5</v>
      </c>
      <c r="J1295" s="5">
        <f>BBDD_fashion_boutique[[#This Row],[markdown_percentage]]/100</f>
        <v>0.125</v>
      </c>
      <c r="K1295" s="2">
        <v>51.48</v>
      </c>
      <c r="L1295" s="2">
        <f>BBDD_fashion_boutique[[#This Row],[original_price]]-BBDD_fashion_boutique[[#This Row],[current_price]]</f>
        <v>7.3500000000000014</v>
      </c>
      <c r="M1295" s="1">
        <v>45875</v>
      </c>
      <c r="N1295" s="1" t="str">
        <f>PROPER(TEXT(BBDD_fashion_boutique[[#This Row],[purchase_date]],"dddd"))</f>
        <v>Miércoles</v>
      </c>
      <c r="O1295" s="1" t="str">
        <f>PROPER(TEXT(BBDD_fashion_boutique[[#This Row],[purchase_date]],"mmmm"))</f>
        <v>Agosto</v>
      </c>
      <c r="P1295" s="4">
        <v>3</v>
      </c>
      <c r="Q1295" s="2">
        <v>1.5</v>
      </c>
      <c r="R1295" t="str">
        <f>IF(BBDD_fashion_boutique[[#This Row],[stock_quantity]]&gt;9,"Ok",IF(BBDD_fashion_boutique[[#This Row],[stock_quantity]]=0,"Agotado","Pocas Unidades"))</f>
        <v>Pocas Unidades</v>
      </c>
      <c r="S1295" s="3">
        <f>IF(BBDD_fashion_boutique[[#This Row],[customer_rating]]="","No valorado",BBDD_fashion_boutique[[#This Row],[customer_rating]])</f>
        <v>1.5</v>
      </c>
      <c r="T1295" t="s">
        <v>24</v>
      </c>
      <c r="V1295">
        <f>IF(BBDD_fashion_boutique[[#This Row],[is_returned]]="False",0,1)</f>
        <v>0</v>
      </c>
      <c r="W1295">
        <f>IF(BBDD_fashion_boutique[[#This Row],[is_returned]]="True",0,BBDD_fashion_boutique[[#This Row],[current_price]])</f>
        <v>51.48</v>
      </c>
      <c r="X1295" t="str">
        <f>IF(BBDD_fashion_boutique[[#This Row],[return_reason]]="","No return",BBDD_fashion_boutique[[#This Row],[return_reason]])</f>
        <v>No return</v>
      </c>
      <c r="Y1295">
        <f>IF(IFERROR(VLOOKUP(BBDD_fashion_boutique[[#This Row],[product_id]],A1296:A3471,1,FALSE),0),1,0)</f>
        <v>0</v>
      </c>
    </row>
    <row r="1296" spans="1:25" x14ac:dyDescent="0.3">
      <c r="A1296" t="s">
        <v>1355</v>
      </c>
      <c r="B1296" t="s">
        <v>26</v>
      </c>
      <c r="C1296" t="s">
        <v>54</v>
      </c>
      <c r="D1296" t="s">
        <v>68</v>
      </c>
      <c r="E1296" t="s">
        <v>55</v>
      </c>
      <c r="F1296" t="str">
        <f>IF(BBDD_fashion_boutique[[#This Row],[category]]="Accessories","Accesorio",IF(BBDD_fashion_boutique[[#This Row],[size]]="","Desconocido",BBDD_fashion_boutique[[#This Row],[size]]))</f>
        <v>XXL</v>
      </c>
      <c r="G1296" t="s">
        <v>70</v>
      </c>
      <c r="H1296" s="2">
        <v>119.04</v>
      </c>
      <c r="I1296">
        <v>1.7</v>
      </c>
      <c r="J1296" s="5">
        <f>BBDD_fashion_boutique[[#This Row],[markdown_percentage]]/100</f>
        <v>1.7000000000000001E-2</v>
      </c>
      <c r="K1296" s="2">
        <v>117.02</v>
      </c>
      <c r="L1296" s="2">
        <f>BBDD_fashion_boutique[[#This Row],[original_price]]-BBDD_fashion_boutique[[#This Row],[current_price]]</f>
        <v>2.0200000000000102</v>
      </c>
      <c r="M1296" s="1">
        <v>45875</v>
      </c>
      <c r="N1296" s="1" t="str">
        <f>PROPER(TEXT(BBDD_fashion_boutique[[#This Row],[purchase_date]],"dddd"))</f>
        <v>Miércoles</v>
      </c>
      <c r="O1296" s="1" t="str">
        <f>PROPER(TEXT(BBDD_fashion_boutique[[#This Row],[purchase_date]],"mmmm"))</f>
        <v>Agosto</v>
      </c>
      <c r="P1296" s="4">
        <v>34</v>
      </c>
      <c r="Q1296" s="2">
        <v>4.0999999999999996</v>
      </c>
      <c r="R1296" t="str">
        <f>IF(BBDD_fashion_boutique[[#This Row],[stock_quantity]]&gt;9,"Ok",IF(BBDD_fashion_boutique[[#This Row],[stock_quantity]]=0,"Agotado","Pocas Unidades"))</f>
        <v>Ok</v>
      </c>
      <c r="S1296" s="3">
        <f>IF(BBDD_fashion_boutique[[#This Row],[customer_rating]]="","No valorado",BBDD_fashion_boutique[[#This Row],[customer_rating]])</f>
        <v>4.0999999999999996</v>
      </c>
      <c r="T1296" t="s">
        <v>24</v>
      </c>
      <c r="V1296">
        <f>IF(BBDD_fashion_boutique[[#This Row],[is_returned]]="False",0,1)</f>
        <v>0</v>
      </c>
      <c r="W1296">
        <f>IF(BBDD_fashion_boutique[[#This Row],[is_returned]]="True",0,BBDD_fashion_boutique[[#This Row],[current_price]])</f>
        <v>117.02</v>
      </c>
      <c r="X1296" t="str">
        <f>IF(BBDD_fashion_boutique[[#This Row],[return_reason]]="","No return",BBDD_fashion_boutique[[#This Row],[return_reason]])</f>
        <v>No return</v>
      </c>
      <c r="Y1296">
        <f>IF(IFERROR(VLOOKUP(BBDD_fashion_boutique[[#This Row],[product_id]],A1297:A3472,1,FALSE),0),1,0)</f>
        <v>0</v>
      </c>
    </row>
    <row r="1297" spans="1:25" x14ac:dyDescent="0.3">
      <c r="A1297" t="s">
        <v>1356</v>
      </c>
      <c r="B1297" t="s">
        <v>19</v>
      </c>
      <c r="C1297" t="s">
        <v>20</v>
      </c>
      <c r="D1297" t="s">
        <v>68</v>
      </c>
      <c r="E1297" t="s">
        <v>45</v>
      </c>
      <c r="F1297" t="str">
        <f>IF(BBDD_fashion_boutique[[#This Row],[category]]="Accessories","Accesorio",IF(BBDD_fashion_boutique[[#This Row],[size]]="","Desconocido",BBDD_fashion_boutique[[#This Row],[size]]))</f>
        <v>S</v>
      </c>
      <c r="G1297" t="s">
        <v>70</v>
      </c>
      <c r="H1297" s="2">
        <v>80.540000000000006</v>
      </c>
      <c r="I1297">
        <v>0</v>
      </c>
      <c r="J1297" s="5">
        <f>BBDD_fashion_boutique[[#This Row],[markdown_percentage]]/100</f>
        <v>0</v>
      </c>
      <c r="K1297" s="2">
        <v>80.540000000000006</v>
      </c>
      <c r="L1297" s="2">
        <f>BBDD_fashion_boutique[[#This Row],[original_price]]-BBDD_fashion_boutique[[#This Row],[current_price]]</f>
        <v>0</v>
      </c>
      <c r="M1297" s="1">
        <v>45875</v>
      </c>
      <c r="N1297" s="1" t="str">
        <f>PROPER(TEXT(BBDD_fashion_boutique[[#This Row],[purchase_date]],"dddd"))</f>
        <v>Miércoles</v>
      </c>
      <c r="O1297" s="1" t="str">
        <f>PROPER(TEXT(BBDD_fashion_boutique[[#This Row],[purchase_date]],"mmmm"))</f>
        <v>Agosto</v>
      </c>
      <c r="P1297" s="4">
        <v>3</v>
      </c>
      <c r="Q1297" s="2">
        <v>1.8</v>
      </c>
      <c r="R1297" t="str">
        <f>IF(BBDD_fashion_boutique[[#This Row],[stock_quantity]]&gt;9,"Ok",IF(BBDD_fashion_boutique[[#This Row],[stock_quantity]]=0,"Agotado","Pocas Unidades"))</f>
        <v>Pocas Unidades</v>
      </c>
      <c r="S1297" s="3">
        <f>IF(BBDD_fashion_boutique[[#This Row],[customer_rating]]="","No valorado",BBDD_fashion_boutique[[#This Row],[customer_rating]])</f>
        <v>1.8</v>
      </c>
      <c r="T1297" t="s">
        <v>41</v>
      </c>
      <c r="U1297" t="s">
        <v>79</v>
      </c>
      <c r="V1297">
        <f>IF(BBDD_fashion_boutique[[#This Row],[is_returned]]="False",0,1)</f>
        <v>1</v>
      </c>
      <c r="W1297">
        <f>IF(BBDD_fashion_boutique[[#This Row],[is_returned]]="True",0,BBDD_fashion_boutique[[#This Row],[current_price]])</f>
        <v>0</v>
      </c>
      <c r="X1297" t="str">
        <f>IF(BBDD_fashion_boutique[[#This Row],[return_reason]]="","No return",BBDD_fashion_boutique[[#This Row],[return_reason]])</f>
        <v>Size Issue</v>
      </c>
      <c r="Y1297">
        <f>IF(IFERROR(VLOOKUP(BBDD_fashion_boutique[[#This Row],[product_id]],A1298:A3473,1,FALSE),0),1,0)</f>
        <v>0</v>
      </c>
    </row>
    <row r="1298" spans="1:25" x14ac:dyDescent="0.3">
      <c r="A1298" t="s">
        <v>1357</v>
      </c>
      <c r="B1298" t="s">
        <v>44</v>
      </c>
      <c r="C1298" t="s">
        <v>37</v>
      </c>
      <c r="D1298" t="s">
        <v>28</v>
      </c>
      <c r="E1298" t="s">
        <v>61</v>
      </c>
      <c r="F1298" t="str">
        <f>IF(BBDD_fashion_boutique[[#This Row],[category]]="Accessories","Accesorio",IF(BBDD_fashion_boutique[[#This Row],[size]]="","Desconocido",BBDD_fashion_boutique[[#This Row],[size]]))</f>
        <v>XS</v>
      </c>
      <c r="G1298" t="s">
        <v>33</v>
      </c>
      <c r="H1298" s="2">
        <v>47.32</v>
      </c>
      <c r="I1298">
        <v>25.7</v>
      </c>
      <c r="J1298" s="5">
        <f>BBDD_fashion_boutique[[#This Row],[markdown_percentage]]/100</f>
        <v>0.25700000000000001</v>
      </c>
      <c r="K1298" s="2">
        <v>35.159999999999997</v>
      </c>
      <c r="L1298" s="2">
        <f>BBDD_fashion_boutique[[#This Row],[original_price]]-BBDD_fashion_boutique[[#This Row],[current_price]]</f>
        <v>12.160000000000004</v>
      </c>
      <c r="M1298" s="1">
        <v>45875</v>
      </c>
      <c r="N1298" s="1" t="str">
        <f>PROPER(TEXT(BBDD_fashion_boutique[[#This Row],[purchase_date]],"dddd"))</f>
        <v>Miércoles</v>
      </c>
      <c r="O1298" s="1" t="str">
        <f>PROPER(TEXT(BBDD_fashion_boutique[[#This Row],[purchase_date]],"mmmm"))</f>
        <v>Agosto</v>
      </c>
      <c r="P1298" s="4">
        <v>2</v>
      </c>
      <c r="Q1298" s="2">
        <v>3.2</v>
      </c>
      <c r="R1298" t="str">
        <f>IF(BBDD_fashion_boutique[[#This Row],[stock_quantity]]&gt;9,"Ok",IF(BBDD_fashion_boutique[[#This Row],[stock_quantity]]=0,"Agotado","Pocas Unidades"))</f>
        <v>Pocas Unidades</v>
      </c>
      <c r="S1298" s="3">
        <f>IF(BBDD_fashion_boutique[[#This Row],[customer_rating]]="","No valorado",BBDD_fashion_boutique[[#This Row],[customer_rating]])</f>
        <v>3.2</v>
      </c>
      <c r="T1298" t="s">
        <v>24</v>
      </c>
      <c r="V1298">
        <f>IF(BBDD_fashion_boutique[[#This Row],[is_returned]]="False",0,1)</f>
        <v>0</v>
      </c>
      <c r="W1298">
        <f>IF(BBDD_fashion_boutique[[#This Row],[is_returned]]="True",0,BBDD_fashion_boutique[[#This Row],[current_price]])</f>
        <v>35.159999999999997</v>
      </c>
      <c r="X1298" t="str">
        <f>IF(BBDD_fashion_boutique[[#This Row],[return_reason]]="","No return",BBDD_fashion_boutique[[#This Row],[return_reason]])</f>
        <v>No return</v>
      </c>
      <c r="Y1298">
        <f>IF(IFERROR(VLOOKUP(BBDD_fashion_boutique[[#This Row],[product_id]],A1299:A3474,1,FALSE),0),1,0)</f>
        <v>0</v>
      </c>
    </row>
    <row r="1299" spans="1:25" x14ac:dyDescent="0.3">
      <c r="A1299" t="s">
        <v>1358</v>
      </c>
      <c r="B1299" t="s">
        <v>35</v>
      </c>
      <c r="C1299" t="s">
        <v>67</v>
      </c>
      <c r="D1299" t="s">
        <v>28</v>
      </c>
      <c r="E1299" t="s">
        <v>22</v>
      </c>
      <c r="F1299" t="str">
        <f>IF(BBDD_fashion_boutique[[#This Row],[category]]="Accessories","Accesorio",IF(BBDD_fashion_boutique[[#This Row],[size]]="","Desconocido",BBDD_fashion_boutique[[#This Row],[size]]))</f>
        <v>XL</v>
      </c>
      <c r="G1299" t="s">
        <v>30</v>
      </c>
      <c r="H1299" s="2">
        <v>104.57</v>
      </c>
      <c r="I1299">
        <v>27.4</v>
      </c>
      <c r="J1299" s="5">
        <f>BBDD_fashion_boutique[[#This Row],[markdown_percentage]]/100</f>
        <v>0.27399999999999997</v>
      </c>
      <c r="K1299" s="2">
        <v>75.92</v>
      </c>
      <c r="L1299" s="2">
        <f>BBDD_fashion_boutique[[#This Row],[original_price]]-BBDD_fashion_boutique[[#This Row],[current_price]]</f>
        <v>28.649999999999991</v>
      </c>
      <c r="M1299" s="1">
        <v>45875</v>
      </c>
      <c r="N1299" s="1" t="str">
        <f>PROPER(TEXT(BBDD_fashion_boutique[[#This Row],[purchase_date]],"dddd"))</f>
        <v>Miércoles</v>
      </c>
      <c r="O1299" s="1" t="str">
        <f>PROPER(TEXT(BBDD_fashion_boutique[[#This Row],[purchase_date]],"mmmm"))</f>
        <v>Agosto</v>
      </c>
      <c r="P1299" s="4">
        <v>7</v>
      </c>
      <c r="Q1299" s="2">
        <v>1</v>
      </c>
      <c r="R1299" t="str">
        <f>IF(BBDD_fashion_boutique[[#This Row],[stock_quantity]]&gt;9,"Ok",IF(BBDD_fashion_boutique[[#This Row],[stock_quantity]]=0,"Agotado","Pocas Unidades"))</f>
        <v>Pocas Unidades</v>
      </c>
      <c r="S1299" s="3">
        <f>IF(BBDD_fashion_boutique[[#This Row],[customer_rating]]="","No valorado",BBDD_fashion_boutique[[#This Row],[customer_rating]])</f>
        <v>1</v>
      </c>
      <c r="T1299" t="s">
        <v>41</v>
      </c>
      <c r="U1299" t="s">
        <v>89</v>
      </c>
      <c r="V1299">
        <f>IF(BBDD_fashion_boutique[[#This Row],[is_returned]]="False",0,1)</f>
        <v>1</v>
      </c>
      <c r="W1299">
        <f>IF(BBDD_fashion_boutique[[#This Row],[is_returned]]="True",0,BBDD_fashion_boutique[[#This Row],[current_price]])</f>
        <v>0</v>
      </c>
      <c r="X1299" t="str">
        <f>IF(BBDD_fashion_boutique[[#This Row],[return_reason]]="","No return",BBDD_fashion_boutique[[#This Row],[return_reason]])</f>
        <v>Quality Issue</v>
      </c>
      <c r="Y1299">
        <f>IF(IFERROR(VLOOKUP(BBDD_fashion_boutique[[#This Row],[product_id]],A1300:A3475,1,FALSE),0),1,0)</f>
        <v>0</v>
      </c>
    </row>
    <row r="1300" spans="1:25" x14ac:dyDescent="0.3">
      <c r="A1300" t="s">
        <v>1359</v>
      </c>
      <c r="B1300" t="s">
        <v>32</v>
      </c>
      <c r="C1300" t="s">
        <v>20</v>
      </c>
      <c r="D1300" t="s">
        <v>28</v>
      </c>
      <c r="F1300" t="str">
        <f>IF(BBDD_fashion_boutique[[#This Row],[category]]="Accessories","Accesorio",IF(BBDD_fashion_boutique[[#This Row],[size]]="","Desconocido",BBDD_fashion_boutique[[#This Row],[size]]))</f>
        <v>Accesorio</v>
      </c>
      <c r="G1300" t="s">
        <v>50</v>
      </c>
      <c r="H1300" s="2">
        <v>38.369999999999997</v>
      </c>
      <c r="I1300">
        <v>23.3</v>
      </c>
      <c r="J1300" s="5">
        <f>BBDD_fashion_boutique[[#This Row],[markdown_percentage]]/100</f>
        <v>0.23300000000000001</v>
      </c>
      <c r="K1300" s="2">
        <v>29.43</v>
      </c>
      <c r="L1300" s="2">
        <f>BBDD_fashion_boutique[[#This Row],[original_price]]-BBDD_fashion_boutique[[#This Row],[current_price]]</f>
        <v>8.9399999999999977</v>
      </c>
      <c r="M1300" s="1">
        <v>45875</v>
      </c>
      <c r="N1300" s="1" t="str">
        <f>PROPER(TEXT(BBDD_fashion_boutique[[#This Row],[purchase_date]],"dddd"))</f>
        <v>Miércoles</v>
      </c>
      <c r="O1300" s="1" t="str">
        <f>PROPER(TEXT(BBDD_fashion_boutique[[#This Row],[purchase_date]],"mmmm"))</f>
        <v>Agosto</v>
      </c>
      <c r="P1300" s="4">
        <v>22</v>
      </c>
      <c r="Q1300" s="2">
        <v>1.4</v>
      </c>
      <c r="R1300" t="str">
        <f>IF(BBDD_fashion_boutique[[#This Row],[stock_quantity]]&gt;9,"Ok",IF(BBDD_fashion_boutique[[#This Row],[stock_quantity]]=0,"Agotado","Pocas Unidades"))</f>
        <v>Ok</v>
      </c>
      <c r="S1300" s="3">
        <f>IF(BBDD_fashion_boutique[[#This Row],[customer_rating]]="","No valorado",BBDD_fashion_boutique[[#This Row],[customer_rating]])</f>
        <v>1.4</v>
      </c>
      <c r="T1300" t="s">
        <v>24</v>
      </c>
      <c r="V1300">
        <f>IF(BBDD_fashion_boutique[[#This Row],[is_returned]]="False",0,1)</f>
        <v>0</v>
      </c>
      <c r="W1300">
        <f>IF(BBDD_fashion_boutique[[#This Row],[is_returned]]="True",0,BBDD_fashion_boutique[[#This Row],[current_price]])</f>
        <v>29.43</v>
      </c>
      <c r="X1300" t="str">
        <f>IF(BBDD_fashion_boutique[[#This Row],[return_reason]]="","No return",BBDD_fashion_boutique[[#This Row],[return_reason]])</f>
        <v>No return</v>
      </c>
      <c r="Y1300">
        <f>IF(IFERROR(VLOOKUP(BBDD_fashion_boutique[[#This Row],[product_id]],A1301:A3476,1,FALSE),0),1,0)</f>
        <v>0</v>
      </c>
    </row>
    <row r="1301" spans="1:25" x14ac:dyDescent="0.3">
      <c r="A1301" t="s">
        <v>1360</v>
      </c>
      <c r="B1301" t="s">
        <v>19</v>
      </c>
      <c r="C1301" t="s">
        <v>54</v>
      </c>
      <c r="D1301" t="s">
        <v>28</v>
      </c>
      <c r="F1301" t="str">
        <f>IF(BBDD_fashion_boutique[[#This Row],[category]]="Accessories","Accesorio",IF(BBDD_fashion_boutique[[#This Row],[size]]="","Desconocido",BBDD_fashion_boutique[[#This Row],[size]]))</f>
        <v>Desconocido</v>
      </c>
      <c r="G1301" t="s">
        <v>23</v>
      </c>
      <c r="H1301" s="2">
        <v>86.3</v>
      </c>
      <c r="I1301">
        <v>0</v>
      </c>
      <c r="J1301" s="5">
        <f>BBDD_fashion_boutique[[#This Row],[markdown_percentage]]/100</f>
        <v>0</v>
      </c>
      <c r="K1301" s="2">
        <v>86.3</v>
      </c>
      <c r="L1301" s="2">
        <f>BBDD_fashion_boutique[[#This Row],[original_price]]-BBDD_fashion_boutique[[#This Row],[current_price]]</f>
        <v>0</v>
      </c>
      <c r="M1301" s="1">
        <v>45875</v>
      </c>
      <c r="N1301" s="1" t="str">
        <f>PROPER(TEXT(BBDD_fashion_boutique[[#This Row],[purchase_date]],"dddd"))</f>
        <v>Miércoles</v>
      </c>
      <c r="O1301" s="1" t="str">
        <f>PROPER(TEXT(BBDD_fashion_boutique[[#This Row],[purchase_date]],"mmmm"))</f>
        <v>Agosto</v>
      </c>
      <c r="P1301" s="4">
        <v>33</v>
      </c>
      <c r="Q1301" s="2">
        <v>3.9</v>
      </c>
      <c r="R1301" t="str">
        <f>IF(BBDD_fashion_boutique[[#This Row],[stock_quantity]]&gt;9,"Ok",IF(BBDD_fashion_boutique[[#This Row],[stock_quantity]]=0,"Agotado","Pocas Unidades"))</f>
        <v>Ok</v>
      </c>
      <c r="S1301" s="3">
        <f>IF(BBDD_fashion_boutique[[#This Row],[customer_rating]]="","No valorado",BBDD_fashion_boutique[[#This Row],[customer_rating]])</f>
        <v>3.9</v>
      </c>
      <c r="T1301" t="s">
        <v>24</v>
      </c>
      <c r="V1301">
        <f>IF(BBDD_fashion_boutique[[#This Row],[is_returned]]="False",0,1)</f>
        <v>0</v>
      </c>
      <c r="W1301">
        <f>IF(BBDD_fashion_boutique[[#This Row],[is_returned]]="True",0,BBDD_fashion_boutique[[#This Row],[current_price]])</f>
        <v>86.3</v>
      </c>
      <c r="X1301" t="str">
        <f>IF(BBDD_fashion_boutique[[#This Row],[return_reason]]="","No return",BBDD_fashion_boutique[[#This Row],[return_reason]])</f>
        <v>No return</v>
      </c>
      <c r="Y1301">
        <f>IF(IFERROR(VLOOKUP(BBDD_fashion_boutique[[#This Row],[product_id]],A1302:A3477,1,FALSE),0),1,0)</f>
        <v>0</v>
      </c>
    </row>
    <row r="1302" spans="1:25" x14ac:dyDescent="0.3">
      <c r="A1302" t="s">
        <v>1361</v>
      </c>
      <c r="B1302" t="s">
        <v>32</v>
      </c>
      <c r="C1302" t="s">
        <v>49</v>
      </c>
      <c r="D1302" t="s">
        <v>28</v>
      </c>
      <c r="F1302" t="str">
        <f>IF(BBDD_fashion_boutique[[#This Row],[category]]="Accessories","Accesorio",IF(BBDD_fashion_boutique[[#This Row],[size]]="","Desconocido",BBDD_fashion_boutique[[#This Row],[size]]))</f>
        <v>Accesorio</v>
      </c>
      <c r="G1302" t="s">
        <v>72</v>
      </c>
      <c r="H1302" s="2">
        <v>64.89</v>
      </c>
      <c r="I1302">
        <v>4.2</v>
      </c>
      <c r="J1302" s="5">
        <f>BBDD_fashion_boutique[[#This Row],[markdown_percentage]]/100</f>
        <v>4.2000000000000003E-2</v>
      </c>
      <c r="K1302" s="2">
        <v>62.16</v>
      </c>
      <c r="L1302" s="2">
        <f>BBDD_fashion_boutique[[#This Row],[original_price]]-BBDD_fashion_boutique[[#This Row],[current_price]]</f>
        <v>2.730000000000004</v>
      </c>
      <c r="M1302" s="1">
        <v>45875</v>
      </c>
      <c r="N1302" s="1" t="str">
        <f>PROPER(TEXT(BBDD_fashion_boutique[[#This Row],[purchase_date]],"dddd"))</f>
        <v>Miércoles</v>
      </c>
      <c r="O1302" s="1" t="str">
        <f>PROPER(TEXT(BBDD_fashion_boutique[[#This Row],[purchase_date]],"mmmm"))</f>
        <v>Agosto</v>
      </c>
      <c r="P1302" s="4">
        <v>40</v>
      </c>
      <c r="Q1302" s="2">
        <v>1.4</v>
      </c>
      <c r="R1302" t="str">
        <f>IF(BBDD_fashion_boutique[[#This Row],[stock_quantity]]&gt;9,"Ok",IF(BBDD_fashion_boutique[[#This Row],[stock_quantity]]=0,"Agotado","Pocas Unidades"))</f>
        <v>Ok</v>
      </c>
      <c r="S1302" s="3">
        <f>IF(BBDD_fashion_boutique[[#This Row],[customer_rating]]="","No valorado",BBDD_fashion_boutique[[#This Row],[customer_rating]])</f>
        <v>1.4</v>
      </c>
      <c r="T1302" t="s">
        <v>24</v>
      </c>
      <c r="V1302">
        <f>IF(BBDD_fashion_boutique[[#This Row],[is_returned]]="False",0,1)</f>
        <v>0</v>
      </c>
      <c r="W1302">
        <f>IF(BBDD_fashion_boutique[[#This Row],[is_returned]]="True",0,BBDD_fashion_boutique[[#This Row],[current_price]])</f>
        <v>62.16</v>
      </c>
      <c r="X1302" t="str">
        <f>IF(BBDD_fashion_boutique[[#This Row],[return_reason]]="","No return",BBDD_fashion_boutique[[#This Row],[return_reason]])</f>
        <v>No return</v>
      </c>
      <c r="Y1302">
        <f>IF(IFERROR(VLOOKUP(BBDD_fashion_boutique[[#This Row],[product_id]],A1303:A3478,1,FALSE),0),1,0)</f>
        <v>0</v>
      </c>
    </row>
    <row r="1303" spans="1:25" x14ac:dyDescent="0.3">
      <c r="A1303" t="s">
        <v>1362</v>
      </c>
      <c r="B1303" t="s">
        <v>32</v>
      </c>
      <c r="C1303" t="s">
        <v>49</v>
      </c>
      <c r="D1303" t="s">
        <v>39</v>
      </c>
      <c r="F1303" t="str">
        <f>IF(BBDD_fashion_boutique[[#This Row],[category]]="Accessories","Accesorio",IF(BBDD_fashion_boutique[[#This Row],[size]]="","Desconocido",BBDD_fashion_boutique[[#This Row],[size]]))</f>
        <v>Accesorio</v>
      </c>
      <c r="G1303" t="s">
        <v>70</v>
      </c>
      <c r="H1303" s="2">
        <v>53.64</v>
      </c>
      <c r="I1303">
        <v>0</v>
      </c>
      <c r="J1303" s="5">
        <f>BBDD_fashion_boutique[[#This Row],[markdown_percentage]]/100</f>
        <v>0</v>
      </c>
      <c r="K1303" s="2">
        <v>53.64</v>
      </c>
      <c r="L1303" s="2">
        <f>BBDD_fashion_boutique[[#This Row],[original_price]]-BBDD_fashion_boutique[[#This Row],[current_price]]</f>
        <v>0</v>
      </c>
      <c r="M1303" s="1">
        <v>45875</v>
      </c>
      <c r="N1303" s="1" t="str">
        <f>PROPER(TEXT(BBDD_fashion_boutique[[#This Row],[purchase_date]],"dddd"))</f>
        <v>Miércoles</v>
      </c>
      <c r="O1303" s="1" t="str">
        <f>PROPER(TEXT(BBDD_fashion_boutique[[#This Row],[purchase_date]],"mmmm"))</f>
        <v>Agosto</v>
      </c>
      <c r="P1303" s="4">
        <v>18</v>
      </c>
      <c r="Q1303" s="2">
        <v>2.2999999999999998</v>
      </c>
      <c r="R1303" t="str">
        <f>IF(BBDD_fashion_boutique[[#This Row],[stock_quantity]]&gt;9,"Ok",IF(BBDD_fashion_boutique[[#This Row],[stock_quantity]]=0,"Agotado","Pocas Unidades"))</f>
        <v>Ok</v>
      </c>
      <c r="S1303" s="3">
        <f>IF(BBDD_fashion_boutique[[#This Row],[customer_rating]]="","No valorado",BBDD_fashion_boutique[[#This Row],[customer_rating]])</f>
        <v>2.2999999999999998</v>
      </c>
      <c r="T1303" t="s">
        <v>24</v>
      </c>
      <c r="V1303">
        <f>IF(BBDD_fashion_boutique[[#This Row],[is_returned]]="False",0,1)</f>
        <v>0</v>
      </c>
      <c r="W1303">
        <f>IF(BBDD_fashion_boutique[[#This Row],[is_returned]]="True",0,BBDD_fashion_boutique[[#This Row],[current_price]])</f>
        <v>53.64</v>
      </c>
      <c r="X1303" t="str">
        <f>IF(BBDD_fashion_boutique[[#This Row],[return_reason]]="","No return",BBDD_fashion_boutique[[#This Row],[return_reason]])</f>
        <v>No return</v>
      </c>
      <c r="Y1303">
        <f>IF(IFERROR(VLOOKUP(BBDD_fashion_boutique[[#This Row],[product_id]],A1304:A3479,1,FALSE),0),1,0)</f>
        <v>0</v>
      </c>
    </row>
    <row r="1304" spans="1:25" x14ac:dyDescent="0.3">
      <c r="A1304" t="s">
        <v>1363</v>
      </c>
      <c r="B1304" t="s">
        <v>48</v>
      </c>
      <c r="C1304" t="s">
        <v>49</v>
      </c>
      <c r="D1304" t="s">
        <v>68</v>
      </c>
      <c r="E1304" t="s">
        <v>55</v>
      </c>
      <c r="F1304" t="str">
        <f>IF(BBDD_fashion_boutique[[#This Row],[category]]="Accessories","Accesorio",IF(BBDD_fashion_boutique[[#This Row],[size]]="","Desconocido",BBDD_fashion_boutique[[#This Row],[size]]))</f>
        <v>XXL</v>
      </c>
      <c r="G1304" t="s">
        <v>30</v>
      </c>
      <c r="H1304" s="2">
        <v>113.81</v>
      </c>
      <c r="I1304">
        <v>9.1999999999999993</v>
      </c>
      <c r="J1304" s="5">
        <f>BBDD_fashion_boutique[[#This Row],[markdown_percentage]]/100</f>
        <v>9.1999999999999998E-2</v>
      </c>
      <c r="K1304" s="2">
        <v>103.34</v>
      </c>
      <c r="L1304" s="2">
        <f>BBDD_fashion_boutique[[#This Row],[original_price]]-BBDD_fashion_boutique[[#This Row],[current_price]]</f>
        <v>10.469999999999999</v>
      </c>
      <c r="M1304" s="1">
        <v>45875</v>
      </c>
      <c r="N1304" s="1" t="str">
        <f>PROPER(TEXT(BBDD_fashion_boutique[[#This Row],[purchase_date]],"dddd"))</f>
        <v>Miércoles</v>
      </c>
      <c r="O1304" s="1" t="str">
        <f>PROPER(TEXT(BBDD_fashion_boutique[[#This Row],[purchase_date]],"mmmm"))</f>
        <v>Agosto</v>
      </c>
      <c r="P1304" s="4">
        <v>11</v>
      </c>
      <c r="Q1304" s="2">
        <v>2.4</v>
      </c>
      <c r="R1304" t="str">
        <f>IF(BBDD_fashion_boutique[[#This Row],[stock_quantity]]&gt;9,"Ok",IF(BBDD_fashion_boutique[[#This Row],[stock_quantity]]=0,"Agotado","Pocas Unidades"))</f>
        <v>Ok</v>
      </c>
      <c r="S1304" s="3">
        <f>IF(BBDD_fashion_boutique[[#This Row],[customer_rating]]="","No valorado",BBDD_fashion_boutique[[#This Row],[customer_rating]])</f>
        <v>2.4</v>
      </c>
      <c r="T1304" t="s">
        <v>24</v>
      </c>
      <c r="V1304">
        <f>IF(BBDD_fashion_boutique[[#This Row],[is_returned]]="False",0,1)</f>
        <v>0</v>
      </c>
      <c r="W1304">
        <f>IF(BBDD_fashion_boutique[[#This Row],[is_returned]]="True",0,BBDD_fashion_boutique[[#This Row],[current_price]])</f>
        <v>103.34</v>
      </c>
      <c r="X1304" t="str">
        <f>IF(BBDD_fashion_boutique[[#This Row],[return_reason]]="","No return",BBDD_fashion_boutique[[#This Row],[return_reason]])</f>
        <v>No return</v>
      </c>
      <c r="Y1304">
        <f>IF(IFERROR(VLOOKUP(BBDD_fashion_boutique[[#This Row],[product_id]],A1305:A3480,1,FALSE),0),1,0)</f>
        <v>0</v>
      </c>
    </row>
    <row r="1305" spans="1:25" x14ac:dyDescent="0.3">
      <c r="A1305" t="s">
        <v>1364</v>
      </c>
      <c r="B1305" t="s">
        <v>26</v>
      </c>
      <c r="C1305" t="s">
        <v>59</v>
      </c>
      <c r="D1305" t="s">
        <v>68</v>
      </c>
      <c r="E1305" t="s">
        <v>55</v>
      </c>
      <c r="F1305" t="str">
        <f>IF(BBDD_fashion_boutique[[#This Row],[category]]="Accessories","Accesorio",IF(BBDD_fashion_boutique[[#This Row],[size]]="","Desconocido",BBDD_fashion_boutique[[#This Row],[size]]))</f>
        <v>XXL</v>
      </c>
      <c r="G1305" t="s">
        <v>62</v>
      </c>
      <c r="H1305" s="2">
        <v>40.119999999999997</v>
      </c>
      <c r="I1305">
        <v>27.7</v>
      </c>
      <c r="J1305" s="5">
        <f>BBDD_fashion_boutique[[#This Row],[markdown_percentage]]/100</f>
        <v>0.27699999999999997</v>
      </c>
      <c r="K1305" s="2">
        <v>29.01</v>
      </c>
      <c r="L1305" s="2">
        <f>BBDD_fashion_boutique[[#This Row],[original_price]]-BBDD_fashion_boutique[[#This Row],[current_price]]</f>
        <v>11.109999999999996</v>
      </c>
      <c r="M1305" s="1">
        <v>45875</v>
      </c>
      <c r="N1305" s="1" t="str">
        <f>PROPER(TEXT(BBDD_fashion_boutique[[#This Row],[purchase_date]],"dddd"))</f>
        <v>Miércoles</v>
      </c>
      <c r="O1305" s="1" t="str">
        <f>PROPER(TEXT(BBDD_fashion_boutique[[#This Row],[purchase_date]],"mmmm"))</f>
        <v>Agosto</v>
      </c>
      <c r="P1305" s="4">
        <v>29</v>
      </c>
      <c r="Q1305" s="2">
        <v>1.7</v>
      </c>
      <c r="R1305" t="str">
        <f>IF(BBDD_fashion_boutique[[#This Row],[stock_quantity]]&gt;9,"Ok",IF(BBDD_fashion_boutique[[#This Row],[stock_quantity]]=0,"Agotado","Pocas Unidades"))</f>
        <v>Ok</v>
      </c>
      <c r="S1305" s="3">
        <f>IF(BBDD_fashion_boutique[[#This Row],[customer_rating]]="","No valorado",BBDD_fashion_boutique[[#This Row],[customer_rating]])</f>
        <v>1.7</v>
      </c>
      <c r="T1305" t="s">
        <v>41</v>
      </c>
      <c r="U1305" t="s">
        <v>79</v>
      </c>
      <c r="V1305">
        <f>IF(BBDD_fashion_boutique[[#This Row],[is_returned]]="False",0,1)</f>
        <v>1</v>
      </c>
      <c r="W1305">
        <f>IF(BBDD_fashion_boutique[[#This Row],[is_returned]]="True",0,BBDD_fashion_boutique[[#This Row],[current_price]])</f>
        <v>0</v>
      </c>
      <c r="X1305" t="str">
        <f>IF(BBDD_fashion_boutique[[#This Row],[return_reason]]="","No return",BBDD_fashion_boutique[[#This Row],[return_reason]])</f>
        <v>Size Issue</v>
      </c>
      <c r="Y1305">
        <f>IF(IFERROR(VLOOKUP(BBDD_fashion_boutique[[#This Row],[product_id]],A1306:A3481,1,FALSE),0),1,0)</f>
        <v>0</v>
      </c>
    </row>
    <row r="1306" spans="1:25" x14ac:dyDescent="0.3">
      <c r="A1306" t="s">
        <v>1365</v>
      </c>
      <c r="B1306" t="s">
        <v>26</v>
      </c>
      <c r="C1306" t="s">
        <v>67</v>
      </c>
      <c r="D1306" t="s">
        <v>28</v>
      </c>
      <c r="E1306" t="s">
        <v>64</v>
      </c>
      <c r="F1306" t="str">
        <f>IF(BBDD_fashion_boutique[[#This Row],[category]]="Accessories","Accesorio",IF(BBDD_fashion_boutique[[#This Row],[size]]="","Desconocido",BBDD_fashion_boutique[[#This Row],[size]]))</f>
        <v>M</v>
      </c>
      <c r="G1306" t="s">
        <v>33</v>
      </c>
      <c r="H1306" s="2">
        <v>49.64</v>
      </c>
      <c r="I1306">
        <v>30.9</v>
      </c>
      <c r="J1306" s="5">
        <f>BBDD_fashion_boutique[[#This Row],[markdown_percentage]]/100</f>
        <v>0.309</v>
      </c>
      <c r="K1306" s="2">
        <v>34.299999999999997</v>
      </c>
      <c r="L1306" s="2">
        <f>BBDD_fashion_boutique[[#This Row],[original_price]]-BBDD_fashion_boutique[[#This Row],[current_price]]</f>
        <v>15.340000000000003</v>
      </c>
      <c r="M1306" s="1">
        <v>45875</v>
      </c>
      <c r="N1306" s="1" t="str">
        <f>PROPER(TEXT(BBDD_fashion_boutique[[#This Row],[purchase_date]],"dddd"))</f>
        <v>Miércoles</v>
      </c>
      <c r="O1306" s="1" t="str">
        <f>PROPER(TEXT(BBDD_fashion_boutique[[#This Row],[purchase_date]],"mmmm"))</f>
        <v>Agosto</v>
      </c>
      <c r="P1306" s="4">
        <v>21</v>
      </c>
      <c r="Q1306" s="2">
        <v>2</v>
      </c>
      <c r="R1306" t="str">
        <f>IF(BBDD_fashion_boutique[[#This Row],[stock_quantity]]&gt;9,"Ok",IF(BBDD_fashion_boutique[[#This Row],[stock_quantity]]=0,"Agotado","Pocas Unidades"))</f>
        <v>Ok</v>
      </c>
      <c r="S1306" s="3">
        <f>IF(BBDD_fashion_boutique[[#This Row],[customer_rating]]="","No valorado",BBDD_fashion_boutique[[#This Row],[customer_rating]])</f>
        <v>2</v>
      </c>
      <c r="T1306" t="s">
        <v>24</v>
      </c>
      <c r="V1306">
        <f>IF(BBDD_fashion_boutique[[#This Row],[is_returned]]="False",0,1)</f>
        <v>0</v>
      </c>
      <c r="W1306">
        <f>IF(BBDD_fashion_boutique[[#This Row],[is_returned]]="True",0,BBDD_fashion_boutique[[#This Row],[current_price]])</f>
        <v>34.299999999999997</v>
      </c>
      <c r="X1306" t="str">
        <f>IF(BBDD_fashion_boutique[[#This Row],[return_reason]]="","No return",BBDD_fashion_boutique[[#This Row],[return_reason]])</f>
        <v>No return</v>
      </c>
      <c r="Y1306">
        <f>IF(IFERROR(VLOOKUP(BBDD_fashion_boutique[[#This Row],[product_id]],A1307:A3482,1,FALSE),0),1,0)</f>
        <v>0</v>
      </c>
    </row>
    <row r="1307" spans="1:25" x14ac:dyDescent="0.3">
      <c r="A1307" t="s">
        <v>1366</v>
      </c>
      <c r="B1307" t="s">
        <v>44</v>
      </c>
      <c r="C1307" t="s">
        <v>81</v>
      </c>
      <c r="D1307" t="s">
        <v>68</v>
      </c>
      <c r="E1307" t="s">
        <v>29</v>
      </c>
      <c r="F1307" t="str">
        <f>IF(BBDD_fashion_boutique[[#This Row],[category]]="Accessories","Accesorio",IF(BBDD_fashion_boutique[[#This Row],[size]]="","Desconocido",BBDD_fashion_boutique[[#This Row],[size]]))</f>
        <v>L</v>
      </c>
      <c r="G1307" t="s">
        <v>76</v>
      </c>
      <c r="H1307" s="2">
        <v>117.64</v>
      </c>
      <c r="I1307">
        <v>54.2</v>
      </c>
      <c r="J1307" s="5">
        <f>BBDD_fashion_boutique[[#This Row],[markdown_percentage]]/100</f>
        <v>0.54200000000000004</v>
      </c>
      <c r="K1307" s="2">
        <v>53.88</v>
      </c>
      <c r="L1307" s="2">
        <f>BBDD_fashion_boutique[[#This Row],[original_price]]-BBDD_fashion_boutique[[#This Row],[current_price]]</f>
        <v>63.76</v>
      </c>
      <c r="M1307" s="1">
        <v>45875</v>
      </c>
      <c r="N1307" s="1" t="str">
        <f>PROPER(TEXT(BBDD_fashion_boutique[[#This Row],[purchase_date]],"dddd"))</f>
        <v>Miércoles</v>
      </c>
      <c r="O1307" s="1" t="str">
        <f>PROPER(TEXT(BBDD_fashion_boutique[[#This Row],[purchase_date]],"mmmm"))</f>
        <v>Agosto</v>
      </c>
      <c r="P1307" s="4">
        <v>25</v>
      </c>
      <c r="Q1307" s="2">
        <v>4.5999999999999996</v>
      </c>
      <c r="R1307" t="str">
        <f>IF(BBDD_fashion_boutique[[#This Row],[stock_quantity]]&gt;9,"Ok",IF(BBDD_fashion_boutique[[#This Row],[stock_quantity]]=0,"Agotado","Pocas Unidades"))</f>
        <v>Ok</v>
      </c>
      <c r="S1307" s="3">
        <f>IF(BBDD_fashion_boutique[[#This Row],[customer_rating]]="","No valorado",BBDD_fashion_boutique[[#This Row],[customer_rating]])</f>
        <v>4.5999999999999996</v>
      </c>
      <c r="T1307" t="s">
        <v>41</v>
      </c>
      <c r="U1307" t="s">
        <v>131</v>
      </c>
      <c r="V1307">
        <f>IF(BBDD_fashion_boutique[[#This Row],[is_returned]]="False",0,1)</f>
        <v>1</v>
      </c>
      <c r="W1307">
        <f>IF(BBDD_fashion_boutique[[#This Row],[is_returned]]="True",0,BBDD_fashion_boutique[[#This Row],[current_price]])</f>
        <v>0</v>
      </c>
      <c r="X1307" t="str">
        <f>IF(BBDD_fashion_boutique[[#This Row],[return_reason]]="","No return",BBDD_fashion_boutique[[#This Row],[return_reason]])</f>
        <v>Wrong Item</v>
      </c>
      <c r="Y1307">
        <f>IF(IFERROR(VLOOKUP(BBDD_fashion_boutique[[#This Row],[product_id]],A1308:A3483,1,FALSE),0),1,0)</f>
        <v>0</v>
      </c>
    </row>
    <row r="1308" spans="1:25" x14ac:dyDescent="0.3">
      <c r="A1308" t="s">
        <v>1367</v>
      </c>
      <c r="B1308" t="s">
        <v>32</v>
      </c>
      <c r="C1308" t="s">
        <v>49</v>
      </c>
      <c r="D1308" t="s">
        <v>68</v>
      </c>
      <c r="F1308" t="str">
        <f>IF(BBDD_fashion_boutique[[#This Row],[category]]="Accessories","Accesorio",IF(BBDD_fashion_boutique[[#This Row],[size]]="","Desconocido",BBDD_fashion_boutique[[#This Row],[size]]))</f>
        <v>Accesorio</v>
      </c>
      <c r="G1308" t="s">
        <v>23</v>
      </c>
      <c r="H1308" s="2">
        <v>69.78</v>
      </c>
      <c r="I1308">
        <v>3.7</v>
      </c>
      <c r="J1308" s="5">
        <f>BBDD_fashion_boutique[[#This Row],[markdown_percentage]]/100</f>
        <v>3.7000000000000005E-2</v>
      </c>
      <c r="K1308" s="2">
        <v>67.2</v>
      </c>
      <c r="L1308" s="2">
        <f>BBDD_fashion_boutique[[#This Row],[original_price]]-BBDD_fashion_boutique[[#This Row],[current_price]]</f>
        <v>2.5799999999999983</v>
      </c>
      <c r="M1308" s="1">
        <v>45875</v>
      </c>
      <c r="N1308" s="1" t="str">
        <f>PROPER(TEXT(BBDD_fashion_boutique[[#This Row],[purchase_date]],"dddd"))</f>
        <v>Miércoles</v>
      </c>
      <c r="O1308" s="1" t="str">
        <f>PROPER(TEXT(BBDD_fashion_boutique[[#This Row],[purchase_date]],"mmmm"))</f>
        <v>Agosto</v>
      </c>
      <c r="P1308" s="4">
        <v>14</v>
      </c>
      <c r="Q1308" s="2">
        <v>3.2</v>
      </c>
      <c r="R1308" t="str">
        <f>IF(BBDD_fashion_boutique[[#This Row],[stock_quantity]]&gt;9,"Ok",IF(BBDD_fashion_boutique[[#This Row],[stock_quantity]]=0,"Agotado","Pocas Unidades"))</f>
        <v>Ok</v>
      </c>
      <c r="S1308" s="3">
        <f>IF(BBDD_fashion_boutique[[#This Row],[customer_rating]]="","No valorado",BBDD_fashion_boutique[[#This Row],[customer_rating]])</f>
        <v>3.2</v>
      </c>
      <c r="T1308" t="s">
        <v>24</v>
      </c>
      <c r="V1308">
        <f>IF(BBDD_fashion_boutique[[#This Row],[is_returned]]="False",0,1)</f>
        <v>0</v>
      </c>
      <c r="W1308">
        <f>IF(BBDD_fashion_boutique[[#This Row],[is_returned]]="True",0,BBDD_fashion_boutique[[#This Row],[current_price]])</f>
        <v>67.2</v>
      </c>
      <c r="X1308" t="str">
        <f>IF(BBDD_fashion_boutique[[#This Row],[return_reason]]="","No return",BBDD_fashion_boutique[[#This Row],[return_reason]])</f>
        <v>No return</v>
      </c>
      <c r="Y1308">
        <f>IF(IFERROR(VLOOKUP(BBDD_fashion_boutique[[#This Row],[product_id]],A1309:A3484,1,FALSE),0),1,0)</f>
        <v>0</v>
      </c>
    </row>
    <row r="1309" spans="1:25" x14ac:dyDescent="0.3">
      <c r="A1309" t="s">
        <v>1368</v>
      </c>
      <c r="B1309" t="s">
        <v>32</v>
      </c>
      <c r="C1309" t="s">
        <v>81</v>
      </c>
      <c r="D1309" t="s">
        <v>21</v>
      </c>
      <c r="F1309" t="str">
        <f>IF(BBDD_fashion_boutique[[#This Row],[category]]="Accessories","Accesorio",IF(BBDD_fashion_boutique[[#This Row],[size]]="","Desconocido",BBDD_fashion_boutique[[#This Row],[size]]))</f>
        <v>Accesorio</v>
      </c>
      <c r="G1309" t="s">
        <v>40</v>
      </c>
      <c r="H1309" s="2">
        <v>29.91</v>
      </c>
      <c r="I1309">
        <v>18.399999999999999</v>
      </c>
      <c r="J1309" s="5">
        <f>BBDD_fashion_boutique[[#This Row],[markdown_percentage]]/100</f>
        <v>0.184</v>
      </c>
      <c r="K1309" s="2">
        <v>24.41</v>
      </c>
      <c r="L1309" s="2">
        <f>BBDD_fashion_boutique[[#This Row],[original_price]]-BBDD_fashion_boutique[[#This Row],[current_price]]</f>
        <v>5.5</v>
      </c>
      <c r="M1309" s="1">
        <v>45719</v>
      </c>
      <c r="N1309" s="1" t="str">
        <f>PROPER(TEXT(BBDD_fashion_boutique[[#This Row],[purchase_date]],"dddd"))</f>
        <v>Lunes</v>
      </c>
      <c r="O1309" s="1" t="str">
        <f>PROPER(TEXT(BBDD_fashion_boutique[[#This Row],[purchase_date]],"mmmm"))</f>
        <v>Marzo</v>
      </c>
      <c r="P1309" s="4">
        <v>10</v>
      </c>
      <c r="Q1309" s="2">
        <v>4.9000000000000004</v>
      </c>
      <c r="R1309" t="str">
        <f>IF(BBDD_fashion_boutique[[#This Row],[stock_quantity]]&gt;9,"Ok",IF(BBDD_fashion_boutique[[#This Row],[stock_quantity]]=0,"Agotado","Pocas Unidades"))</f>
        <v>Ok</v>
      </c>
      <c r="S1309" s="3">
        <f>IF(BBDD_fashion_boutique[[#This Row],[customer_rating]]="","No valorado",BBDD_fashion_boutique[[#This Row],[customer_rating]])</f>
        <v>4.9000000000000004</v>
      </c>
      <c r="T1309" t="s">
        <v>24</v>
      </c>
      <c r="V1309">
        <f>IF(BBDD_fashion_boutique[[#This Row],[is_returned]]="False",0,1)</f>
        <v>0</v>
      </c>
      <c r="W1309">
        <f>IF(BBDD_fashion_boutique[[#This Row],[is_returned]]="True",0,BBDD_fashion_boutique[[#This Row],[current_price]])</f>
        <v>24.41</v>
      </c>
      <c r="X1309" t="str">
        <f>IF(BBDD_fashion_boutique[[#This Row],[return_reason]]="","No return",BBDD_fashion_boutique[[#This Row],[return_reason]])</f>
        <v>No return</v>
      </c>
      <c r="Y1309">
        <f>IF(IFERROR(VLOOKUP(BBDD_fashion_boutique[[#This Row],[product_id]],A1310:A3485,1,FALSE),0),1,0)</f>
        <v>0</v>
      </c>
    </row>
    <row r="1310" spans="1:25" x14ac:dyDescent="0.3">
      <c r="A1310" t="s">
        <v>1369</v>
      </c>
      <c r="B1310" t="s">
        <v>35</v>
      </c>
      <c r="C1310" t="s">
        <v>54</v>
      </c>
      <c r="D1310" t="s">
        <v>39</v>
      </c>
      <c r="E1310" t="s">
        <v>22</v>
      </c>
      <c r="F1310" t="str">
        <f>IF(BBDD_fashion_boutique[[#This Row],[category]]="Accessories","Accesorio",IF(BBDD_fashion_boutique[[#This Row],[size]]="","Desconocido",BBDD_fashion_boutique[[#This Row],[size]]))</f>
        <v>XL</v>
      </c>
      <c r="G1310" t="s">
        <v>33</v>
      </c>
      <c r="H1310" s="2">
        <v>187.11</v>
      </c>
      <c r="I1310">
        <v>43.3</v>
      </c>
      <c r="J1310" s="5">
        <f>BBDD_fashion_boutique[[#This Row],[markdown_percentage]]/100</f>
        <v>0.433</v>
      </c>
      <c r="K1310" s="2">
        <v>106.09</v>
      </c>
      <c r="L1310" s="2">
        <f>BBDD_fashion_boutique[[#This Row],[original_price]]-BBDD_fashion_boutique[[#This Row],[current_price]]</f>
        <v>81.02000000000001</v>
      </c>
      <c r="M1310" s="1">
        <v>45875</v>
      </c>
      <c r="N1310" s="1" t="str">
        <f>PROPER(TEXT(BBDD_fashion_boutique[[#This Row],[purchase_date]],"dddd"))</f>
        <v>Miércoles</v>
      </c>
      <c r="O1310" s="1" t="str">
        <f>PROPER(TEXT(BBDD_fashion_boutique[[#This Row],[purchase_date]],"mmmm"))</f>
        <v>Agosto</v>
      </c>
      <c r="P1310" s="4">
        <v>26</v>
      </c>
      <c r="Q1310" s="2">
        <v>3</v>
      </c>
      <c r="R1310" t="str">
        <f>IF(BBDD_fashion_boutique[[#This Row],[stock_quantity]]&gt;9,"Ok",IF(BBDD_fashion_boutique[[#This Row],[stock_quantity]]=0,"Agotado","Pocas Unidades"))</f>
        <v>Ok</v>
      </c>
      <c r="S1310" s="3">
        <f>IF(BBDD_fashion_boutique[[#This Row],[customer_rating]]="","No valorado",BBDD_fashion_boutique[[#This Row],[customer_rating]])</f>
        <v>3</v>
      </c>
      <c r="T1310" t="s">
        <v>24</v>
      </c>
      <c r="V1310">
        <f>IF(BBDD_fashion_boutique[[#This Row],[is_returned]]="False",0,1)</f>
        <v>0</v>
      </c>
      <c r="W1310">
        <f>IF(BBDD_fashion_boutique[[#This Row],[is_returned]]="True",0,BBDD_fashion_boutique[[#This Row],[current_price]])</f>
        <v>106.09</v>
      </c>
      <c r="X1310" t="str">
        <f>IF(BBDD_fashion_boutique[[#This Row],[return_reason]]="","No return",BBDD_fashion_boutique[[#This Row],[return_reason]])</f>
        <v>No return</v>
      </c>
      <c r="Y1310">
        <f>IF(IFERROR(VLOOKUP(BBDD_fashion_boutique[[#This Row],[product_id]],A1311:A3486,1,FALSE),0),1,0)</f>
        <v>0</v>
      </c>
    </row>
    <row r="1311" spans="1:25" x14ac:dyDescent="0.3">
      <c r="A1311" t="s">
        <v>1370</v>
      </c>
      <c r="B1311" t="s">
        <v>32</v>
      </c>
      <c r="C1311" t="s">
        <v>59</v>
      </c>
      <c r="D1311" t="s">
        <v>68</v>
      </c>
      <c r="F1311" t="str">
        <f>IF(BBDD_fashion_boutique[[#This Row],[category]]="Accessories","Accesorio",IF(BBDD_fashion_boutique[[#This Row],[size]]="","Desconocido",BBDD_fashion_boutique[[#This Row],[size]]))</f>
        <v>Accesorio</v>
      </c>
      <c r="G1311" t="s">
        <v>62</v>
      </c>
      <c r="H1311" s="2">
        <v>40.04</v>
      </c>
      <c r="I1311">
        <v>15.8</v>
      </c>
      <c r="J1311" s="5">
        <f>BBDD_fashion_boutique[[#This Row],[markdown_percentage]]/100</f>
        <v>0.158</v>
      </c>
      <c r="K1311" s="2">
        <v>33.71</v>
      </c>
      <c r="L1311" s="2">
        <f>BBDD_fashion_boutique[[#This Row],[original_price]]-BBDD_fashion_boutique[[#This Row],[current_price]]</f>
        <v>6.3299999999999983</v>
      </c>
      <c r="M1311" s="1">
        <v>45875</v>
      </c>
      <c r="N1311" s="1" t="str">
        <f>PROPER(TEXT(BBDD_fashion_boutique[[#This Row],[purchase_date]],"dddd"))</f>
        <v>Miércoles</v>
      </c>
      <c r="O1311" s="1" t="str">
        <f>PROPER(TEXT(BBDD_fashion_boutique[[#This Row],[purchase_date]],"mmmm"))</f>
        <v>Agosto</v>
      </c>
      <c r="P1311" s="4">
        <v>31</v>
      </c>
      <c r="Q1311" s="2">
        <v>1.8</v>
      </c>
      <c r="R1311" t="str">
        <f>IF(BBDD_fashion_boutique[[#This Row],[stock_quantity]]&gt;9,"Ok",IF(BBDD_fashion_boutique[[#This Row],[stock_quantity]]=0,"Agotado","Pocas Unidades"))</f>
        <v>Ok</v>
      </c>
      <c r="S1311" s="3">
        <f>IF(BBDD_fashion_boutique[[#This Row],[customer_rating]]="","No valorado",BBDD_fashion_boutique[[#This Row],[customer_rating]])</f>
        <v>1.8</v>
      </c>
      <c r="T1311" t="s">
        <v>24</v>
      </c>
      <c r="V1311">
        <f>IF(BBDD_fashion_boutique[[#This Row],[is_returned]]="False",0,1)</f>
        <v>0</v>
      </c>
      <c r="W1311">
        <f>IF(BBDD_fashion_boutique[[#This Row],[is_returned]]="True",0,BBDD_fashion_boutique[[#This Row],[current_price]])</f>
        <v>33.71</v>
      </c>
      <c r="X1311" t="str">
        <f>IF(BBDD_fashion_boutique[[#This Row],[return_reason]]="","No return",BBDD_fashion_boutique[[#This Row],[return_reason]])</f>
        <v>No return</v>
      </c>
      <c r="Y1311">
        <f>IF(IFERROR(VLOOKUP(BBDD_fashion_boutique[[#This Row],[product_id]],A1312:A3487,1,FALSE),0),1,0)</f>
        <v>0</v>
      </c>
    </row>
    <row r="1312" spans="1:25" x14ac:dyDescent="0.3">
      <c r="A1312" t="s">
        <v>1371</v>
      </c>
      <c r="B1312" t="s">
        <v>48</v>
      </c>
      <c r="C1312" t="s">
        <v>49</v>
      </c>
      <c r="D1312" t="s">
        <v>21</v>
      </c>
      <c r="E1312" t="s">
        <v>61</v>
      </c>
      <c r="F1312" t="str">
        <f>IF(BBDD_fashion_boutique[[#This Row],[category]]="Accessories","Accesorio",IF(BBDD_fashion_boutique[[#This Row],[size]]="","Desconocido",BBDD_fashion_boutique[[#This Row],[size]]))</f>
        <v>XS</v>
      </c>
      <c r="G1312" t="s">
        <v>62</v>
      </c>
      <c r="H1312" s="2">
        <v>113.44</v>
      </c>
      <c r="I1312">
        <v>23.4</v>
      </c>
      <c r="J1312" s="5">
        <f>BBDD_fashion_boutique[[#This Row],[markdown_percentage]]/100</f>
        <v>0.23399999999999999</v>
      </c>
      <c r="K1312" s="2">
        <v>86.9</v>
      </c>
      <c r="L1312" s="2">
        <f>BBDD_fashion_boutique[[#This Row],[original_price]]-BBDD_fashion_boutique[[#This Row],[current_price]]</f>
        <v>26.539999999999992</v>
      </c>
      <c r="M1312" s="1">
        <v>45723</v>
      </c>
      <c r="N1312" s="1" t="str">
        <f>PROPER(TEXT(BBDD_fashion_boutique[[#This Row],[purchase_date]],"dddd"))</f>
        <v>Viernes</v>
      </c>
      <c r="O1312" s="1" t="str">
        <f>PROPER(TEXT(BBDD_fashion_boutique[[#This Row],[purchase_date]],"mmmm"))</f>
        <v>Marzo</v>
      </c>
      <c r="P1312" s="4">
        <v>1</v>
      </c>
      <c r="R1312" t="str">
        <f>IF(BBDD_fashion_boutique[[#This Row],[stock_quantity]]&gt;9,"Ok",IF(BBDD_fashion_boutique[[#This Row],[stock_quantity]]=0,"Agotado","Pocas Unidades"))</f>
        <v>Pocas Unidades</v>
      </c>
      <c r="S1312" s="3" t="str">
        <f>IF(BBDD_fashion_boutique[[#This Row],[customer_rating]]="","No valorado",BBDD_fashion_boutique[[#This Row],[customer_rating]])</f>
        <v>No valorado</v>
      </c>
      <c r="T1312" t="s">
        <v>24</v>
      </c>
      <c r="V1312">
        <f>IF(BBDD_fashion_boutique[[#This Row],[is_returned]]="False",0,1)</f>
        <v>0</v>
      </c>
      <c r="W1312">
        <f>IF(BBDD_fashion_boutique[[#This Row],[is_returned]]="True",0,BBDD_fashion_boutique[[#This Row],[current_price]])</f>
        <v>86.9</v>
      </c>
      <c r="X1312" t="str">
        <f>IF(BBDD_fashion_boutique[[#This Row],[return_reason]]="","No return",BBDD_fashion_boutique[[#This Row],[return_reason]])</f>
        <v>No return</v>
      </c>
      <c r="Y1312">
        <f>IF(IFERROR(VLOOKUP(BBDD_fashion_boutique[[#This Row],[product_id]],A1313:A3488,1,FALSE),0),1,0)</f>
        <v>0</v>
      </c>
    </row>
    <row r="1313" spans="1:25" x14ac:dyDescent="0.3">
      <c r="A1313" t="s">
        <v>1372</v>
      </c>
      <c r="B1313" t="s">
        <v>44</v>
      </c>
      <c r="C1313" t="s">
        <v>20</v>
      </c>
      <c r="D1313" t="s">
        <v>21</v>
      </c>
      <c r="E1313" t="s">
        <v>45</v>
      </c>
      <c r="F1313" t="str">
        <f>IF(BBDD_fashion_boutique[[#This Row],[category]]="Accessories","Accesorio",IF(BBDD_fashion_boutique[[#This Row],[size]]="","Desconocido",BBDD_fashion_boutique[[#This Row],[size]]))</f>
        <v>S</v>
      </c>
      <c r="G1313" t="s">
        <v>46</v>
      </c>
      <c r="H1313" s="2">
        <v>119.84</v>
      </c>
      <c r="I1313">
        <v>0</v>
      </c>
      <c r="J1313" s="5">
        <f>BBDD_fashion_boutique[[#This Row],[markdown_percentage]]/100</f>
        <v>0</v>
      </c>
      <c r="K1313" s="2">
        <v>119.84</v>
      </c>
      <c r="L1313" s="2">
        <f>BBDD_fashion_boutique[[#This Row],[original_price]]-BBDD_fashion_boutique[[#This Row],[current_price]]</f>
        <v>0</v>
      </c>
      <c r="M1313" s="1">
        <v>45562</v>
      </c>
      <c r="N1313" s="1" t="str">
        <f>PROPER(TEXT(BBDD_fashion_boutique[[#This Row],[purchase_date]],"dddd"))</f>
        <v>Viernes</v>
      </c>
      <c r="O1313" s="1" t="str">
        <f>PROPER(TEXT(BBDD_fashion_boutique[[#This Row],[purchase_date]],"mmmm"))</f>
        <v>Septiembre</v>
      </c>
      <c r="P1313" s="4">
        <v>47</v>
      </c>
      <c r="Q1313" s="2">
        <v>1.4</v>
      </c>
      <c r="R1313" t="str">
        <f>IF(BBDD_fashion_boutique[[#This Row],[stock_quantity]]&gt;9,"Ok",IF(BBDD_fashion_boutique[[#This Row],[stock_quantity]]=0,"Agotado","Pocas Unidades"))</f>
        <v>Ok</v>
      </c>
      <c r="S1313" s="3">
        <f>IF(BBDD_fashion_boutique[[#This Row],[customer_rating]]="","No valorado",BBDD_fashion_boutique[[#This Row],[customer_rating]])</f>
        <v>1.4</v>
      </c>
      <c r="T1313" t="s">
        <v>24</v>
      </c>
      <c r="V1313">
        <f>IF(BBDD_fashion_boutique[[#This Row],[is_returned]]="False",0,1)</f>
        <v>0</v>
      </c>
      <c r="W1313">
        <f>IF(BBDD_fashion_boutique[[#This Row],[is_returned]]="True",0,BBDD_fashion_boutique[[#This Row],[current_price]])</f>
        <v>119.84</v>
      </c>
      <c r="X1313" t="str">
        <f>IF(BBDD_fashion_boutique[[#This Row],[return_reason]]="","No return",BBDD_fashion_boutique[[#This Row],[return_reason]])</f>
        <v>No return</v>
      </c>
      <c r="Y1313">
        <f>IF(IFERROR(VLOOKUP(BBDD_fashion_boutique[[#This Row],[product_id]],A1314:A3489,1,FALSE),0),1,0)</f>
        <v>0</v>
      </c>
    </row>
    <row r="1314" spans="1:25" x14ac:dyDescent="0.3">
      <c r="A1314" t="s">
        <v>1373</v>
      </c>
      <c r="B1314" t="s">
        <v>35</v>
      </c>
      <c r="C1314" t="s">
        <v>27</v>
      </c>
      <c r="D1314" t="s">
        <v>39</v>
      </c>
      <c r="E1314" t="s">
        <v>55</v>
      </c>
      <c r="F1314" t="str">
        <f>IF(BBDD_fashion_boutique[[#This Row],[category]]="Accessories","Accesorio",IF(BBDD_fashion_boutique[[#This Row],[size]]="","Desconocido",BBDD_fashion_boutique[[#This Row],[size]]))</f>
        <v>XXL</v>
      </c>
      <c r="G1314" t="s">
        <v>76</v>
      </c>
      <c r="H1314" s="2">
        <v>167.27</v>
      </c>
      <c r="I1314">
        <v>0</v>
      </c>
      <c r="J1314" s="5">
        <f>BBDD_fashion_boutique[[#This Row],[markdown_percentage]]/100</f>
        <v>0</v>
      </c>
      <c r="K1314" s="2">
        <v>167.27</v>
      </c>
      <c r="L1314" s="2">
        <f>BBDD_fashion_boutique[[#This Row],[original_price]]-BBDD_fashion_boutique[[#This Row],[current_price]]</f>
        <v>0</v>
      </c>
      <c r="M1314" s="1">
        <v>45875</v>
      </c>
      <c r="N1314" s="1" t="str">
        <f>PROPER(TEXT(BBDD_fashion_boutique[[#This Row],[purchase_date]],"dddd"))</f>
        <v>Miércoles</v>
      </c>
      <c r="O1314" s="1" t="str">
        <f>PROPER(TEXT(BBDD_fashion_boutique[[#This Row],[purchase_date]],"mmmm"))</f>
        <v>Agosto</v>
      </c>
      <c r="P1314" s="4">
        <v>9</v>
      </c>
      <c r="Q1314" s="2">
        <v>4</v>
      </c>
      <c r="R1314" t="str">
        <f>IF(BBDD_fashion_boutique[[#This Row],[stock_quantity]]&gt;9,"Ok",IF(BBDD_fashion_boutique[[#This Row],[stock_quantity]]=0,"Agotado","Pocas Unidades"))</f>
        <v>Pocas Unidades</v>
      </c>
      <c r="S1314" s="3">
        <f>IF(BBDD_fashion_boutique[[#This Row],[customer_rating]]="","No valorado",BBDD_fashion_boutique[[#This Row],[customer_rating]])</f>
        <v>4</v>
      </c>
      <c r="T1314" t="s">
        <v>24</v>
      </c>
      <c r="V1314">
        <f>IF(BBDD_fashion_boutique[[#This Row],[is_returned]]="False",0,1)</f>
        <v>0</v>
      </c>
      <c r="W1314">
        <f>IF(BBDD_fashion_boutique[[#This Row],[is_returned]]="True",0,BBDD_fashion_boutique[[#This Row],[current_price]])</f>
        <v>167.27</v>
      </c>
      <c r="X1314" t="str">
        <f>IF(BBDD_fashion_boutique[[#This Row],[return_reason]]="","No return",BBDD_fashion_boutique[[#This Row],[return_reason]])</f>
        <v>No return</v>
      </c>
      <c r="Y1314">
        <f>IF(IFERROR(VLOOKUP(BBDD_fashion_boutique[[#This Row],[product_id]],A1315:A3490,1,FALSE),0),1,0)</f>
        <v>0</v>
      </c>
    </row>
    <row r="1315" spans="1:25" x14ac:dyDescent="0.3">
      <c r="A1315" t="s">
        <v>1374</v>
      </c>
      <c r="B1315" t="s">
        <v>48</v>
      </c>
      <c r="C1315" t="s">
        <v>37</v>
      </c>
      <c r="D1315" t="s">
        <v>21</v>
      </c>
      <c r="E1315" t="s">
        <v>22</v>
      </c>
      <c r="F1315" t="str">
        <f>IF(BBDD_fashion_boutique[[#This Row],[category]]="Accessories","Accesorio",IF(BBDD_fashion_boutique[[#This Row],[size]]="","Desconocido",BBDD_fashion_boutique[[#This Row],[size]]))</f>
        <v>XL</v>
      </c>
      <c r="G1315" t="s">
        <v>50</v>
      </c>
      <c r="H1315" s="2">
        <v>148</v>
      </c>
      <c r="I1315">
        <v>1.1000000000000001</v>
      </c>
      <c r="J1315" s="5">
        <f>BBDD_fashion_boutique[[#This Row],[markdown_percentage]]/100</f>
        <v>1.1000000000000001E-2</v>
      </c>
      <c r="K1315" s="2">
        <v>146.37</v>
      </c>
      <c r="L1315" s="2">
        <f>BBDD_fashion_boutique[[#This Row],[original_price]]-BBDD_fashion_boutique[[#This Row],[current_price]]</f>
        <v>1.6299999999999955</v>
      </c>
      <c r="M1315" s="1">
        <v>45711</v>
      </c>
      <c r="N1315" s="1" t="str">
        <f>PROPER(TEXT(BBDD_fashion_boutique[[#This Row],[purchase_date]],"dddd"))</f>
        <v>Domingo</v>
      </c>
      <c r="O1315" s="1" t="str">
        <f>PROPER(TEXT(BBDD_fashion_boutique[[#This Row],[purchase_date]],"mmmm"))</f>
        <v>Febrero</v>
      </c>
      <c r="P1315" s="4">
        <v>43</v>
      </c>
      <c r="Q1315" s="2">
        <v>2</v>
      </c>
      <c r="R1315" t="str">
        <f>IF(BBDD_fashion_boutique[[#This Row],[stock_quantity]]&gt;9,"Ok",IF(BBDD_fashion_boutique[[#This Row],[stock_quantity]]=0,"Agotado","Pocas Unidades"))</f>
        <v>Ok</v>
      </c>
      <c r="S1315" s="3">
        <f>IF(BBDD_fashion_boutique[[#This Row],[customer_rating]]="","No valorado",BBDD_fashion_boutique[[#This Row],[customer_rating]])</f>
        <v>2</v>
      </c>
      <c r="T1315" t="s">
        <v>24</v>
      </c>
      <c r="V1315">
        <f>IF(BBDD_fashion_boutique[[#This Row],[is_returned]]="False",0,1)</f>
        <v>0</v>
      </c>
      <c r="W1315">
        <f>IF(BBDD_fashion_boutique[[#This Row],[is_returned]]="True",0,BBDD_fashion_boutique[[#This Row],[current_price]])</f>
        <v>146.37</v>
      </c>
      <c r="X1315" t="str">
        <f>IF(BBDD_fashion_boutique[[#This Row],[return_reason]]="","No return",BBDD_fashion_boutique[[#This Row],[return_reason]])</f>
        <v>No return</v>
      </c>
      <c r="Y1315">
        <f>IF(IFERROR(VLOOKUP(BBDD_fashion_boutique[[#This Row],[product_id]],A1316:A3491,1,FALSE),0),1,0)</f>
        <v>0</v>
      </c>
    </row>
    <row r="1316" spans="1:25" x14ac:dyDescent="0.3">
      <c r="A1316" t="s">
        <v>1375</v>
      </c>
      <c r="B1316" t="s">
        <v>44</v>
      </c>
      <c r="C1316" t="s">
        <v>54</v>
      </c>
      <c r="D1316" t="s">
        <v>28</v>
      </c>
      <c r="E1316" t="s">
        <v>55</v>
      </c>
      <c r="F1316" t="str">
        <f>IF(BBDD_fashion_boutique[[#This Row],[category]]="Accessories","Accesorio",IF(BBDD_fashion_boutique[[#This Row],[size]]="","Desconocido",BBDD_fashion_boutique[[#This Row],[size]]))</f>
        <v>XXL</v>
      </c>
      <c r="G1316" t="s">
        <v>23</v>
      </c>
      <c r="H1316" s="2">
        <v>65.34</v>
      </c>
      <c r="I1316">
        <v>49.8</v>
      </c>
      <c r="J1316" s="5">
        <f>BBDD_fashion_boutique[[#This Row],[markdown_percentage]]/100</f>
        <v>0.498</v>
      </c>
      <c r="K1316" s="2">
        <v>32.799999999999997</v>
      </c>
      <c r="L1316" s="2">
        <f>BBDD_fashion_boutique[[#This Row],[original_price]]-BBDD_fashion_boutique[[#This Row],[current_price]]</f>
        <v>32.540000000000006</v>
      </c>
      <c r="M1316" s="1">
        <v>45875</v>
      </c>
      <c r="N1316" s="1" t="str">
        <f>PROPER(TEXT(BBDD_fashion_boutique[[#This Row],[purchase_date]],"dddd"))</f>
        <v>Miércoles</v>
      </c>
      <c r="O1316" s="1" t="str">
        <f>PROPER(TEXT(BBDD_fashion_boutique[[#This Row],[purchase_date]],"mmmm"))</f>
        <v>Agosto</v>
      </c>
      <c r="P1316" s="4">
        <v>9</v>
      </c>
      <c r="R1316" t="str">
        <f>IF(BBDD_fashion_boutique[[#This Row],[stock_quantity]]&gt;9,"Ok",IF(BBDD_fashion_boutique[[#This Row],[stock_quantity]]=0,"Agotado","Pocas Unidades"))</f>
        <v>Pocas Unidades</v>
      </c>
      <c r="S1316" s="3" t="str">
        <f>IF(BBDD_fashion_boutique[[#This Row],[customer_rating]]="","No valorado",BBDD_fashion_boutique[[#This Row],[customer_rating]])</f>
        <v>No valorado</v>
      </c>
      <c r="T1316" t="s">
        <v>24</v>
      </c>
      <c r="V1316">
        <f>IF(BBDD_fashion_boutique[[#This Row],[is_returned]]="False",0,1)</f>
        <v>0</v>
      </c>
      <c r="W1316">
        <f>IF(BBDD_fashion_boutique[[#This Row],[is_returned]]="True",0,BBDD_fashion_boutique[[#This Row],[current_price]])</f>
        <v>32.799999999999997</v>
      </c>
      <c r="X1316" t="str">
        <f>IF(BBDD_fashion_boutique[[#This Row],[return_reason]]="","No return",BBDD_fashion_boutique[[#This Row],[return_reason]])</f>
        <v>No return</v>
      </c>
      <c r="Y1316">
        <f>IF(IFERROR(VLOOKUP(BBDD_fashion_boutique[[#This Row],[product_id]],A1317:A3492,1,FALSE),0),1,0)</f>
        <v>0</v>
      </c>
    </row>
    <row r="1317" spans="1:25" x14ac:dyDescent="0.3">
      <c r="A1317" t="s">
        <v>1376</v>
      </c>
      <c r="B1317" t="s">
        <v>35</v>
      </c>
      <c r="C1317" t="s">
        <v>37</v>
      </c>
      <c r="D1317" t="s">
        <v>21</v>
      </c>
      <c r="E1317" t="s">
        <v>64</v>
      </c>
      <c r="F1317" t="str">
        <f>IF(BBDD_fashion_boutique[[#This Row],[category]]="Accessories","Accesorio",IF(BBDD_fashion_boutique[[#This Row],[size]]="","Desconocido",BBDD_fashion_boutique[[#This Row],[size]]))</f>
        <v>M</v>
      </c>
      <c r="G1317" t="s">
        <v>52</v>
      </c>
      <c r="H1317" s="2">
        <v>84.57</v>
      </c>
      <c r="I1317">
        <v>5.4</v>
      </c>
      <c r="J1317" s="5">
        <f>BBDD_fashion_boutique[[#This Row],[markdown_percentage]]/100</f>
        <v>5.4000000000000006E-2</v>
      </c>
      <c r="K1317" s="2">
        <v>80</v>
      </c>
      <c r="L1317" s="2">
        <f>BBDD_fashion_boutique[[#This Row],[original_price]]-BBDD_fashion_boutique[[#This Row],[current_price]]</f>
        <v>4.5699999999999932</v>
      </c>
      <c r="M1317" s="1">
        <v>45855</v>
      </c>
      <c r="N1317" s="1" t="str">
        <f>PROPER(TEXT(BBDD_fashion_boutique[[#This Row],[purchase_date]],"dddd"))</f>
        <v>Jueves</v>
      </c>
      <c r="O1317" s="1" t="str">
        <f>PROPER(TEXT(BBDD_fashion_boutique[[#This Row],[purchase_date]],"mmmm"))</f>
        <v>Julio</v>
      </c>
      <c r="P1317" s="4">
        <v>33</v>
      </c>
      <c r="R1317" t="str">
        <f>IF(BBDD_fashion_boutique[[#This Row],[stock_quantity]]&gt;9,"Ok",IF(BBDD_fashion_boutique[[#This Row],[stock_quantity]]=0,"Agotado","Pocas Unidades"))</f>
        <v>Ok</v>
      </c>
      <c r="S1317" s="3" t="str">
        <f>IF(BBDD_fashion_boutique[[#This Row],[customer_rating]]="","No valorado",BBDD_fashion_boutique[[#This Row],[customer_rating]])</f>
        <v>No valorado</v>
      </c>
      <c r="T1317" t="s">
        <v>24</v>
      </c>
      <c r="V1317">
        <f>IF(BBDD_fashion_boutique[[#This Row],[is_returned]]="False",0,1)</f>
        <v>0</v>
      </c>
      <c r="W1317">
        <f>IF(BBDD_fashion_boutique[[#This Row],[is_returned]]="True",0,BBDD_fashion_boutique[[#This Row],[current_price]])</f>
        <v>80</v>
      </c>
      <c r="X1317" t="str">
        <f>IF(BBDD_fashion_boutique[[#This Row],[return_reason]]="","No return",BBDD_fashion_boutique[[#This Row],[return_reason]])</f>
        <v>No return</v>
      </c>
      <c r="Y1317">
        <f>IF(IFERROR(VLOOKUP(BBDD_fashion_boutique[[#This Row],[product_id]],A1318:A3493,1,FALSE),0),1,0)</f>
        <v>0</v>
      </c>
    </row>
    <row r="1318" spans="1:25" x14ac:dyDescent="0.3">
      <c r="A1318" t="s">
        <v>1377</v>
      </c>
      <c r="B1318" t="s">
        <v>44</v>
      </c>
      <c r="C1318" t="s">
        <v>67</v>
      </c>
      <c r="D1318" t="s">
        <v>68</v>
      </c>
      <c r="E1318" t="s">
        <v>61</v>
      </c>
      <c r="F1318" t="str">
        <f>IF(BBDD_fashion_boutique[[#This Row],[category]]="Accessories","Accesorio",IF(BBDD_fashion_boutique[[#This Row],[size]]="","Desconocido",BBDD_fashion_boutique[[#This Row],[size]]))</f>
        <v>XS</v>
      </c>
      <c r="G1318" t="s">
        <v>46</v>
      </c>
      <c r="H1318" s="2">
        <v>52.6</v>
      </c>
      <c r="I1318">
        <v>0</v>
      </c>
      <c r="J1318" s="5">
        <f>BBDD_fashion_boutique[[#This Row],[markdown_percentage]]/100</f>
        <v>0</v>
      </c>
      <c r="K1318" s="2">
        <v>52.6</v>
      </c>
      <c r="L1318" s="2">
        <f>BBDD_fashion_boutique[[#This Row],[original_price]]-BBDD_fashion_boutique[[#This Row],[current_price]]</f>
        <v>0</v>
      </c>
      <c r="M1318" s="1">
        <v>45875</v>
      </c>
      <c r="N1318" s="1" t="str">
        <f>PROPER(TEXT(BBDD_fashion_boutique[[#This Row],[purchase_date]],"dddd"))</f>
        <v>Miércoles</v>
      </c>
      <c r="O1318" s="1" t="str">
        <f>PROPER(TEXT(BBDD_fashion_boutique[[#This Row],[purchase_date]],"mmmm"))</f>
        <v>Agosto</v>
      </c>
      <c r="P1318" s="4">
        <v>35</v>
      </c>
      <c r="Q1318" s="2">
        <v>1.2</v>
      </c>
      <c r="R1318" t="str">
        <f>IF(BBDD_fashion_boutique[[#This Row],[stock_quantity]]&gt;9,"Ok",IF(BBDD_fashion_boutique[[#This Row],[stock_quantity]]=0,"Agotado","Pocas Unidades"))</f>
        <v>Ok</v>
      </c>
      <c r="S1318" s="3">
        <f>IF(BBDD_fashion_boutique[[#This Row],[customer_rating]]="","No valorado",BBDD_fashion_boutique[[#This Row],[customer_rating]])</f>
        <v>1.2</v>
      </c>
      <c r="T1318" t="s">
        <v>41</v>
      </c>
      <c r="U1318" t="s">
        <v>42</v>
      </c>
      <c r="V1318">
        <f>IF(BBDD_fashion_boutique[[#This Row],[is_returned]]="False",0,1)</f>
        <v>1</v>
      </c>
      <c r="W1318">
        <f>IF(BBDD_fashion_boutique[[#This Row],[is_returned]]="True",0,BBDD_fashion_boutique[[#This Row],[current_price]])</f>
        <v>0</v>
      </c>
      <c r="X1318" t="str">
        <f>IF(BBDD_fashion_boutique[[#This Row],[return_reason]]="","No return",BBDD_fashion_boutique[[#This Row],[return_reason]])</f>
        <v>Color Mismatch</v>
      </c>
      <c r="Y1318">
        <f>IF(IFERROR(VLOOKUP(BBDD_fashion_boutique[[#This Row],[product_id]],A1319:A3494,1,FALSE),0),1,0)</f>
        <v>0</v>
      </c>
    </row>
    <row r="1319" spans="1:25" x14ac:dyDescent="0.3">
      <c r="A1319" t="s">
        <v>1378</v>
      </c>
      <c r="B1319" t="s">
        <v>35</v>
      </c>
      <c r="C1319" t="s">
        <v>27</v>
      </c>
      <c r="D1319" t="s">
        <v>68</v>
      </c>
      <c r="E1319" t="s">
        <v>29</v>
      </c>
      <c r="F1319" t="str">
        <f>IF(BBDD_fashion_boutique[[#This Row],[category]]="Accessories","Accesorio",IF(BBDD_fashion_boutique[[#This Row],[size]]="","Desconocido",BBDD_fashion_boutique[[#This Row],[size]]))</f>
        <v>L</v>
      </c>
      <c r="G1319" t="s">
        <v>52</v>
      </c>
      <c r="H1319" s="2">
        <v>106.37</v>
      </c>
      <c r="I1319">
        <v>0</v>
      </c>
      <c r="J1319" s="5">
        <f>BBDD_fashion_boutique[[#This Row],[markdown_percentage]]/100</f>
        <v>0</v>
      </c>
      <c r="K1319" s="2">
        <v>106.37</v>
      </c>
      <c r="L1319" s="2">
        <f>BBDD_fashion_boutique[[#This Row],[original_price]]-BBDD_fashion_boutique[[#This Row],[current_price]]</f>
        <v>0</v>
      </c>
      <c r="M1319" s="1">
        <v>45875</v>
      </c>
      <c r="N1319" s="1" t="str">
        <f>PROPER(TEXT(BBDD_fashion_boutique[[#This Row],[purchase_date]],"dddd"))</f>
        <v>Miércoles</v>
      </c>
      <c r="O1319" s="1" t="str">
        <f>PROPER(TEXT(BBDD_fashion_boutique[[#This Row],[purchase_date]],"mmmm"))</f>
        <v>Agosto</v>
      </c>
      <c r="P1319" s="4">
        <v>30</v>
      </c>
      <c r="Q1319" s="2">
        <v>1.1000000000000001</v>
      </c>
      <c r="R1319" t="str">
        <f>IF(BBDD_fashion_boutique[[#This Row],[stock_quantity]]&gt;9,"Ok",IF(BBDD_fashion_boutique[[#This Row],[stock_quantity]]=0,"Agotado","Pocas Unidades"))</f>
        <v>Ok</v>
      </c>
      <c r="S1319" s="3">
        <f>IF(BBDD_fashion_boutique[[#This Row],[customer_rating]]="","No valorado",BBDD_fashion_boutique[[#This Row],[customer_rating]])</f>
        <v>1.1000000000000001</v>
      </c>
      <c r="T1319" t="s">
        <v>24</v>
      </c>
      <c r="V1319">
        <f>IF(BBDD_fashion_boutique[[#This Row],[is_returned]]="False",0,1)</f>
        <v>0</v>
      </c>
      <c r="W1319">
        <f>IF(BBDD_fashion_boutique[[#This Row],[is_returned]]="True",0,BBDD_fashion_boutique[[#This Row],[current_price]])</f>
        <v>106.37</v>
      </c>
      <c r="X1319" t="str">
        <f>IF(BBDD_fashion_boutique[[#This Row],[return_reason]]="","No return",BBDD_fashion_boutique[[#This Row],[return_reason]])</f>
        <v>No return</v>
      </c>
      <c r="Y1319">
        <f>IF(IFERROR(VLOOKUP(BBDD_fashion_boutique[[#This Row],[product_id]],A1320:A3495,1,FALSE),0),1,0)</f>
        <v>0</v>
      </c>
    </row>
    <row r="1320" spans="1:25" x14ac:dyDescent="0.3">
      <c r="A1320" t="s">
        <v>1379</v>
      </c>
      <c r="B1320" t="s">
        <v>26</v>
      </c>
      <c r="C1320" t="s">
        <v>67</v>
      </c>
      <c r="D1320" t="s">
        <v>68</v>
      </c>
      <c r="E1320" t="s">
        <v>55</v>
      </c>
      <c r="F1320" t="str">
        <f>IF(BBDD_fashion_boutique[[#This Row],[category]]="Accessories","Accesorio",IF(BBDD_fashion_boutique[[#This Row],[size]]="","Desconocido",BBDD_fashion_boutique[[#This Row],[size]]))</f>
        <v>XXL</v>
      </c>
      <c r="G1320" t="s">
        <v>33</v>
      </c>
      <c r="H1320" s="2">
        <v>96.77</v>
      </c>
      <c r="I1320">
        <v>40.4</v>
      </c>
      <c r="J1320" s="5">
        <f>BBDD_fashion_boutique[[#This Row],[markdown_percentage]]/100</f>
        <v>0.40399999999999997</v>
      </c>
      <c r="K1320" s="2">
        <v>57.67</v>
      </c>
      <c r="L1320" s="2">
        <f>BBDD_fashion_boutique[[#This Row],[original_price]]-BBDD_fashion_boutique[[#This Row],[current_price]]</f>
        <v>39.099999999999994</v>
      </c>
      <c r="M1320" s="1">
        <v>45875</v>
      </c>
      <c r="N1320" s="1" t="str">
        <f>PROPER(TEXT(BBDD_fashion_boutique[[#This Row],[purchase_date]],"dddd"))</f>
        <v>Miércoles</v>
      </c>
      <c r="O1320" s="1" t="str">
        <f>PROPER(TEXT(BBDD_fashion_boutique[[#This Row],[purchase_date]],"mmmm"))</f>
        <v>Agosto</v>
      </c>
      <c r="P1320" s="4">
        <v>31</v>
      </c>
      <c r="Q1320" s="2">
        <v>4.5</v>
      </c>
      <c r="R1320" t="str">
        <f>IF(BBDD_fashion_boutique[[#This Row],[stock_quantity]]&gt;9,"Ok",IF(BBDD_fashion_boutique[[#This Row],[stock_quantity]]=0,"Agotado","Pocas Unidades"))</f>
        <v>Ok</v>
      </c>
      <c r="S1320" s="3">
        <f>IF(BBDD_fashion_boutique[[#This Row],[customer_rating]]="","No valorado",BBDD_fashion_boutique[[#This Row],[customer_rating]])</f>
        <v>4.5</v>
      </c>
      <c r="T1320" t="s">
        <v>24</v>
      </c>
      <c r="V1320">
        <f>IF(BBDD_fashion_boutique[[#This Row],[is_returned]]="False",0,1)</f>
        <v>0</v>
      </c>
      <c r="W1320">
        <f>IF(BBDD_fashion_boutique[[#This Row],[is_returned]]="True",0,BBDD_fashion_boutique[[#This Row],[current_price]])</f>
        <v>57.67</v>
      </c>
      <c r="X1320" t="str">
        <f>IF(BBDD_fashion_boutique[[#This Row],[return_reason]]="","No return",BBDD_fashion_boutique[[#This Row],[return_reason]])</f>
        <v>No return</v>
      </c>
      <c r="Y1320">
        <f>IF(IFERROR(VLOOKUP(BBDD_fashion_boutique[[#This Row],[product_id]],A1321:A3496,1,FALSE),0),1,0)</f>
        <v>0</v>
      </c>
    </row>
    <row r="1321" spans="1:25" x14ac:dyDescent="0.3">
      <c r="A1321" t="s">
        <v>1380</v>
      </c>
      <c r="B1321" t="s">
        <v>19</v>
      </c>
      <c r="C1321" t="s">
        <v>37</v>
      </c>
      <c r="D1321" t="s">
        <v>21</v>
      </c>
      <c r="E1321" t="s">
        <v>29</v>
      </c>
      <c r="F1321" t="str">
        <f>IF(BBDD_fashion_boutique[[#This Row],[category]]="Accessories","Accesorio",IF(BBDD_fashion_boutique[[#This Row],[size]]="","Desconocido",BBDD_fashion_boutique[[#This Row],[size]]))</f>
        <v>L</v>
      </c>
      <c r="G1321" t="s">
        <v>76</v>
      </c>
      <c r="H1321" s="2">
        <v>99.02</v>
      </c>
      <c r="I1321">
        <v>0</v>
      </c>
      <c r="J1321" s="5">
        <f>BBDD_fashion_boutique[[#This Row],[markdown_percentage]]/100</f>
        <v>0</v>
      </c>
      <c r="K1321" s="2">
        <v>99.02</v>
      </c>
      <c r="L1321" s="2">
        <f>BBDD_fashion_boutique[[#This Row],[original_price]]-BBDD_fashion_boutique[[#This Row],[current_price]]</f>
        <v>0</v>
      </c>
      <c r="M1321" s="1">
        <v>45581</v>
      </c>
      <c r="N1321" s="1" t="str">
        <f>PROPER(TEXT(BBDD_fashion_boutique[[#This Row],[purchase_date]],"dddd"))</f>
        <v>Miércoles</v>
      </c>
      <c r="O1321" s="1" t="str">
        <f>PROPER(TEXT(BBDD_fashion_boutique[[#This Row],[purchase_date]],"mmmm"))</f>
        <v>Octubre</v>
      </c>
      <c r="P1321" s="4">
        <v>21</v>
      </c>
      <c r="Q1321" s="2">
        <v>1.2</v>
      </c>
      <c r="R1321" t="str">
        <f>IF(BBDD_fashion_boutique[[#This Row],[stock_quantity]]&gt;9,"Ok",IF(BBDD_fashion_boutique[[#This Row],[stock_quantity]]=0,"Agotado","Pocas Unidades"))</f>
        <v>Ok</v>
      </c>
      <c r="S1321" s="3">
        <f>IF(BBDD_fashion_boutique[[#This Row],[customer_rating]]="","No valorado",BBDD_fashion_boutique[[#This Row],[customer_rating]])</f>
        <v>1.2</v>
      </c>
      <c r="T1321" t="s">
        <v>24</v>
      </c>
      <c r="V1321">
        <f>IF(BBDD_fashion_boutique[[#This Row],[is_returned]]="False",0,1)</f>
        <v>0</v>
      </c>
      <c r="W1321">
        <f>IF(BBDD_fashion_boutique[[#This Row],[is_returned]]="True",0,BBDD_fashion_boutique[[#This Row],[current_price]])</f>
        <v>99.02</v>
      </c>
      <c r="X1321" t="str">
        <f>IF(BBDD_fashion_boutique[[#This Row],[return_reason]]="","No return",BBDD_fashion_boutique[[#This Row],[return_reason]])</f>
        <v>No return</v>
      </c>
      <c r="Y1321">
        <f>IF(IFERROR(VLOOKUP(BBDD_fashion_boutique[[#This Row],[product_id]],A1322:A3497,1,FALSE),0),1,0)</f>
        <v>0</v>
      </c>
    </row>
    <row r="1322" spans="1:25" x14ac:dyDescent="0.3">
      <c r="A1322" t="s">
        <v>1381</v>
      </c>
      <c r="B1322" t="s">
        <v>32</v>
      </c>
      <c r="C1322" t="s">
        <v>20</v>
      </c>
      <c r="D1322" t="s">
        <v>21</v>
      </c>
      <c r="F1322" t="str">
        <f>IF(BBDD_fashion_boutique[[#This Row],[category]]="Accessories","Accesorio",IF(BBDD_fashion_boutique[[#This Row],[size]]="","Desconocido",BBDD_fashion_boutique[[#This Row],[size]]))</f>
        <v>Accesorio</v>
      </c>
      <c r="G1322" t="s">
        <v>72</v>
      </c>
      <c r="H1322" s="2">
        <v>68.89</v>
      </c>
      <c r="I1322">
        <v>36.9</v>
      </c>
      <c r="J1322" s="5">
        <f>BBDD_fashion_boutique[[#This Row],[markdown_percentage]]/100</f>
        <v>0.36899999999999999</v>
      </c>
      <c r="K1322" s="2">
        <v>43.47</v>
      </c>
      <c r="L1322" s="2">
        <f>BBDD_fashion_boutique[[#This Row],[original_price]]-BBDD_fashion_boutique[[#This Row],[current_price]]</f>
        <v>25.42</v>
      </c>
      <c r="M1322" s="1">
        <v>45631</v>
      </c>
      <c r="N1322" s="1" t="str">
        <f>PROPER(TEXT(BBDD_fashion_boutique[[#This Row],[purchase_date]],"dddd"))</f>
        <v>Jueves</v>
      </c>
      <c r="O1322" s="1" t="str">
        <f>PROPER(TEXT(BBDD_fashion_boutique[[#This Row],[purchase_date]],"mmmm"))</f>
        <v>Diciembre</v>
      </c>
      <c r="P1322" s="4">
        <v>9</v>
      </c>
      <c r="Q1322" s="2">
        <v>1.8</v>
      </c>
      <c r="R1322" t="str">
        <f>IF(BBDD_fashion_boutique[[#This Row],[stock_quantity]]&gt;9,"Ok",IF(BBDD_fashion_boutique[[#This Row],[stock_quantity]]=0,"Agotado","Pocas Unidades"))</f>
        <v>Pocas Unidades</v>
      </c>
      <c r="S1322" s="3">
        <f>IF(BBDD_fashion_boutique[[#This Row],[customer_rating]]="","No valorado",BBDD_fashion_boutique[[#This Row],[customer_rating]])</f>
        <v>1.8</v>
      </c>
      <c r="T1322" t="s">
        <v>24</v>
      </c>
      <c r="V1322">
        <f>IF(BBDD_fashion_boutique[[#This Row],[is_returned]]="False",0,1)</f>
        <v>0</v>
      </c>
      <c r="W1322">
        <f>IF(BBDD_fashion_boutique[[#This Row],[is_returned]]="True",0,BBDD_fashion_boutique[[#This Row],[current_price]])</f>
        <v>43.47</v>
      </c>
      <c r="X1322" t="str">
        <f>IF(BBDD_fashion_boutique[[#This Row],[return_reason]]="","No return",BBDD_fashion_boutique[[#This Row],[return_reason]])</f>
        <v>No return</v>
      </c>
      <c r="Y1322">
        <f>IF(IFERROR(VLOOKUP(BBDD_fashion_boutique[[#This Row],[product_id]],A1323:A3498,1,FALSE),0),1,0)</f>
        <v>0</v>
      </c>
    </row>
    <row r="1323" spans="1:25" x14ac:dyDescent="0.3">
      <c r="A1323" t="s">
        <v>1382</v>
      </c>
      <c r="B1323" t="s">
        <v>48</v>
      </c>
      <c r="C1323" t="s">
        <v>54</v>
      </c>
      <c r="D1323" t="s">
        <v>21</v>
      </c>
      <c r="E1323" t="s">
        <v>45</v>
      </c>
      <c r="F1323" t="str">
        <f>IF(BBDD_fashion_boutique[[#This Row],[category]]="Accessories","Accesorio",IF(BBDD_fashion_boutique[[#This Row],[size]]="","Desconocido",BBDD_fashion_boutique[[#This Row],[size]]))</f>
        <v>S</v>
      </c>
      <c r="G1323" t="s">
        <v>30</v>
      </c>
      <c r="H1323" s="2">
        <v>63.91</v>
      </c>
      <c r="I1323">
        <v>3.5</v>
      </c>
      <c r="J1323" s="5">
        <f>BBDD_fashion_boutique[[#This Row],[markdown_percentage]]/100</f>
        <v>3.5000000000000003E-2</v>
      </c>
      <c r="K1323" s="2">
        <v>61.67</v>
      </c>
      <c r="L1323" s="2">
        <f>BBDD_fashion_boutique[[#This Row],[original_price]]-BBDD_fashion_boutique[[#This Row],[current_price]]</f>
        <v>2.2399999999999949</v>
      </c>
      <c r="M1323" s="1">
        <v>45796</v>
      </c>
      <c r="N1323" s="1" t="str">
        <f>PROPER(TEXT(BBDD_fashion_boutique[[#This Row],[purchase_date]],"dddd"))</f>
        <v>Lunes</v>
      </c>
      <c r="O1323" s="1" t="str">
        <f>PROPER(TEXT(BBDD_fashion_boutique[[#This Row],[purchase_date]],"mmmm"))</f>
        <v>Mayo</v>
      </c>
      <c r="P1323" s="4">
        <v>14</v>
      </c>
      <c r="Q1323" s="2">
        <v>2.1</v>
      </c>
      <c r="R1323" t="str">
        <f>IF(BBDD_fashion_boutique[[#This Row],[stock_quantity]]&gt;9,"Ok",IF(BBDD_fashion_boutique[[#This Row],[stock_quantity]]=0,"Agotado","Pocas Unidades"))</f>
        <v>Ok</v>
      </c>
      <c r="S1323" s="3">
        <f>IF(BBDD_fashion_boutique[[#This Row],[customer_rating]]="","No valorado",BBDD_fashion_boutique[[#This Row],[customer_rating]])</f>
        <v>2.1</v>
      </c>
      <c r="T1323" t="s">
        <v>24</v>
      </c>
      <c r="V1323">
        <f>IF(BBDD_fashion_boutique[[#This Row],[is_returned]]="False",0,1)</f>
        <v>0</v>
      </c>
      <c r="W1323">
        <f>IF(BBDD_fashion_boutique[[#This Row],[is_returned]]="True",0,BBDD_fashion_boutique[[#This Row],[current_price]])</f>
        <v>61.67</v>
      </c>
      <c r="X1323" t="str">
        <f>IF(BBDD_fashion_boutique[[#This Row],[return_reason]]="","No return",BBDD_fashion_boutique[[#This Row],[return_reason]])</f>
        <v>No return</v>
      </c>
      <c r="Y1323">
        <f>IF(IFERROR(VLOOKUP(BBDD_fashion_boutique[[#This Row],[product_id]],A1324:A3499,1,FALSE),0),1,0)</f>
        <v>0</v>
      </c>
    </row>
    <row r="1324" spans="1:25" x14ac:dyDescent="0.3">
      <c r="A1324" t="s">
        <v>1383</v>
      </c>
      <c r="B1324" t="s">
        <v>35</v>
      </c>
      <c r="C1324" t="s">
        <v>49</v>
      </c>
      <c r="D1324" t="s">
        <v>39</v>
      </c>
      <c r="E1324" t="s">
        <v>45</v>
      </c>
      <c r="F1324" t="str">
        <f>IF(BBDD_fashion_boutique[[#This Row],[category]]="Accessories","Accesorio",IF(BBDD_fashion_boutique[[#This Row],[size]]="","Desconocido",BBDD_fashion_boutique[[#This Row],[size]]))</f>
        <v>S</v>
      </c>
      <c r="G1324" t="s">
        <v>70</v>
      </c>
      <c r="H1324" s="2">
        <v>116.38</v>
      </c>
      <c r="I1324">
        <v>11.4</v>
      </c>
      <c r="J1324" s="5">
        <f>BBDD_fashion_boutique[[#This Row],[markdown_percentage]]/100</f>
        <v>0.114</v>
      </c>
      <c r="K1324" s="2">
        <v>103.11</v>
      </c>
      <c r="L1324" s="2">
        <f>BBDD_fashion_boutique[[#This Row],[original_price]]-BBDD_fashion_boutique[[#This Row],[current_price]]</f>
        <v>13.269999999999996</v>
      </c>
      <c r="M1324" s="1">
        <v>45875</v>
      </c>
      <c r="N1324" s="1" t="str">
        <f>PROPER(TEXT(BBDD_fashion_boutique[[#This Row],[purchase_date]],"dddd"))</f>
        <v>Miércoles</v>
      </c>
      <c r="O1324" s="1" t="str">
        <f>PROPER(TEXT(BBDD_fashion_boutique[[#This Row],[purchase_date]],"mmmm"))</f>
        <v>Agosto</v>
      </c>
      <c r="P1324" s="4">
        <v>15</v>
      </c>
      <c r="R1324" t="str">
        <f>IF(BBDD_fashion_boutique[[#This Row],[stock_quantity]]&gt;9,"Ok",IF(BBDD_fashion_boutique[[#This Row],[stock_quantity]]=0,"Agotado","Pocas Unidades"))</f>
        <v>Ok</v>
      </c>
      <c r="S1324" s="3" t="str">
        <f>IF(BBDD_fashion_boutique[[#This Row],[customer_rating]]="","No valorado",BBDD_fashion_boutique[[#This Row],[customer_rating]])</f>
        <v>No valorado</v>
      </c>
      <c r="T1324" t="s">
        <v>24</v>
      </c>
      <c r="V1324">
        <f>IF(BBDD_fashion_boutique[[#This Row],[is_returned]]="False",0,1)</f>
        <v>0</v>
      </c>
      <c r="W1324">
        <f>IF(BBDD_fashion_boutique[[#This Row],[is_returned]]="True",0,BBDD_fashion_boutique[[#This Row],[current_price]])</f>
        <v>103.11</v>
      </c>
      <c r="X1324" t="str">
        <f>IF(BBDD_fashion_boutique[[#This Row],[return_reason]]="","No return",BBDD_fashion_boutique[[#This Row],[return_reason]])</f>
        <v>No return</v>
      </c>
      <c r="Y1324">
        <f>IF(IFERROR(VLOOKUP(BBDD_fashion_boutique[[#This Row],[product_id]],A1325:A3500,1,FALSE),0),1,0)</f>
        <v>0</v>
      </c>
    </row>
    <row r="1325" spans="1:25" x14ac:dyDescent="0.3">
      <c r="A1325" t="s">
        <v>1384</v>
      </c>
      <c r="B1325" t="s">
        <v>44</v>
      </c>
      <c r="C1325" t="s">
        <v>27</v>
      </c>
      <c r="D1325" t="s">
        <v>39</v>
      </c>
      <c r="E1325" t="s">
        <v>61</v>
      </c>
      <c r="F1325" t="str">
        <f>IF(BBDD_fashion_boutique[[#This Row],[category]]="Accessories","Accesorio",IF(BBDD_fashion_boutique[[#This Row],[size]]="","Desconocido",BBDD_fashion_boutique[[#This Row],[size]]))</f>
        <v>XS</v>
      </c>
      <c r="G1325" t="s">
        <v>52</v>
      </c>
      <c r="H1325" s="2">
        <v>71.739999999999995</v>
      </c>
      <c r="I1325">
        <v>0</v>
      </c>
      <c r="J1325" s="5">
        <f>BBDD_fashion_boutique[[#This Row],[markdown_percentage]]/100</f>
        <v>0</v>
      </c>
      <c r="K1325" s="2">
        <v>71.739999999999995</v>
      </c>
      <c r="L1325" s="2">
        <f>BBDD_fashion_boutique[[#This Row],[original_price]]-BBDD_fashion_boutique[[#This Row],[current_price]]</f>
        <v>0</v>
      </c>
      <c r="M1325" s="1">
        <v>45875</v>
      </c>
      <c r="N1325" s="1" t="str">
        <f>PROPER(TEXT(BBDD_fashion_boutique[[#This Row],[purchase_date]],"dddd"))</f>
        <v>Miércoles</v>
      </c>
      <c r="O1325" s="1" t="str">
        <f>PROPER(TEXT(BBDD_fashion_boutique[[#This Row],[purchase_date]],"mmmm"))</f>
        <v>Agosto</v>
      </c>
      <c r="P1325" s="4">
        <v>16</v>
      </c>
      <c r="R1325" t="str">
        <f>IF(BBDD_fashion_boutique[[#This Row],[stock_quantity]]&gt;9,"Ok",IF(BBDD_fashion_boutique[[#This Row],[stock_quantity]]=0,"Agotado","Pocas Unidades"))</f>
        <v>Ok</v>
      </c>
      <c r="S1325" s="3" t="str">
        <f>IF(BBDD_fashion_boutique[[#This Row],[customer_rating]]="","No valorado",BBDD_fashion_boutique[[#This Row],[customer_rating]])</f>
        <v>No valorado</v>
      </c>
      <c r="T1325" t="s">
        <v>24</v>
      </c>
      <c r="V1325">
        <f>IF(BBDD_fashion_boutique[[#This Row],[is_returned]]="False",0,1)</f>
        <v>0</v>
      </c>
      <c r="W1325">
        <f>IF(BBDD_fashion_boutique[[#This Row],[is_returned]]="True",0,BBDD_fashion_boutique[[#This Row],[current_price]])</f>
        <v>71.739999999999995</v>
      </c>
      <c r="X1325" t="str">
        <f>IF(BBDD_fashion_boutique[[#This Row],[return_reason]]="","No return",BBDD_fashion_boutique[[#This Row],[return_reason]])</f>
        <v>No return</v>
      </c>
      <c r="Y1325">
        <f>IF(IFERROR(VLOOKUP(BBDD_fashion_boutique[[#This Row],[product_id]],A1326:A3501,1,FALSE),0),1,0)</f>
        <v>0</v>
      </c>
    </row>
    <row r="1326" spans="1:25" x14ac:dyDescent="0.3">
      <c r="A1326" t="s">
        <v>1385</v>
      </c>
      <c r="B1326" t="s">
        <v>44</v>
      </c>
      <c r="C1326" t="s">
        <v>81</v>
      </c>
      <c r="D1326" t="s">
        <v>28</v>
      </c>
      <c r="E1326" t="s">
        <v>64</v>
      </c>
      <c r="F1326" t="str">
        <f>IF(BBDD_fashion_boutique[[#This Row],[category]]="Accessories","Accesorio",IF(BBDD_fashion_boutique[[#This Row],[size]]="","Desconocido",BBDD_fashion_boutique[[#This Row],[size]]))</f>
        <v>M</v>
      </c>
      <c r="G1326" t="s">
        <v>62</v>
      </c>
      <c r="H1326" s="2">
        <v>91.11</v>
      </c>
      <c r="I1326">
        <v>0</v>
      </c>
      <c r="J1326" s="5">
        <f>BBDD_fashion_boutique[[#This Row],[markdown_percentage]]/100</f>
        <v>0</v>
      </c>
      <c r="K1326" s="2">
        <v>91.11</v>
      </c>
      <c r="L1326" s="2">
        <f>BBDD_fashion_boutique[[#This Row],[original_price]]-BBDD_fashion_boutique[[#This Row],[current_price]]</f>
        <v>0</v>
      </c>
      <c r="M1326" s="1">
        <v>45875</v>
      </c>
      <c r="N1326" s="1" t="str">
        <f>PROPER(TEXT(BBDD_fashion_boutique[[#This Row],[purchase_date]],"dddd"))</f>
        <v>Miércoles</v>
      </c>
      <c r="O1326" s="1" t="str">
        <f>PROPER(TEXT(BBDD_fashion_boutique[[#This Row],[purchase_date]],"mmmm"))</f>
        <v>Agosto</v>
      </c>
      <c r="P1326" s="4">
        <v>38</v>
      </c>
      <c r="Q1326" s="2">
        <v>3.3</v>
      </c>
      <c r="R1326" t="str">
        <f>IF(BBDD_fashion_boutique[[#This Row],[stock_quantity]]&gt;9,"Ok",IF(BBDD_fashion_boutique[[#This Row],[stock_quantity]]=0,"Agotado","Pocas Unidades"))</f>
        <v>Ok</v>
      </c>
      <c r="S1326" s="3">
        <f>IF(BBDD_fashion_boutique[[#This Row],[customer_rating]]="","No valorado",BBDD_fashion_boutique[[#This Row],[customer_rating]])</f>
        <v>3.3</v>
      </c>
      <c r="T1326" t="s">
        <v>24</v>
      </c>
      <c r="V1326">
        <f>IF(BBDD_fashion_boutique[[#This Row],[is_returned]]="False",0,1)</f>
        <v>0</v>
      </c>
      <c r="W1326">
        <f>IF(BBDD_fashion_boutique[[#This Row],[is_returned]]="True",0,BBDD_fashion_boutique[[#This Row],[current_price]])</f>
        <v>91.11</v>
      </c>
      <c r="X1326" t="str">
        <f>IF(BBDD_fashion_boutique[[#This Row],[return_reason]]="","No return",BBDD_fashion_boutique[[#This Row],[return_reason]])</f>
        <v>No return</v>
      </c>
      <c r="Y1326">
        <f>IF(IFERROR(VLOOKUP(BBDD_fashion_boutique[[#This Row],[product_id]],A1327:A3502,1,FALSE),0),1,0)</f>
        <v>0</v>
      </c>
    </row>
    <row r="1327" spans="1:25" x14ac:dyDescent="0.3">
      <c r="A1327" t="s">
        <v>1386</v>
      </c>
      <c r="B1327" t="s">
        <v>32</v>
      </c>
      <c r="C1327" t="s">
        <v>20</v>
      </c>
      <c r="D1327" t="s">
        <v>68</v>
      </c>
      <c r="F1327" t="str">
        <f>IF(BBDD_fashion_boutique[[#This Row],[category]]="Accessories","Accesorio",IF(BBDD_fashion_boutique[[#This Row],[size]]="","Desconocido",BBDD_fashion_boutique[[#This Row],[size]]))</f>
        <v>Accesorio</v>
      </c>
      <c r="G1327" t="s">
        <v>40</v>
      </c>
      <c r="H1327" s="2">
        <v>46.07</v>
      </c>
      <c r="I1327">
        <v>0</v>
      </c>
      <c r="J1327" s="5">
        <f>BBDD_fashion_boutique[[#This Row],[markdown_percentage]]/100</f>
        <v>0</v>
      </c>
      <c r="K1327" s="2">
        <v>46.07</v>
      </c>
      <c r="L1327" s="2">
        <f>BBDD_fashion_boutique[[#This Row],[original_price]]-BBDD_fashion_boutique[[#This Row],[current_price]]</f>
        <v>0</v>
      </c>
      <c r="M1327" s="1">
        <v>45875</v>
      </c>
      <c r="N1327" s="1" t="str">
        <f>PROPER(TEXT(BBDD_fashion_boutique[[#This Row],[purchase_date]],"dddd"))</f>
        <v>Miércoles</v>
      </c>
      <c r="O1327" s="1" t="str">
        <f>PROPER(TEXT(BBDD_fashion_boutique[[#This Row],[purchase_date]],"mmmm"))</f>
        <v>Agosto</v>
      </c>
      <c r="P1327" s="4">
        <v>25</v>
      </c>
      <c r="Q1327" s="2">
        <v>2.5</v>
      </c>
      <c r="R1327" t="str">
        <f>IF(BBDD_fashion_boutique[[#This Row],[stock_quantity]]&gt;9,"Ok",IF(BBDD_fashion_boutique[[#This Row],[stock_quantity]]=0,"Agotado","Pocas Unidades"))</f>
        <v>Ok</v>
      </c>
      <c r="S1327" s="3">
        <f>IF(BBDD_fashion_boutique[[#This Row],[customer_rating]]="","No valorado",BBDD_fashion_boutique[[#This Row],[customer_rating]])</f>
        <v>2.5</v>
      </c>
      <c r="T1327" t="s">
        <v>24</v>
      </c>
      <c r="V1327">
        <f>IF(BBDD_fashion_boutique[[#This Row],[is_returned]]="False",0,1)</f>
        <v>0</v>
      </c>
      <c r="W1327">
        <f>IF(BBDD_fashion_boutique[[#This Row],[is_returned]]="True",0,BBDD_fashion_boutique[[#This Row],[current_price]])</f>
        <v>46.07</v>
      </c>
      <c r="X1327" t="str">
        <f>IF(BBDD_fashion_boutique[[#This Row],[return_reason]]="","No return",BBDD_fashion_boutique[[#This Row],[return_reason]])</f>
        <v>No return</v>
      </c>
      <c r="Y1327">
        <f>IF(IFERROR(VLOOKUP(BBDD_fashion_boutique[[#This Row],[product_id]],A1328:A3503,1,FALSE),0),1,0)</f>
        <v>0</v>
      </c>
    </row>
    <row r="1328" spans="1:25" x14ac:dyDescent="0.3">
      <c r="A1328" t="s">
        <v>1387</v>
      </c>
      <c r="B1328" t="s">
        <v>48</v>
      </c>
      <c r="C1328" t="s">
        <v>49</v>
      </c>
      <c r="D1328" t="s">
        <v>39</v>
      </c>
      <c r="E1328" t="s">
        <v>45</v>
      </c>
      <c r="F1328" t="str">
        <f>IF(BBDD_fashion_boutique[[#This Row],[category]]="Accessories","Accesorio",IF(BBDD_fashion_boutique[[#This Row],[size]]="","Desconocido",BBDD_fashion_boutique[[#This Row],[size]]))</f>
        <v>S</v>
      </c>
      <c r="G1328" t="s">
        <v>52</v>
      </c>
      <c r="H1328" s="2">
        <v>156.27000000000001</v>
      </c>
      <c r="I1328">
        <v>0</v>
      </c>
      <c r="J1328" s="5">
        <f>BBDD_fashion_boutique[[#This Row],[markdown_percentage]]/100</f>
        <v>0</v>
      </c>
      <c r="K1328" s="2">
        <v>156.27000000000001</v>
      </c>
      <c r="L1328" s="2">
        <f>BBDD_fashion_boutique[[#This Row],[original_price]]-BBDD_fashion_boutique[[#This Row],[current_price]]</f>
        <v>0</v>
      </c>
      <c r="M1328" s="1">
        <v>45875</v>
      </c>
      <c r="N1328" s="1" t="str">
        <f>PROPER(TEXT(BBDD_fashion_boutique[[#This Row],[purchase_date]],"dddd"))</f>
        <v>Miércoles</v>
      </c>
      <c r="O1328" s="1" t="str">
        <f>PROPER(TEXT(BBDD_fashion_boutique[[#This Row],[purchase_date]],"mmmm"))</f>
        <v>Agosto</v>
      </c>
      <c r="P1328" s="4">
        <v>43</v>
      </c>
      <c r="R1328" t="str">
        <f>IF(BBDD_fashion_boutique[[#This Row],[stock_quantity]]&gt;9,"Ok",IF(BBDD_fashion_boutique[[#This Row],[stock_quantity]]=0,"Agotado","Pocas Unidades"))</f>
        <v>Ok</v>
      </c>
      <c r="S1328" s="3" t="str">
        <f>IF(BBDD_fashion_boutique[[#This Row],[customer_rating]]="","No valorado",BBDD_fashion_boutique[[#This Row],[customer_rating]])</f>
        <v>No valorado</v>
      </c>
      <c r="T1328" t="s">
        <v>24</v>
      </c>
      <c r="V1328">
        <f>IF(BBDD_fashion_boutique[[#This Row],[is_returned]]="False",0,1)</f>
        <v>0</v>
      </c>
      <c r="W1328">
        <f>IF(BBDD_fashion_boutique[[#This Row],[is_returned]]="True",0,BBDD_fashion_boutique[[#This Row],[current_price]])</f>
        <v>156.27000000000001</v>
      </c>
      <c r="X1328" t="str">
        <f>IF(BBDD_fashion_boutique[[#This Row],[return_reason]]="","No return",BBDD_fashion_boutique[[#This Row],[return_reason]])</f>
        <v>No return</v>
      </c>
      <c r="Y1328">
        <f>IF(IFERROR(VLOOKUP(BBDD_fashion_boutique[[#This Row],[product_id]],A1329:A3504,1,FALSE),0),1,0)</f>
        <v>0</v>
      </c>
    </row>
    <row r="1329" spans="1:25" x14ac:dyDescent="0.3">
      <c r="A1329" t="s">
        <v>1388</v>
      </c>
      <c r="B1329" t="s">
        <v>26</v>
      </c>
      <c r="C1329" t="s">
        <v>49</v>
      </c>
      <c r="D1329" t="s">
        <v>39</v>
      </c>
      <c r="E1329" t="s">
        <v>61</v>
      </c>
      <c r="F1329" t="str">
        <f>IF(BBDD_fashion_boutique[[#This Row],[category]]="Accessories","Accesorio",IF(BBDD_fashion_boutique[[#This Row],[size]]="","Desconocido",BBDD_fashion_boutique[[#This Row],[size]]))</f>
        <v>XS</v>
      </c>
      <c r="G1329" t="s">
        <v>30</v>
      </c>
      <c r="H1329" s="2">
        <v>56.35</v>
      </c>
      <c r="I1329">
        <v>0</v>
      </c>
      <c r="J1329" s="5">
        <f>BBDD_fashion_boutique[[#This Row],[markdown_percentage]]/100</f>
        <v>0</v>
      </c>
      <c r="K1329" s="2">
        <v>56.35</v>
      </c>
      <c r="L1329" s="2">
        <f>BBDD_fashion_boutique[[#This Row],[original_price]]-BBDD_fashion_boutique[[#This Row],[current_price]]</f>
        <v>0</v>
      </c>
      <c r="M1329" s="1">
        <v>45875</v>
      </c>
      <c r="N1329" s="1" t="str">
        <f>PROPER(TEXT(BBDD_fashion_boutique[[#This Row],[purchase_date]],"dddd"))</f>
        <v>Miércoles</v>
      </c>
      <c r="O1329" s="1" t="str">
        <f>PROPER(TEXT(BBDD_fashion_boutique[[#This Row],[purchase_date]],"mmmm"))</f>
        <v>Agosto</v>
      </c>
      <c r="P1329" s="4">
        <v>31</v>
      </c>
      <c r="Q1329" s="2">
        <v>1.5</v>
      </c>
      <c r="R1329" t="str">
        <f>IF(BBDD_fashion_boutique[[#This Row],[stock_quantity]]&gt;9,"Ok",IF(BBDD_fashion_boutique[[#This Row],[stock_quantity]]=0,"Agotado","Pocas Unidades"))</f>
        <v>Ok</v>
      </c>
      <c r="S1329" s="3">
        <f>IF(BBDD_fashion_boutique[[#This Row],[customer_rating]]="","No valorado",BBDD_fashion_boutique[[#This Row],[customer_rating]])</f>
        <v>1.5</v>
      </c>
      <c r="T1329" t="s">
        <v>24</v>
      </c>
      <c r="V1329">
        <f>IF(BBDD_fashion_boutique[[#This Row],[is_returned]]="False",0,1)</f>
        <v>0</v>
      </c>
      <c r="W1329">
        <f>IF(BBDD_fashion_boutique[[#This Row],[is_returned]]="True",0,BBDD_fashion_boutique[[#This Row],[current_price]])</f>
        <v>56.35</v>
      </c>
      <c r="X1329" t="str">
        <f>IF(BBDD_fashion_boutique[[#This Row],[return_reason]]="","No return",BBDD_fashion_boutique[[#This Row],[return_reason]])</f>
        <v>No return</v>
      </c>
      <c r="Y1329">
        <f>IF(IFERROR(VLOOKUP(BBDD_fashion_boutique[[#This Row],[product_id]],A1330:A3505,1,FALSE),0),1,0)</f>
        <v>0</v>
      </c>
    </row>
    <row r="1330" spans="1:25" x14ac:dyDescent="0.3">
      <c r="A1330" t="s">
        <v>1389</v>
      </c>
      <c r="B1330" t="s">
        <v>44</v>
      </c>
      <c r="C1330" t="s">
        <v>20</v>
      </c>
      <c r="D1330" t="s">
        <v>28</v>
      </c>
      <c r="E1330" t="s">
        <v>61</v>
      </c>
      <c r="F1330" t="str">
        <f>IF(BBDD_fashion_boutique[[#This Row],[category]]="Accessories","Accesorio",IF(BBDD_fashion_boutique[[#This Row],[size]]="","Desconocido",BBDD_fashion_boutique[[#This Row],[size]]))</f>
        <v>XS</v>
      </c>
      <c r="G1330" t="s">
        <v>72</v>
      </c>
      <c r="H1330" s="2">
        <v>118.21</v>
      </c>
      <c r="I1330">
        <v>23.1</v>
      </c>
      <c r="J1330" s="5">
        <f>BBDD_fashion_boutique[[#This Row],[markdown_percentage]]/100</f>
        <v>0.23100000000000001</v>
      </c>
      <c r="K1330" s="2">
        <v>90.9</v>
      </c>
      <c r="L1330" s="2">
        <f>BBDD_fashion_boutique[[#This Row],[original_price]]-BBDD_fashion_boutique[[#This Row],[current_price]]</f>
        <v>27.309999999999988</v>
      </c>
      <c r="M1330" s="1">
        <v>45875</v>
      </c>
      <c r="N1330" s="1" t="str">
        <f>PROPER(TEXT(BBDD_fashion_boutique[[#This Row],[purchase_date]],"dddd"))</f>
        <v>Miércoles</v>
      </c>
      <c r="O1330" s="1" t="str">
        <f>PROPER(TEXT(BBDD_fashion_boutique[[#This Row],[purchase_date]],"mmmm"))</f>
        <v>Agosto</v>
      </c>
      <c r="P1330" s="4">
        <v>15</v>
      </c>
      <c r="Q1330" s="2">
        <v>5</v>
      </c>
      <c r="R1330" t="str">
        <f>IF(BBDD_fashion_boutique[[#This Row],[stock_quantity]]&gt;9,"Ok",IF(BBDD_fashion_boutique[[#This Row],[stock_quantity]]=0,"Agotado","Pocas Unidades"))</f>
        <v>Ok</v>
      </c>
      <c r="S1330" s="3">
        <f>IF(BBDD_fashion_boutique[[#This Row],[customer_rating]]="","No valorado",BBDD_fashion_boutique[[#This Row],[customer_rating]])</f>
        <v>5</v>
      </c>
      <c r="T1330" t="s">
        <v>24</v>
      </c>
      <c r="V1330">
        <f>IF(BBDD_fashion_boutique[[#This Row],[is_returned]]="False",0,1)</f>
        <v>0</v>
      </c>
      <c r="W1330">
        <f>IF(BBDD_fashion_boutique[[#This Row],[is_returned]]="True",0,BBDD_fashion_boutique[[#This Row],[current_price]])</f>
        <v>90.9</v>
      </c>
      <c r="X1330" t="str">
        <f>IF(BBDD_fashion_boutique[[#This Row],[return_reason]]="","No return",BBDD_fashion_boutique[[#This Row],[return_reason]])</f>
        <v>No return</v>
      </c>
      <c r="Y1330">
        <f>IF(IFERROR(VLOOKUP(BBDD_fashion_boutique[[#This Row],[product_id]],A1331:A3506,1,FALSE),0),1,0)</f>
        <v>0</v>
      </c>
    </row>
    <row r="1331" spans="1:25" x14ac:dyDescent="0.3">
      <c r="A1331" t="s">
        <v>1390</v>
      </c>
      <c r="B1331" t="s">
        <v>26</v>
      </c>
      <c r="C1331" t="s">
        <v>67</v>
      </c>
      <c r="D1331" t="s">
        <v>39</v>
      </c>
      <c r="E1331" t="s">
        <v>61</v>
      </c>
      <c r="F1331" t="str">
        <f>IF(BBDD_fashion_boutique[[#This Row],[category]]="Accessories","Accesorio",IF(BBDD_fashion_boutique[[#This Row],[size]]="","Desconocido",BBDD_fashion_boutique[[#This Row],[size]]))</f>
        <v>XS</v>
      </c>
      <c r="G1331" t="s">
        <v>62</v>
      </c>
      <c r="H1331" s="2">
        <v>25.86</v>
      </c>
      <c r="I1331">
        <v>0</v>
      </c>
      <c r="J1331" s="5">
        <f>BBDD_fashion_boutique[[#This Row],[markdown_percentage]]/100</f>
        <v>0</v>
      </c>
      <c r="K1331" s="2">
        <v>25.86</v>
      </c>
      <c r="L1331" s="2">
        <f>BBDD_fashion_boutique[[#This Row],[original_price]]-BBDD_fashion_boutique[[#This Row],[current_price]]</f>
        <v>0</v>
      </c>
      <c r="M1331" s="1">
        <v>45875</v>
      </c>
      <c r="N1331" s="1" t="str">
        <f>PROPER(TEXT(BBDD_fashion_boutique[[#This Row],[purchase_date]],"dddd"))</f>
        <v>Miércoles</v>
      </c>
      <c r="O1331" s="1" t="str">
        <f>PROPER(TEXT(BBDD_fashion_boutique[[#This Row],[purchase_date]],"mmmm"))</f>
        <v>Agosto</v>
      </c>
      <c r="P1331" s="4">
        <v>46</v>
      </c>
      <c r="Q1331" s="2">
        <v>1.5</v>
      </c>
      <c r="R1331" t="str">
        <f>IF(BBDD_fashion_boutique[[#This Row],[stock_quantity]]&gt;9,"Ok",IF(BBDD_fashion_boutique[[#This Row],[stock_quantity]]=0,"Agotado","Pocas Unidades"))</f>
        <v>Ok</v>
      </c>
      <c r="S1331" s="3">
        <f>IF(BBDD_fashion_boutique[[#This Row],[customer_rating]]="","No valorado",BBDD_fashion_boutique[[#This Row],[customer_rating]])</f>
        <v>1.5</v>
      </c>
      <c r="T1331" t="s">
        <v>24</v>
      </c>
      <c r="V1331">
        <f>IF(BBDD_fashion_boutique[[#This Row],[is_returned]]="False",0,1)</f>
        <v>0</v>
      </c>
      <c r="W1331">
        <f>IF(BBDD_fashion_boutique[[#This Row],[is_returned]]="True",0,BBDD_fashion_boutique[[#This Row],[current_price]])</f>
        <v>25.86</v>
      </c>
      <c r="X1331" t="str">
        <f>IF(BBDD_fashion_boutique[[#This Row],[return_reason]]="","No return",BBDD_fashion_boutique[[#This Row],[return_reason]])</f>
        <v>No return</v>
      </c>
      <c r="Y1331">
        <f>IF(IFERROR(VLOOKUP(BBDD_fashion_boutique[[#This Row],[product_id]],A1332:A3507,1,FALSE),0),1,0)</f>
        <v>0</v>
      </c>
    </row>
    <row r="1332" spans="1:25" x14ac:dyDescent="0.3">
      <c r="A1332" t="s">
        <v>1391</v>
      </c>
      <c r="B1332" t="s">
        <v>26</v>
      </c>
      <c r="C1332" t="s">
        <v>54</v>
      </c>
      <c r="D1332" t="s">
        <v>39</v>
      </c>
      <c r="E1332" t="s">
        <v>45</v>
      </c>
      <c r="F1332" t="str">
        <f>IF(BBDD_fashion_boutique[[#This Row],[category]]="Accessories","Accesorio",IF(BBDD_fashion_boutique[[#This Row],[size]]="","Desconocido",BBDD_fashion_boutique[[#This Row],[size]]))</f>
        <v>S</v>
      </c>
      <c r="G1332" t="s">
        <v>52</v>
      </c>
      <c r="H1332" s="2">
        <v>91.67</v>
      </c>
      <c r="I1332">
        <v>23.7</v>
      </c>
      <c r="J1332" s="5">
        <f>BBDD_fashion_boutique[[#This Row],[markdown_percentage]]/100</f>
        <v>0.23699999999999999</v>
      </c>
      <c r="K1332" s="2">
        <v>69.94</v>
      </c>
      <c r="L1332" s="2">
        <f>BBDD_fashion_boutique[[#This Row],[original_price]]-BBDD_fashion_boutique[[#This Row],[current_price]]</f>
        <v>21.730000000000004</v>
      </c>
      <c r="M1332" s="1">
        <v>45875</v>
      </c>
      <c r="N1332" s="1" t="str">
        <f>PROPER(TEXT(BBDD_fashion_boutique[[#This Row],[purchase_date]],"dddd"))</f>
        <v>Miércoles</v>
      </c>
      <c r="O1332" s="1" t="str">
        <f>PROPER(TEXT(BBDD_fashion_boutique[[#This Row],[purchase_date]],"mmmm"))</f>
        <v>Agosto</v>
      </c>
      <c r="P1332" s="4">
        <v>3</v>
      </c>
      <c r="Q1332" s="2">
        <v>3.7</v>
      </c>
      <c r="R1332" t="str">
        <f>IF(BBDD_fashion_boutique[[#This Row],[stock_quantity]]&gt;9,"Ok",IF(BBDD_fashion_boutique[[#This Row],[stock_quantity]]=0,"Agotado","Pocas Unidades"))</f>
        <v>Pocas Unidades</v>
      </c>
      <c r="S1332" s="3">
        <f>IF(BBDD_fashion_boutique[[#This Row],[customer_rating]]="","No valorado",BBDD_fashion_boutique[[#This Row],[customer_rating]])</f>
        <v>3.7</v>
      </c>
      <c r="T1332" t="s">
        <v>24</v>
      </c>
      <c r="V1332">
        <f>IF(BBDD_fashion_boutique[[#This Row],[is_returned]]="False",0,1)</f>
        <v>0</v>
      </c>
      <c r="W1332">
        <f>IF(BBDD_fashion_boutique[[#This Row],[is_returned]]="True",0,BBDD_fashion_boutique[[#This Row],[current_price]])</f>
        <v>69.94</v>
      </c>
      <c r="X1332" t="str">
        <f>IF(BBDD_fashion_boutique[[#This Row],[return_reason]]="","No return",BBDD_fashion_boutique[[#This Row],[return_reason]])</f>
        <v>No return</v>
      </c>
      <c r="Y1332">
        <f>IF(IFERROR(VLOOKUP(BBDD_fashion_boutique[[#This Row],[product_id]],A1333:A3508,1,FALSE),0),1,0)</f>
        <v>0</v>
      </c>
    </row>
    <row r="1333" spans="1:25" x14ac:dyDescent="0.3">
      <c r="A1333" t="s">
        <v>1392</v>
      </c>
      <c r="B1333" t="s">
        <v>44</v>
      </c>
      <c r="C1333" t="s">
        <v>27</v>
      </c>
      <c r="D1333" t="s">
        <v>39</v>
      </c>
      <c r="E1333" t="s">
        <v>29</v>
      </c>
      <c r="F1333" t="str">
        <f>IF(BBDD_fashion_boutique[[#This Row],[category]]="Accessories","Accesorio",IF(BBDD_fashion_boutique[[#This Row],[size]]="","Desconocido",BBDD_fashion_boutique[[#This Row],[size]]))</f>
        <v>L</v>
      </c>
      <c r="G1333" t="s">
        <v>50</v>
      </c>
      <c r="H1333" s="2">
        <v>25.29</v>
      </c>
      <c r="I1333">
        <v>7.9</v>
      </c>
      <c r="J1333" s="5">
        <f>BBDD_fashion_boutique[[#This Row],[markdown_percentage]]/100</f>
        <v>7.9000000000000001E-2</v>
      </c>
      <c r="K1333" s="2">
        <v>23.29</v>
      </c>
      <c r="L1333" s="2">
        <f>BBDD_fashion_boutique[[#This Row],[original_price]]-BBDD_fashion_boutique[[#This Row],[current_price]]</f>
        <v>2</v>
      </c>
      <c r="M1333" s="1">
        <v>45875</v>
      </c>
      <c r="N1333" s="1" t="str">
        <f>PROPER(TEXT(BBDD_fashion_boutique[[#This Row],[purchase_date]],"dddd"))</f>
        <v>Miércoles</v>
      </c>
      <c r="O1333" s="1" t="str">
        <f>PROPER(TEXT(BBDD_fashion_boutique[[#This Row],[purchase_date]],"mmmm"))</f>
        <v>Agosto</v>
      </c>
      <c r="P1333" s="4">
        <v>39</v>
      </c>
      <c r="Q1333" s="2">
        <v>1.7</v>
      </c>
      <c r="R1333" t="str">
        <f>IF(BBDD_fashion_boutique[[#This Row],[stock_quantity]]&gt;9,"Ok",IF(BBDD_fashion_boutique[[#This Row],[stock_quantity]]=0,"Agotado","Pocas Unidades"))</f>
        <v>Ok</v>
      </c>
      <c r="S1333" s="3">
        <f>IF(BBDD_fashion_boutique[[#This Row],[customer_rating]]="","No valorado",BBDD_fashion_boutique[[#This Row],[customer_rating]])</f>
        <v>1.7</v>
      </c>
      <c r="T1333" t="s">
        <v>24</v>
      </c>
      <c r="V1333">
        <f>IF(BBDD_fashion_boutique[[#This Row],[is_returned]]="False",0,1)</f>
        <v>0</v>
      </c>
      <c r="W1333">
        <f>IF(BBDD_fashion_boutique[[#This Row],[is_returned]]="True",0,BBDD_fashion_boutique[[#This Row],[current_price]])</f>
        <v>23.29</v>
      </c>
      <c r="X1333" t="str">
        <f>IF(BBDD_fashion_boutique[[#This Row],[return_reason]]="","No return",BBDD_fashion_boutique[[#This Row],[return_reason]])</f>
        <v>No return</v>
      </c>
      <c r="Y1333">
        <f>IF(IFERROR(VLOOKUP(BBDD_fashion_boutique[[#This Row],[product_id]],A1334:A3509,1,FALSE),0),1,0)</f>
        <v>0</v>
      </c>
    </row>
    <row r="1334" spans="1:25" x14ac:dyDescent="0.3">
      <c r="A1334" t="s">
        <v>1393</v>
      </c>
      <c r="B1334" t="s">
        <v>32</v>
      </c>
      <c r="C1334" t="s">
        <v>54</v>
      </c>
      <c r="D1334" t="s">
        <v>28</v>
      </c>
      <c r="F1334" t="str">
        <f>IF(BBDD_fashion_boutique[[#This Row],[category]]="Accessories","Accesorio",IF(BBDD_fashion_boutique[[#This Row],[size]]="","Desconocido",BBDD_fashion_boutique[[#This Row],[size]]))</f>
        <v>Accesorio</v>
      </c>
      <c r="G1334" t="s">
        <v>70</v>
      </c>
      <c r="H1334" s="2">
        <v>51.61</v>
      </c>
      <c r="I1334">
        <v>32.200000000000003</v>
      </c>
      <c r="J1334" s="5">
        <f>BBDD_fashion_boutique[[#This Row],[markdown_percentage]]/100</f>
        <v>0.32200000000000001</v>
      </c>
      <c r="K1334" s="2">
        <v>34.99</v>
      </c>
      <c r="L1334" s="2">
        <f>BBDD_fashion_boutique[[#This Row],[original_price]]-BBDD_fashion_boutique[[#This Row],[current_price]]</f>
        <v>16.619999999999997</v>
      </c>
      <c r="M1334" s="1">
        <v>45875</v>
      </c>
      <c r="N1334" s="1" t="str">
        <f>PROPER(TEXT(BBDD_fashion_boutique[[#This Row],[purchase_date]],"dddd"))</f>
        <v>Miércoles</v>
      </c>
      <c r="O1334" s="1" t="str">
        <f>PROPER(TEXT(BBDD_fashion_boutique[[#This Row],[purchase_date]],"mmmm"))</f>
        <v>Agosto</v>
      </c>
      <c r="P1334" s="4">
        <v>34</v>
      </c>
      <c r="Q1334" s="2">
        <v>4.8</v>
      </c>
      <c r="R1334" t="str">
        <f>IF(BBDD_fashion_boutique[[#This Row],[stock_quantity]]&gt;9,"Ok",IF(BBDD_fashion_boutique[[#This Row],[stock_quantity]]=0,"Agotado","Pocas Unidades"))</f>
        <v>Ok</v>
      </c>
      <c r="S1334" s="3">
        <f>IF(BBDD_fashion_boutique[[#This Row],[customer_rating]]="","No valorado",BBDD_fashion_boutique[[#This Row],[customer_rating]])</f>
        <v>4.8</v>
      </c>
      <c r="T1334" t="s">
        <v>24</v>
      </c>
      <c r="V1334">
        <f>IF(BBDD_fashion_boutique[[#This Row],[is_returned]]="False",0,1)</f>
        <v>0</v>
      </c>
      <c r="W1334">
        <f>IF(BBDD_fashion_boutique[[#This Row],[is_returned]]="True",0,BBDD_fashion_boutique[[#This Row],[current_price]])</f>
        <v>34.99</v>
      </c>
      <c r="X1334" t="str">
        <f>IF(BBDD_fashion_boutique[[#This Row],[return_reason]]="","No return",BBDD_fashion_boutique[[#This Row],[return_reason]])</f>
        <v>No return</v>
      </c>
      <c r="Y1334">
        <f>IF(IFERROR(VLOOKUP(BBDD_fashion_boutique[[#This Row],[product_id]],A1335:A3510,1,FALSE),0),1,0)</f>
        <v>0</v>
      </c>
    </row>
    <row r="1335" spans="1:25" x14ac:dyDescent="0.3">
      <c r="A1335" t="s">
        <v>1394</v>
      </c>
      <c r="B1335" t="s">
        <v>19</v>
      </c>
      <c r="C1335" t="s">
        <v>37</v>
      </c>
      <c r="D1335" t="s">
        <v>68</v>
      </c>
      <c r="E1335" t="s">
        <v>22</v>
      </c>
      <c r="F1335" t="str">
        <f>IF(BBDD_fashion_boutique[[#This Row],[category]]="Accessories","Accesorio",IF(BBDD_fashion_boutique[[#This Row],[size]]="","Desconocido",BBDD_fashion_boutique[[#This Row],[size]]))</f>
        <v>XL</v>
      </c>
      <c r="G1335" t="s">
        <v>33</v>
      </c>
      <c r="H1335" s="2">
        <v>143.61000000000001</v>
      </c>
      <c r="I1335">
        <v>24.6</v>
      </c>
      <c r="J1335" s="5">
        <f>BBDD_fashion_boutique[[#This Row],[markdown_percentage]]/100</f>
        <v>0.24600000000000002</v>
      </c>
      <c r="K1335" s="2">
        <v>108.28</v>
      </c>
      <c r="L1335" s="2">
        <f>BBDD_fashion_boutique[[#This Row],[original_price]]-BBDD_fashion_boutique[[#This Row],[current_price]]</f>
        <v>35.330000000000013</v>
      </c>
      <c r="M1335" s="1">
        <v>45875</v>
      </c>
      <c r="N1335" s="1" t="str">
        <f>PROPER(TEXT(BBDD_fashion_boutique[[#This Row],[purchase_date]],"dddd"))</f>
        <v>Miércoles</v>
      </c>
      <c r="O1335" s="1" t="str">
        <f>PROPER(TEXT(BBDD_fashion_boutique[[#This Row],[purchase_date]],"mmmm"))</f>
        <v>Agosto</v>
      </c>
      <c r="P1335" s="4">
        <v>50</v>
      </c>
      <c r="Q1335" s="2">
        <v>4.0999999999999996</v>
      </c>
      <c r="R1335" t="str">
        <f>IF(BBDD_fashion_boutique[[#This Row],[stock_quantity]]&gt;9,"Ok",IF(BBDD_fashion_boutique[[#This Row],[stock_quantity]]=0,"Agotado","Pocas Unidades"))</f>
        <v>Ok</v>
      </c>
      <c r="S1335" s="3">
        <f>IF(BBDD_fashion_boutique[[#This Row],[customer_rating]]="","No valorado",BBDD_fashion_boutique[[#This Row],[customer_rating]])</f>
        <v>4.0999999999999996</v>
      </c>
      <c r="T1335" t="s">
        <v>24</v>
      </c>
      <c r="V1335">
        <f>IF(BBDD_fashion_boutique[[#This Row],[is_returned]]="False",0,1)</f>
        <v>0</v>
      </c>
      <c r="W1335">
        <f>IF(BBDD_fashion_boutique[[#This Row],[is_returned]]="True",0,BBDD_fashion_boutique[[#This Row],[current_price]])</f>
        <v>108.28</v>
      </c>
      <c r="X1335" t="str">
        <f>IF(BBDD_fashion_boutique[[#This Row],[return_reason]]="","No return",BBDD_fashion_boutique[[#This Row],[return_reason]])</f>
        <v>No return</v>
      </c>
      <c r="Y1335">
        <f>IF(IFERROR(VLOOKUP(BBDD_fashion_boutique[[#This Row],[product_id]],A1336:A3511,1,FALSE),0),1,0)</f>
        <v>0</v>
      </c>
    </row>
    <row r="1336" spans="1:25" x14ac:dyDescent="0.3">
      <c r="A1336" t="s">
        <v>1395</v>
      </c>
      <c r="B1336" t="s">
        <v>44</v>
      </c>
      <c r="C1336" t="s">
        <v>67</v>
      </c>
      <c r="D1336" t="s">
        <v>68</v>
      </c>
      <c r="E1336" t="s">
        <v>29</v>
      </c>
      <c r="F1336" t="str">
        <f>IF(BBDD_fashion_boutique[[#This Row],[category]]="Accessories","Accesorio",IF(BBDD_fashion_boutique[[#This Row],[size]]="","Desconocido",BBDD_fashion_boutique[[#This Row],[size]]))</f>
        <v>L</v>
      </c>
      <c r="G1336" t="s">
        <v>23</v>
      </c>
      <c r="H1336" s="2">
        <v>45.48</v>
      </c>
      <c r="I1336">
        <v>0</v>
      </c>
      <c r="J1336" s="5">
        <f>BBDD_fashion_boutique[[#This Row],[markdown_percentage]]/100</f>
        <v>0</v>
      </c>
      <c r="K1336" s="2">
        <v>45.48</v>
      </c>
      <c r="L1336" s="2">
        <f>BBDD_fashion_boutique[[#This Row],[original_price]]-BBDD_fashion_boutique[[#This Row],[current_price]]</f>
        <v>0</v>
      </c>
      <c r="M1336" s="1">
        <v>45875</v>
      </c>
      <c r="N1336" s="1" t="str">
        <f>PROPER(TEXT(BBDD_fashion_boutique[[#This Row],[purchase_date]],"dddd"))</f>
        <v>Miércoles</v>
      </c>
      <c r="O1336" s="1" t="str">
        <f>PROPER(TEXT(BBDD_fashion_boutique[[#This Row],[purchase_date]],"mmmm"))</f>
        <v>Agosto</v>
      </c>
      <c r="P1336" s="4">
        <v>29</v>
      </c>
      <c r="Q1336" s="2">
        <v>2.2999999999999998</v>
      </c>
      <c r="R1336" t="str">
        <f>IF(BBDD_fashion_boutique[[#This Row],[stock_quantity]]&gt;9,"Ok",IF(BBDD_fashion_boutique[[#This Row],[stock_quantity]]=0,"Agotado","Pocas Unidades"))</f>
        <v>Ok</v>
      </c>
      <c r="S1336" s="3">
        <f>IF(BBDD_fashion_boutique[[#This Row],[customer_rating]]="","No valorado",BBDD_fashion_boutique[[#This Row],[customer_rating]])</f>
        <v>2.2999999999999998</v>
      </c>
      <c r="T1336" t="s">
        <v>24</v>
      </c>
      <c r="V1336">
        <f>IF(BBDD_fashion_boutique[[#This Row],[is_returned]]="False",0,1)</f>
        <v>0</v>
      </c>
      <c r="W1336">
        <f>IF(BBDD_fashion_boutique[[#This Row],[is_returned]]="True",0,BBDD_fashion_boutique[[#This Row],[current_price]])</f>
        <v>45.48</v>
      </c>
      <c r="X1336" t="str">
        <f>IF(BBDD_fashion_boutique[[#This Row],[return_reason]]="","No return",BBDD_fashion_boutique[[#This Row],[return_reason]])</f>
        <v>No return</v>
      </c>
      <c r="Y1336">
        <f>IF(IFERROR(VLOOKUP(BBDD_fashion_boutique[[#This Row],[product_id]],A1337:A3512,1,FALSE),0),1,0)</f>
        <v>0</v>
      </c>
    </row>
    <row r="1337" spans="1:25" x14ac:dyDescent="0.3">
      <c r="A1337" t="s">
        <v>1396</v>
      </c>
      <c r="B1337" t="s">
        <v>35</v>
      </c>
      <c r="C1337" t="s">
        <v>20</v>
      </c>
      <c r="D1337" t="s">
        <v>68</v>
      </c>
      <c r="F1337" t="str">
        <f>IF(BBDD_fashion_boutique[[#This Row],[category]]="Accessories","Accesorio",IF(BBDD_fashion_boutique[[#This Row],[size]]="","Desconocido",BBDD_fashion_boutique[[#This Row],[size]]))</f>
        <v>Desconocido</v>
      </c>
      <c r="G1337" t="s">
        <v>40</v>
      </c>
      <c r="H1337" s="2">
        <v>177.79</v>
      </c>
      <c r="I1337">
        <v>10.7</v>
      </c>
      <c r="J1337" s="5">
        <f>BBDD_fashion_boutique[[#This Row],[markdown_percentage]]/100</f>
        <v>0.107</v>
      </c>
      <c r="K1337" s="2">
        <v>158.77000000000001</v>
      </c>
      <c r="L1337" s="2">
        <f>BBDD_fashion_boutique[[#This Row],[original_price]]-BBDD_fashion_boutique[[#This Row],[current_price]]</f>
        <v>19.019999999999982</v>
      </c>
      <c r="M1337" s="1">
        <v>45875</v>
      </c>
      <c r="N1337" s="1" t="str">
        <f>PROPER(TEXT(BBDD_fashion_boutique[[#This Row],[purchase_date]],"dddd"))</f>
        <v>Miércoles</v>
      </c>
      <c r="O1337" s="1" t="str">
        <f>PROPER(TEXT(BBDD_fashion_boutique[[#This Row],[purchase_date]],"mmmm"))</f>
        <v>Agosto</v>
      </c>
      <c r="P1337" s="4">
        <v>37</v>
      </c>
      <c r="R1337" t="str">
        <f>IF(BBDD_fashion_boutique[[#This Row],[stock_quantity]]&gt;9,"Ok",IF(BBDD_fashion_boutique[[#This Row],[stock_quantity]]=0,"Agotado","Pocas Unidades"))</f>
        <v>Ok</v>
      </c>
      <c r="S1337" s="3" t="str">
        <f>IF(BBDD_fashion_boutique[[#This Row],[customer_rating]]="","No valorado",BBDD_fashion_boutique[[#This Row],[customer_rating]])</f>
        <v>No valorado</v>
      </c>
      <c r="T1337" t="s">
        <v>24</v>
      </c>
      <c r="V1337">
        <f>IF(BBDD_fashion_boutique[[#This Row],[is_returned]]="False",0,1)</f>
        <v>0</v>
      </c>
      <c r="W1337">
        <f>IF(BBDD_fashion_boutique[[#This Row],[is_returned]]="True",0,BBDD_fashion_boutique[[#This Row],[current_price]])</f>
        <v>158.77000000000001</v>
      </c>
      <c r="X1337" t="str">
        <f>IF(BBDD_fashion_boutique[[#This Row],[return_reason]]="","No return",BBDD_fashion_boutique[[#This Row],[return_reason]])</f>
        <v>No return</v>
      </c>
      <c r="Y1337">
        <f>IF(IFERROR(VLOOKUP(BBDD_fashion_boutique[[#This Row],[product_id]],A1338:A3513,1,FALSE),0),1,0)</f>
        <v>0</v>
      </c>
    </row>
    <row r="1338" spans="1:25" x14ac:dyDescent="0.3">
      <c r="A1338" t="s">
        <v>1397</v>
      </c>
      <c r="B1338" t="s">
        <v>19</v>
      </c>
      <c r="C1338" t="s">
        <v>67</v>
      </c>
      <c r="D1338" t="s">
        <v>39</v>
      </c>
      <c r="E1338" t="s">
        <v>61</v>
      </c>
      <c r="F1338" t="str">
        <f>IF(BBDD_fashion_boutique[[#This Row],[category]]="Accessories","Accesorio",IF(BBDD_fashion_boutique[[#This Row],[size]]="","Desconocido",BBDD_fashion_boutique[[#This Row],[size]]))</f>
        <v>XS</v>
      </c>
      <c r="G1338" t="s">
        <v>72</v>
      </c>
      <c r="H1338" s="2">
        <v>145.1</v>
      </c>
      <c r="I1338">
        <v>34.200000000000003</v>
      </c>
      <c r="J1338" s="5">
        <f>BBDD_fashion_boutique[[#This Row],[markdown_percentage]]/100</f>
        <v>0.34200000000000003</v>
      </c>
      <c r="K1338" s="2">
        <v>95.48</v>
      </c>
      <c r="L1338" s="2">
        <f>BBDD_fashion_boutique[[#This Row],[original_price]]-BBDD_fashion_boutique[[#This Row],[current_price]]</f>
        <v>49.61999999999999</v>
      </c>
      <c r="M1338" s="1">
        <v>45875</v>
      </c>
      <c r="N1338" s="1" t="str">
        <f>PROPER(TEXT(BBDD_fashion_boutique[[#This Row],[purchase_date]],"dddd"))</f>
        <v>Miércoles</v>
      </c>
      <c r="O1338" s="1" t="str">
        <f>PROPER(TEXT(BBDD_fashion_boutique[[#This Row],[purchase_date]],"mmmm"))</f>
        <v>Agosto</v>
      </c>
      <c r="P1338" s="4">
        <v>14</v>
      </c>
      <c r="R1338" t="str">
        <f>IF(BBDD_fashion_boutique[[#This Row],[stock_quantity]]&gt;9,"Ok",IF(BBDD_fashion_boutique[[#This Row],[stock_quantity]]=0,"Agotado","Pocas Unidades"))</f>
        <v>Ok</v>
      </c>
      <c r="S1338" s="3" t="str">
        <f>IF(BBDD_fashion_boutique[[#This Row],[customer_rating]]="","No valorado",BBDD_fashion_boutique[[#This Row],[customer_rating]])</f>
        <v>No valorado</v>
      </c>
      <c r="T1338" t="s">
        <v>24</v>
      </c>
      <c r="V1338">
        <f>IF(BBDD_fashion_boutique[[#This Row],[is_returned]]="False",0,1)</f>
        <v>0</v>
      </c>
      <c r="W1338">
        <f>IF(BBDD_fashion_boutique[[#This Row],[is_returned]]="True",0,BBDD_fashion_boutique[[#This Row],[current_price]])</f>
        <v>95.48</v>
      </c>
      <c r="X1338" t="str">
        <f>IF(BBDD_fashion_boutique[[#This Row],[return_reason]]="","No return",BBDD_fashion_boutique[[#This Row],[return_reason]])</f>
        <v>No return</v>
      </c>
      <c r="Y1338">
        <f>IF(IFERROR(VLOOKUP(BBDD_fashion_boutique[[#This Row],[product_id]],A1339:A3514,1,FALSE),0),1,0)</f>
        <v>0</v>
      </c>
    </row>
    <row r="1339" spans="1:25" x14ac:dyDescent="0.3">
      <c r="A1339" t="s">
        <v>1398</v>
      </c>
      <c r="B1339" t="s">
        <v>35</v>
      </c>
      <c r="C1339" t="s">
        <v>59</v>
      </c>
      <c r="D1339" t="s">
        <v>68</v>
      </c>
      <c r="E1339" t="s">
        <v>55</v>
      </c>
      <c r="F1339" t="str">
        <f>IF(BBDD_fashion_boutique[[#This Row],[category]]="Accessories","Accesorio",IF(BBDD_fashion_boutique[[#This Row],[size]]="","Desconocido",BBDD_fashion_boutique[[#This Row],[size]]))</f>
        <v>XXL</v>
      </c>
      <c r="G1339" t="s">
        <v>70</v>
      </c>
      <c r="H1339" s="2">
        <v>190.78</v>
      </c>
      <c r="I1339">
        <v>0</v>
      </c>
      <c r="J1339" s="5">
        <f>BBDD_fashion_boutique[[#This Row],[markdown_percentage]]/100</f>
        <v>0</v>
      </c>
      <c r="K1339" s="2">
        <v>190.78</v>
      </c>
      <c r="L1339" s="2">
        <f>BBDD_fashion_boutique[[#This Row],[original_price]]-BBDD_fashion_boutique[[#This Row],[current_price]]</f>
        <v>0</v>
      </c>
      <c r="M1339" s="1">
        <v>45875</v>
      </c>
      <c r="N1339" s="1" t="str">
        <f>PROPER(TEXT(BBDD_fashion_boutique[[#This Row],[purchase_date]],"dddd"))</f>
        <v>Miércoles</v>
      </c>
      <c r="O1339" s="1" t="str">
        <f>PROPER(TEXT(BBDD_fashion_boutique[[#This Row],[purchase_date]],"mmmm"))</f>
        <v>Agosto</v>
      </c>
      <c r="P1339" s="4">
        <v>39</v>
      </c>
      <c r="Q1339" s="2">
        <v>3.7</v>
      </c>
      <c r="R1339" t="str">
        <f>IF(BBDD_fashion_boutique[[#This Row],[stock_quantity]]&gt;9,"Ok",IF(BBDD_fashion_boutique[[#This Row],[stock_quantity]]=0,"Agotado","Pocas Unidades"))</f>
        <v>Ok</v>
      </c>
      <c r="S1339" s="3">
        <f>IF(BBDD_fashion_boutique[[#This Row],[customer_rating]]="","No valorado",BBDD_fashion_boutique[[#This Row],[customer_rating]])</f>
        <v>3.7</v>
      </c>
      <c r="T1339" t="s">
        <v>24</v>
      </c>
      <c r="V1339">
        <f>IF(BBDD_fashion_boutique[[#This Row],[is_returned]]="False",0,1)</f>
        <v>0</v>
      </c>
      <c r="W1339">
        <f>IF(BBDD_fashion_boutique[[#This Row],[is_returned]]="True",0,BBDD_fashion_boutique[[#This Row],[current_price]])</f>
        <v>190.78</v>
      </c>
      <c r="X1339" t="str">
        <f>IF(BBDD_fashion_boutique[[#This Row],[return_reason]]="","No return",BBDD_fashion_boutique[[#This Row],[return_reason]])</f>
        <v>No return</v>
      </c>
      <c r="Y1339">
        <f>IF(IFERROR(VLOOKUP(BBDD_fashion_boutique[[#This Row],[product_id]],A1340:A3515,1,FALSE),0),1,0)</f>
        <v>0</v>
      </c>
    </row>
    <row r="1340" spans="1:25" x14ac:dyDescent="0.3">
      <c r="A1340" t="s">
        <v>1399</v>
      </c>
      <c r="B1340" t="s">
        <v>32</v>
      </c>
      <c r="C1340" t="s">
        <v>81</v>
      </c>
      <c r="D1340" t="s">
        <v>39</v>
      </c>
      <c r="F1340" t="str">
        <f>IF(BBDD_fashion_boutique[[#This Row],[category]]="Accessories","Accesorio",IF(BBDD_fashion_boutique[[#This Row],[size]]="","Desconocido",BBDD_fashion_boutique[[#This Row],[size]]))</f>
        <v>Accesorio</v>
      </c>
      <c r="G1340" t="s">
        <v>50</v>
      </c>
      <c r="H1340" s="2">
        <v>44.73</v>
      </c>
      <c r="I1340">
        <v>0</v>
      </c>
      <c r="J1340" s="5">
        <f>BBDD_fashion_boutique[[#This Row],[markdown_percentage]]/100</f>
        <v>0</v>
      </c>
      <c r="K1340" s="2">
        <v>44.73</v>
      </c>
      <c r="L1340" s="2">
        <f>BBDD_fashion_boutique[[#This Row],[original_price]]-BBDD_fashion_boutique[[#This Row],[current_price]]</f>
        <v>0</v>
      </c>
      <c r="M1340" s="1">
        <v>45875</v>
      </c>
      <c r="N1340" s="1" t="str">
        <f>PROPER(TEXT(BBDD_fashion_boutique[[#This Row],[purchase_date]],"dddd"))</f>
        <v>Miércoles</v>
      </c>
      <c r="O1340" s="1" t="str">
        <f>PROPER(TEXT(BBDD_fashion_boutique[[#This Row],[purchase_date]],"mmmm"))</f>
        <v>Agosto</v>
      </c>
      <c r="P1340" s="4">
        <v>25</v>
      </c>
      <c r="Q1340" s="2">
        <v>1.1000000000000001</v>
      </c>
      <c r="R1340" t="str">
        <f>IF(BBDD_fashion_boutique[[#This Row],[stock_quantity]]&gt;9,"Ok",IF(BBDD_fashion_boutique[[#This Row],[stock_quantity]]=0,"Agotado","Pocas Unidades"))</f>
        <v>Ok</v>
      </c>
      <c r="S1340" s="3">
        <f>IF(BBDD_fashion_boutique[[#This Row],[customer_rating]]="","No valorado",BBDD_fashion_boutique[[#This Row],[customer_rating]])</f>
        <v>1.1000000000000001</v>
      </c>
      <c r="T1340" t="s">
        <v>24</v>
      </c>
      <c r="V1340">
        <f>IF(BBDD_fashion_boutique[[#This Row],[is_returned]]="False",0,1)</f>
        <v>0</v>
      </c>
      <c r="W1340">
        <f>IF(BBDD_fashion_boutique[[#This Row],[is_returned]]="True",0,BBDD_fashion_boutique[[#This Row],[current_price]])</f>
        <v>44.73</v>
      </c>
      <c r="X1340" t="str">
        <f>IF(BBDD_fashion_boutique[[#This Row],[return_reason]]="","No return",BBDD_fashion_boutique[[#This Row],[return_reason]])</f>
        <v>No return</v>
      </c>
      <c r="Y1340">
        <f>IF(IFERROR(VLOOKUP(BBDD_fashion_boutique[[#This Row],[product_id]],A1341:A3516,1,FALSE),0),1,0)</f>
        <v>0</v>
      </c>
    </row>
    <row r="1341" spans="1:25" x14ac:dyDescent="0.3">
      <c r="A1341" t="s">
        <v>1400</v>
      </c>
      <c r="B1341" t="s">
        <v>35</v>
      </c>
      <c r="C1341" t="s">
        <v>37</v>
      </c>
      <c r="D1341" t="s">
        <v>28</v>
      </c>
      <c r="E1341" t="s">
        <v>55</v>
      </c>
      <c r="F1341" t="str">
        <f>IF(BBDD_fashion_boutique[[#This Row],[category]]="Accessories","Accesorio",IF(BBDD_fashion_boutique[[#This Row],[size]]="","Desconocido",BBDD_fashion_boutique[[#This Row],[size]]))</f>
        <v>XXL</v>
      </c>
      <c r="G1341" t="s">
        <v>40</v>
      </c>
      <c r="H1341" s="2">
        <v>65.48</v>
      </c>
      <c r="I1341">
        <v>0</v>
      </c>
      <c r="J1341" s="5">
        <f>BBDD_fashion_boutique[[#This Row],[markdown_percentage]]/100</f>
        <v>0</v>
      </c>
      <c r="K1341" s="2">
        <v>65.48</v>
      </c>
      <c r="L1341" s="2">
        <f>BBDD_fashion_boutique[[#This Row],[original_price]]-BBDD_fashion_boutique[[#This Row],[current_price]]</f>
        <v>0</v>
      </c>
      <c r="M1341" s="1">
        <v>45875</v>
      </c>
      <c r="N1341" s="1" t="str">
        <f>PROPER(TEXT(BBDD_fashion_boutique[[#This Row],[purchase_date]],"dddd"))</f>
        <v>Miércoles</v>
      </c>
      <c r="O1341" s="1" t="str">
        <f>PROPER(TEXT(BBDD_fashion_boutique[[#This Row],[purchase_date]],"mmmm"))</f>
        <v>Agosto</v>
      </c>
      <c r="P1341" s="4">
        <v>7</v>
      </c>
      <c r="Q1341" s="2">
        <v>4.5999999999999996</v>
      </c>
      <c r="R1341" t="str">
        <f>IF(BBDD_fashion_boutique[[#This Row],[stock_quantity]]&gt;9,"Ok",IF(BBDD_fashion_boutique[[#This Row],[stock_quantity]]=0,"Agotado","Pocas Unidades"))</f>
        <v>Pocas Unidades</v>
      </c>
      <c r="S1341" s="3">
        <f>IF(BBDD_fashion_boutique[[#This Row],[customer_rating]]="","No valorado",BBDD_fashion_boutique[[#This Row],[customer_rating]])</f>
        <v>4.5999999999999996</v>
      </c>
      <c r="T1341" t="s">
        <v>24</v>
      </c>
      <c r="V1341">
        <f>IF(BBDD_fashion_boutique[[#This Row],[is_returned]]="False",0,1)</f>
        <v>0</v>
      </c>
      <c r="W1341">
        <f>IF(BBDD_fashion_boutique[[#This Row],[is_returned]]="True",0,BBDD_fashion_boutique[[#This Row],[current_price]])</f>
        <v>65.48</v>
      </c>
      <c r="X1341" t="str">
        <f>IF(BBDD_fashion_boutique[[#This Row],[return_reason]]="","No return",BBDD_fashion_boutique[[#This Row],[return_reason]])</f>
        <v>No return</v>
      </c>
      <c r="Y1341">
        <f>IF(IFERROR(VLOOKUP(BBDD_fashion_boutique[[#This Row],[product_id]],A1342:A3517,1,FALSE),0),1,0)</f>
        <v>0</v>
      </c>
    </row>
    <row r="1342" spans="1:25" x14ac:dyDescent="0.3">
      <c r="A1342" t="s">
        <v>1401</v>
      </c>
      <c r="B1342" t="s">
        <v>35</v>
      </c>
      <c r="C1342" t="s">
        <v>67</v>
      </c>
      <c r="D1342" t="s">
        <v>21</v>
      </c>
      <c r="E1342" t="s">
        <v>61</v>
      </c>
      <c r="F1342" t="str">
        <f>IF(BBDD_fashion_boutique[[#This Row],[category]]="Accessories","Accesorio",IF(BBDD_fashion_boutique[[#This Row],[size]]="","Desconocido",BBDD_fashion_boutique[[#This Row],[size]]))</f>
        <v>XS</v>
      </c>
      <c r="G1342" t="s">
        <v>72</v>
      </c>
      <c r="H1342" s="2">
        <v>86.1</v>
      </c>
      <c r="I1342">
        <v>0</v>
      </c>
      <c r="J1342" s="5">
        <f>BBDD_fashion_boutique[[#This Row],[markdown_percentage]]/100</f>
        <v>0</v>
      </c>
      <c r="K1342" s="2">
        <v>86.1</v>
      </c>
      <c r="L1342" s="2">
        <f>BBDD_fashion_boutique[[#This Row],[original_price]]-BBDD_fashion_boutique[[#This Row],[current_price]]</f>
        <v>0</v>
      </c>
      <c r="M1342" s="1">
        <v>45653</v>
      </c>
      <c r="N1342" s="1" t="str">
        <f>PROPER(TEXT(BBDD_fashion_boutique[[#This Row],[purchase_date]],"dddd"))</f>
        <v>Viernes</v>
      </c>
      <c r="O1342" s="1" t="str">
        <f>PROPER(TEXT(BBDD_fashion_boutique[[#This Row],[purchase_date]],"mmmm"))</f>
        <v>Diciembre</v>
      </c>
      <c r="P1342" s="4">
        <v>4</v>
      </c>
      <c r="Q1342" s="2">
        <v>2.4</v>
      </c>
      <c r="R1342" t="str">
        <f>IF(BBDD_fashion_boutique[[#This Row],[stock_quantity]]&gt;9,"Ok",IF(BBDD_fashion_boutique[[#This Row],[stock_quantity]]=0,"Agotado","Pocas Unidades"))</f>
        <v>Pocas Unidades</v>
      </c>
      <c r="S1342" s="3">
        <f>IF(BBDD_fashion_boutique[[#This Row],[customer_rating]]="","No valorado",BBDD_fashion_boutique[[#This Row],[customer_rating]])</f>
        <v>2.4</v>
      </c>
      <c r="T1342" t="s">
        <v>24</v>
      </c>
      <c r="V1342">
        <f>IF(BBDD_fashion_boutique[[#This Row],[is_returned]]="False",0,1)</f>
        <v>0</v>
      </c>
      <c r="W1342">
        <f>IF(BBDD_fashion_boutique[[#This Row],[is_returned]]="True",0,BBDD_fashion_boutique[[#This Row],[current_price]])</f>
        <v>86.1</v>
      </c>
      <c r="X1342" t="str">
        <f>IF(BBDD_fashion_boutique[[#This Row],[return_reason]]="","No return",BBDD_fashion_boutique[[#This Row],[return_reason]])</f>
        <v>No return</v>
      </c>
      <c r="Y1342">
        <f>IF(IFERROR(VLOOKUP(BBDD_fashion_boutique[[#This Row],[product_id]],A1343:A3518,1,FALSE),0),1,0)</f>
        <v>0</v>
      </c>
    </row>
    <row r="1343" spans="1:25" x14ac:dyDescent="0.3">
      <c r="A1343" t="s">
        <v>1402</v>
      </c>
      <c r="B1343" t="s">
        <v>44</v>
      </c>
      <c r="C1343" t="s">
        <v>27</v>
      </c>
      <c r="D1343" t="s">
        <v>28</v>
      </c>
      <c r="E1343" t="s">
        <v>61</v>
      </c>
      <c r="F1343" t="str">
        <f>IF(BBDD_fashion_boutique[[#This Row],[category]]="Accessories","Accesorio",IF(BBDD_fashion_boutique[[#This Row],[size]]="","Desconocido",BBDD_fashion_boutique[[#This Row],[size]]))</f>
        <v>XS</v>
      </c>
      <c r="G1343" t="s">
        <v>52</v>
      </c>
      <c r="H1343" s="2">
        <v>100.14</v>
      </c>
      <c r="I1343">
        <v>0</v>
      </c>
      <c r="J1343" s="5">
        <f>BBDD_fashion_boutique[[#This Row],[markdown_percentage]]/100</f>
        <v>0</v>
      </c>
      <c r="K1343" s="2">
        <v>100.14</v>
      </c>
      <c r="L1343" s="2">
        <f>BBDD_fashion_boutique[[#This Row],[original_price]]-BBDD_fashion_boutique[[#This Row],[current_price]]</f>
        <v>0</v>
      </c>
      <c r="M1343" s="1">
        <v>45875</v>
      </c>
      <c r="N1343" s="1" t="str">
        <f>PROPER(TEXT(BBDD_fashion_boutique[[#This Row],[purchase_date]],"dddd"))</f>
        <v>Miércoles</v>
      </c>
      <c r="O1343" s="1" t="str">
        <f>PROPER(TEXT(BBDD_fashion_boutique[[#This Row],[purchase_date]],"mmmm"))</f>
        <v>Agosto</v>
      </c>
      <c r="P1343" s="4">
        <v>48</v>
      </c>
      <c r="Q1343" s="2">
        <v>4.2</v>
      </c>
      <c r="R1343" t="str">
        <f>IF(BBDD_fashion_boutique[[#This Row],[stock_quantity]]&gt;9,"Ok",IF(BBDD_fashion_boutique[[#This Row],[stock_quantity]]=0,"Agotado","Pocas Unidades"))</f>
        <v>Ok</v>
      </c>
      <c r="S1343" s="3">
        <f>IF(BBDD_fashion_boutique[[#This Row],[customer_rating]]="","No valorado",BBDD_fashion_boutique[[#This Row],[customer_rating]])</f>
        <v>4.2</v>
      </c>
      <c r="T1343" t="s">
        <v>24</v>
      </c>
      <c r="V1343">
        <f>IF(BBDD_fashion_boutique[[#This Row],[is_returned]]="False",0,1)</f>
        <v>0</v>
      </c>
      <c r="W1343">
        <f>IF(BBDD_fashion_boutique[[#This Row],[is_returned]]="True",0,BBDD_fashion_boutique[[#This Row],[current_price]])</f>
        <v>100.14</v>
      </c>
      <c r="X1343" t="str">
        <f>IF(BBDD_fashion_boutique[[#This Row],[return_reason]]="","No return",BBDD_fashion_boutique[[#This Row],[return_reason]])</f>
        <v>No return</v>
      </c>
      <c r="Y1343">
        <f>IF(IFERROR(VLOOKUP(BBDD_fashion_boutique[[#This Row],[product_id]],A1344:A3519,1,FALSE),0),1,0)</f>
        <v>0</v>
      </c>
    </row>
    <row r="1344" spans="1:25" x14ac:dyDescent="0.3">
      <c r="A1344" t="s">
        <v>1403</v>
      </c>
      <c r="B1344" t="s">
        <v>19</v>
      </c>
      <c r="C1344" t="s">
        <v>37</v>
      </c>
      <c r="D1344" t="s">
        <v>28</v>
      </c>
      <c r="F1344" t="str">
        <f>IF(BBDD_fashion_boutique[[#This Row],[category]]="Accessories","Accesorio",IF(BBDD_fashion_boutique[[#This Row],[size]]="","Desconocido",BBDD_fashion_boutique[[#This Row],[size]]))</f>
        <v>Desconocido</v>
      </c>
      <c r="G1344" t="s">
        <v>23</v>
      </c>
      <c r="H1344" s="2">
        <v>203.4</v>
      </c>
      <c r="I1344">
        <v>0</v>
      </c>
      <c r="J1344" s="5">
        <f>BBDD_fashion_boutique[[#This Row],[markdown_percentage]]/100</f>
        <v>0</v>
      </c>
      <c r="K1344" s="2">
        <v>203.4</v>
      </c>
      <c r="L1344" s="2">
        <f>BBDD_fashion_boutique[[#This Row],[original_price]]-BBDD_fashion_boutique[[#This Row],[current_price]]</f>
        <v>0</v>
      </c>
      <c r="M1344" s="1">
        <v>45875</v>
      </c>
      <c r="N1344" s="1" t="str">
        <f>PROPER(TEXT(BBDD_fashion_boutique[[#This Row],[purchase_date]],"dddd"))</f>
        <v>Miércoles</v>
      </c>
      <c r="O1344" s="1" t="str">
        <f>PROPER(TEXT(BBDD_fashion_boutique[[#This Row],[purchase_date]],"mmmm"))</f>
        <v>Agosto</v>
      </c>
      <c r="P1344" s="4">
        <v>18</v>
      </c>
      <c r="Q1344" s="2">
        <v>1.8</v>
      </c>
      <c r="R1344" t="str">
        <f>IF(BBDD_fashion_boutique[[#This Row],[stock_quantity]]&gt;9,"Ok",IF(BBDD_fashion_boutique[[#This Row],[stock_quantity]]=0,"Agotado","Pocas Unidades"))</f>
        <v>Ok</v>
      </c>
      <c r="S1344" s="3">
        <f>IF(BBDD_fashion_boutique[[#This Row],[customer_rating]]="","No valorado",BBDD_fashion_boutique[[#This Row],[customer_rating]])</f>
        <v>1.8</v>
      </c>
      <c r="T1344" t="s">
        <v>24</v>
      </c>
      <c r="V1344">
        <f>IF(BBDD_fashion_boutique[[#This Row],[is_returned]]="False",0,1)</f>
        <v>0</v>
      </c>
      <c r="W1344">
        <f>IF(BBDD_fashion_boutique[[#This Row],[is_returned]]="True",0,BBDD_fashion_boutique[[#This Row],[current_price]])</f>
        <v>203.4</v>
      </c>
      <c r="X1344" t="str">
        <f>IF(BBDD_fashion_boutique[[#This Row],[return_reason]]="","No return",BBDD_fashion_boutique[[#This Row],[return_reason]])</f>
        <v>No return</v>
      </c>
      <c r="Y1344">
        <f>IF(IFERROR(VLOOKUP(BBDD_fashion_boutique[[#This Row],[product_id]],A1345:A3520,1,FALSE),0),1,0)</f>
        <v>0</v>
      </c>
    </row>
    <row r="1345" spans="1:25" x14ac:dyDescent="0.3">
      <c r="A1345" t="s">
        <v>1404</v>
      </c>
      <c r="B1345" t="s">
        <v>26</v>
      </c>
      <c r="C1345" t="s">
        <v>67</v>
      </c>
      <c r="D1345" t="s">
        <v>28</v>
      </c>
      <c r="E1345" t="s">
        <v>61</v>
      </c>
      <c r="F1345" t="str">
        <f>IF(BBDD_fashion_boutique[[#This Row],[category]]="Accessories","Accesorio",IF(BBDD_fashion_boutique[[#This Row],[size]]="","Desconocido",BBDD_fashion_boutique[[#This Row],[size]]))</f>
        <v>XS</v>
      </c>
      <c r="G1345" t="s">
        <v>40</v>
      </c>
      <c r="H1345" s="2">
        <v>95.22</v>
      </c>
      <c r="I1345">
        <v>24.4</v>
      </c>
      <c r="J1345" s="5">
        <f>BBDD_fashion_boutique[[#This Row],[markdown_percentage]]/100</f>
        <v>0.24399999999999999</v>
      </c>
      <c r="K1345" s="2">
        <v>71.989999999999995</v>
      </c>
      <c r="L1345" s="2">
        <f>BBDD_fashion_boutique[[#This Row],[original_price]]-BBDD_fashion_boutique[[#This Row],[current_price]]</f>
        <v>23.230000000000004</v>
      </c>
      <c r="M1345" s="1">
        <v>45875</v>
      </c>
      <c r="N1345" s="1" t="str">
        <f>PROPER(TEXT(BBDD_fashion_boutique[[#This Row],[purchase_date]],"dddd"))</f>
        <v>Miércoles</v>
      </c>
      <c r="O1345" s="1" t="str">
        <f>PROPER(TEXT(BBDD_fashion_boutique[[#This Row],[purchase_date]],"mmmm"))</f>
        <v>Agosto</v>
      </c>
      <c r="P1345" s="4">
        <v>26</v>
      </c>
      <c r="Q1345" s="2">
        <v>2.2999999999999998</v>
      </c>
      <c r="R1345" t="str">
        <f>IF(BBDD_fashion_boutique[[#This Row],[stock_quantity]]&gt;9,"Ok",IF(BBDD_fashion_boutique[[#This Row],[stock_quantity]]=0,"Agotado","Pocas Unidades"))</f>
        <v>Ok</v>
      </c>
      <c r="S1345" s="3">
        <f>IF(BBDD_fashion_boutique[[#This Row],[customer_rating]]="","No valorado",BBDD_fashion_boutique[[#This Row],[customer_rating]])</f>
        <v>2.2999999999999998</v>
      </c>
      <c r="T1345" t="s">
        <v>24</v>
      </c>
      <c r="V1345">
        <f>IF(BBDD_fashion_boutique[[#This Row],[is_returned]]="False",0,1)</f>
        <v>0</v>
      </c>
      <c r="W1345">
        <f>IF(BBDD_fashion_boutique[[#This Row],[is_returned]]="True",0,BBDD_fashion_boutique[[#This Row],[current_price]])</f>
        <v>71.989999999999995</v>
      </c>
      <c r="X1345" t="str">
        <f>IF(BBDD_fashion_boutique[[#This Row],[return_reason]]="","No return",BBDD_fashion_boutique[[#This Row],[return_reason]])</f>
        <v>No return</v>
      </c>
      <c r="Y1345">
        <f>IF(IFERROR(VLOOKUP(BBDD_fashion_boutique[[#This Row],[product_id]],A1346:A3521,1,FALSE),0),1,0)</f>
        <v>0</v>
      </c>
    </row>
    <row r="1346" spans="1:25" x14ac:dyDescent="0.3">
      <c r="A1346" t="s">
        <v>1405</v>
      </c>
      <c r="B1346" t="s">
        <v>48</v>
      </c>
      <c r="C1346" t="s">
        <v>54</v>
      </c>
      <c r="D1346" t="s">
        <v>39</v>
      </c>
      <c r="E1346" t="s">
        <v>22</v>
      </c>
      <c r="F1346" t="str">
        <f>IF(BBDD_fashion_boutique[[#This Row],[category]]="Accessories","Accesorio",IF(BBDD_fashion_boutique[[#This Row],[size]]="","Desconocido",BBDD_fashion_boutique[[#This Row],[size]]))</f>
        <v>XL</v>
      </c>
      <c r="G1346" t="s">
        <v>23</v>
      </c>
      <c r="H1346" s="2">
        <v>173.88</v>
      </c>
      <c r="I1346">
        <v>31.6</v>
      </c>
      <c r="J1346" s="5">
        <f>BBDD_fashion_boutique[[#This Row],[markdown_percentage]]/100</f>
        <v>0.316</v>
      </c>
      <c r="K1346" s="2">
        <v>118.93</v>
      </c>
      <c r="L1346" s="2">
        <f>BBDD_fashion_boutique[[#This Row],[original_price]]-BBDD_fashion_boutique[[#This Row],[current_price]]</f>
        <v>54.949999999999989</v>
      </c>
      <c r="M1346" s="1">
        <v>45875</v>
      </c>
      <c r="N1346" s="1" t="str">
        <f>PROPER(TEXT(BBDD_fashion_boutique[[#This Row],[purchase_date]],"dddd"))</f>
        <v>Miércoles</v>
      </c>
      <c r="O1346" s="1" t="str">
        <f>PROPER(TEXT(BBDD_fashion_boutique[[#This Row],[purchase_date]],"mmmm"))</f>
        <v>Agosto</v>
      </c>
      <c r="P1346" s="4">
        <v>5</v>
      </c>
      <c r="Q1346" s="2">
        <v>3.2</v>
      </c>
      <c r="R1346" t="str">
        <f>IF(BBDD_fashion_boutique[[#This Row],[stock_quantity]]&gt;9,"Ok",IF(BBDD_fashion_boutique[[#This Row],[stock_quantity]]=0,"Agotado","Pocas Unidades"))</f>
        <v>Pocas Unidades</v>
      </c>
      <c r="S1346" s="3">
        <f>IF(BBDD_fashion_boutique[[#This Row],[customer_rating]]="","No valorado",BBDD_fashion_boutique[[#This Row],[customer_rating]])</f>
        <v>3.2</v>
      </c>
      <c r="T1346" t="s">
        <v>24</v>
      </c>
      <c r="V1346">
        <f>IF(BBDD_fashion_boutique[[#This Row],[is_returned]]="False",0,1)</f>
        <v>0</v>
      </c>
      <c r="W1346">
        <f>IF(BBDD_fashion_boutique[[#This Row],[is_returned]]="True",0,BBDD_fashion_boutique[[#This Row],[current_price]])</f>
        <v>118.93</v>
      </c>
      <c r="X1346" t="str">
        <f>IF(BBDD_fashion_boutique[[#This Row],[return_reason]]="","No return",BBDD_fashion_boutique[[#This Row],[return_reason]])</f>
        <v>No return</v>
      </c>
      <c r="Y1346">
        <f>IF(IFERROR(VLOOKUP(BBDD_fashion_boutique[[#This Row],[product_id]],A1347:A3522,1,FALSE),0),1,0)</f>
        <v>0</v>
      </c>
    </row>
    <row r="1347" spans="1:25" x14ac:dyDescent="0.3">
      <c r="A1347" t="s">
        <v>1406</v>
      </c>
      <c r="B1347" t="s">
        <v>48</v>
      </c>
      <c r="C1347" t="s">
        <v>54</v>
      </c>
      <c r="D1347" t="s">
        <v>28</v>
      </c>
      <c r="E1347" t="s">
        <v>29</v>
      </c>
      <c r="F1347" t="str">
        <f>IF(BBDD_fashion_boutique[[#This Row],[category]]="Accessories","Accesorio",IF(BBDD_fashion_boutique[[#This Row],[size]]="","Desconocido",BBDD_fashion_boutique[[#This Row],[size]]))</f>
        <v>L</v>
      </c>
      <c r="G1347" t="s">
        <v>62</v>
      </c>
      <c r="H1347" s="2">
        <v>160.05000000000001</v>
      </c>
      <c r="I1347">
        <v>0</v>
      </c>
      <c r="J1347" s="5">
        <f>BBDD_fashion_boutique[[#This Row],[markdown_percentage]]/100</f>
        <v>0</v>
      </c>
      <c r="K1347" s="2">
        <v>160.05000000000001</v>
      </c>
      <c r="L1347" s="2">
        <f>BBDD_fashion_boutique[[#This Row],[original_price]]-BBDD_fashion_boutique[[#This Row],[current_price]]</f>
        <v>0</v>
      </c>
      <c r="M1347" s="1">
        <v>45875</v>
      </c>
      <c r="N1347" s="1" t="str">
        <f>PROPER(TEXT(BBDD_fashion_boutique[[#This Row],[purchase_date]],"dddd"))</f>
        <v>Miércoles</v>
      </c>
      <c r="O1347" s="1" t="str">
        <f>PROPER(TEXT(BBDD_fashion_boutique[[#This Row],[purchase_date]],"mmmm"))</f>
        <v>Agosto</v>
      </c>
      <c r="P1347" s="4">
        <v>23</v>
      </c>
      <c r="Q1347" s="2">
        <v>4</v>
      </c>
      <c r="R1347" t="str">
        <f>IF(BBDD_fashion_boutique[[#This Row],[stock_quantity]]&gt;9,"Ok",IF(BBDD_fashion_boutique[[#This Row],[stock_quantity]]=0,"Agotado","Pocas Unidades"))</f>
        <v>Ok</v>
      </c>
      <c r="S1347" s="3">
        <f>IF(BBDD_fashion_boutique[[#This Row],[customer_rating]]="","No valorado",BBDD_fashion_boutique[[#This Row],[customer_rating]])</f>
        <v>4</v>
      </c>
      <c r="T1347" t="s">
        <v>24</v>
      </c>
      <c r="V1347">
        <f>IF(BBDD_fashion_boutique[[#This Row],[is_returned]]="False",0,1)</f>
        <v>0</v>
      </c>
      <c r="W1347">
        <f>IF(BBDD_fashion_boutique[[#This Row],[is_returned]]="True",0,BBDD_fashion_boutique[[#This Row],[current_price]])</f>
        <v>160.05000000000001</v>
      </c>
      <c r="X1347" t="str">
        <f>IF(BBDD_fashion_boutique[[#This Row],[return_reason]]="","No return",BBDD_fashion_boutique[[#This Row],[return_reason]])</f>
        <v>No return</v>
      </c>
      <c r="Y1347">
        <f>IF(IFERROR(VLOOKUP(BBDD_fashion_boutique[[#This Row],[product_id]],A1348:A3523,1,FALSE),0),1,0)</f>
        <v>0</v>
      </c>
    </row>
    <row r="1348" spans="1:25" x14ac:dyDescent="0.3">
      <c r="A1348" t="s">
        <v>1407</v>
      </c>
      <c r="B1348" t="s">
        <v>26</v>
      </c>
      <c r="C1348" t="s">
        <v>81</v>
      </c>
      <c r="D1348" t="s">
        <v>28</v>
      </c>
      <c r="E1348" t="s">
        <v>61</v>
      </c>
      <c r="F1348" t="str">
        <f>IF(BBDD_fashion_boutique[[#This Row],[category]]="Accessories","Accesorio",IF(BBDD_fashion_boutique[[#This Row],[size]]="","Desconocido",BBDD_fashion_boutique[[#This Row],[size]]))</f>
        <v>XS</v>
      </c>
      <c r="G1348" t="s">
        <v>50</v>
      </c>
      <c r="H1348" s="2">
        <v>59.53</v>
      </c>
      <c r="I1348">
        <v>0</v>
      </c>
      <c r="J1348" s="5">
        <f>BBDD_fashion_boutique[[#This Row],[markdown_percentage]]/100</f>
        <v>0</v>
      </c>
      <c r="K1348" s="2">
        <v>59.53</v>
      </c>
      <c r="L1348" s="2">
        <f>BBDD_fashion_boutique[[#This Row],[original_price]]-BBDD_fashion_boutique[[#This Row],[current_price]]</f>
        <v>0</v>
      </c>
      <c r="M1348" s="1">
        <v>45875</v>
      </c>
      <c r="N1348" s="1" t="str">
        <f>PROPER(TEXT(BBDD_fashion_boutique[[#This Row],[purchase_date]],"dddd"))</f>
        <v>Miércoles</v>
      </c>
      <c r="O1348" s="1" t="str">
        <f>PROPER(TEXT(BBDD_fashion_boutique[[#This Row],[purchase_date]],"mmmm"))</f>
        <v>Agosto</v>
      </c>
      <c r="P1348" s="4">
        <v>28</v>
      </c>
      <c r="Q1348" s="2">
        <v>1.5</v>
      </c>
      <c r="R1348" t="str">
        <f>IF(BBDD_fashion_boutique[[#This Row],[stock_quantity]]&gt;9,"Ok",IF(BBDD_fashion_boutique[[#This Row],[stock_quantity]]=0,"Agotado","Pocas Unidades"))</f>
        <v>Ok</v>
      </c>
      <c r="S1348" s="3">
        <f>IF(BBDD_fashion_boutique[[#This Row],[customer_rating]]="","No valorado",BBDD_fashion_boutique[[#This Row],[customer_rating]])</f>
        <v>1.5</v>
      </c>
      <c r="T1348" t="s">
        <v>24</v>
      </c>
      <c r="V1348">
        <f>IF(BBDD_fashion_boutique[[#This Row],[is_returned]]="False",0,1)</f>
        <v>0</v>
      </c>
      <c r="W1348">
        <f>IF(BBDD_fashion_boutique[[#This Row],[is_returned]]="True",0,BBDD_fashion_boutique[[#This Row],[current_price]])</f>
        <v>59.53</v>
      </c>
      <c r="X1348" t="str">
        <f>IF(BBDD_fashion_boutique[[#This Row],[return_reason]]="","No return",BBDD_fashion_boutique[[#This Row],[return_reason]])</f>
        <v>No return</v>
      </c>
      <c r="Y1348">
        <f>IF(IFERROR(VLOOKUP(BBDD_fashion_boutique[[#This Row],[product_id]],A1349:A3524,1,FALSE),0),1,0)</f>
        <v>0</v>
      </c>
    </row>
    <row r="1349" spans="1:25" x14ac:dyDescent="0.3">
      <c r="A1349" t="s">
        <v>1408</v>
      </c>
      <c r="B1349" t="s">
        <v>48</v>
      </c>
      <c r="C1349" t="s">
        <v>49</v>
      </c>
      <c r="D1349" t="s">
        <v>39</v>
      </c>
      <c r="E1349" t="s">
        <v>61</v>
      </c>
      <c r="F1349" t="str">
        <f>IF(BBDD_fashion_boutique[[#This Row],[category]]="Accessories","Accesorio",IF(BBDD_fashion_boutique[[#This Row],[size]]="","Desconocido",BBDD_fashion_boutique[[#This Row],[size]]))</f>
        <v>XS</v>
      </c>
      <c r="G1349" t="s">
        <v>50</v>
      </c>
      <c r="H1349" s="2">
        <v>155.32</v>
      </c>
      <c r="I1349">
        <v>0</v>
      </c>
      <c r="J1349" s="5">
        <f>BBDD_fashion_boutique[[#This Row],[markdown_percentage]]/100</f>
        <v>0</v>
      </c>
      <c r="K1349" s="2">
        <v>155.32</v>
      </c>
      <c r="L1349" s="2">
        <f>BBDD_fashion_boutique[[#This Row],[original_price]]-BBDD_fashion_boutique[[#This Row],[current_price]]</f>
        <v>0</v>
      </c>
      <c r="M1349" s="1">
        <v>45875</v>
      </c>
      <c r="N1349" s="1" t="str">
        <f>PROPER(TEXT(BBDD_fashion_boutique[[#This Row],[purchase_date]],"dddd"))</f>
        <v>Miércoles</v>
      </c>
      <c r="O1349" s="1" t="str">
        <f>PROPER(TEXT(BBDD_fashion_boutique[[#This Row],[purchase_date]],"mmmm"))</f>
        <v>Agosto</v>
      </c>
      <c r="P1349" s="4">
        <v>19</v>
      </c>
      <c r="Q1349" s="2">
        <v>4.0999999999999996</v>
      </c>
      <c r="R1349" t="str">
        <f>IF(BBDD_fashion_boutique[[#This Row],[stock_quantity]]&gt;9,"Ok",IF(BBDD_fashion_boutique[[#This Row],[stock_quantity]]=0,"Agotado","Pocas Unidades"))</f>
        <v>Ok</v>
      </c>
      <c r="S1349" s="3">
        <f>IF(BBDD_fashion_boutique[[#This Row],[customer_rating]]="","No valorado",BBDD_fashion_boutique[[#This Row],[customer_rating]])</f>
        <v>4.0999999999999996</v>
      </c>
      <c r="T1349" t="s">
        <v>24</v>
      </c>
      <c r="V1349">
        <f>IF(BBDD_fashion_boutique[[#This Row],[is_returned]]="False",0,1)</f>
        <v>0</v>
      </c>
      <c r="W1349">
        <f>IF(BBDD_fashion_boutique[[#This Row],[is_returned]]="True",0,BBDD_fashion_boutique[[#This Row],[current_price]])</f>
        <v>155.32</v>
      </c>
      <c r="X1349" t="str">
        <f>IF(BBDD_fashion_boutique[[#This Row],[return_reason]]="","No return",BBDD_fashion_boutique[[#This Row],[return_reason]])</f>
        <v>No return</v>
      </c>
      <c r="Y1349">
        <f>IF(IFERROR(VLOOKUP(BBDD_fashion_boutique[[#This Row],[product_id]],A1350:A3525,1,FALSE),0),1,0)</f>
        <v>0</v>
      </c>
    </row>
    <row r="1350" spans="1:25" x14ac:dyDescent="0.3">
      <c r="A1350" t="s">
        <v>1409</v>
      </c>
      <c r="B1350" t="s">
        <v>44</v>
      </c>
      <c r="C1350" t="s">
        <v>81</v>
      </c>
      <c r="D1350" t="s">
        <v>21</v>
      </c>
      <c r="E1350" t="s">
        <v>22</v>
      </c>
      <c r="F1350" t="str">
        <f>IF(BBDD_fashion_boutique[[#This Row],[category]]="Accessories","Accesorio",IF(BBDD_fashion_boutique[[#This Row],[size]]="","Desconocido",BBDD_fashion_boutique[[#This Row],[size]]))</f>
        <v>XL</v>
      </c>
      <c r="G1350" t="s">
        <v>33</v>
      </c>
      <c r="H1350" s="2">
        <v>29.65</v>
      </c>
      <c r="I1350">
        <v>41</v>
      </c>
      <c r="J1350" s="5">
        <f>BBDD_fashion_boutique[[#This Row],[markdown_percentage]]/100</f>
        <v>0.41</v>
      </c>
      <c r="K1350" s="2">
        <v>17.489999999999998</v>
      </c>
      <c r="L1350" s="2">
        <f>BBDD_fashion_boutique[[#This Row],[original_price]]-BBDD_fashion_boutique[[#This Row],[current_price]]</f>
        <v>12.16</v>
      </c>
      <c r="M1350" s="1">
        <v>45530</v>
      </c>
      <c r="N1350" s="1" t="str">
        <f>PROPER(TEXT(BBDD_fashion_boutique[[#This Row],[purchase_date]],"dddd"))</f>
        <v>Lunes</v>
      </c>
      <c r="O1350" s="1" t="str">
        <f>PROPER(TEXT(BBDD_fashion_boutique[[#This Row],[purchase_date]],"mmmm"))</f>
        <v>Agosto</v>
      </c>
      <c r="P1350" s="4">
        <v>21</v>
      </c>
      <c r="Q1350" s="2">
        <v>4.5</v>
      </c>
      <c r="R1350" t="str">
        <f>IF(BBDD_fashion_boutique[[#This Row],[stock_quantity]]&gt;9,"Ok",IF(BBDD_fashion_boutique[[#This Row],[stock_quantity]]=0,"Agotado","Pocas Unidades"))</f>
        <v>Ok</v>
      </c>
      <c r="S1350" s="3">
        <f>IF(BBDD_fashion_boutique[[#This Row],[customer_rating]]="","No valorado",BBDD_fashion_boutique[[#This Row],[customer_rating]])</f>
        <v>4.5</v>
      </c>
      <c r="T1350" t="s">
        <v>41</v>
      </c>
      <c r="U1350" t="s">
        <v>89</v>
      </c>
      <c r="V1350">
        <f>IF(BBDD_fashion_boutique[[#This Row],[is_returned]]="False",0,1)</f>
        <v>1</v>
      </c>
      <c r="W1350">
        <f>IF(BBDD_fashion_boutique[[#This Row],[is_returned]]="True",0,BBDD_fashion_boutique[[#This Row],[current_price]])</f>
        <v>0</v>
      </c>
      <c r="X1350" t="str">
        <f>IF(BBDD_fashion_boutique[[#This Row],[return_reason]]="","No return",BBDD_fashion_boutique[[#This Row],[return_reason]])</f>
        <v>Quality Issue</v>
      </c>
      <c r="Y1350">
        <f>IF(IFERROR(VLOOKUP(BBDD_fashion_boutique[[#This Row],[product_id]],A1351:A3526,1,FALSE),0),1,0)</f>
        <v>0</v>
      </c>
    </row>
    <row r="1351" spans="1:25" x14ac:dyDescent="0.3">
      <c r="A1351" t="s">
        <v>1410</v>
      </c>
      <c r="B1351" t="s">
        <v>19</v>
      </c>
      <c r="C1351" t="s">
        <v>49</v>
      </c>
      <c r="D1351" t="s">
        <v>28</v>
      </c>
      <c r="E1351" t="s">
        <v>55</v>
      </c>
      <c r="F1351" t="str">
        <f>IF(BBDD_fashion_boutique[[#This Row],[category]]="Accessories","Accesorio",IF(BBDD_fashion_boutique[[#This Row],[size]]="","Desconocido",BBDD_fashion_boutique[[#This Row],[size]]))</f>
        <v>XXL</v>
      </c>
      <c r="G1351" t="s">
        <v>76</v>
      </c>
      <c r="H1351" s="2">
        <v>237.53</v>
      </c>
      <c r="I1351">
        <v>23.2</v>
      </c>
      <c r="J1351" s="5">
        <f>BBDD_fashion_boutique[[#This Row],[markdown_percentage]]/100</f>
        <v>0.23199999999999998</v>
      </c>
      <c r="K1351" s="2">
        <v>182.42</v>
      </c>
      <c r="L1351" s="2">
        <f>BBDD_fashion_boutique[[#This Row],[original_price]]-BBDD_fashion_boutique[[#This Row],[current_price]]</f>
        <v>55.110000000000014</v>
      </c>
      <c r="M1351" s="1">
        <v>45875</v>
      </c>
      <c r="N1351" s="1" t="str">
        <f>PROPER(TEXT(BBDD_fashion_boutique[[#This Row],[purchase_date]],"dddd"))</f>
        <v>Miércoles</v>
      </c>
      <c r="O1351" s="1" t="str">
        <f>PROPER(TEXT(BBDD_fashion_boutique[[#This Row],[purchase_date]],"mmmm"))</f>
        <v>Agosto</v>
      </c>
      <c r="P1351" s="4">
        <v>23</v>
      </c>
      <c r="Q1351" s="2">
        <v>2.2000000000000002</v>
      </c>
      <c r="R1351" t="str">
        <f>IF(BBDD_fashion_boutique[[#This Row],[stock_quantity]]&gt;9,"Ok",IF(BBDD_fashion_boutique[[#This Row],[stock_quantity]]=0,"Agotado","Pocas Unidades"))</f>
        <v>Ok</v>
      </c>
      <c r="S1351" s="3">
        <f>IF(BBDD_fashion_boutique[[#This Row],[customer_rating]]="","No valorado",BBDD_fashion_boutique[[#This Row],[customer_rating]])</f>
        <v>2.2000000000000002</v>
      </c>
      <c r="T1351" t="s">
        <v>24</v>
      </c>
      <c r="V1351">
        <f>IF(BBDD_fashion_boutique[[#This Row],[is_returned]]="False",0,1)</f>
        <v>0</v>
      </c>
      <c r="W1351">
        <f>IF(BBDD_fashion_boutique[[#This Row],[is_returned]]="True",0,BBDD_fashion_boutique[[#This Row],[current_price]])</f>
        <v>182.42</v>
      </c>
      <c r="X1351" t="str">
        <f>IF(BBDD_fashion_boutique[[#This Row],[return_reason]]="","No return",BBDD_fashion_boutique[[#This Row],[return_reason]])</f>
        <v>No return</v>
      </c>
      <c r="Y1351">
        <f>IF(IFERROR(VLOOKUP(BBDD_fashion_boutique[[#This Row],[product_id]],A1352:A3527,1,FALSE),0),1,0)</f>
        <v>0</v>
      </c>
    </row>
    <row r="1352" spans="1:25" x14ac:dyDescent="0.3">
      <c r="A1352" t="s">
        <v>1411</v>
      </c>
      <c r="B1352" t="s">
        <v>19</v>
      </c>
      <c r="C1352" t="s">
        <v>59</v>
      </c>
      <c r="D1352" t="s">
        <v>68</v>
      </c>
      <c r="E1352" t="s">
        <v>64</v>
      </c>
      <c r="F1352" t="str">
        <f>IF(BBDD_fashion_boutique[[#This Row],[category]]="Accessories","Accesorio",IF(BBDD_fashion_boutique[[#This Row],[size]]="","Desconocido",BBDD_fashion_boutique[[#This Row],[size]]))</f>
        <v>M</v>
      </c>
      <c r="G1352" t="s">
        <v>30</v>
      </c>
      <c r="H1352" s="2">
        <v>81.67</v>
      </c>
      <c r="I1352">
        <v>0</v>
      </c>
      <c r="J1352" s="5">
        <f>BBDD_fashion_boutique[[#This Row],[markdown_percentage]]/100</f>
        <v>0</v>
      </c>
      <c r="K1352" s="2">
        <v>81.67</v>
      </c>
      <c r="L1352" s="2">
        <f>BBDD_fashion_boutique[[#This Row],[original_price]]-BBDD_fashion_boutique[[#This Row],[current_price]]</f>
        <v>0</v>
      </c>
      <c r="M1352" s="1">
        <v>45875</v>
      </c>
      <c r="N1352" s="1" t="str">
        <f>PROPER(TEXT(BBDD_fashion_boutique[[#This Row],[purchase_date]],"dddd"))</f>
        <v>Miércoles</v>
      </c>
      <c r="O1352" s="1" t="str">
        <f>PROPER(TEXT(BBDD_fashion_boutique[[#This Row],[purchase_date]],"mmmm"))</f>
        <v>Agosto</v>
      </c>
      <c r="P1352" s="4">
        <v>34</v>
      </c>
      <c r="Q1352" s="2">
        <v>3.1</v>
      </c>
      <c r="R1352" t="str">
        <f>IF(BBDD_fashion_boutique[[#This Row],[stock_quantity]]&gt;9,"Ok",IF(BBDD_fashion_boutique[[#This Row],[stock_quantity]]=0,"Agotado","Pocas Unidades"))</f>
        <v>Ok</v>
      </c>
      <c r="S1352" s="3">
        <f>IF(BBDD_fashion_boutique[[#This Row],[customer_rating]]="","No valorado",BBDD_fashion_boutique[[#This Row],[customer_rating]])</f>
        <v>3.1</v>
      </c>
      <c r="T1352" t="s">
        <v>41</v>
      </c>
      <c r="U1352" t="s">
        <v>84</v>
      </c>
      <c r="V1352">
        <f>IF(BBDD_fashion_boutique[[#This Row],[is_returned]]="False",0,1)</f>
        <v>1</v>
      </c>
      <c r="W1352">
        <f>IF(BBDD_fashion_boutique[[#This Row],[is_returned]]="True",0,BBDD_fashion_boutique[[#This Row],[current_price]])</f>
        <v>0</v>
      </c>
      <c r="X1352" t="str">
        <f>IF(BBDD_fashion_boutique[[#This Row],[return_reason]]="","No return",BBDD_fashion_boutique[[#This Row],[return_reason]])</f>
        <v>Damaged</v>
      </c>
      <c r="Y1352">
        <f>IF(IFERROR(VLOOKUP(BBDD_fashion_boutique[[#This Row],[product_id]],A1353:A3528,1,FALSE),0),1,0)</f>
        <v>0</v>
      </c>
    </row>
    <row r="1353" spans="1:25" x14ac:dyDescent="0.3">
      <c r="A1353" t="s">
        <v>1412</v>
      </c>
      <c r="B1353" t="s">
        <v>44</v>
      </c>
      <c r="C1353" t="s">
        <v>37</v>
      </c>
      <c r="D1353" t="s">
        <v>21</v>
      </c>
      <c r="E1353" t="s">
        <v>64</v>
      </c>
      <c r="F1353" t="str">
        <f>IF(BBDD_fashion_boutique[[#This Row],[category]]="Accessories","Accesorio",IF(BBDD_fashion_boutique[[#This Row],[size]]="","Desconocido",BBDD_fashion_boutique[[#This Row],[size]]))</f>
        <v>M</v>
      </c>
      <c r="G1353" t="s">
        <v>62</v>
      </c>
      <c r="H1353" s="2">
        <v>37.07</v>
      </c>
      <c r="I1353">
        <v>0</v>
      </c>
      <c r="J1353" s="5">
        <f>BBDD_fashion_boutique[[#This Row],[markdown_percentage]]/100</f>
        <v>0</v>
      </c>
      <c r="K1353" s="2">
        <v>37.07</v>
      </c>
      <c r="L1353" s="2">
        <f>BBDD_fashion_boutique[[#This Row],[original_price]]-BBDD_fashion_boutique[[#This Row],[current_price]]</f>
        <v>0</v>
      </c>
      <c r="M1353" s="1">
        <v>45778</v>
      </c>
      <c r="N1353" s="1" t="str">
        <f>PROPER(TEXT(BBDD_fashion_boutique[[#This Row],[purchase_date]],"dddd"))</f>
        <v>Jueves</v>
      </c>
      <c r="O1353" s="1" t="str">
        <f>PROPER(TEXT(BBDD_fashion_boutique[[#This Row],[purchase_date]],"mmmm"))</f>
        <v>Mayo</v>
      </c>
      <c r="P1353" s="4">
        <v>13</v>
      </c>
      <c r="R1353" t="str">
        <f>IF(BBDD_fashion_boutique[[#This Row],[stock_quantity]]&gt;9,"Ok",IF(BBDD_fashion_boutique[[#This Row],[stock_quantity]]=0,"Agotado","Pocas Unidades"))</f>
        <v>Ok</v>
      </c>
      <c r="S1353" s="3" t="str">
        <f>IF(BBDD_fashion_boutique[[#This Row],[customer_rating]]="","No valorado",BBDD_fashion_boutique[[#This Row],[customer_rating]])</f>
        <v>No valorado</v>
      </c>
      <c r="T1353" t="s">
        <v>24</v>
      </c>
      <c r="V1353">
        <f>IF(BBDD_fashion_boutique[[#This Row],[is_returned]]="False",0,1)</f>
        <v>0</v>
      </c>
      <c r="W1353">
        <f>IF(BBDD_fashion_boutique[[#This Row],[is_returned]]="True",0,BBDD_fashion_boutique[[#This Row],[current_price]])</f>
        <v>37.07</v>
      </c>
      <c r="X1353" t="str">
        <f>IF(BBDD_fashion_boutique[[#This Row],[return_reason]]="","No return",BBDD_fashion_boutique[[#This Row],[return_reason]])</f>
        <v>No return</v>
      </c>
      <c r="Y1353">
        <f>IF(IFERROR(VLOOKUP(BBDD_fashion_boutique[[#This Row],[product_id]],A1354:A3529,1,FALSE),0),1,0)</f>
        <v>0</v>
      </c>
    </row>
    <row r="1354" spans="1:25" x14ac:dyDescent="0.3">
      <c r="A1354" t="s">
        <v>1413</v>
      </c>
      <c r="B1354" t="s">
        <v>26</v>
      </c>
      <c r="C1354" t="s">
        <v>27</v>
      </c>
      <c r="D1354" t="s">
        <v>39</v>
      </c>
      <c r="E1354" t="s">
        <v>55</v>
      </c>
      <c r="F1354" t="str">
        <f>IF(BBDD_fashion_boutique[[#This Row],[category]]="Accessories","Accesorio",IF(BBDD_fashion_boutique[[#This Row],[size]]="","Desconocido",BBDD_fashion_boutique[[#This Row],[size]]))</f>
        <v>XXL</v>
      </c>
      <c r="G1354" t="s">
        <v>72</v>
      </c>
      <c r="H1354" s="2">
        <v>80.97</v>
      </c>
      <c r="I1354">
        <v>0</v>
      </c>
      <c r="J1354" s="5">
        <f>BBDD_fashion_boutique[[#This Row],[markdown_percentage]]/100</f>
        <v>0</v>
      </c>
      <c r="K1354" s="2">
        <v>80.97</v>
      </c>
      <c r="L1354" s="2">
        <f>BBDD_fashion_boutique[[#This Row],[original_price]]-BBDD_fashion_boutique[[#This Row],[current_price]]</f>
        <v>0</v>
      </c>
      <c r="M1354" s="1">
        <v>45875</v>
      </c>
      <c r="N1354" s="1" t="str">
        <f>PROPER(TEXT(BBDD_fashion_boutique[[#This Row],[purchase_date]],"dddd"))</f>
        <v>Miércoles</v>
      </c>
      <c r="O1354" s="1" t="str">
        <f>PROPER(TEXT(BBDD_fashion_boutique[[#This Row],[purchase_date]],"mmmm"))</f>
        <v>Agosto</v>
      </c>
      <c r="P1354" s="4">
        <v>13</v>
      </c>
      <c r="R1354" t="str">
        <f>IF(BBDD_fashion_boutique[[#This Row],[stock_quantity]]&gt;9,"Ok",IF(BBDD_fashion_boutique[[#This Row],[stock_quantity]]=0,"Agotado","Pocas Unidades"))</f>
        <v>Ok</v>
      </c>
      <c r="S1354" s="3" t="str">
        <f>IF(BBDD_fashion_boutique[[#This Row],[customer_rating]]="","No valorado",BBDD_fashion_boutique[[#This Row],[customer_rating]])</f>
        <v>No valorado</v>
      </c>
      <c r="T1354" t="s">
        <v>24</v>
      </c>
      <c r="V1354">
        <f>IF(BBDD_fashion_boutique[[#This Row],[is_returned]]="False",0,1)</f>
        <v>0</v>
      </c>
      <c r="W1354">
        <f>IF(BBDD_fashion_boutique[[#This Row],[is_returned]]="True",0,BBDD_fashion_boutique[[#This Row],[current_price]])</f>
        <v>80.97</v>
      </c>
      <c r="X1354" t="str">
        <f>IF(BBDD_fashion_boutique[[#This Row],[return_reason]]="","No return",BBDD_fashion_boutique[[#This Row],[return_reason]])</f>
        <v>No return</v>
      </c>
      <c r="Y1354">
        <f>IF(IFERROR(VLOOKUP(BBDD_fashion_boutique[[#This Row],[product_id]],A1355:A3530,1,FALSE),0),1,0)</f>
        <v>0</v>
      </c>
    </row>
    <row r="1355" spans="1:25" x14ac:dyDescent="0.3">
      <c r="A1355" t="s">
        <v>1414</v>
      </c>
      <c r="B1355" t="s">
        <v>32</v>
      </c>
      <c r="C1355" t="s">
        <v>20</v>
      </c>
      <c r="D1355" t="s">
        <v>21</v>
      </c>
      <c r="F1355" t="str">
        <f>IF(BBDD_fashion_boutique[[#This Row],[category]]="Accessories","Accesorio",IF(BBDD_fashion_boutique[[#This Row],[size]]="","Desconocido",BBDD_fashion_boutique[[#This Row],[size]]))</f>
        <v>Accesorio</v>
      </c>
      <c r="G1355" t="s">
        <v>46</v>
      </c>
      <c r="H1355" s="2">
        <v>77.680000000000007</v>
      </c>
      <c r="I1355">
        <v>29.9</v>
      </c>
      <c r="J1355" s="5">
        <f>BBDD_fashion_boutique[[#This Row],[markdown_percentage]]/100</f>
        <v>0.29899999999999999</v>
      </c>
      <c r="K1355" s="2">
        <v>54.45</v>
      </c>
      <c r="L1355" s="2">
        <f>BBDD_fashion_boutique[[#This Row],[original_price]]-BBDD_fashion_boutique[[#This Row],[current_price]]</f>
        <v>23.230000000000004</v>
      </c>
      <c r="M1355" s="1">
        <v>45862</v>
      </c>
      <c r="N1355" s="1" t="str">
        <f>PROPER(TEXT(BBDD_fashion_boutique[[#This Row],[purchase_date]],"dddd"))</f>
        <v>Jueves</v>
      </c>
      <c r="O1355" s="1" t="str">
        <f>PROPER(TEXT(BBDD_fashion_boutique[[#This Row],[purchase_date]],"mmmm"))</f>
        <v>Julio</v>
      </c>
      <c r="P1355" s="4">
        <v>33</v>
      </c>
      <c r="Q1355" s="2">
        <v>4</v>
      </c>
      <c r="R1355" t="str">
        <f>IF(BBDD_fashion_boutique[[#This Row],[stock_quantity]]&gt;9,"Ok",IF(BBDD_fashion_boutique[[#This Row],[stock_quantity]]=0,"Agotado","Pocas Unidades"))</f>
        <v>Ok</v>
      </c>
      <c r="S1355" s="3">
        <f>IF(BBDD_fashion_boutique[[#This Row],[customer_rating]]="","No valorado",BBDD_fashion_boutique[[#This Row],[customer_rating]])</f>
        <v>4</v>
      </c>
      <c r="T1355" t="s">
        <v>41</v>
      </c>
      <c r="U1355" t="s">
        <v>84</v>
      </c>
      <c r="V1355">
        <f>IF(BBDD_fashion_boutique[[#This Row],[is_returned]]="False",0,1)</f>
        <v>1</v>
      </c>
      <c r="W1355">
        <f>IF(BBDD_fashion_boutique[[#This Row],[is_returned]]="True",0,BBDD_fashion_boutique[[#This Row],[current_price]])</f>
        <v>0</v>
      </c>
      <c r="X1355" t="str">
        <f>IF(BBDD_fashion_boutique[[#This Row],[return_reason]]="","No return",BBDD_fashion_boutique[[#This Row],[return_reason]])</f>
        <v>Damaged</v>
      </c>
      <c r="Y1355">
        <f>IF(IFERROR(VLOOKUP(BBDD_fashion_boutique[[#This Row],[product_id]],A1356:A3531,1,FALSE),0),1,0)</f>
        <v>0</v>
      </c>
    </row>
    <row r="1356" spans="1:25" x14ac:dyDescent="0.3">
      <c r="A1356" t="s">
        <v>1415</v>
      </c>
      <c r="B1356" t="s">
        <v>26</v>
      </c>
      <c r="C1356" t="s">
        <v>37</v>
      </c>
      <c r="D1356" t="s">
        <v>68</v>
      </c>
      <c r="E1356" t="s">
        <v>55</v>
      </c>
      <c r="F1356" t="str">
        <f>IF(BBDD_fashion_boutique[[#This Row],[category]]="Accessories","Accesorio",IF(BBDD_fashion_boutique[[#This Row],[size]]="","Desconocido",BBDD_fashion_boutique[[#This Row],[size]]))</f>
        <v>XXL</v>
      </c>
      <c r="G1356" t="s">
        <v>52</v>
      </c>
      <c r="H1356" s="2">
        <v>117.58</v>
      </c>
      <c r="I1356">
        <v>1</v>
      </c>
      <c r="J1356" s="5">
        <f>BBDD_fashion_boutique[[#This Row],[markdown_percentage]]/100</f>
        <v>0.01</v>
      </c>
      <c r="K1356" s="2">
        <v>116.4</v>
      </c>
      <c r="L1356" s="2">
        <f>BBDD_fashion_boutique[[#This Row],[original_price]]-BBDD_fashion_boutique[[#This Row],[current_price]]</f>
        <v>1.1799999999999926</v>
      </c>
      <c r="M1356" s="1">
        <v>45875</v>
      </c>
      <c r="N1356" s="1" t="str">
        <f>PROPER(TEXT(BBDD_fashion_boutique[[#This Row],[purchase_date]],"dddd"))</f>
        <v>Miércoles</v>
      </c>
      <c r="O1356" s="1" t="str">
        <f>PROPER(TEXT(BBDD_fashion_boutique[[#This Row],[purchase_date]],"mmmm"))</f>
        <v>Agosto</v>
      </c>
      <c r="P1356" s="4">
        <v>27</v>
      </c>
      <c r="Q1356" s="2">
        <v>3.3</v>
      </c>
      <c r="R1356" t="str">
        <f>IF(BBDD_fashion_boutique[[#This Row],[stock_quantity]]&gt;9,"Ok",IF(BBDD_fashion_boutique[[#This Row],[stock_quantity]]=0,"Agotado","Pocas Unidades"))</f>
        <v>Ok</v>
      </c>
      <c r="S1356" s="3">
        <f>IF(BBDD_fashion_boutique[[#This Row],[customer_rating]]="","No valorado",BBDD_fashion_boutique[[#This Row],[customer_rating]])</f>
        <v>3.3</v>
      </c>
      <c r="T1356" t="s">
        <v>24</v>
      </c>
      <c r="V1356">
        <f>IF(BBDD_fashion_boutique[[#This Row],[is_returned]]="False",0,1)</f>
        <v>0</v>
      </c>
      <c r="W1356">
        <f>IF(BBDD_fashion_boutique[[#This Row],[is_returned]]="True",0,BBDD_fashion_boutique[[#This Row],[current_price]])</f>
        <v>116.4</v>
      </c>
      <c r="X1356" t="str">
        <f>IF(BBDD_fashion_boutique[[#This Row],[return_reason]]="","No return",BBDD_fashion_boutique[[#This Row],[return_reason]])</f>
        <v>No return</v>
      </c>
      <c r="Y1356">
        <f>IF(IFERROR(VLOOKUP(BBDD_fashion_boutique[[#This Row],[product_id]],A1357:A3532,1,FALSE),0),1,0)</f>
        <v>0</v>
      </c>
    </row>
    <row r="1357" spans="1:25" x14ac:dyDescent="0.3">
      <c r="A1357" t="s">
        <v>1416</v>
      </c>
      <c r="B1357" t="s">
        <v>19</v>
      </c>
      <c r="C1357" t="s">
        <v>49</v>
      </c>
      <c r="D1357" t="s">
        <v>39</v>
      </c>
      <c r="E1357" t="s">
        <v>22</v>
      </c>
      <c r="F1357" t="str">
        <f>IF(BBDD_fashion_boutique[[#This Row],[category]]="Accessories","Accesorio",IF(BBDD_fashion_boutique[[#This Row],[size]]="","Desconocido",BBDD_fashion_boutique[[#This Row],[size]]))</f>
        <v>XL</v>
      </c>
      <c r="G1357" t="s">
        <v>50</v>
      </c>
      <c r="H1357" s="2">
        <v>130.09</v>
      </c>
      <c r="I1357">
        <v>28.3</v>
      </c>
      <c r="J1357" s="5">
        <f>BBDD_fashion_boutique[[#This Row],[markdown_percentage]]/100</f>
        <v>0.28300000000000003</v>
      </c>
      <c r="K1357" s="2">
        <v>93.27</v>
      </c>
      <c r="L1357" s="2">
        <f>BBDD_fashion_boutique[[#This Row],[original_price]]-BBDD_fashion_boutique[[#This Row],[current_price]]</f>
        <v>36.820000000000007</v>
      </c>
      <c r="M1357" s="1">
        <v>45875</v>
      </c>
      <c r="N1357" s="1" t="str">
        <f>PROPER(TEXT(BBDD_fashion_boutique[[#This Row],[purchase_date]],"dddd"))</f>
        <v>Miércoles</v>
      </c>
      <c r="O1357" s="1" t="str">
        <f>PROPER(TEXT(BBDD_fashion_boutique[[#This Row],[purchase_date]],"mmmm"))</f>
        <v>Agosto</v>
      </c>
      <c r="P1357" s="4">
        <v>41</v>
      </c>
      <c r="Q1357" s="2">
        <v>2.2999999999999998</v>
      </c>
      <c r="R1357" t="str">
        <f>IF(BBDD_fashion_boutique[[#This Row],[stock_quantity]]&gt;9,"Ok",IF(BBDD_fashion_boutique[[#This Row],[stock_quantity]]=0,"Agotado","Pocas Unidades"))</f>
        <v>Ok</v>
      </c>
      <c r="S1357" s="3">
        <f>IF(BBDD_fashion_boutique[[#This Row],[customer_rating]]="","No valorado",BBDD_fashion_boutique[[#This Row],[customer_rating]])</f>
        <v>2.2999999999999998</v>
      </c>
      <c r="T1357" t="s">
        <v>24</v>
      </c>
      <c r="V1357">
        <f>IF(BBDD_fashion_boutique[[#This Row],[is_returned]]="False",0,1)</f>
        <v>0</v>
      </c>
      <c r="W1357">
        <f>IF(BBDD_fashion_boutique[[#This Row],[is_returned]]="True",0,BBDD_fashion_boutique[[#This Row],[current_price]])</f>
        <v>93.27</v>
      </c>
      <c r="X1357" t="str">
        <f>IF(BBDD_fashion_boutique[[#This Row],[return_reason]]="","No return",BBDD_fashion_boutique[[#This Row],[return_reason]])</f>
        <v>No return</v>
      </c>
      <c r="Y1357">
        <f>IF(IFERROR(VLOOKUP(BBDD_fashion_boutique[[#This Row],[product_id]],A1358:A3533,1,FALSE),0),1,0)</f>
        <v>0</v>
      </c>
    </row>
    <row r="1358" spans="1:25" x14ac:dyDescent="0.3">
      <c r="A1358" t="s">
        <v>1417</v>
      </c>
      <c r="B1358" t="s">
        <v>26</v>
      </c>
      <c r="C1358" t="s">
        <v>27</v>
      </c>
      <c r="D1358" t="s">
        <v>39</v>
      </c>
      <c r="E1358" t="s">
        <v>61</v>
      </c>
      <c r="F1358" t="str">
        <f>IF(BBDD_fashion_boutique[[#This Row],[category]]="Accessories","Accesorio",IF(BBDD_fashion_boutique[[#This Row],[size]]="","Desconocido",BBDD_fashion_boutique[[#This Row],[size]]))</f>
        <v>XS</v>
      </c>
      <c r="G1358" t="s">
        <v>72</v>
      </c>
      <c r="H1358" s="2">
        <v>63.69</v>
      </c>
      <c r="I1358">
        <v>0</v>
      </c>
      <c r="J1358" s="5">
        <f>BBDD_fashion_boutique[[#This Row],[markdown_percentage]]/100</f>
        <v>0</v>
      </c>
      <c r="K1358" s="2">
        <v>63.69</v>
      </c>
      <c r="L1358" s="2">
        <f>BBDD_fashion_boutique[[#This Row],[original_price]]-BBDD_fashion_boutique[[#This Row],[current_price]]</f>
        <v>0</v>
      </c>
      <c r="M1358" s="1">
        <v>45875</v>
      </c>
      <c r="N1358" s="1" t="str">
        <f>PROPER(TEXT(BBDD_fashion_boutique[[#This Row],[purchase_date]],"dddd"))</f>
        <v>Miércoles</v>
      </c>
      <c r="O1358" s="1" t="str">
        <f>PROPER(TEXT(BBDD_fashion_boutique[[#This Row],[purchase_date]],"mmmm"))</f>
        <v>Agosto</v>
      </c>
      <c r="P1358" s="4">
        <v>11</v>
      </c>
      <c r="Q1358" s="2">
        <v>3</v>
      </c>
      <c r="R1358" t="str">
        <f>IF(BBDD_fashion_boutique[[#This Row],[stock_quantity]]&gt;9,"Ok",IF(BBDD_fashion_boutique[[#This Row],[stock_quantity]]=0,"Agotado","Pocas Unidades"))</f>
        <v>Ok</v>
      </c>
      <c r="S1358" s="3">
        <f>IF(BBDD_fashion_boutique[[#This Row],[customer_rating]]="","No valorado",BBDD_fashion_boutique[[#This Row],[customer_rating]])</f>
        <v>3</v>
      </c>
      <c r="T1358" t="s">
        <v>24</v>
      </c>
      <c r="V1358">
        <f>IF(BBDD_fashion_boutique[[#This Row],[is_returned]]="False",0,1)</f>
        <v>0</v>
      </c>
      <c r="W1358">
        <f>IF(BBDD_fashion_boutique[[#This Row],[is_returned]]="True",0,BBDD_fashion_boutique[[#This Row],[current_price]])</f>
        <v>63.69</v>
      </c>
      <c r="X1358" t="str">
        <f>IF(BBDD_fashion_boutique[[#This Row],[return_reason]]="","No return",BBDD_fashion_boutique[[#This Row],[return_reason]])</f>
        <v>No return</v>
      </c>
      <c r="Y1358">
        <f>IF(IFERROR(VLOOKUP(BBDD_fashion_boutique[[#This Row],[product_id]],A1359:A3534,1,FALSE),0),1,0)</f>
        <v>0</v>
      </c>
    </row>
    <row r="1359" spans="1:25" x14ac:dyDescent="0.3">
      <c r="A1359" t="s">
        <v>1418</v>
      </c>
      <c r="B1359" t="s">
        <v>19</v>
      </c>
      <c r="C1359" t="s">
        <v>37</v>
      </c>
      <c r="D1359" t="s">
        <v>21</v>
      </c>
      <c r="E1359" t="s">
        <v>22</v>
      </c>
      <c r="F1359" t="str">
        <f>IF(BBDD_fashion_boutique[[#This Row],[category]]="Accessories","Accesorio",IF(BBDD_fashion_boutique[[#This Row],[size]]="","Desconocido",BBDD_fashion_boutique[[#This Row],[size]]))</f>
        <v>XL</v>
      </c>
      <c r="G1359" t="s">
        <v>23</v>
      </c>
      <c r="H1359" s="2">
        <v>135.02000000000001</v>
      </c>
      <c r="I1359">
        <v>0</v>
      </c>
      <c r="J1359" s="5">
        <f>BBDD_fashion_boutique[[#This Row],[markdown_percentage]]/100</f>
        <v>0</v>
      </c>
      <c r="K1359" s="2">
        <v>135.02000000000001</v>
      </c>
      <c r="L1359" s="2">
        <f>BBDD_fashion_boutique[[#This Row],[original_price]]-BBDD_fashion_boutique[[#This Row],[current_price]]</f>
        <v>0</v>
      </c>
      <c r="M1359" s="1">
        <v>45868</v>
      </c>
      <c r="N1359" s="1" t="str">
        <f>PROPER(TEXT(BBDD_fashion_boutique[[#This Row],[purchase_date]],"dddd"))</f>
        <v>Miércoles</v>
      </c>
      <c r="O1359" s="1" t="str">
        <f>PROPER(TEXT(BBDD_fashion_boutique[[#This Row],[purchase_date]],"mmmm"))</f>
        <v>Julio</v>
      </c>
      <c r="P1359" s="4">
        <v>25</v>
      </c>
      <c r="Q1359" s="2">
        <v>3.4</v>
      </c>
      <c r="R1359" t="str">
        <f>IF(BBDD_fashion_boutique[[#This Row],[stock_quantity]]&gt;9,"Ok",IF(BBDD_fashion_boutique[[#This Row],[stock_quantity]]=0,"Agotado","Pocas Unidades"))</f>
        <v>Ok</v>
      </c>
      <c r="S1359" s="3">
        <f>IF(BBDD_fashion_boutique[[#This Row],[customer_rating]]="","No valorado",BBDD_fashion_boutique[[#This Row],[customer_rating]])</f>
        <v>3.4</v>
      </c>
      <c r="T1359" t="s">
        <v>41</v>
      </c>
      <c r="U1359" t="s">
        <v>121</v>
      </c>
      <c r="V1359">
        <f>IF(BBDD_fashion_boutique[[#This Row],[is_returned]]="False",0,1)</f>
        <v>1</v>
      </c>
      <c r="W1359">
        <f>IF(BBDD_fashion_boutique[[#This Row],[is_returned]]="True",0,BBDD_fashion_boutique[[#This Row],[current_price]])</f>
        <v>0</v>
      </c>
      <c r="X1359" t="str">
        <f>IF(BBDD_fashion_boutique[[#This Row],[return_reason]]="","No return",BBDD_fashion_boutique[[#This Row],[return_reason]])</f>
        <v>Changed Mind</v>
      </c>
      <c r="Y1359">
        <f>IF(IFERROR(VLOOKUP(BBDD_fashion_boutique[[#This Row],[product_id]],A1360:A3535,1,FALSE),0),1,0)</f>
        <v>0</v>
      </c>
    </row>
    <row r="1360" spans="1:25" x14ac:dyDescent="0.3">
      <c r="A1360" t="s">
        <v>1419</v>
      </c>
      <c r="B1360" t="s">
        <v>32</v>
      </c>
      <c r="C1360" t="s">
        <v>54</v>
      </c>
      <c r="D1360" t="s">
        <v>28</v>
      </c>
      <c r="F1360" t="str">
        <f>IF(BBDD_fashion_boutique[[#This Row],[category]]="Accessories","Accesorio",IF(BBDD_fashion_boutique[[#This Row],[size]]="","Desconocido",BBDD_fashion_boutique[[#This Row],[size]]))</f>
        <v>Accesorio</v>
      </c>
      <c r="G1360" t="s">
        <v>62</v>
      </c>
      <c r="H1360" s="2">
        <v>45.37</v>
      </c>
      <c r="I1360">
        <v>0</v>
      </c>
      <c r="J1360" s="5">
        <f>BBDD_fashion_boutique[[#This Row],[markdown_percentage]]/100</f>
        <v>0</v>
      </c>
      <c r="K1360" s="2">
        <v>45.37</v>
      </c>
      <c r="L1360" s="2">
        <f>BBDD_fashion_boutique[[#This Row],[original_price]]-BBDD_fashion_boutique[[#This Row],[current_price]]</f>
        <v>0</v>
      </c>
      <c r="M1360" s="1">
        <v>45875</v>
      </c>
      <c r="N1360" s="1" t="str">
        <f>PROPER(TEXT(BBDD_fashion_boutique[[#This Row],[purchase_date]],"dddd"))</f>
        <v>Miércoles</v>
      </c>
      <c r="O1360" s="1" t="str">
        <f>PROPER(TEXT(BBDD_fashion_boutique[[#This Row],[purchase_date]],"mmmm"))</f>
        <v>Agosto</v>
      </c>
      <c r="P1360" s="4">
        <v>19</v>
      </c>
      <c r="Q1360" s="2">
        <v>1.1000000000000001</v>
      </c>
      <c r="R1360" t="str">
        <f>IF(BBDD_fashion_boutique[[#This Row],[stock_quantity]]&gt;9,"Ok",IF(BBDD_fashion_boutique[[#This Row],[stock_quantity]]=0,"Agotado","Pocas Unidades"))</f>
        <v>Ok</v>
      </c>
      <c r="S1360" s="3">
        <f>IF(BBDD_fashion_boutique[[#This Row],[customer_rating]]="","No valorado",BBDD_fashion_boutique[[#This Row],[customer_rating]])</f>
        <v>1.1000000000000001</v>
      </c>
      <c r="T1360" t="s">
        <v>24</v>
      </c>
      <c r="V1360">
        <f>IF(BBDD_fashion_boutique[[#This Row],[is_returned]]="False",0,1)</f>
        <v>0</v>
      </c>
      <c r="W1360">
        <f>IF(BBDD_fashion_boutique[[#This Row],[is_returned]]="True",0,BBDD_fashion_boutique[[#This Row],[current_price]])</f>
        <v>45.37</v>
      </c>
      <c r="X1360" t="str">
        <f>IF(BBDD_fashion_boutique[[#This Row],[return_reason]]="","No return",BBDD_fashion_boutique[[#This Row],[return_reason]])</f>
        <v>No return</v>
      </c>
      <c r="Y1360">
        <f>IF(IFERROR(VLOOKUP(BBDD_fashion_boutique[[#This Row],[product_id]],A1361:A3536,1,FALSE),0),1,0)</f>
        <v>0</v>
      </c>
    </row>
    <row r="1361" spans="1:25" x14ac:dyDescent="0.3">
      <c r="A1361" t="s">
        <v>1420</v>
      </c>
      <c r="B1361" t="s">
        <v>44</v>
      </c>
      <c r="C1361" t="s">
        <v>20</v>
      </c>
      <c r="D1361" t="s">
        <v>28</v>
      </c>
      <c r="E1361" t="s">
        <v>22</v>
      </c>
      <c r="F1361" t="str">
        <f>IF(BBDD_fashion_boutique[[#This Row],[category]]="Accessories","Accesorio",IF(BBDD_fashion_boutique[[#This Row],[size]]="","Desconocido",BBDD_fashion_boutique[[#This Row],[size]]))</f>
        <v>XL</v>
      </c>
      <c r="G1361" t="s">
        <v>76</v>
      </c>
      <c r="H1361" s="2">
        <v>51.17</v>
      </c>
      <c r="I1361">
        <v>8</v>
      </c>
      <c r="J1361" s="5">
        <f>BBDD_fashion_boutique[[#This Row],[markdown_percentage]]/100</f>
        <v>0.08</v>
      </c>
      <c r="K1361" s="2">
        <v>47.08</v>
      </c>
      <c r="L1361" s="2">
        <f>BBDD_fashion_boutique[[#This Row],[original_price]]-BBDD_fashion_boutique[[#This Row],[current_price]]</f>
        <v>4.0900000000000034</v>
      </c>
      <c r="M1361" s="1">
        <v>45875</v>
      </c>
      <c r="N1361" s="1" t="str">
        <f>PROPER(TEXT(BBDD_fashion_boutique[[#This Row],[purchase_date]],"dddd"))</f>
        <v>Miércoles</v>
      </c>
      <c r="O1361" s="1" t="str">
        <f>PROPER(TEXT(BBDD_fashion_boutique[[#This Row],[purchase_date]],"mmmm"))</f>
        <v>Agosto</v>
      </c>
      <c r="P1361" s="4">
        <v>7</v>
      </c>
      <c r="R1361" t="str">
        <f>IF(BBDD_fashion_boutique[[#This Row],[stock_quantity]]&gt;9,"Ok",IF(BBDD_fashion_boutique[[#This Row],[stock_quantity]]=0,"Agotado","Pocas Unidades"))</f>
        <v>Pocas Unidades</v>
      </c>
      <c r="S1361" s="3" t="str">
        <f>IF(BBDD_fashion_boutique[[#This Row],[customer_rating]]="","No valorado",BBDD_fashion_boutique[[#This Row],[customer_rating]])</f>
        <v>No valorado</v>
      </c>
      <c r="T1361" t="s">
        <v>24</v>
      </c>
      <c r="V1361">
        <f>IF(BBDD_fashion_boutique[[#This Row],[is_returned]]="False",0,1)</f>
        <v>0</v>
      </c>
      <c r="W1361">
        <f>IF(BBDD_fashion_boutique[[#This Row],[is_returned]]="True",0,BBDD_fashion_boutique[[#This Row],[current_price]])</f>
        <v>47.08</v>
      </c>
      <c r="X1361" t="str">
        <f>IF(BBDD_fashion_boutique[[#This Row],[return_reason]]="","No return",BBDD_fashion_boutique[[#This Row],[return_reason]])</f>
        <v>No return</v>
      </c>
      <c r="Y1361">
        <f>IF(IFERROR(VLOOKUP(BBDD_fashion_boutique[[#This Row],[product_id]],A1362:A3537,1,FALSE),0),1,0)</f>
        <v>0</v>
      </c>
    </row>
    <row r="1362" spans="1:25" x14ac:dyDescent="0.3">
      <c r="A1362" t="s">
        <v>1421</v>
      </c>
      <c r="B1362" t="s">
        <v>48</v>
      </c>
      <c r="C1362" t="s">
        <v>81</v>
      </c>
      <c r="D1362" t="s">
        <v>68</v>
      </c>
      <c r="E1362" t="s">
        <v>55</v>
      </c>
      <c r="F1362" t="str">
        <f>IF(BBDD_fashion_boutique[[#This Row],[category]]="Accessories","Accesorio",IF(BBDD_fashion_boutique[[#This Row],[size]]="","Desconocido",BBDD_fashion_boutique[[#This Row],[size]]))</f>
        <v>XXL</v>
      </c>
      <c r="G1362" t="s">
        <v>76</v>
      </c>
      <c r="H1362" s="2">
        <v>49.34</v>
      </c>
      <c r="I1362">
        <v>5.5</v>
      </c>
      <c r="J1362" s="5">
        <f>BBDD_fashion_boutique[[#This Row],[markdown_percentage]]/100</f>
        <v>5.5E-2</v>
      </c>
      <c r="K1362" s="2">
        <v>46.63</v>
      </c>
      <c r="L1362" s="2">
        <f>BBDD_fashion_boutique[[#This Row],[original_price]]-BBDD_fashion_boutique[[#This Row],[current_price]]</f>
        <v>2.7100000000000009</v>
      </c>
      <c r="M1362" s="1">
        <v>45875</v>
      </c>
      <c r="N1362" s="1" t="str">
        <f>PROPER(TEXT(BBDD_fashion_boutique[[#This Row],[purchase_date]],"dddd"))</f>
        <v>Miércoles</v>
      </c>
      <c r="O1362" s="1" t="str">
        <f>PROPER(TEXT(BBDD_fashion_boutique[[#This Row],[purchase_date]],"mmmm"))</f>
        <v>Agosto</v>
      </c>
      <c r="P1362" s="4">
        <v>10</v>
      </c>
      <c r="Q1362" s="2">
        <v>4.3</v>
      </c>
      <c r="R1362" t="str">
        <f>IF(BBDD_fashion_boutique[[#This Row],[stock_quantity]]&gt;9,"Ok",IF(BBDD_fashion_boutique[[#This Row],[stock_quantity]]=0,"Agotado","Pocas Unidades"))</f>
        <v>Ok</v>
      </c>
      <c r="S1362" s="3">
        <f>IF(BBDD_fashion_boutique[[#This Row],[customer_rating]]="","No valorado",BBDD_fashion_boutique[[#This Row],[customer_rating]])</f>
        <v>4.3</v>
      </c>
      <c r="T1362" t="s">
        <v>24</v>
      </c>
      <c r="V1362">
        <f>IF(BBDD_fashion_boutique[[#This Row],[is_returned]]="False",0,1)</f>
        <v>0</v>
      </c>
      <c r="W1362">
        <f>IF(BBDD_fashion_boutique[[#This Row],[is_returned]]="True",0,BBDD_fashion_boutique[[#This Row],[current_price]])</f>
        <v>46.63</v>
      </c>
      <c r="X1362" t="str">
        <f>IF(BBDD_fashion_boutique[[#This Row],[return_reason]]="","No return",BBDD_fashion_boutique[[#This Row],[return_reason]])</f>
        <v>No return</v>
      </c>
      <c r="Y1362">
        <f>IF(IFERROR(VLOOKUP(BBDD_fashion_boutique[[#This Row],[product_id]],A1363:A3538,1,FALSE),0),1,0)</f>
        <v>0</v>
      </c>
    </row>
    <row r="1363" spans="1:25" x14ac:dyDescent="0.3">
      <c r="A1363" t="s">
        <v>1422</v>
      </c>
      <c r="B1363" t="s">
        <v>35</v>
      </c>
      <c r="C1363" t="s">
        <v>27</v>
      </c>
      <c r="D1363" t="s">
        <v>21</v>
      </c>
      <c r="E1363" t="s">
        <v>45</v>
      </c>
      <c r="F1363" t="str">
        <f>IF(BBDD_fashion_boutique[[#This Row],[category]]="Accessories","Accesorio",IF(BBDD_fashion_boutique[[#This Row],[size]]="","Desconocido",BBDD_fashion_boutique[[#This Row],[size]]))</f>
        <v>S</v>
      </c>
      <c r="G1363" t="s">
        <v>52</v>
      </c>
      <c r="H1363" s="2">
        <v>119.78</v>
      </c>
      <c r="I1363">
        <v>0</v>
      </c>
      <c r="J1363" s="5">
        <f>BBDD_fashion_boutique[[#This Row],[markdown_percentage]]/100</f>
        <v>0</v>
      </c>
      <c r="K1363" s="2">
        <v>119.78</v>
      </c>
      <c r="L1363" s="2">
        <f>BBDD_fashion_boutique[[#This Row],[original_price]]-BBDD_fashion_boutique[[#This Row],[current_price]]</f>
        <v>0</v>
      </c>
      <c r="M1363" s="1">
        <v>45818</v>
      </c>
      <c r="N1363" s="1" t="str">
        <f>PROPER(TEXT(BBDD_fashion_boutique[[#This Row],[purchase_date]],"dddd"))</f>
        <v>Martes</v>
      </c>
      <c r="O1363" s="1" t="str">
        <f>PROPER(TEXT(BBDD_fashion_boutique[[#This Row],[purchase_date]],"mmmm"))</f>
        <v>Junio</v>
      </c>
      <c r="P1363" s="4">
        <v>40</v>
      </c>
      <c r="R1363" t="str">
        <f>IF(BBDD_fashion_boutique[[#This Row],[stock_quantity]]&gt;9,"Ok",IF(BBDD_fashion_boutique[[#This Row],[stock_quantity]]=0,"Agotado","Pocas Unidades"))</f>
        <v>Ok</v>
      </c>
      <c r="S1363" s="3" t="str">
        <f>IF(BBDD_fashion_boutique[[#This Row],[customer_rating]]="","No valorado",BBDD_fashion_boutique[[#This Row],[customer_rating]])</f>
        <v>No valorado</v>
      </c>
      <c r="T1363" t="s">
        <v>24</v>
      </c>
      <c r="V1363">
        <f>IF(BBDD_fashion_boutique[[#This Row],[is_returned]]="False",0,1)</f>
        <v>0</v>
      </c>
      <c r="W1363">
        <f>IF(BBDD_fashion_boutique[[#This Row],[is_returned]]="True",0,BBDD_fashion_boutique[[#This Row],[current_price]])</f>
        <v>119.78</v>
      </c>
      <c r="X1363" t="str">
        <f>IF(BBDD_fashion_boutique[[#This Row],[return_reason]]="","No return",BBDD_fashion_boutique[[#This Row],[return_reason]])</f>
        <v>No return</v>
      </c>
      <c r="Y1363">
        <f>IF(IFERROR(VLOOKUP(BBDD_fashion_boutique[[#This Row],[product_id]],A1364:A3539,1,FALSE),0),1,0)</f>
        <v>0</v>
      </c>
    </row>
    <row r="1364" spans="1:25" x14ac:dyDescent="0.3">
      <c r="A1364" t="s">
        <v>1423</v>
      </c>
      <c r="B1364" t="s">
        <v>26</v>
      </c>
      <c r="C1364" t="s">
        <v>37</v>
      </c>
      <c r="D1364" t="s">
        <v>21</v>
      </c>
      <c r="E1364" t="s">
        <v>45</v>
      </c>
      <c r="F1364" t="str">
        <f>IF(BBDD_fashion_boutique[[#This Row],[category]]="Accessories","Accesorio",IF(BBDD_fashion_boutique[[#This Row],[size]]="","Desconocido",BBDD_fashion_boutique[[#This Row],[size]]))</f>
        <v>S</v>
      </c>
      <c r="G1364" t="s">
        <v>46</v>
      </c>
      <c r="H1364" s="2">
        <v>77.3</v>
      </c>
      <c r="I1364">
        <v>35.1</v>
      </c>
      <c r="J1364" s="5">
        <f>BBDD_fashion_boutique[[#This Row],[markdown_percentage]]/100</f>
        <v>0.35100000000000003</v>
      </c>
      <c r="K1364" s="2">
        <v>50.17</v>
      </c>
      <c r="L1364" s="2">
        <f>BBDD_fashion_boutique[[#This Row],[original_price]]-BBDD_fashion_boutique[[#This Row],[current_price]]</f>
        <v>27.129999999999995</v>
      </c>
      <c r="M1364" s="1">
        <v>45864</v>
      </c>
      <c r="N1364" s="1" t="str">
        <f>PROPER(TEXT(BBDD_fashion_boutique[[#This Row],[purchase_date]],"dddd"))</f>
        <v>Sábado</v>
      </c>
      <c r="O1364" s="1" t="str">
        <f>PROPER(TEXT(BBDD_fashion_boutique[[#This Row],[purchase_date]],"mmmm"))</f>
        <v>Julio</v>
      </c>
      <c r="P1364" s="4">
        <v>16</v>
      </c>
      <c r="R1364" t="str">
        <f>IF(BBDD_fashion_boutique[[#This Row],[stock_quantity]]&gt;9,"Ok",IF(BBDD_fashion_boutique[[#This Row],[stock_quantity]]=0,"Agotado","Pocas Unidades"))</f>
        <v>Ok</v>
      </c>
      <c r="S1364" s="3" t="str">
        <f>IF(BBDD_fashion_boutique[[#This Row],[customer_rating]]="","No valorado",BBDD_fashion_boutique[[#This Row],[customer_rating]])</f>
        <v>No valorado</v>
      </c>
      <c r="T1364" t="s">
        <v>24</v>
      </c>
      <c r="V1364">
        <f>IF(BBDD_fashion_boutique[[#This Row],[is_returned]]="False",0,1)</f>
        <v>0</v>
      </c>
      <c r="W1364">
        <f>IF(BBDD_fashion_boutique[[#This Row],[is_returned]]="True",0,BBDD_fashion_boutique[[#This Row],[current_price]])</f>
        <v>50.17</v>
      </c>
      <c r="X1364" t="str">
        <f>IF(BBDD_fashion_boutique[[#This Row],[return_reason]]="","No return",BBDD_fashion_boutique[[#This Row],[return_reason]])</f>
        <v>No return</v>
      </c>
      <c r="Y1364">
        <f>IF(IFERROR(VLOOKUP(BBDD_fashion_boutique[[#This Row],[product_id]],A1365:A3540,1,FALSE),0),1,0)</f>
        <v>0</v>
      </c>
    </row>
    <row r="1365" spans="1:25" x14ac:dyDescent="0.3">
      <c r="A1365" t="s">
        <v>1424</v>
      </c>
      <c r="B1365" t="s">
        <v>26</v>
      </c>
      <c r="C1365" t="s">
        <v>67</v>
      </c>
      <c r="D1365" t="s">
        <v>39</v>
      </c>
      <c r="E1365" t="s">
        <v>61</v>
      </c>
      <c r="F1365" t="str">
        <f>IF(BBDD_fashion_boutique[[#This Row],[category]]="Accessories","Accesorio",IF(BBDD_fashion_boutique[[#This Row],[size]]="","Desconocido",BBDD_fashion_boutique[[#This Row],[size]]))</f>
        <v>XS</v>
      </c>
      <c r="G1365" t="s">
        <v>23</v>
      </c>
      <c r="H1365" s="2">
        <v>72.69</v>
      </c>
      <c r="I1365">
        <v>0</v>
      </c>
      <c r="J1365" s="5">
        <f>BBDD_fashion_boutique[[#This Row],[markdown_percentage]]/100</f>
        <v>0</v>
      </c>
      <c r="K1365" s="2">
        <v>72.69</v>
      </c>
      <c r="L1365" s="2">
        <f>BBDD_fashion_boutique[[#This Row],[original_price]]-BBDD_fashion_boutique[[#This Row],[current_price]]</f>
        <v>0</v>
      </c>
      <c r="M1365" s="1">
        <v>45875</v>
      </c>
      <c r="N1365" s="1" t="str">
        <f>PROPER(TEXT(BBDD_fashion_boutique[[#This Row],[purchase_date]],"dddd"))</f>
        <v>Miércoles</v>
      </c>
      <c r="O1365" s="1" t="str">
        <f>PROPER(TEXT(BBDD_fashion_boutique[[#This Row],[purchase_date]],"mmmm"))</f>
        <v>Agosto</v>
      </c>
      <c r="P1365" s="4">
        <v>6</v>
      </c>
      <c r="R1365" t="str">
        <f>IF(BBDD_fashion_boutique[[#This Row],[stock_quantity]]&gt;9,"Ok",IF(BBDD_fashion_boutique[[#This Row],[stock_quantity]]=0,"Agotado","Pocas Unidades"))</f>
        <v>Pocas Unidades</v>
      </c>
      <c r="S1365" s="3" t="str">
        <f>IF(BBDD_fashion_boutique[[#This Row],[customer_rating]]="","No valorado",BBDD_fashion_boutique[[#This Row],[customer_rating]])</f>
        <v>No valorado</v>
      </c>
      <c r="T1365" t="s">
        <v>24</v>
      </c>
      <c r="V1365">
        <f>IF(BBDD_fashion_boutique[[#This Row],[is_returned]]="False",0,1)</f>
        <v>0</v>
      </c>
      <c r="W1365">
        <f>IF(BBDD_fashion_boutique[[#This Row],[is_returned]]="True",0,BBDD_fashion_boutique[[#This Row],[current_price]])</f>
        <v>72.69</v>
      </c>
      <c r="X1365" t="str">
        <f>IF(BBDD_fashion_boutique[[#This Row],[return_reason]]="","No return",BBDD_fashion_boutique[[#This Row],[return_reason]])</f>
        <v>No return</v>
      </c>
      <c r="Y1365">
        <f>IF(IFERROR(VLOOKUP(BBDD_fashion_boutique[[#This Row],[product_id]],A1366:A3541,1,FALSE),0),1,0)</f>
        <v>0</v>
      </c>
    </row>
    <row r="1366" spans="1:25" x14ac:dyDescent="0.3">
      <c r="A1366" t="s">
        <v>1425</v>
      </c>
      <c r="B1366" t="s">
        <v>35</v>
      </c>
      <c r="C1366" t="s">
        <v>67</v>
      </c>
      <c r="D1366" t="s">
        <v>39</v>
      </c>
      <c r="E1366" t="s">
        <v>22</v>
      </c>
      <c r="F1366" t="str">
        <f>IF(BBDD_fashion_boutique[[#This Row],[category]]="Accessories","Accesorio",IF(BBDD_fashion_boutique[[#This Row],[size]]="","Desconocido",BBDD_fashion_boutique[[#This Row],[size]]))</f>
        <v>XL</v>
      </c>
      <c r="G1366" t="s">
        <v>76</v>
      </c>
      <c r="H1366" s="2">
        <v>117.57</v>
      </c>
      <c r="I1366">
        <v>0</v>
      </c>
      <c r="J1366" s="5">
        <f>BBDD_fashion_boutique[[#This Row],[markdown_percentage]]/100</f>
        <v>0</v>
      </c>
      <c r="K1366" s="2">
        <v>117.57</v>
      </c>
      <c r="L1366" s="2">
        <f>BBDD_fashion_boutique[[#This Row],[original_price]]-BBDD_fashion_boutique[[#This Row],[current_price]]</f>
        <v>0</v>
      </c>
      <c r="M1366" s="1">
        <v>45875</v>
      </c>
      <c r="N1366" s="1" t="str">
        <f>PROPER(TEXT(BBDD_fashion_boutique[[#This Row],[purchase_date]],"dddd"))</f>
        <v>Miércoles</v>
      </c>
      <c r="O1366" s="1" t="str">
        <f>PROPER(TEXT(BBDD_fashion_boutique[[#This Row],[purchase_date]],"mmmm"))</f>
        <v>Agosto</v>
      </c>
      <c r="P1366" s="4">
        <v>30</v>
      </c>
      <c r="Q1366" s="2">
        <v>4.8</v>
      </c>
      <c r="R1366" t="str">
        <f>IF(BBDD_fashion_boutique[[#This Row],[stock_quantity]]&gt;9,"Ok",IF(BBDD_fashion_boutique[[#This Row],[stock_quantity]]=0,"Agotado","Pocas Unidades"))</f>
        <v>Ok</v>
      </c>
      <c r="S1366" s="3">
        <f>IF(BBDD_fashion_boutique[[#This Row],[customer_rating]]="","No valorado",BBDD_fashion_boutique[[#This Row],[customer_rating]])</f>
        <v>4.8</v>
      </c>
      <c r="T1366" t="s">
        <v>24</v>
      </c>
      <c r="V1366">
        <f>IF(BBDD_fashion_boutique[[#This Row],[is_returned]]="False",0,1)</f>
        <v>0</v>
      </c>
      <c r="W1366">
        <f>IF(BBDD_fashion_boutique[[#This Row],[is_returned]]="True",0,BBDD_fashion_boutique[[#This Row],[current_price]])</f>
        <v>117.57</v>
      </c>
      <c r="X1366" t="str">
        <f>IF(BBDD_fashion_boutique[[#This Row],[return_reason]]="","No return",BBDD_fashion_boutique[[#This Row],[return_reason]])</f>
        <v>No return</v>
      </c>
      <c r="Y1366">
        <f>IF(IFERROR(VLOOKUP(BBDD_fashion_boutique[[#This Row],[product_id]],A1367:A3542,1,FALSE),0),1,0)</f>
        <v>0</v>
      </c>
    </row>
    <row r="1367" spans="1:25" x14ac:dyDescent="0.3">
      <c r="A1367" t="s">
        <v>1426</v>
      </c>
      <c r="B1367" t="s">
        <v>19</v>
      </c>
      <c r="C1367" t="s">
        <v>81</v>
      </c>
      <c r="D1367" t="s">
        <v>21</v>
      </c>
      <c r="E1367" t="s">
        <v>45</v>
      </c>
      <c r="F1367" t="str">
        <f>IF(BBDD_fashion_boutique[[#This Row],[category]]="Accessories","Accesorio",IF(BBDD_fashion_boutique[[#This Row],[size]]="","Desconocido",BBDD_fashion_boutique[[#This Row],[size]]))</f>
        <v>S</v>
      </c>
      <c r="G1367" t="s">
        <v>52</v>
      </c>
      <c r="H1367" s="2">
        <v>161.25</v>
      </c>
      <c r="I1367">
        <v>48.4</v>
      </c>
      <c r="J1367" s="5">
        <f>BBDD_fashion_boutique[[#This Row],[markdown_percentage]]/100</f>
        <v>0.48399999999999999</v>
      </c>
      <c r="K1367" s="2">
        <v>83.2</v>
      </c>
      <c r="L1367" s="2">
        <f>BBDD_fashion_boutique[[#This Row],[original_price]]-BBDD_fashion_boutique[[#This Row],[current_price]]</f>
        <v>78.05</v>
      </c>
      <c r="M1367" s="1">
        <v>45607</v>
      </c>
      <c r="N1367" s="1" t="str">
        <f>PROPER(TEXT(BBDD_fashion_boutique[[#This Row],[purchase_date]],"dddd"))</f>
        <v>Lunes</v>
      </c>
      <c r="O1367" s="1" t="str">
        <f>PROPER(TEXT(BBDD_fashion_boutique[[#This Row],[purchase_date]],"mmmm"))</f>
        <v>Noviembre</v>
      </c>
      <c r="P1367" s="4">
        <v>32</v>
      </c>
      <c r="R1367" t="str">
        <f>IF(BBDD_fashion_boutique[[#This Row],[stock_quantity]]&gt;9,"Ok",IF(BBDD_fashion_boutique[[#This Row],[stock_quantity]]=0,"Agotado","Pocas Unidades"))</f>
        <v>Ok</v>
      </c>
      <c r="S1367" s="3" t="str">
        <f>IF(BBDD_fashion_boutique[[#This Row],[customer_rating]]="","No valorado",BBDD_fashion_boutique[[#This Row],[customer_rating]])</f>
        <v>No valorado</v>
      </c>
      <c r="T1367" t="s">
        <v>24</v>
      </c>
      <c r="V1367">
        <f>IF(BBDD_fashion_boutique[[#This Row],[is_returned]]="False",0,1)</f>
        <v>0</v>
      </c>
      <c r="W1367">
        <f>IF(BBDD_fashion_boutique[[#This Row],[is_returned]]="True",0,BBDD_fashion_boutique[[#This Row],[current_price]])</f>
        <v>83.2</v>
      </c>
      <c r="X1367" t="str">
        <f>IF(BBDD_fashion_boutique[[#This Row],[return_reason]]="","No return",BBDD_fashion_boutique[[#This Row],[return_reason]])</f>
        <v>No return</v>
      </c>
      <c r="Y1367">
        <f>IF(IFERROR(VLOOKUP(BBDD_fashion_boutique[[#This Row],[product_id]],A1368:A3543,1,FALSE),0),1,0)</f>
        <v>0</v>
      </c>
    </row>
    <row r="1368" spans="1:25" x14ac:dyDescent="0.3">
      <c r="A1368" t="s">
        <v>1427</v>
      </c>
      <c r="B1368" t="s">
        <v>35</v>
      </c>
      <c r="C1368" t="s">
        <v>59</v>
      </c>
      <c r="D1368" t="s">
        <v>39</v>
      </c>
      <c r="E1368" t="s">
        <v>45</v>
      </c>
      <c r="F1368" t="str">
        <f>IF(BBDD_fashion_boutique[[#This Row],[category]]="Accessories","Accesorio",IF(BBDD_fashion_boutique[[#This Row],[size]]="","Desconocido",BBDD_fashion_boutique[[#This Row],[size]]))</f>
        <v>S</v>
      </c>
      <c r="G1368" t="s">
        <v>72</v>
      </c>
      <c r="H1368" s="2">
        <v>158.01</v>
      </c>
      <c r="I1368">
        <v>0</v>
      </c>
      <c r="J1368" s="5">
        <f>BBDD_fashion_boutique[[#This Row],[markdown_percentage]]/100</f>
        <v>0</v>
      </c>
      <c r="K1368" s="2">
        <v>158.01</v>
      </c>
      <c r="L1368" s="2">
        <f>BBDD_fashion_boutique[[#This Row],[original_price]]-BBDD_fashion_boutique[[#This Row],[current_price]]</f>
        <v>0</v>
      </c>
      <c r="M1368" s="1">
        <v>45875</v>
      </c>
      <c r="N1368" s="1" t="str">
        <f>PROPER(TEXT(BBDD_fashion_boutique[[#This Row],[purchase_date]],"dddd"))</f>
        <v>Miércoles</v>
      </c>
      <c r="O1368" s="1" t="str">
        <f>PROPER(TEXT(BBDD_fashion_boutique[[#This Row],[purchase_date]],"mmmm"))</f>
        <v>Agosto</v>
      </c>
      <c r="P1368" s="4">
        <v>19</v>
      </c>
      <c r="Q1368" s="2">
        <v>2.6</v>
      </c>
      <c r="R1368" t="str">
        <f>IF(BBDD_fashion_boutique[[#This Row],[stock_quantity]]&gt;9,"Ok",IF(BBDD_fashion_boutique[[#This Row],[stock_quantity]]=0,"Agotado","Pocas Unidades"))</f>
        <v>Ok</v>
      </c>
      <c r="S1368" s="3">
        <f>IF(BBDD_fashion_boutique[[#This Row],[customer_rating]]="","No valorado",BBDD_fashion_boutique[[#This Row],[customer_rating]])</f>
        <v>2.6</v>
      </c>
      <c r="T1368" t="s">
        <v>24</v>
      </c>
      <c r="V1368">
        <f>IF(BBDD_fashion_boutique[[#This Row],[is_returned]]="False",0,1)</f>
        <v>0</v>
      </c>
      <c r="W1368">
        <f>IF(BBDD_fashion_boutique[[#This Row],[is_returned]]="True",0,BBDD_fashion_boutique[[#This Row],[current_price]])</f>
        <v>158.01</v>
      </c>
      <c r="X1368" t="str">
        <f>IF(BBDD_fashion_boutique[[#This Row],[return_reason]]="","No return",BBDD_fashion_boutique[[#This Row],[return_reason]])</f>
        <v>No return</v>
      </c>
      <c r="Y1368">
        <f>IF(IFERROR(VLOOKUP(BBDD_fashion_boutique[[#This Row],[product_id]],A1369:A3544,1,FALSE),0),1,0)</f>
        <v>0</v>
      </c>
    </row>
    <row r="1369" spans="1:25" x14ac:dyDescent="0.3">
      <c r="A1369" t="s">
        <v>1428</v>
      </c>
      <c r="B1369" t="s">
        <v>26</v>
      </c>
      <c r="C1369" t="s">
        <v>59</v>
      </c>
      <c r="D1369" t="s">
        <v>68</v>
      </c>
      <c r="E1369" t="s">
        <v>29</v>
      </c>
      <c r="F1369" t="str">
        <f>IF(BBDD_fashion_boutique[[#This Row],[category]]="Accessories","Accesorio",IF(BBDD_fashion_boutique[[#This Row],[size]]="","Desconocido",BBDD_fashion_boutique[[#This Row],[size]]))</f>
        <v>L</v>
      </c>
      <c r="G1369" t="s">
        <v>50</v>
      </c>
      <c r="H1369" s="2">
        <v>60.92</v>
      </c>
      <c r="I1369">
        <v>0</v>
      </c>
      <c r="J1369" s="5">
        <f>BBDD_fashion_boutique[[#This Row],[markdown_percentage]]/100</f>
        <v>0</v>
      </c>
      <c r="K1369" s="2">
        <v>60.92</v>
      </c>
      <c r="L1369" s="2">
        <f>BBDD_fashion_boutique[[#This Row],[original_price]]-BBDD_fashion_boutique[[#This Row],[current_price]]</f>
        <v>0</v>
      </c>
      <c r="M1369" s="1">
        <v>45875</v>
      </c>
      <c r="N1369" s="1" t="str">
        <f>PROPER(TEXT(BBDD_fashion_boutique[[#This Row],[purchase_date]],"dddd"))</f>
        <v>Miércoles</v>
      </c>
      <c r="O1369" s="1" t="str">
        <f>PROPER(TEXT(BBDD_fashion_boutique[[#This Row],[purchase_date]],"mmmm"))</f>
        <v>Agosto</v>
      </c>
      <c r="P1369" s="4">
        <v>25</v>
      </c>
      <c r="R1369" t="str">
        <f>IF(BBDD_fashion_boutique[[#This Row],[stock_quantity]]&gt;9,"Ok",IF(BBDD_fashion_boutique[[#This Row],[stock_quantity]]=0,"Agotado","Pocas Unidades"))</f>
        <v>Ok</v>
      </c>
      <c r="S1369" s="3" t="str">
        <f>IF(BBDD_fashion_boutique[[#This Row],[customer_rating]]="","No valorado",BBDD_fashion_boutique[[#This Row],[customer_rating]])</f>
        <v>No valorado</v>
      </c>
      <c r="T1369" t="s">
        <v>41</v>
      </c>
      <c r="U1369" t="s">
        <v>89</v>
      </c>
      <c r="V1369">
        <f>IF(BBDD_fashion_boutique[[#This Row],[is_returned]]="False",0,1)</f>
        <v>1</v>
      </c>
      <c r="W1369">
        <f>IF(BBDD_fashion_boutique[[#This Row],[is_returned]]="True",0,BBDD_fashion_boutique[[#This Row],[current_price]])</f>
        <v>0</v>
      </c>
      <c r="X1369" t="str">
        <f>IF(BBDD_fashion_boutique[[#This Row],[return_reason]]="","No return",BBDD_fashion_boutique[[#This Row],[return_reason]])</f>
        <v>Quality Issue</v>
      </c>
      <c r="Y1369">
        <f>IF(IFERROR(VLOOKUP(BBDD_fashion_boutique[[#This Row],[product_id]],A1370:A3545,1,FALSE),0),1,0)</f>
        <v>0</v>
      </c>
    </row>
    <row r="1370" spans="1:25" x14ac:dyDescent="0.3">
      <c r="A1370" t="s">
        <v>1429</v>
      </c>
      <c r="B1370" t="s">
        <v>35</v>
      </c>
      <c r="C1370" t="s">
        <v>54</v>
      </c>
      <c r="D1370" t="s">
        <v>68</v>
      </c>
      <c r="E1370" t="s">
        <v>22</v>
      </c>
      <c r="F1370" t="str">
        <f>IF(BBDD_fashion_boutique[[#This Row],[category]]="Accessories","Accesorio",IF(BBDD_fashion_boutique[[#This Row],[size]]="","Desconocido",BBDD_fashion_boutique[[#This Row],[size]]))</f>
        <v>XL</v>
      </c>
      <c r="G1370" t="s">
        <v>46</v>
      </c>
      <c r="H1370" s="2">
        <v>122.03</v>
      </c>
      <c r="I1370">
        <v>25.2</v>
      </c>
      <c r="J1370" s="5">
        <f>BBDD_fashion_boutique[[#This Row],[markdown_percentage]]/100</f>
        <v>0.252</v>
      </c>
      <c r="K1370" s="2">
        <v>91.28</v>
      </c>
      <c r="L1370" s="2">
        <f>BBDD_fashion_boutique[[#This Row],[original_price]]-BBDD_fashion_boutique[[#This Row],[current_price]]</f>
        <v>30.75</v>
      </c>
      <c r="M1370" s="1">
        <v>45875</v>
      </c>
      <c r="N1370" s="1" t="str">
        <f>PROPER(TEXT(BBDD_fashion_boutique[[#This Row],[purchase_date]],"dddd"))</f>
        <v>Miércoles</v>
      </c>
      <c r="O1370" s="1" t="str">
        <f>PROPER(TEXT(BBDD_fashion_boutique[[#This Row],[purchase_date]],"mmmm"))</f>
        <v>Agosto</v>
      </c>
      <c r="P1370" s="4">
        <v>21</v>
      </c>
      <c r="Q1370" s="2">
        <v>4.7</v>
      </c>
      <c r="R1370" t="str">
        <f>IF(BBDD_fashion_boutique[[#This Row],[stock_quantity]]&gt;9,"Ok",IF(BBDD_fashion_boutique[[#This Row],[stock_quantity]]=0,"Agotado","Pocas Unidades"))</f>
        <v>Ok</v>
      </c>
      <c r="S1370" s="3">
        <f>IF(BBDD_fashion_boutique[[#This Row],[customer_rating]]="","No valorado",BBDD_fashion_boutique[[#This Row],[customer_rating]])</f>
        <v>4.7</v>
      </c>
      <c r="T1370" t="s">
        <v>24</v>
      </c>
      <c r="V1370">
        <f>IF(BBDD_fashion_boutique[[#This Row],[is_returned]]="False",0,1)</f>
        <v>0</v>
      </c>
      <c r="W1370">
        <f>IF(BBDD_fashion_boutique[[#This Row],[is_returned]]="True",0,BBDD_fashion_boutique[[#This Row],[current_price]])</f>
        <v>91.28</v>
      </c>
      <c r="X1370" t="str">
        <f>IF(BBDD_fashion_boutique[[#This Row],[return_reason]]="","No return",BBDD_fashion_boutique[[#This Row],[return_reason]])</f>
        <v>No return</v>
      </c>
      <c r="Y1370">
        <f>IF(IFERROR(VLOOKUP(BBDD_fashion_boutique[[#This Row],[product_id]],A1371:A3546,1,FALSE),0),1,0)</f>
        <v>0</v>
      </c>
    </row>
    <row r="1371" spans="1:25" x14ac:dyDescent="0.3">
      <c r="A1371" t="s">
        <v>1430</v>
      </c>
      <c r="B1371" t="s">
        <v>35</v>
      </c>
      <c r="C1371" t="s">
        <v>49</v>
      </c>
      <c r="D1371" t="s">
        <v>21</v>
      </c>
      <c r="E1371" t="s">
        <v>45</v>
      </c>
      <c r="F1371" t="str">
        <f>IF(BBDD_fashion_boutique[[#This Row],[category]]="Accessories","Accesorio",IF(BBDD_fashion_boutique[[#This Row],[size]]="","Desconocido",BBDD_fashion_boutique[[#This Row],[size]]))</f>
        <v>S</v>
      </c>
      <c r="G1371" t="s">
        <v>76</v>
      </c>
      <c r="H1371" s="2">
        <v>109.15</v>
      </c>
      <c r="I1371">
        <v>0</v>
      </c>
      <c r="J1371" s="5">
        <f>BBDD_fashion_boutique[[#This Row],[markdown_percentage]]/100</f>
        <v>0</v>
      </c>
      <c r="K1371" s="2">
        <v>109.15</v>
      </c>
      <c r="L1371" s="2">
        <f>BBDD_fashion_boutique[[#This Row],[original_price]]-BBDD_fashion_boutique[[#This Row],[current_price]]</f>
        <v>0</v>
      </c>
      <c r="M1371" s="1">
        <v>45607</v>
      </c>
      <c r="N1371" s="1" t="str">
        <f>PROPER(TEXT(BBDD_fashion_boutique[[#This Row],[purchase_date]],"dddd"))</f>
        <v>Lunes</v>
      </c>
      <c r="O1371" s="1" t="str">
        <f>PROPER(TEXT(BBDD_fashion_boutique[[#This Row],[purchase_date]],"mmmm"))</f>
        <v>Noviembre</v>
      </c>
      <c r="P1371" s="4">
        <v>11</v>
      </c>
      <c r="R1371" t="str">
        <f>IF(BBDD_fashion_boutique[[#This Row],[stock_quantity]]&gt;9,"Ok",IF(BBDD_fashion_boutique[[#This Row],[stock_quantity]]=0,"Agotado","Pocas Unidades"))</f>
        <v>Ok</v>
      </c>
      <c r="S1371" s="3" t="str">
        <f>IF(BBDD_fashion_boutique[[#This Row],[customer_rating]]="","No valorado",BBDD_fashion_boutique[[#This Row],[customer_rating]])</f>
        <v>No valorado</v>
      </c>
      <c r="T1371" t="s">
        <v>24</v>
      </c>
      <c r="V1371">
        <f>IF(BBDD_fashion_boutique[[#This Row],[is_returned]]="False",0,1)</f>
        <v>0</v>
      </c>
      <c r="W1371">
        <f>IF(BBDD_fashion_boutique[[#This Row],[is_returned]]="True",0,BBDD_fashion_boutique[[#This Row],[current_price]])</f>
        <v>109.15</v>
      </c>
      <c r="X1371" t="str">
        <f>IF(BBDD_fashion_boutique[[#This Row],[return_reason]]="","No return",BBDD_fashion_boutique[[#This Row],[return_reason]])</f>
        <v>No return</v>
      </c>
      <c r="Y1371">
        <f>IF(IFERROR(VLOOKUP(BBDD_fashion_boutique[[#This Row],[product_id]],A1372:A3547,1,FALSE),0),1,0)</f>
        <v>0</v>
      </c>
    </row>
    <row r="1372" spans="1:25" x14ac:dyDescent="0.3">
      <c r="A1372" t="s">
        <v>1431</v>
      </c>
      <c r="B1372" t="s">
        <v>44</v>
      </c>
      <c r="C1372" t="s">
        <v>59</v>
      </c>
      <c r="D1372" t="s">
        <v>39</v>
      </c>
      <c r="E1372" t="s">
        <v>64</v>
      </c>
      <c r="F1372" t="str">
        <f>IF(BBDD_fashion_boutique[[#This Row],[category]]="Accessories","Accesorio",IF(BBDD_fashion_boutique[[#This Row],[size]]="","Desconocido",BBDD_fashion_boutique[[#This Row],[size]]))</f>
        <v>M</v>
      </c>
      <c r="G1372" t="s">
        <v>62</v>
      </c>
      <c r="H1372" s="2">
        <v>60.97</v>
      </c>
      <c r="I1372">
        <v>0</v>
      </c>
      <c r="J1372" s="5">
        <f>BBDD_fashion_boutique[[#This Row],[markdown_percentage]]/100</f>
        <v>0</v>
      </c>
      <c r="K1372" s="2">
        <v>60.97</v>
      </c>
      <c r="L1372" s="2">
        <f>BBDD_fashion_boutique[[#This Row],[original_price]]-BBDD_fashion_boutique[[#This Row],[current_price]]</f>
        <v>0</v>
      </c>
      <c r="M1372" s="1">
        <v>45875</v>
      </c>
      <c r="N1372" s="1" t="str">
        <f>PROPER(TEXT(BBDD_fashion_boutique[[#This Row],[purchase_date]],"dddd"))</f>
        <v>Miércoles</v>
      </c>
      <c r="O1372" s="1" t="str">
        <f>PROPER(TEXT(BBDD_fashion_boutique[[#This Row],[purchase_date]],"mmmm"))</f>
        <v>Agosto</v>
      </c>
      <c r="P1372" s="4">
        <v>29</v>
      </c>
      <c r="Q1372" s="2">
        <v>4.5</v>
      </c>
      <c r="R1372" t="str">
        <f>IF(BBDD_fashion_boutique[[#This Row],[stock_quantity]]&gt;9,"Ok",IF(BBDD_fashion_boutique[[#This Row],[stock_quantity]]=0,"Agotado","Pocas Unidades"))</f>
        <v>Ok</v>
      </c>
      <c r="S1372" s="3">
        <f>IF(BBDD_fashion_boutique[[#This Row],[customer_rating]]="","No valorado",BBDD_fashion_boutique[[#This Row],[customer_rating]])</f>
        <v>4.5</v>
      </c>
      <c r="T1372" t="s">
        <v>24</v>
      </c>
      <c r="V1372">
        <f>IF(BBDD_fashion_boutique[[#This Row],[is_returned]]="False",0,1)</f>
        <v>0</v>
      </c>
      <c r="W1372">
        <f>IF(BBDD_fashion_boutique[[#This Row],[is_returned]]="True",0,BBDD_fashion_boutique[[#This Row],[current_price]])</f>
        <v>60.97</v>
      </c>
      <c r="X1372" t="str">
        <f>IF(BBDD_fashion_boutique[[#This Row],[return_reason]]="","No return",BBDD_fashion_boutique[[#This Row],[return_reason]])</f>
        <v>No return</v>
      </c>
      <c r="Y1372">
        <f>IF(IFERROR(VLOOKUP(BBDD_fashion_boutique[[#This Row],[product_id]],A1373:A3548,1,FALSE),0),1,0)</f>
        <v>0</v>
      </c>
    </row>
    <row r="1373" spans="1:25" x14ac:dyDescent="0.3">
      <c r="A1373" t="s">
        <v>1432</v>
      </c>
      <c r="B1373" t="s">
        <v>32</v>
      </c>
      <c r="C1373" t="s">
        <v>27</v>
      </c>
      <c r="D1373" t="s">
        <v>68</v>
      </c>
      <c r="F1373" t="str">
        <f>IF(BBDD_fashion_boutique[[#This Row],[category]]="Accessories","Accesorio",IF(BBDD_fashion_boutique[[#This Row],[size]]="","Desconocido",BBDD_fashion_boutique[[#This Row],[size]]))</f>
        <v>Accesorio</v>
      </c>
      <c r="G1373" t="s">
        <v>30</v>
      </c>
      <c r="H1373" s="2">
        <v>64.87</v>
      </c>
      <c r="I1373">
        <v>35.299999999999997</v>
      </c>
      <c r="J1373" s="5">
        <f>BBDD_fashion_boutique[[#This Row],[markdown_percentage]]/100</f>
        <v>0.35299999999999998</v>
      </c>
      <c r="K1373" s="2">
        <v>41.97</v>
      </c>
      <c r="L1373" s="2">
        <f>BBDD_fashion_boutique[[#This Row],[original_price]]-BBDD_fashion_boutique[[#This Row],[current_price]]</f>
        <v>22.900000000000006</v>
      </c>
      <c r="M1373" s="1">
        <v>45875</v>
      </c>
      <c r="N1373" s="1" t="str">
        <f>PROPER(TEXT(BBDD_fashion_boutique[[#This Row],[purchase_date]],"dddd"))</f>
        <v>Miércoles</v>
      </c>
      <c r="O1373" s="1" t="str">
        <f>PROPER(TEXT(BBDD_fashion_boutique[[#This Row],[purchase_date]],"mmmm"))</f>
        <v>Agosto</v>
      </c>
      <c r="P1373" s="4">
        <v>12</v>
      </c>
      <c r="Q1373" s="2">
        <v>4.2</v>
      </c>
      <c r="R1373" t="str">
        <f>IF(BBDD_fashion_boutique[[#This Row],[stock_quantity]]&gt;9,"Ok",IF(BBDD_fashion_boutique[[#This Row],[stock_quantity]]=0,"Agotado","Pocas Unidades"))</f>
        <v>Ok</v>
      </c>
      <c r="S1373" s="3">
        <f>IF(BBDD_fashion_boutique[[#This Row],[customer_rating]]="","No valorado",BBDD_fashion_boutique[[#This Row],[customer_rating]])</f>
        <v>4.2</v>
      </c>
      <c r="T1373" t="s">
        <v>41</v>
      </c>
      <c r="U1373" t="s">
        <v>79</v>
      </c>
      <c r="V1373">
        <f>IF(BBDD_fashion_boutique[[#This Row],[is_returned]]="False",0,1)</f>
        <v>1</v>
      </c>
      <c r="W1373">
        <f>IF(BBDD_fashion_boutique[[#This Row],[is_returned]]="True",0,BBDD_fashion_boutique[[#This Row],[current_price]])</f>
        <v>0</v>
      </c>
      <c r="X1373" t="str">
        <f>IF(BBDD_fashion_boutique[[#This Row],[return_reason]]="","No return",BBDD_fashion_boutique[[#This Row],[return_reason]])</f>
        <v>Size Issue</v>
      </c>
      <c r="Y1373">
        <f>IF(IFERROR(VLOOKUP(BBDD_fashion_boutique[[#This Row],[product_id]],A1374:A3549,1,FALSE),0),1,0)</f>
        <v>0</v>
      </c>
    </row>
    <row r="1374" spans="1:25" x14ac:dyDescent="0.3">
      <c r="A1374" t="s">
        <v>1433</v>
      </c>
      <c r="B1374" t="s">
        <v>35</v>
      </c>
      <c r="C1374" t="s">
        <v>49</v>
      </c>
      <c r="D1374" t="s">
        <v>39</v>
      </c>
      <c r="E1374" t="s">
        <v>45</v>
      </c>
      <c r="F1374" t="str">
        <f>IF(BBDD_fashion_boutique[[#This Row],[category]]="Accessories","Accesorio",IF(BBDD_fashion_boutique[[#This Row],[size]]="","Desconocido",BBDD_fashion_boutique[[#This Row],[size]]))</f>
        <v>S</v>
      </c>
      <c r="G1374" t="s">
        <v>30</v>
      </c>
      <c r="H1374" s="2">
        <v>151.35</v>
      </c>
      <c r="I1374">
        <v>0</v>
      </c>
      <c r="J1374" s="5">
        <f>BBDD_fashion_boutique[[#This Row],[markdown_percentage]]/100</f>
        <v>0</v>
      </c>
      <c r="K1374" s="2">
        <v>151.35</v>
      </c>
      <c r="L1374" s="2">
        <f>BBDD_fashion_boutique[[#This Row],[original_price]]-BBDD_fashion_boutique[[#This Row],[current_price]]</f>
        <v>0</v>
      </c>
      <c r="M1374" s="1">
        <v>45875</v>
      </c>
      <c r="N1374" s="1" t="str">
        <f>PROPER(TEXT(BBDD_fashion_boutique[[#This Row],[purchase_date]],"dddd"))</f>
        <v>Miércoles</v>
      </c>
      <c r="O1374" s="1" t="str">
        <f>PROPER(TEXT(BBDD_fashion_boutique[[#This Row],[purchase_date]],"mmmm"))</f>
        <v>Agosto</v>
      </c>
      <c r="P1374" s="4">
        <v>18</v>
      </c>
      <c r="R1374" t="str">
        <f>IF(BBDD_fashion_boutique[[#This Row],[stock_quantity]]&gt;9,"Ok",IF(BBDD_fashion_boutique[[#This Row],[stock_quantity]]=0,"Agotado","Pocas Unidades"))</f>
        <v>Ok</v>
      </c>
      <c r="S1374" s="3" t="str">
        <f>IF(BBDD_fashion_boutique[[#This Row],[customer_rating]]="","No valorado",BBDD_fashion_boutique[[#This Row],[customer_rating]])</f>
        <v>No valorado</v>
      </c>
      <c r="T1374" t="s">
        <v>24</v>
      </c>
      <c r="V1374">
        <f>IF(BBDD_fashion_boutique[[#This Row],[is_returned]]="False",0,1)</f>
        <v>0</v>
      </c>
      <c r="W1374">
        <f>IF(BBDD_fashion_boutique[[#This Row],[is_returned]]="True",0,BBDD_fashion_boutique[[#This Row],[current_price]])</f>
        <v>151.35</v>
      </c>
      <c r="X1374" t="str">
        <f>IF(BBDD_fashion_boutique[[#This Row],[return_reason]]="","No return",BBDD_fashion_boutique[[#This Row],[return_reason]])</f>
        <v>No return</v>
      </c>
      <c r="Y1374">
        <f>IF(IFERROR(VLOOKUP(BBDD_fashion_boutique[[#This Row],[product_id]],A1375:A3550,1,FALSE),0),1,0)</f>
        <v>0</v>
      </c>
    </row>
    <row r="1375" spans="1:25" x14ac:dyDescent="0.3">
      <c r="A1375" t="s">
        <v>1434</v>
      </c>
      <c r="B1375" t="s">
        <v>32</v>
      </c>
      <c r="C1375" t="s">
        <v>67</v>
      </c>
      <c r="D1375" t="s">
        <v>28</v>
      </c>
      <c r="F1375" t="str">
        <f>IF(BBDD_fashion_boutique[[#This Row],[category]]="Accessories","Accesorio",IF(BBDD_fashion_boutique[[#This Row],[size]]="","Desconocido",BBDD_fashion_boutique[[#This Row],[size]]))</f>
        <v>Accesorio</v>
      </c>
      <c r="G1375" t="s">
        <v>50</v>
      </c>
      <c r="H1375" s="2">
        <v>72.900000000000006</v>
      </c>
      <c r="I1375">
        <v>44</v>
      </c>
      <c r="J1375" s="5">
        <f>BBDD_fashion_boutique[[#This Row],[markdown_percentage]]/100</f>
        <v>0.44</v>
      </c>
      <c r="K1375" s="2">
        <v>40.82</v>
      </c>
      <c r="L1375" s="2">
        <f>BBDD_fashion_boutique[[#This Row],[original_price]]-BBDD_fashion_boutique[[#This Row],[current_price]]</f>
        <v>32.080000000000005</v>
      </c>
      <c r="M1375" s="1">
        <v>45875</v>
      </c>
      <c r="N1375" s="1" t="str">
        <f>PROPER(TEXT(BBDD_fashion_boutique[[#This Row],[purchase_date]],"dddd"))</f>
        <v>Miércoles</v>
      </c>
      <c r="O1375" s="1" t="str">
        <f>PROPER(TEXT(BBDD_fashion_boutique[[#This Row],[purchase_date]],"mmmm"))</f>
        <v>Agosto</v>
      </c>
      <c r="P1375" s="4">
        <v>25</v>
      </c>
      <c r="Q1375" s="2">
        <v>3</v>
      </c>
      <c r="R1375" t="str">
        <f>IF(BBDD_fashion_boutique[[#This Row],[stock_quantity]]&gt;9,"Ok",IF(BBDD_fashion_boutique[[#This Row],[stock_quantity]]=0,"Agotado","Pocas Unidades"))</f>
        <v>Ok</v>
      </c>
      <c r="S1375" s="3">
        <f>IF(BBDD_fashion_boutique[[#This Row],[customer_rating]]="","No valorado",BBDD_fashion_boutique[[#This Row],[customer_rating]])</f>
        <v>3</v>
      </c>
      <c r="T1375" t="s">
        <v>24</v>
      </c>
      <c r="V1375">
        <f>IF(BBDD_fashion_boutique[[#This Row],[is_returned]]="False",0,1)</f>
        <v>0</v>
      </c>
      <c r="W1375">
        <f>IF(BBDD_fashion_boutique[[#This Row],[is_returned]]="True",0,BBDD_fashion_boutique[[#This Row],[current_price]])</f>
        <v>40.82</v>
      </c>
      <c r="X1375" t="str">
        <f>IF(BBDD_fashion_boutique[[#This Row],[return_reason]]="","No return",BBDD_fashion_boutique[[#This Row],[return_reason]])</f>
        <v>No return</v>
      </c>
      <c r="Y1375">
        <f>IF(IFERROR(VLOOKUP(BBDD_fashion_boutique[[#This Row],[product_id]],A1376:A3551,1,FALSE),0),1,0)</f>
        <v>0</v>
      </c>
    </row>
    <row r="1376" spans="1:25" x14ac:dyDescent="0.3">
      <c r="A1376" t="s">
        <v>1435</v>
      </c>
      <c r="B1376" t="s">
        <v>32</v>
      </c>
      <c r="C1376" t="s">
        <v>67</v>
      </c>
      <c r="D1376" t="s">
        <v>28</v>
      </c>
      <c r="F1376" t="str">
        <f>IF(BBDD_fashion_boutique[[#This Row],[category]]="Accessories","Accesorio",IF(BBDD_fashion_boutique[[#This Row],[size]]="","Desconocido",BBDD_fashion_boutique[[#This Row],[size]]))</f>
        <v>Accesorio</v>
      </c>
      <c r="G1376" t="s">
        <v>72</v>
      </c>
      <c r="H1376" s="2">
        <v>79.48</v>
      </c>
      <c r="I1376">
        <v>0</v>
      </c>
      <c r="J1376" s="5">
        <f>BBDD_fashion_boutique[[#This Row],[markdown_percentage]]/100</f>
        <v>0</v>
      </c>
      <c r="K1376" s="2">
        <v>79.48</v>
      </c>
      <c r="L1376" s="2">
        <f>BBDD_fashion_boutique[[#This Row],[original_price]]-BBDD_fashion_boutique[[#This Row],[current_price]]</f>
        <v>0</v>
      </c>
      <c r="M1376" s="1">
        <v>45875</v>
      </c>
      <c r="N1376" s="1" t="str">
        <f>PROPER(TEXT(BBDD_fashion_boutique[[#This Row],[purchase_date]],"dddd"))</f>
        <v>Miércoles</v>
      </c>
      <c r="O1376" s="1" t="str">
        <f>PROPER(TEXT(BBDD_fashion_boutique[[#This Row],[purchase_date]],"mmmm"))</f>
        <v>Agosto</v>
      </c>
      <c r="P1376" s="4">
        <v>2</v>
      </c>
      <c r="Q1376" s="2">
        <v>3.3</v>
      </c>
      <c r="R1376" t="str">
        <f>IF(BBDD_fashion_boutique[[#This Row],[stock_quantity]]&gt;9,"Ok",IF(BBDD_fashion_boutique[[#This Row],[stock_quantity]]=0,"Agotado","Pocas Unidades"))</f>
        <v>Pocas Unidades</v>
      </c>
      <c r="S1376" s="3">
        <f>IF(BBDD_fashion_boutique[[#This Row],[customer_rating]]="","No valorado",BBDD_fashion_boutique[[#This Row],[customer_rating]])</f>
        <v>3.3</v>
      </c>
      <c r="T1376" t="s">
        <v>24</v>
      </c>
      <c r="V1376">
        <f>IF(BBDD_fashion_boutique[[#This Row],[is_returned]]="False",0,1)</f>
        <v>0</v>
      </c>
      <c r="W1376">
        <f>IF(BBDD_fashion_boutique[[#This Row],[is_returned]]="True",0,BBDD_fashion_boutique[[#This Row],[current_price]])</f>
        <v>79.48</v>
      </c>
      <c r="X1376" t="str">
        <f>IF(BBDD_fashion_boutique[[#This Row],[return_reason]]="","No return",BBDD_fashion_boutique[[#This Row],[return_reason]])</f>
        <v>No return</v>
      </c>
      <c r="Y1376">
        <f>IF(IFERROR(VLOOKUP(BBDD_fashion_boutique[[#This Row],[product_id]],A1377:A3552,1,FALSE),0),1,0)</f>
        <v>0</v>
      </c>
    </row>
    <row r="1377" spans="1:25" x14ac:dyDescent="0.3">
      <c r="A1377" t="s">
        <v>1436</v>
      </c>
      <c r="B1377" t="s">
        <v>35</v>
      </c>
      <c r="C1377" t="s">
        <v>49</v>
      </c>
      <c r="D1377" t="s">
        <v>39</v>
      </c>
      <c r="E1377" t="s">
        <v>64</v>
      </c>
      <c r="F1377" t="str">
        <f>IF(BBDD_fashion_boutique[[#This Row],[category]]="Accessories","Accesorio",IF(BBDD_fashion_boutique[[#This Row],[size]]="","Desconocido",BBDD_fashion_boutique[[#This Row],[size]]))</f>
        <v>M</v>
      </c>
      <c r="G1377" t="s">
        <v>62</v>
      </c>
      <c r="H1377" s="2">
        <v>122.77</v>
      </c>
      <c r="I1377">
        <v>59.8</v>
      </c>
      <c r="J1377" s="5">
        <f>BBDD_fashion_boutique[[#This Row],[markdown_percentage]]/100</f>
        <v>0.59799999999999998</v>
      </c>
      <c r="K1377" s="2">
        <v>49.35</v>
      </c>
      <c r="L1377" s="2">
        <f>BBDD_fashion_boutique[[#This Row],[original_price]]-BBDD_fashion_boutique[[#This Row],[current_price]]</f>
        <v>73.419999999999987</v>
      </c>
      <c r="M1377" s="1">
        <v>45875</v>
      </c>
      <c r="N1377" s="1" t="str">
        <f>PROPER(TEXT(BBDD_fashion_boutique[[#This Row],[purchase_date]],"dddd"))</f>
        <v>Miércoles</v>
      </c>
      <c r="O1377" s="1" t="str">
        <f>PROPER(TEXT(BBDD_fashion_boutique[[#This Row],[purchase_date]],"mmmm"))</f>
        <v>Agosto</v>
      </c>
      <c r="P1377" s="4">
        <v>33</v>
      </c>
      <c r="Q1377" s="2">
        <v>4</v>
      </c>
      <c r="R1377" t="str">
        <f>IF(BBDD_fashion_boutique[[#This Row],[stock_quantity]]&gt;9,"Ok",IF(BBDD_fashion_boutique[[#This Row],[stock_quantity]]=0,"Agotado","Pocas Unidades"))</f>
        <v>Ok</v>
      </c>
      <c r="S1377" s="3">
        <f>IF(BBDD_fashion_boutique[[#This Row],[customer_rating]]="","No valorado",BBDD_fashion_boutique[[#This Row],[customer_rating]])</f>
        <v>4</v>
      </c>
      <c r="T1377" t="s">
        <v>24</v>
      </c>
      <c r="V1377">
        <f>IF(BBDD_fashion_boutique[[#This Row],[is_returned]]="False",0,1)</f>
        <v>0</v>
      </c>
      <c r="W1377">
        <f>IF(BBDD_fashion_boutique[[#This Row],[is_returned]]="True",0,BBDD_fashion_boutique[[#This Row],[current_price]])</f>
        <v>49.35</v>
      </c>
      <c r="X1377" t="str">
        <f>IF(BBDD_fashion_boutique[[#This Row],[return_reason]]="","No return",BBDD_fashion_boutique[[#This Row],[return_reason]])</f>
        <v>No return</v>
      </c>
      <c r="Y1377">
        <f>IF(IFERROR(VLOOKUP(BBDD_fashion_boutique[[#This Row],[product_id]],A1378:A3553,1,FALSE),0),1,0)</f>
        <v>0</v>
      </c>
    </row>
    <row r="1378" spans="1:25" x14ac:dyDescent="0.3">
      <c r="A1378" t="s">
        <v>1437</v>
      </c>
      <c r="B1378" t="s">
        <v>44</v>
      </c>
      <c r="C1378" t="s">
        <v>81</v>
      </c>
      <c r="D1378" t="s">
        <v>68</v>
      </c>
      <c r="E1378" t="s">
        <v>22</v>
      </c>
      <c r="F1378" t="str">
        <f>IF(BBDD_fashion_boutique[[#This Row],[category]]="Accessories","Accesorio",IF(BBDD_fashion_boutique[[#This Row],[size]]="","Desconocido",BBDD_fashion_boutique[[#This Row],[size]]))</f>
        <v>XL</v>
      </c>
      <c r="G1378" t="s">
        <v>33</v>
      </c>
      <c r="H1378" s="2">
        <v>79.61</v>
      </c>
      <c r="I1378">
        <v>0</v>
      </c>
      <c r="J1378" s="5">
        <f>BBDD_fashion_boutique[[#This Row],[markdown_percentage]]/100</f>
        <v>0</v>
      </c>
      <c r="K1378" s="2">
        <v>79.61</v>
      </c>
      <c r="L1378" s="2">
        <f>BBDD_fashion_boutique[[#This Row],[original_price]]-BBDD_fashion_boutique[[#This Row],[current_price]]</f>
        <v>0</v>
      </c>
      <c r="M1378" s="1">
        <v>45875</v>
      </c>
      <c r="N1378" s="1" t="str">
        <f>PROPER(TEXT(BBDD_fashion_boutique[[#This Row],[purchase_date]],"dddd"))</f>
        <v>Miércoles</v>
      </c>
      <c r="O1378" s="1" t="str">
        <f>PROPER(TEXT(BBDD_fashion_boutique[[#This Row],[purchase_date]],"mmmm"))</f>
        <v>Agosto</v>
      </c>
      <c r="P1378" s="4">
        <v>29</v>
      </c>
      <c r="Q1378" s="2">
        <v>3.7</v>
      </c>
      <c r="R1378" t="str">
        <f>IF(BBDD_fashion_boutique[[#This Row],[stock_quantity]]&gt;9,"Ok",IF(BBDD_fashion_boutique[[#This Row],[stock_quantity]]=0,"Agotado","Pocas Unidades"))</f>
        <v>Ok</v>
      </c>
      <c r="S1378" s="3">
        <f>IF(BBDD_fashion_boutique[[#This Row],[customer_rating]]="","No valorado",BBDD_fashion_boutique[[#This Row],[customer_rating]])</f>
        <v>3.7</v>
      </c>
      <c r="T1378" t="s">
        <v>24</v>
      </c>
      <c r="V1378">
        <f>IF(BBDD_fashion_boutique[[#This Row],[is_returned]]="False",0,1)</f>
        <v>0</v>
      </c>
      <c r="W1378">
        <f>IF(BBDD_fashion_boutique[[#This Row],[is_returned]]="True",0,BBDD_fashion_boutique[[#This Row],[current_price]])</f>
        <v>79.61</v>
      </c>
      <c r="X1378" t="str">
        <f>IF(BBDD_fashion_boutique[[#This Row],[return_reason]]="","No return",BBDD_fashion_boutique[[#This Row],[return_reason]])</f>
        <v>No return</v>
      </c>
      <c r="Y1378">
        <f>IF(IFERROR(VLOOKUP(BBDD_fashion_boutique[[#This Row],[product_id]],A1379:A3554,1,FALSE),0),1,0)</f>
        <v>0</v>
      </c>
    </row>
    <row r="1379" spans="1:25" x14ac:dyDescent="0.3">
      <c r="A1379" t="s">
        <v>1438</v>
      </c>
      <c r="B1379" t="s">
        <v>44</v>
      </c>
      <c r="C1379" t="s">
        <v>27</v>
      </c>
      <c r="D1379" t="s">
        <v>28</v>
      </c>
      <c r="E1379" t="s">
        <v>29</v>
      </c>
      <c r="F1379" t="str">
        <f>IF(BBDD_fashion_boutique[[#This Row],[category]]="Accessories","Accesorio",IF(BBDD_fashion_boutique[[#This Row],[size]]="","Desconocido",BBDD_fashion_boutique[[#This Row],[size]]))</f>
        <v>L</v>
      </c>
      <c r="G1379" t="s">
        <v>40</v>
      </c>
      <c r="H1379" s="2">
        <v>60.13</v>
      </c>
      <c r="I1379">
        <v>0</v>
      </c>
      <c r="J1379" s="5">
        <f>BBDD_fashion_boutique[[#This Row],[markdown_percentage]]/100</f>
        <v>0</v>
      </c>
      <c r="K1379" s="2">
        <v>60.13</v>
      </c>
      <c r="L1379" s="2">
        <f>BBDD_fashion_boutique[[#This Row],[original_price]]-BBDD_fashion_boutique[[#This Row],[current_price]]</f>
        <v>0</v>
      </c>
      <c r="M1379" s="1">
        <v>45875</v>
      </c>
      <c r="N1379" s="1" t="str">
        <f>PROPER(TEXT(BBDD_fashion_boutique[[#This Row],[purchase_date]],"dddd"))</f>
        <v>Miércoles</v>
      </c>
      <c r="O1379" s="1" t="str">
        <f>PROPER(TEXT(BBDD_fashion_boutique[[#This Row],[purchase_date]],"mmmm"))</f>
        <v>Agosto</v>
      </c>
      <c r="P1379" s="4">
        <v>27</v>
      </c>
      <c r="R1379" t="str">
        <f>IF(BBDD_fashion_boutique[[#This Row],[stock_quantity]]&gt;9,"Ok",IF(BBDD_fashion_boutique[[#This Row],[stock_quantity]]=0,"Agotado","Pocas Unidades"))</f>
        <v>Ok</v>
      </c>
      <c r="S1379" s="3" t="str">
        <f>IF(BBDD_fashion_boutique[[#This Row],[customer_rating]]="","No valorado",BBDD_fashion_boutique[[#This Row],[customer_rating]])</f>
        <v>No valorado</v>
      </c>
      <c r="T1379" t="s">
        <v>24</v>
      </c>
      <c r="V1379">
        <f>IF(BBDD_fashion_boutique[[#This Row],[is_returned]]="False",0,1)</f>
        <v>0</v>
      </c>
      <c r="W1379">
        <f>IF(BBDD_fashion_boutique[[#This Row],[is_returned]]="True",0,BBDD_fashion_boutique[[#This Row],[current_price]])</f>
        <v>60.13</v>
      </c>
      <c r="X1379" t="str">
        <f>IF(BBDD_fashion_boutique[[#This Row],[return_reason]]="","No return",BBDD_fashion_boutique[[#This Row],[return_reason]])</f>
        <v>No return</v>
      </c>
      <c r="Y1379">
        <f>IF(IFERROR(VLOOKUP(BBDD_fashion_boutique[[#This Row],[product_id]],A1380:A3555,1,FALSE),0),1,0)</f>
        <v>0</v>
      </c>
    </row>
    <row r="1380" spans="1:25" x14ac:dyDescent="0.3">
      <c r="A1380" t="s">
        <v>1439</v>
      </c>
      <c r="B1380" t="s">
        <v>32</v>
      </c>
      <c r="C1380" t="s">
        <v>67</v>
      </c>
      <c r="D1380" t="s">
        <v>28</v>
      </c>
      <c r="F1380" t="str">
        <f>IF(BBDD_fashion_boutique[[#This Row],[category]]="Accessories","Accesorio",IF(BBDD_fashion_boutique[[#This Row],[size]]="","Desconocido",BBDD_fashion_boutique[[#This Row],[size]]))</f>
        <v>Accesorio</v>
      </c>
      <c r="G1380" t="s">
        <v>46</v>
      </c>
      <c r="H1380" s="2">
        <v>72.260000000000005</v>
      </c>
      <c r="I1380">
        <v>41</v>
      </c>
      <c r="J1380" s="5">
        <f>BBDD_fashion_boutique[[#This Row],[markdown_percentage]]/100</f>
        <v>0.41</v>
      </c>
      <c r="K1380" s="2">
        <v>42.63</v>
      </c>
      <c r="L1380" s="2">
        <f>BBDD_fashion_boutique[[#This Row],[original_price]]-BBDD_fashion_boutique[[#This Row],[current_price]]</f>
        <v>29.630000000000003</v>
      </c>
      <c r="M1380" s="1">
        <v>45875</v>
      </c>
      <c r="N1380" s="1" t="str">
        <f>PROPER(TEXT(BBDD_fashion_boutique[[#This Row],[purchase_date]],"dddd"))</f>
        <v>Miércoles</v>
      </c>
      <c r="O1380" s="1" t="str">
        <f>PROPER(TEXT(BBDD_fashion_boutique[[#This Row],[purchase_date]],"mmmm"))</f>
        <v>Agosto</v>
      </c>
      <c r="P1380" s="4">
        <v>43</v>
      </c>
      <c r="Q1380" s="2">
        <v>3.5</v>
      </c>
      <c r="R1380" t="str">
        <f>IF(BBDD_fashion_boutique[[#This Row],[stock_quantity]]&gt;9,"Ok",IF(BBDD_fashion_boutique[[#This Row],[stock_quantity]]=0,"Agotado","Pocas Unidades"))</f>
        <v>Ok</v>
      </c>
      <c r="S1380" s="3">
        <f>IF(BBDD_fashion_boutique[[#This Row],[customer_rating]]="","No valorado",BBDD_fashion_boutique[[#This Row],[customer_rating]])</f>
        <v>3.5</v>
      </c>
      <c r="T1380" t="s">
        <v>24</v>
      </c>
      <c r="V1380">
        <f>IF(BBDD_fashion_boutique[[#This Row],[is_returned]]="False",0,1)</f>
        <v>0</v>
      </c>
      <c r="W1380">
        <f>IF(BBDD_fashion_boutique[[#This Row],[is_returned]]="True",0,BBDD_fashion_boutique[[#This Row],[current_price]])</f>
        <v>42.63</v>
      </c>
      <c r="X1380" t="str">
        <f>IF(BBDD_fashion_boutique[[#This Row],[return_reason]]="","No return",BBDD_fashion_boutique[[#This Row],[return_reason]])</f>
        <v>No return</v>
      </c>
      <c r="Y1380">
        <f>IF(IFERROR(VLOOKUP(BBDD_fashion_boutique[[#This Row],[product_id]],A1381:A3556,1,FALSE),0),1,0)</f>
        <v>0</v>
      </c>
    </row>
    <row r="1381" spans="1:25" x14ac:dyDescent="0.3">
      <c r="A1381" t="s">
        <v>1440</v>
      </c>
      <c r="B1381" t="s">
        <v>44</v>
      </c>
      <c r="C1381" t="s">
        <v>49</v>
      </c>
      <c r="D1381" t="s">
        <v>68</v>
      </c>
      <c r="E1381" t="s">
        <v>22</v>
      </c>
      <c r="F1381" t="str">
        <f>IF(BBDD_fashion_boutique[[#This Row],[category]]="Accessories","Accesorio",IF(BBDD_fashion_boutique[[#This Row],[size]]="","Desconocido",BBDD_fashion_boutique[[#This Row],[size]]))</f>
        <v>XL</v>
      </c>
      <c r="G1381" t="s">
        <v>52</v>
      </c>
      <c r="H1381" s="2">
        <v>66.38</v>
      </c>
      <c r="I1381">
        <v>17</v>
      </c>
      <c r="J1381" s="5">
        <f>BBDD_fashion_boutique[[#This Row],[markdown_percentage]]/100</f>
        <v>0.17</v>
      </c>
      <c r="K1381" s="2">
        <v>55.1</v>
      </c>
      <c r="L1381" s="2">
        <f>BBDD_fashion_boutique[[#This Row],[original_price]]-BBDD_fashion_boutique[[#This Row],[current_price]]</f>
        <v>11.279999999999994</v>
      </c>
      <c r="M1381" s="1">
        <v>45875</v>
      </c>
      <c r="N1381" s="1" t="str">
        <f>PROPER(TEXT(BBDD_fashion_boutique[[#This Row],[purchase_date]],"dddd"))</f>
        <v>Miércoles</v>
      </c>
      <c r="O1381" s="1" t="str">
        <f>PROPER(TEXT(BBDD_fashion_boutique[[#This Row],[purchase_date]],"mmmm"))</f>
        <v>Agosto</v>
      </c>
      <c r="P1381" s="4">
        <v>24</v>
      </c>
      <c r="Q1381" s="2">
        <v>4.9000000000000004</v>
      </c>
      <c r="R1381" t="str">
        <f>IF(BBDD_fashion_boutique[[#This Row],[stock_quantity]]&gt;9,"Ok",IF(BBDD_fashion_boutique[[#This Row],[stock_quantity]]=0,"Agotado","Pocas Unidades"))</f>
        <v>Ok</v>
      </c>
      <c r="S1381" s="3">
        <f>IF(BBDD_fashion_boutique[[#This Row],[customer_rating]]="","No valorado",BBDD_fashion_boutique[[#This Row],[customer_rating]])</f>
        <v>4.9000000000000004</v>
      </c>
      <c r="T1381" t="s">
        <v>41</v>
      </c>
      <c r="U1381" t="s">
        <v>79</v>
      </c>
      <c r="V1381">
        <f>IF(BBDD_fashion_boutique[[#This Row],[is_returned]]="False",0,1)</f>
        <v>1</v>
      </c>
      <c r="W1381">
        <f>IF(BBDD_fashion_boutique[[#This Row],[is_returned]]="True",0,BBDD_fashion_boutique[[#This Row],[current_price]])</f>
        <v>0</v>
      </c>
      <c r="X1381" t="str">
        <f>IF(BBDD_fashion_boutique[[#This Row],[return_reason]]="","No return",BBDD_fashion_boutique[[#This Row],[return_reason]])</f>
        <v>Size Issue</v>
      </c>
      <c r="Y1381">
        <f>IF(IFERROR(VLOOKUP(BBDD_fashion_boutique[[#This Row],[product_id]],A1382:A3557,1,FALSE),0),1,0)</f>
        <v>0</v>
      </c>
    </row>
    <row r="1382" spans="1:25" x14ac:dyDescent="0.3">
      <c r="A1382" t="s">
        <v>1441</v>
      </c>
      <c r="B1382" t="s">
        <v>19</v>
      </c>
      <c r="C1382" t="s">
        <v>59</v>
      </c>
      <c r="D1382" t="s">
        <v>21</v>
      </c>
      <c r="E1382" t="s">
        <v>61</v>
      </c>
      <c r="F1382" t="str">
        <f>IF(BBDD_fashion_boutique[[#This Row],[category]]="Accessories","Accesorio",IF(BBDD_fashion_boutique[[#This Row],[size]]="","Desconocido",BBDD_fashion_boutique[[#This Row],[size]]))</f>
        <v>XS</v>
      </c>
      <c r="G1382" t="s">
        <v>62</v>
      </c>
      <c r="H1382" s="2">
        <v>100.27</v>
      </c>
      <c r="I1382">
        <v>0</v>
      </c>
      <c r="J1382" s="5">
        <f>BBDD_fashion_boutique[[#This Row],[markdown_percentage]]/100</f>
        <v>0</v>
      </c>
      <c r="K1382" s="2">
        <v>100.27</v>
      </c>
      <c r="L1382" s="2">
        <f>BBDD_fashion_boutique[[#This Row],[original_price]]-BBDD_fashion_boutique[[#This Row],[current_price]]</f>
        <v>0</v>
      </c>
      <c r="M1382" s="1">
        <v>45719</v>
      </c>
      <c r="N1382" s="1" t="str">
        <f>PROPER(TEXT(BBDD_fashion_boutique[[#This Row],[purchase_date]],"dddd"))</f>
        <v>Lunes</v>
      </c>
      <c r="O1382" s="1" t="str">
        <f>PROPER(TEXT(BBDD_fashion_boutique[[#This Row],[purchase_date]],"mmmm"))</f>
        <v>Marzo</v>
      </c>
      <c r="P1382" s="4">
        <v>37</v>
      </c>
      <c r="Q1382" s="2">
        <v>3.1</v>
      </c>
      <c r="R1382" t="str">
        <f>IF(BBDD_fashion_boutique[[#This Row],[stock_quantity]]&gt;9,"Ok",IF(BBDD_fashion_boutique[[#This Row],[stock_quantity]]=0,"Agotado","Pocas Unidades"))</f>
        <v>Ok</v>
      </c>
      <c r="S1382" s="3">
        <f>IF(BBDD_fashion_boutique[[#This Row],[customer_rating]]="","No valorado",BBDD_fashion_boutique[[#This Row],[customer_rating]])</f>
        <v>3.1</v>
      </c>
      <c r="T1382" t="s">
        <v>24</v>
      </c>
      <c r="V1382">
        <f>IF(BBDD_fashion_boutique[[#This Row],[is_returned]]="False",0,1)</f>
        <v>0</v>
      </c>
      <c r="W1382">
        <f>IF(BBDD_fashion_boutique[[#This Row],[is_returned]]="True",0,BBDD_fashion_boutique[[#This Row],[current_price]])</f>
        <v>100.27</v>
      </c>
      <c r="X1382" t="str">
        <f>IF(BBDD_fashion_boutique[[#This Row],[return_reason]]="","No return",BBDD_fashion_boutique[[#This Row],[return_reason]])</f>
        <v>No return</v>
      </c>
      <c r="Y1382">
        <f>IF(IFERROR(VLOOKUP(BBDD_fashion_boutique[[#This Row],[product_id]],A1383:A3558,1,FALSE),0),1,0)</f>
        <v>0</v>
      </c>
    </row>
    <row r="1383" spans="1:25" x14ac:dyDescent="0.3">
      <c r="A1383" t="s">
        <v>1442</v>
      </c>
      <c r="B1383" t="s">
        <v>48</v>
      </c>
      <c r="C1383" t="s">
        <v>20</v>
      </c>
      <c r="D1383" t="s">
        <v>68</v>
      </c>
      <c r="E1383" t="s">
        <v>45</v>
      </c>
      <c r="F1383" t="str">
        <f>IF(BBDD_fashion_boutique[[#This Row],[category]]="Accessories","Accesorio",IF(BBDD_fashion_boutique[[#This Row],[size]]="","Desconocido",BBDD_fashion_boutique[[#This Row],[size]]))</f>
        <v>S</v>
      </c>
      <c r="G1383" t="s">
        <v>62</v>
      </c>
      <c r="H1383" s="2">
        <v>116.09</v>
      </c>
      <c r="I1383">
        <v>52.8</v>
      </c>
      <c r="J1383" s="5">
        <f>BBDD_fashion_boutique[[#This Row],[markdown_percentage]]/100</f>
        <v>0.52800000000000002</v>
      </c>
      <c r="K1383" s="2">
        <v>54.79</v>
      </c>
      <c r="L1383" s="2">
        <f>BBDD_fashion_boutique[[#This Row],[original_price]]-BBDD_fashion_boutique[[#This Row],[current_price]]</f>
        <v>61.300000000000004</v>
      </c>
      <c r="M1383" s="1">
        <v>45875</v>
      </c>
      <c r="N1383" s="1" t="str">
        <f>PROPER(TEXT(BBDD_fashion_boutique[[#This Row],[purchase_date]],"dddd"))</f>
        <v>Miércoles</v>
      </c>
      <c r="O1383" s="1" t="str">
        <f>PROPER(TEXT(BBDD_fashion_boutique[[#This Row],[purchase_date]],"mmmm"))</f>
        <v>Agosto</v>
      </c>
      <c r="P1383" s="4">
        <v>22</v>
      </c>
      <c r="R1383" t="str">
        <f>IF(BBDD_fashion_boutique[[#This Row],[stock_quantity]]&gt;9,"Ok",IF(BBDD_fashion_boutique[[#This Row],[stock_quantity]]=0,"Agotado","Pocas Unidades"))</f>
        <v>Ok</v>
      </c>
      <c r="S1383" s="3" t="str">
        <f>IF(BBDD_fashion_boutique[[#This Row],[customer_rating]]="","No valorado",BBDD_fashion_boutique[[#This Row],[customer_rating]])</f>
        <v>No valorado</v>
      </c>
      <c r="T1383" t="s">
        <v>24</v>
      </c>
      <c r="V1383">
        <f>IF(BBDD_fashion_boutique[[#This Row],[is_returned]]="False",0,1)</f>
        <v>0</v>
      </c>
      <c r="W1383">
        <f>IF(BBDD_fashion_boutique[[#This Row],[is_returned]]="True",0,BBDD_fashion_boutique[[#This Row],[current_price]])</f>
        <v>54.79</v>
      </c>
      <c r="X1383" t="str">
        <f>IF(BBDD_fashion_boutique[[#This Row],[return_reason]]="","No return",BBDD_fashion_boutique[[#This Row],[return_reason]])</f>
        <v>No return</v>
      </c>
      <c r="Y1383">
        <f>IF(IFERROR(VLOOKUP(BBDD_fashion_boutique[[#This Row],[product_id]],A1384:A3559,1,FALSE),0),1,0)</f>
        <v>0</v>
      </c>
    </row>
    <row r="1384" spans="1:25" x14ac:dyDescent="0.3">
      <c r="A1384" t="s">
        <v>1443</v>
      </c>
      <c r="B1384" t="s">
        <v>19</v>
      </c>
      <c r="C1384" t="s">
        <v>49</v>
      </c>
      <c r="D1384" t="s">
        <v>39</v>
      </c>
      <c r="E1384" t="s">
        <v>45</v>
      </c>
      <c r="F1384" t="str">
        <f>IF(BBDD_fashion_boutique[[#This Row],[category]]="Accessories","Accesorio",IF(BBDD_fashion_boutique[[#This Row],[size]]="","Desconocido",BBDD_fashion_boutique[[#This Row],[size]]))</f>
        <v>S</v>
      </c>
      <c r="G1384" t="s">
        <v>40</v>
      </c>
      <c r="H1384" s="2">
        <v>80.709999999999994</v>
      </c>
      <c r="I1384">
        <v>0.9</v>
      </c>
      <c r="J1384" s="5">
        <f>BBDD_fashion_boutique[[#This Row],[markdown_percentage]]/100</f>
        <v>9.0000000000000011E-3</v>
      </c>
      <c r="K1384" s="2">
        <v>79.98</v>
      </c>
      <c r="L1384" s="2">
        <f>BBDD_fashion_boutique[[#This Row],[original_price]]-BBDD_fashion_boutique[[#This Row],[current_price]]</f>
        <v>0.72999999999998977</v>
      </c>
      <c r="M1384" s="1">
        <v>45875</v>
      </c>
      <c r="N1384" s="1" t="str">
        <f>PROPER(TEXT(BBDD_fashion_boutique[[#This Row],[purchase_date]],"dddd"))</f>
        <v>Miércoles</v>
      </c>
      <c r="O1384" s="1" t="str">
        <f>PROPER(TEXT(BBDD_fashion_boutique[[#This Row],[purchase_date]],"mmmm"))</f>
        <v>Agosto</v>
      </c>
      <c r="P1384" s="4">
        <v>11</v>
      </c>
      <c r="Q1384" s="2">
        <v>1.1000000000000001</v>
      </c>
      <c r="R1384" t="str">
        <f>IF(BBDD_fashion_boutique[[#This Row],[stock_quantity]]&gt;9,"Ok",IF(BBDD_fashion_boutique[[#This Row],[stock_quantity]]=0,"Agotado","Pocas Unidades"))</f>
        <v>Ok</v>
      </c>
      <c r="S1384" s="3">
        <f>IF(BBDD_fashion_boutique[[#This Row],[customer_rating]]="","No valorado",BBDD_fashion_boutique[[#This Row],[customer_rating]])</f>
        <v>1.1000000000000001</v>
      </c>
      <c r="T1384" t="s">
        <v>24</v>
      </c>
      <c r="V1384">
        <f>IF(BBDD_fashion_boutique[[#This Row],[is_returned]]="False",0,1)</f>
        <v>0</v>
      </c>
      <c r="W1384">
        <f>IF(BBDD_fashion_boutique[[#This Row],[is_returned]]="True",0,BBDD_fashion_boutique[[#This Row],[current_price]])</f>
        <v>79.98</v>
      </c>
      <c r="X1384" t="str">
        <f>IF(BBDD_fashion_boutique[[#This Row],[return_reason]]="","No return",BBDD_fashion_boutique[[#This Row],[return_reason]])</f>
        <v>No return</v>
      </c>
      <c r="Y1384">
        <f>IF(IFERROR(VLOOKUP(BBDD_fashion_boutique[[#This Row],[product_id]],A1385:A3560,1,FALSE),0),1,0)</f>
        <v>0</v>
      </c>
    </row>
    <row r="1385" spans="1:25" x14ac:dyDescent="0.3">
      <c r="A1385" t="s">
        <v>1444</v>
      </c>
      <c r="B1385" t="s">
        <v>48</v>
      </c>
      <c r="C1385" t="s">
        <v>37</v>
      </c>
      <c r="D1385" t="s">
        <v>68</v>
      </c>
      <c r="E1385" t="s">
        <v>64</v>
      </c>
      <c r="F1385" t="str">
        <f>IF(BBDD_fashion_boutique[[#This Row],[category]]="Accessories","Accesorio",IF(BBDD_fashion_boutique[[#This Row],[size]]="","Desconocido",BBDD_fashion_boutique[[#This Row],[size]]))</f>
        <v>M</v>
      </c>
      <c r="G1385" t="s">
        <v>50</v>
      </c>
      <c r="H1385" s="2">
        <v>175.11</v>
      </c>
      <c r="I1385">
        <v>0</v>
      </c>
      <c r="J1385" s="5">
        <f>BBDD_fashion_boutique[[#This Row],[markdown_percentage]]/100</f>
        <v>0</v>
      </c>
      <c r="K1385" s="2">
        <v>175.11</v>
      </c>
      <c r="L1385" s="2">
        <f>BBDD_fashion_boutique[[#This Row],[original_price]]-BBDD_fashion_boutique[[#This Row],[current_price]]</f>
        <v>0</v>
      </c>
      <c r="M1385" s="1">
        <v>45875</v>
      </c>
      <c r="N1385" s="1" t="str">
        <f>PROPER(TEXT(BBDD_fashion_boutique[[#This Row],[purchase_date]],"dddd"))</f>
        <v>Miércoles</v>
      </c>
      <c r="O1385" s="1" t="str">
        <f>PROPER(TEXT(BBDD_fashion_boutique[[#This Row],[purchase_date]],"mmmm"))</f>
        <v>Agosto</v>
      </c>
      <c r="P1385" s="4">
        <v>39</v>
      </c>
      <c r="Q1385" s="2">
        <v>2.9</v>
      </c>
      <c r="R1385" t="str">
        <f>IF(BBDD_fashion_boutique[[#This Row],[stock_quantity]]&gt;9,"Ok",IF(BBDD_fashion_boutique[[#This Row],[stock_quantity]]=0,"Agotado","Pocas Unidades"))</f>
        <v>Ok</v>
      </c>
      <c r="S1385" s="3">
        <f>IF(BBDD_fashion_boutique[[#This Row],[customer_rating]]="","No valorado",BBDD_fashion_boutique[[#This Row],[customer_rating]])</f>
        <v>2.9</v>
      </c>
      <c r="T1385" t="s">
        <v>24</v>
      </c>
      <c r="V1385">
        <f>IF(BBDD_fashion_boutique[[#This Row],[is_returned]]="False",0,1)</f>
        <v>0</v>
      </c>
      <c r="W1385">
        <f>IF(BBDD_fashion_boutique[[#This Row],[is_returned]]="True",0,BBDD_fashion_boutique[[#This Row],[current_price]])</f>
        <v>175.11</v>
      </c>
      <c r="X1385" t="str">
        <f>IF(BBDD_fashion_boutique[[#This Row],[return_reason]]="","No return",BBDD_fashion_boutique[[#This Row],[return_reason]])</f>
        <v>No return</v>
      </c>
      <c r="Y1385">
        <f>IF(IFERROR(VLOOKUP(BBDD_fashion_boutique[[#This Row],[product_id]],A1386:A3561,1,FALSE),0),1,0)</f>
        <v>0</v>
      </c>
    </row>
    <row r="1386" spans="1:25" x14ac:dyDescent="0.3">
      <c r="A1386" t="s">
        <v>1445</v>
      </c>
      <c r="B1386" t="s">
        <v>48</v>
      </c>
      <c r="C1386" t="s">
        <v>49</v>
      </c>
      <c r="D1386" t="s">
        <v>39</v>
      </c>
      <c r="E1386" t="s">
        <v>61</v>
      </c>
      <c r="F1386" t="str">
        <f>IF(BBDD_fashion_boutique[[#This Row],[category]]="Accessories","Accesorio",IF(BBDD_fashion_boutique[[#This Row],[size]]="","Desconocido",BBDD_fashion_boutique[[#This Row],[size]]))</f>
        <v>XS</v>
      </c>
      <c r="G1386" t="s">
        <v>76</v>
      </c>
      <c r="H1386" s="2">
        <v>122.35</v>
      </c>
      <c r="I1386">
        <v>37</v>
      </c>
      <c r="J1386" s="5">
        <f>BBDD_fashion_boutique[[#This Row],[markdown_percentage]]/100</f>
        <v>0.37</v>
      </c>
      <c r="K1386" s="2">
        <v>77.08</v>
      </c>
      <c r="L1386" s="2">
        <f>BBDD_fashion_boutique[[#This Row],[original_price]]-BBDD_fashion_boutique[[#This Row],[current_price]]</f>
        <v>45.269999999999996</v>
      </c>
      <c r="M1386" s="1">
        <v>45875</v>
      </c>
      <c r="N1386" s="1" t="str">
        <f>PROPER(TEXT(BBDD_fashion_boutique[[#This Row],[purchase_date]],"dddd"))</f>
        <v>Miércoles</v>
      </c>
      <c r="O1386" s="1" t="str">
        <f>PROPER(TEXT(BBDD_fashion_boutique[[#This Row],[purchase_date]],"mmmm"))</f>
        <v>Agosto</v>
      </c>
      <c r="P1386" s="4">
        <v>25</v>
      </c>
      <c r="R1386" t="str">
        <f>IF(BBDD_fashion_boutique[[#This Row],[stock_quantity]]&gt;9,"Ok",IF(BBDD_fashion_boutique[[#This Row],[stock_quantity]]=0,"Agotado","Pocas Unidades"))</f>
        <v>Ok</v>
      </c>
      <c r="S1386" s="3" t="str">
        <f>IF(BBDD_fashion_boutique[[#This Row],[customer_rating]]="","No valorado",BBDD_fashion_boutique[[#This Row],[customer_rating]])</f>
        <v>No valorado</v>
      </c>
      <c r="T1386" t="s">
        <v>24</v>
      </c>
      <c r="V1386">
        <f>IF(BBDD_fashion_boutique[[#This Row],[is_returned]]="False",0,1)</f>
        <v>0</v>
      </c>
      <c r="W1386">
        <f>IF(BBDD_fashion_boutique[[#This Row],[is_returned]]="True",0,BBDD_fashion_boutique[[#This Row],[current_price]])</f>
        <v>77.08</v>
      </c>
      <c r="X1386" t="str">
        <f>IF(BBDD_fashion_boutique[[#This Row],[return_reason]]="","No return",BBDD_fashion_boutique[[#This Row],[return_reason]])</f>
        <v>No return</v>
      </c>
      <c r="Y1386">
        <f>IF(IFERROR(VLOOKUP(BBDD_fashion_boutique[[#This Row],[product_id]],A1387:A3562,1,FALSE),0),1,0)</f>
        <v>0</v>
      </c>
    </row>
    <row r="1387" spans="1:25" x14ac:dyDescent="0.3">
      <c r="A1387" t="s">
        <v>1446</v>
      </c>
      <c r="B1387" t="s">
        <v>35</v>
      </c>
      <c r="C1387" t="s">
        <v>27</v>
      </c>
      <c r="D1387" t="s">
        <v>28</v>
      </c>
      <c r="E1387" t="s">
        <v>45</v>
      </c>
      <c r="F1387" t="str">
        <f>IF(BBDD_fashion_boutique[[#This Row],[category]]="Accessories","Accesorio",IF(BBDD_fashion_boutique[[#This Row],[size]]="","Desconocido",BBDD_fashion_boutique[[#This Row],[size]]))</f>
        <v>S</v>
      </c>
      <c r="G1387" t="s">
        <v>50</v>
      </c>
      <c r="H1387" s="2">
        <v>127.99</v>
      </c>
      <c r="I1387">
        <v>0</v>
      </c>
      <c r="J1387" s="5">
        <f>BBDD_fashion_boutique[[#This Row],[markdown_percentage]]/100</f>
        <v>0</v>
      </c>
      <c r="K1387" s="2">
        <v>127.99</v>
      </c>
      <c r="L1387" s="2">
        <f>BBDD_fashion_boutique[[#This Row],[original_price]]-BBDD_fashion_boutique[[#This Row],[current_price]]</f>
        <v>0</v>
      </c>
      <c r="M1387" s="1">
        <v>45875</v>
      </c>
      <c r="N1387" s="1" t="str">
        <f>PROPER(TEXT(BBDD_fashion_boutique[[#This Row],[purchase_date]],"dddd"))</f>
        <v>Miércoles</v>
      </c>
      <c r="O1387" s="1" t="str">
        <f>PROPER(TEXT(BBDD_fashion_boutique[[#This Row],[purchase_date]],"mmmm"))</f>
        <v>Agosto</v>
      </c>
      <c r="P1387" s="4">
        <v>14</v>
      </c>
      <c r="Q1387" s="2">
        <v>2.7</v>
      </c>
      <c r="R1387" t="str">
        <f>IF(BBDD_fashion_boutique[[#This Row],[stock_quantity]]&gt;9,"Ok",IF(BBDD_fashion_boutique[[#This Row],[stock_quantity]]=0,"Agotado","Pocas Unidades"))</f>
        <v>Ok</v>
      </c>
      <c r="S1387" s="3">
        <f>IF(BBDD_fashion_boutique[[#This Row],[customer_rating]]="","No valorado",BBDD_fashion_boutique[[#This Row],[customer_rating]])</f>
        <v>2.7</v>
      </c>
      <c r="T1387" t="s">
        <v>24</v>
      </c>
      <c r="V1387">
        <f>IF(BBDD_fashion_boutique[[#This Row],[is_returned]]="False",0,1)</f>
        <v>0</v>
      </c>
      <c r="W1387">
        <f>IF(BBDD_fashion_boutique[[#This Row],[is_returned]]="True",0,BBDD_fashion_boutique[[#This Row],[current_price]])</f>
        <v>127.99</v>
      </c>
      <c r="X1387" t="str">
        <f>IF(BBDD_fashion_boutique[[#This Row],[return_reason]]="","No return",BBDD_fashion_boutique[[#This Row],[return_reason]])</f>
        <v>No return</v>
      </c>
      <c r="Y1387">
        <f>IF(IFERROR(VLOOKUP(BBDD_fashion_boutique[[#This Row],[product_id]],A1388:A3563,1,FALSE),0),1,0)</f>
        <v>0</v>
      </c>
    </row>
    <row r="1388" spans="1:25" x14ac:dyDescent="0.3">
      <c r="A1388" t="s">
        <v>1447</v>
      </c>
      <c r="B1388" t="s">
        <v>44</v>
      </c>
      <c r="C1388" t="s">
        <v>20</v>
      </c>
      <c r="D1388" t="s">
        <v>68</v>
      </c>
      <c r="E1388" t="s">
        <v>45</v>
      </c>
      <c r="F1388" t="str">
        <f>IF(BBDD_fashion_boutique[[#This Row],[category]]="Accessories","Accesorio",IF(BBDD_fashion_boutique[[#This Row],[size]]="","Desconocido",BBDD_fashion_boutique[[#This Row],[size]]))</f>
        <v>S</v>
      </c>
      <c r="G1388" t="s">
        <v>76</v>
      </c>
      <c r="H1388" s="2">
        <v>101.07</v>
      </c>
      <c r="I1388">
        <v>4.5999999999999996</v>
      </c>
      <c r="J1388" s="5">
        <f>BBDD_fashion_boutique[[#This Row],[markdown_percentage]]/100</f>
        <v>4.5999999999999999E-2</v>
      </c>
      <c r="K1388" s="2">
        <v>96.42</v>
      </c>
      <c r="L1388" s="2">
        <f>BBDD_fashion_boutique[[#This Row],[original_price]]-BBDD_fashion_boutique[[#This Row],[current_price]]</f>
        <v>4.6499999999999915</v>
      </c>
      <c r="M1388" s="1">
        <v>45875</v>
      </c>
      <c r="N1388" s="1" t="str">
        <f>PROPER(TEXT(BBDD_fashion_boutique[[#This Row],[purchase_date]],"dddd"))</f>
        <v>Miércoles</v>
      </c>
      <c r="O1388" s="1" t="str">
        <f>PROPER(TEXT(BBDD_fashion_boutique[[#This Row],[purchase_date]],"mmmm"))</f>
        <v>Agosto</v>
      </c>
      <c r="P1388" s="4">
        <v>19</v>
      </c>
      <c r="Q1388" s="2">
        <v>4.7</v>
      </c>
      <c r="R1388" t="str">
        <f>IF(BBDD_fashion_boutique[[#This Row],[stock_quantity]]&gt;9,"Ok",IF(BBDD_fashion_boutique[[#This Row],[stock_quantity]]=0,"Agotado","Pocas Unidades"))</f>
        <v>Ok</v>
      </c>
      <c r="S1388" s="3">
        <f>IF(BBDD_fashion_boutique[[#This Row],[customer_rating]]="","No valorado",BBDD_fashion_boutique[[#This Row],[customer_rating]])</f>
        <v>4.7</v>
      </c>
      <c r="T1388" t="s">
        <v>24</v>
      </c>
      <c r="V1388">
        <f>IF(BBDD_fashion_boutique[[#This Row],[is_returned]]="False",0,1)</f>
        <v>0</v>
      </c>
      <c r="W1388">
        <f>IF(BBDD_fashion_boutique[[#This Row],[is_returned]]="True",0,BBDD_fashion_boutique[[#This Row],[current_price]])</f>
        <v>96.42</v>
      </c>
      <c r="X1388" t="str">
        <f>IF(BBDD_fashion_boutique[[#This Row],[return_reason]]="","No return",BBDD_fashion_boutique[[#This Row],[return_reason]])</f>
        <v>No return</v>
      </c>
      <c r="Y1388">
        <f>IF(IFERROR(VLOOKUP(BBDD_fashion_boutique[[#This Row],[product_id]],A1389:A3564,1,FALSE),0),1,0)</f>
        <v>0</v>
      </c>
    </row>
    <row r="1389" spans="1:25" x14ac:dyDescent="0.3">
      <c r="A1389" t="s">
        <v>1448</v>
      </c>
      <c r="B1389" t="s">
        <v>44</v>
      </c>
      <c r="C1389" t="s">
        <v>81</v>
      </c>
      <c r="D1389" t="s">
        <v>28</v>
      </c>
      <c r="E1389" t="s">
        <v>29</v>
      </c>
      <c r="F1389" t="str">
        <f>IF(BBDD_fashion_boutique[[#This Row],[category]]="Accessories","Accesorio",IF(BBDD_fashion_boutique[[#This Row],[size]]="","Desconocido",BBDD_fashion_boutique[[#This Row],[size]]))</f>
        <v>L</v>
      </c>
      <c r="G1389" t="s">
        <v>76</v>
      </c>
      <c r="H1389" s="2">
        <v>41.83</v>
      </c>
      <c r="I1389">
        <v>44.1</v>
      </c>
      <c r="J1389" s="5">
        <f>BBDD_fashion_boutique[[#This Row],[markdown_percentage]]/100</f>
        <v>0.441</v>
      </c>
      <c r="K1389" s="2">
        <v>23.38</v>
      </c>
      <c r="L1389" s="2">
        <f>BBDD_fashion_boutique[[#This Row],[original_price]]-BBDD_fashion_boutique[[#This Row],[current_price]]</f>
        <v>18.45</v>
      </c>
      <c r="M1389" s="1">
        <v>45875</v>
      </c>
      <c r="N1389" s="1" t="str">
        <f>PROPER(TEXT(BBDD_fashion_boutique[[#This Row],[purchase_date]],"dddd"))</f>
        <v>Miércoles</v>
      </c>
      <c r="O1389" s="1" t="str">
        <f>PROPER(TEXT(BBDD_fashion_boutique[[#This Row],[purchase_date]],"mmmm"))</f>
        <v>Agosto</v>
      </c>
      <c r="P1389" s="4">
        <v>6</v>
      </c>
      <c r="Q1389" s="2">
        <v>2.4</v>
      </c>
      <c r="R1389" t="str">
        <f>IF(BBDD_fashion_boutique[[#This Row],[stock_quantity]]&gt;9,"Ok",IF(BBDD_fashion_boutique[[#This Row],[stock_quantity]]=0,"Agotado","Pocas Unidades"))</f>
        <v>Pocas Unidades</v>
      </c>
      <c r="S1389" s="3">
        <f>IF(BBDD_fashion_boutique[[#This Row],[customer_rating]]="","No valorado",BBDD_fashion_boutique[[#This Row],[customer_rating]])</f>
        <v>2.4</v>
      </c>
      <c r="T1389" t="s">
        <v>24</v>
      </c>
      <c r="V1389">
        <f>IF(BBDD_fashion_boutique[[#This Row],[is_returned]]="False",0,1)</f>
        <v>0</v>
      </c>
      <c r="W1389">
        <f>IF(BBDD_fashion_boutique[[#This Row],[is_returned]]="True",0,BBDD_fashion_boutique[[#This Row],[current_price]])</f>
        <v>23.38</v>
      </c>
      <c r="X1389" t="str">
        <f>IF(BBDD_fashion_boutique[[#This Row],[return_reason]]="","No return",BBDD_fashion_boutique[[#This Row],[return_reason]])</f>
        <v>No return</v>
      </c>
      <c r="Y1389">
        <f>IF(IFERROR(VLOOKUP(BBDD_fashion_boutique[[#This Row],[product_id]],A1390:A3565,1,FALSE),0),1,0)</f>
        <v>0</v>
      </c>
    </row>
    <row r="1390" spans="1:25" x14ac:dyDescent="0.3">
      <c r="A1390" t="s">
        <v>1449</v>
      </c>
      <c r="B1390" t="s">
        <v>35</v>
      </c>
      <c r="C1390" t="s">
        <v>54</v>
      </c>
      <c r="D1390" t="s">
        <v>21</v>
      </c>
      <c r="E1390" t="s">
        <v>64</v>
      </c>
      <c r="F1390" t="str">
        <f>IF(BBDD_fashion_boutique[[#This Row],[category]]="Accessories","Accesorio",IF(BBDD_fashion_boutique[[#This Row],[size]]="","Desconocido",BBDD_fashion_boutique[[#This Row],[size]]))</f>
        <v>M</v>
      </c>
      <c r="G1390" t="s">
        <v>52</v>
      </c>
      <c r="H1390" s="2">
        <v>147.52000000000001</v>
      </c>
      <c r="I1390">
        <v>0</v>
      </c>
      <c r="J1390" s="5">
        <f>BBDD_fashion_boutique[[#This Row],[markdown_percentage]]/100</f>
        <v>0</v>
      </c>
      <c r="K1390" s="2">
        <v>147.52000000000001</v>
      </c>
      <c r="L1390" s="2">
        <f>BBDD_fashion_boutique[[#This Row],[original_price]]-BBDD_fashion_boutique[[#This Row],[current_price]]</f>
        <v>0</v>
      </c>
      <c r="M1390" s="1">
        <v>45665</v>
      </c>
      <c r="N1390" s="1" t="str">
        <f>PROPER(TEXT(BBDD_fashion_boutique[[#This Row],[purchase_date]],"dddd"))</f>
        <v>Miércoles</v>
      </c>
      <c r="O1390" s="1" t="str">
        <f>PROPER(TEXT(BBDD_fashion_boutique[[#This Row],[purchase_date]],"mmmm"))</f>
        <v>Enero</v>
      </c>
      <c r="P1390" s="4">
        <v>41</v>
      </c>
      <c r="Q1390" s="2">
        <v>4</v>
      </c>
      <c r="R1390" t="str">
        <f>IF(BBDD_fashion_boutique[[#This Row],[stock_quantity]]&gt;9,"Ok",IF(BBDD_fashion_boutique[[#This Row],[stock_quantity]]=0,"Agotado","Pocas Unidades"))</f>
        <v>Ok</v>
      </c>
      <c r="S1390" s="3">
        <f>IF(BBDD_fashion_boutique[[#This Row],[customer_rating]]="","No valorado",BBDD_fashion_boutique[[#This Row],[customer_rating]])</f>
        <v>4</v>
      </c>
      <c r="T1390" t="s">
        <v>24</v>
      </c>
      <c r="V1390">
        <f>IF(BBDD_fashion_boutique[[#This Row],[is_returned]]="False",0,1)</f>
        <v>0</v>
      </c>
      <c r="W1390">
        <f>IF(BBDD_fashion_boutique[[#This Row],[is_returned]]="True",0,BBDD_fashion_boutique[[#This Row],[current_price]])</f>
        <v>147.52000000000001</v>
      </c>
      <c r="X1390" t="str">
        <f>IF(BBDD_fashion_boutique[[#This Row],[return_reason]]="","No return",BBDD_fashion_boutique[[#This Row],[return_reason]])</f>
        <v>No return</v>
      </c>
      <c r="Y1390">
        <f>IF(IFERROR(VLOOKUP(BBDD_fashion_boutique[[#This Row],[product_id]],A1391:A3566,1,FALSE),0),1,0)</f>
        <v>0</v>
      </c>
    </row>
    <row r="1391" spans="1:25" x14ac:dyDescent="0.3">
      <c r="A1391" t="s">
        <v>1450</v>
      </c>
      <c r="B1391" t="s">
        <v>26</v>
      </c>
      <c r="C1391" t="s">
        <v>37</v>
      </c>
      <c r="D1391" t="s">
        <v>39</v>
      </c>
      <c r="E1391" t="s">
        <v>45</v>
      </c>
      <c r="F1391" t="str">
        <f>IF(BBDD_fashion_boutique[[#This Row],[category]]="Accessories","Accesorio",IF(BBDD_fashion_boutique[[#This Row],[size]]="","Desconocido",BBDD_fashion_boutique[[#This Row],[size]]))</f>
        <v>S</v>
      </c>
      <c r="G1391" t="s">
        <v>46</v>
      </c>
      <c r="H1391" s="2">
        <v>85.94</v>
      </c>
      <c r="I1391">
        <v>0</v>
      </c>
      <c r="J1391" s="5">
        <f>BBDD_fashion_boutique[[#This Row],[markdown_percentage]]/100</f>
        <v>0</v>
      </c>
      <c r="K1391" s="2">
        <v>85.94</v>
      </c>
      <c r="L1391" s="2">
        <f>BBDD_fashion_boutique[[#This Row],[original_price]]-BBDD_fashion_boutique[[#This Row],[current_price]]</f>
        <v>0</v>
      </c>
      <c r="M1391" s="1">
        <v>45875</v>
      </c>
      <c r="N1391" s="1" t="str">
        <f>PROPER(TEXT(BBDD_fashion_boutique[[#This Row],[purchase_date]],"dddd"))</f>
        <v>Miércoles</v>
      </c>
      <c r="O1391" s="1" t="str">
        <f>PROPER(TEXT(BBDD_fashion_boutique[[#This Row],[purchase_date]],"mmmm"))</f>
        <v>Agosto</v>
      </c>
      <c r="P1391" s="4">
        <v>49</v>
      </c>
      <c r="Q1391" s="2">
        <v>1.5</v>
      </c>
      <c r="R1391" t="str">
        <f>IF(BBDD_fashion_boutique[[#This Row],[stock_quantity]]&gt;9,"Ok",IF(BBDD_fashion_boutique[[#This Row],[stock_quantity]]=0,"Agotado","Pocas Unidades"))</f>
        <v>Ok</v>
      </c>
      <c r="S1391" s="3">
        <f>IF(BBDD_fashion_boutique[[#This Row],[customer_rating]]="","No valorado",BBDD_fashion_boutique[[#This Row],[customer_rating]])</f>
        <v>1.5</v>
      </c>
      <c r="T1391" t="s">
        <v>24</v>
      </c>
      <c r="V1391">
        <f>IF(BBDD_fashion_boutique[[#This Row],[is_returned]]="False",0,1)</f>
        <v>0</v>
      </c>
      <c r="W1391">
        <f>IF(BBDD_fashion_boutique[[#This Row],[is_returned]]="True",0,BBDD_fashion_boutique[[#This Row],[current_price]])</f>
        <v>85.94</v>
      </c>
      <c r="X1391" t="str">
        <f>IF(BBDD_fashion_boutique[[#This Row],[return_reason]]="","No return",BBDD_fashion_boutique[[#This Row],[return_reason]])</f>
        <v>No return</v>
      </c>
      <c r="Y1391">
        <f>IF(IFERROR(VLOOKUP(BBDD_fashion_boutique[[#This Row],[product_id]],A1392:A3567,1,FALSE),0),1,0)</f>
        <v>0</v>
      </c>
    </row>
    <row r="1392" spans="1:25" x14ac:dyDescent="0.3">
      <c r="A1392" t="s">
        <v>1451</v>
      </c>
      <c r="B1392" t="s">
        <v>48</v>
      </c>
      <c r="C1392" t="s">
        <v>67</v>
      </c>
      <c r="D1392" t="s">
        <v>28</v>
      </c>
      <c r="E1392" t="s">
        <v>55</v>
      </c>
      <c r="F1392" t="str">
        <f>IF(BBDD_fashion_boutique[[#This Row],[category]]="Accessories","Accesorio",IF(BBDD_fashion_boutique[[#This Row],[size]]="","Desconocido",BBDD_fashion_boutique[[#This Row],[size]]))</f>
        <v>XXL</v>
      </c>
      <c r="G1392" t="s">
        <v>52</v>
      </c>
      <c r="H1392" s="2">
        <v>115.61</v>
      </c>
      <c r="I1392">
        <v>0</v>
      </c>
      <c r="J1392" s="5">
        <f>BBDD_fashion_boutique[[#This Row],[markdown_percentage]]/100</f>
        <v>0</v>
      </c>
      <c r="K1392" s="2">
        <v>115.61</v>
      </c>
      <c r="L1392" s="2">
        <f>BBDD_fashion_boutique[[#This Row],[original_price]]-BBDD_fashion_boutique[[#This Row],[current_price]]</f>
        <v>0</v>
      </c>
      <c r="M1392" s="1">
        <v>45875</v>
      </c>
      <c r="N1392" s="1" t="str">
        <f>PROPER(TEXT(BBDD_fashion_boutique[[#This Row],[purchase_date]],"dddd"))</f>
        <v>Miércoles</v>
      </c>
      <c r="O1392" s="1" t="str">
        <f>PROPER(TEXT(BBDD_fashion_boutique[[#This Row],[purchase_date]],"mmmm"))</f>
        <v>Agosto</v>
      </c>
      <c r="P1392" s="4">
        <v>35</v>
      </c>
      <c r="Q1392" s="2">
        <v>1.8</v>
      </c>
      <c r="R1392" t="str">
        <f>IF(BBDD_fashion_boutique[[#This Row],[stock_quantity]]&gt;9,"Ok",IF(BBDD_fashion_boutique[[#This Row],[stock_quantity]]=0,"Agotado","Pocas Unidades"))</f>
        <v>Ok</v>
      </c>
      <c r="S1392" s="3">
        <f>IF(BBDD_fashion_boutique[[#This Row],[customer_rating]]="","No valorado",BBDD_fashion_boutique[[#This Row],[customer_rating]])</f>
        <v>1.8</v>
      </c>
      <c r="T1392" t="s">
        <v>24</v>
      </c>
      <c r="V1392">
        <f>IF(BBDD_fashion_boutique[[#This Row],[is_returned]]="False",0,1)</f>
        <v>0</v>
      </c>
      <c r="W1392">
        <f>IF(BBDD_fashion_boutique[[#This Row],[is_returned]]="True",0,BBDD_fashion_boutique[[#This Row],[current_price]])</f>
        <v>115.61</v>
      </c>
      <c r="X1392" t="str">
        <f>IF(BBDD_fashion_boutique[[#This Row],[return_reason]]="","No return",BBDD_fashion_boutique[[#This Row],[return_reason]])</f>
        <v>No return</v>
      </c>
      <c r="Y1392">
        <f>IF(IFERROR(VLOOKUP(BBDD_fashion_boutique[[#This Row],[product_id]],A1393:A3568,1,FALSE),0),1,0)</f>
        <v>0</v>
      </c>
    </row>
    <row r="1393" spans="1:25" x14ac:dyDescent="0.3">
      <c r="A1393" t="s">
        <v>1452</v>
      </c>
      <c r="B1393" t="s">
        <v>19</v>
      </c>
      <c r="C1393" t="s">
        <v>59</v>
      </c>
      <c r="D1393" t="s">
        <v>28</v>
      </c>
      <c r="E1393" t="s">
        <v>61</v>
      </c>
      <c r="F1393" t="str">
        <f>IF(BBDD_fashion_boutique[[#This Row],[category]]="Accessories","Accesorio",IF(BBDD_fashion_boutique[[#This Row],[size]]="","Desconocido",BBDD_fashion_boutique[[#This Row],[size]]))</f>
        <v>XS</v>
      </c>
      <c r="G1393" t="s">
        <v>30</v>
      </c>
      <c r="H1393" s="2">
        <v>90.58</v>
      </c>
      <c r="I1393">
        <v>0</v>
      </c>
      <c r="J1393" s="5">
        <f>BBDD_fashion_boutique[[#This Row],[markdown_percentage]]/100</f>
        <v>0</v>
      </c>
      <c r="K1393" s="2">
        <v>90.58</v>
      </c>
      <c r="L1393" s="2">
        <f>BBDD_fashion_boutique[[#This Row],[original_price]]-BBDD_fashion_boutique[[#This Row],[current_price]]</f>
        <v>0</v>
      </c>
      <c r="M1393" s="1">
        <v>45875</v>
      </c>
      <c r="N1393" s="1" t="str">
        <f>PROPER(TEXT(BBDD_fashion_boutique[[#This Row],[purchase_date]],"dddd"))</f>
        <v>Miércoles</v>
      </c>
      <c r="O1393" s="1" t="str">
        <f>PROPER(TEXT(BBDD_fashion_boutique[[#This Row],[purchase_date]],"mmmm"))</f>
        <v>Agosto</v>
      </c>
      <c r="P1393" s="4">
        <v>1</v>
      </c>
      <c r="Q1393" s="2">
        <v>1</v>
      </c>
      <c r="R1393" t="str">
        <f>IF(BBDD_fashion_boutique[[#This Row],[stock_quantity]]&gt;9,"Ok",IF(BBDD_fashion_boutique[[#This Row],[stock_quantity]]=0,"Agotado","Pocas Unidades"))</f>
        <v>Pocas Unidades</v>
      </c>
      <c r="S1393" s="3">
        <f>IF(BBDD_fashion_boutique[[#This Row],[customer_rating]]="","No valorado",BBDD_fashion_boutique[[#This Row],[customer_rating]])</f>
        <v>1</v>
      </c>
      <c r="T1393" t="s">
        <v>24</v>
      </c>
      <c r="V1393">
        <f>IF(BBDD_fashion_boutique[[#This Row],[is_returned]]="False",0,1)</f>
        <v>0</v>
      </c>
      <c r="W1393">
        <f>IF(BBDD_fashion_boutique[[#This Row],[is_returned]]="True",0,BBDD_fashion_boutique[[#This Row],[current_price]])</f>
        <v>90.58</v>
      </c>
      <c r="X1393" t="str">
        <f>IF(BBDD_fashion_boutique[[#This Row],[return_reason]]="","No return",BBDD_fashion_boutique[[#This Row],[return_reason]])</f>
        <v>No return</v>
      </c>
      <c r="Y1393">
        <f>IF(IFERROR(VLOOKUP(BBDD_fashion_boutique[[#This Row],[product_id]],A1394:A3569,1,FALSE),0),1,0)</f>
        <v>0</v>
      </c>
    </row>
    <row r="1394" spans="1:25" x14ac:dyDescent="0.3">
      <c r="A1394" t="s">
        <v>1453</v>
      </c>
      <c r="B1394" t="s">
        <v>26</v>
      </c>
      <c r="C1394" t="s">
        <v>67</v>
      </c>
      <c r="D1394" t="s">
        <v>21</v>
      </c>
      <c r="E1394" t="s">
        <v>45</v>
      </c>
      <c r="F1394" t="str">
        <f>IF(BBDD_fashion_boutique[[#This Row],[category]]="Accessories","Accesorio",IF(BBDD_fashion_boutique[[#This Row],[size]]="","Desconocido",BBDD_fashion_boutique[[#This Row],[size]]))</f>
        <v>S</v>
      </c>
      <c r="G1394" t="s">
        <v>23</v>
      </c>
      <c r="H1394" s="2">
        <v>64.84</v>
      </c>
      <c r="I1394">
        <v>0</v>
      </c>
      <c r="J1394" s="5">
        <f>BBDD_fashion_boutique[[#This Row],[markdown_percentage]]/100</f>
        <v>0</v>
      </c>
      <c r="K1394" s="2">
        <v>64.84</v>
      </c>
      <c r="L1394" s="2">
        <f>BBDD_fashion_boutique[[#This Row],[original_price]]-BBDD_fashion_boutique[[#This Row],[current_price]]</f>
        <v>0</v>
      </c>
      <c r="M1394" s="1">
        <v>45591</v>
      </c>
      <c r="N1394" s="1" t="str">
        <f>PROPER(TEXT(BBDD_fashion_boutique[[#This Row],[purchase_date]],"dddd"))</f>
        <v>Sábado</v>
      </c>
      <c r="O1394" s="1" t="str">
        <f>PROPER(TEXT(BBDD_fashion_boutique[[#This Row],[purchase_date]],"mmmm"))</f>
        <v>Octubre</v>
      </c>
      <c r="P1394" s="4">
        <v>25</v>
      </c>
      <c r="Q1394" s="2">
        <v>3.9</v>
      </c>
      <c r="R1394" t="str">
        <f>IF(BBDD_fashion_boutique[[#This Row],[stock_quantity]]&gt;9,"Ok",IF(BBDD_fashion_boutique[[#This Row],[stock_quantity]]=0,"Agotado","Pocas Unidades"))</f>
        <v>Ok</v>
      </c>
      <c r="S1394" s="3">
        <f>IF(BBDD_fashion_boutique[[#This Row],[customer_rating]]="","No valorado",BBDD_fashion_boutique[[#This Row],[customer_rating]])</f>
        <v>3.9</v>
      </c>
      <c r="T1394" t="s">
        <v>24</v>
      </c>
      <c r="V1394">
        <f>IF(BBDD_fashion_boutique[[#This Row],[is_returned]]="False",0,1)</f>
        <v>0</v>
      </c>
      <c r="W1394">
        <f>IF(BBDD_fashion_boutique[[#This Row],[is_returned]]="True",0,BBDD_fashion_boutique[[#This Row],[current_price]])</f>
        <v>64.84</v>
      </c>
      <c r="X1394" t="str">
        <f>IF(BBDD_fashion_boutique[[#This Row],[return_reason]]="","No return",BBDD_fashion_boutique[[#This Row],[return_reason]])</f>
        <v>No return</v>
      </c>
      <c r="Y1394">
        <f>IF(IFERROR(VLOOKUP(BBDD_fashion_boutique[[#This Row],[product_id]],A1395:A3570,1,FALSE),0),1,0)</f>
        <v>0</v>
      </c>
    </row>
    <row r="1395" spans="1:25" x14ac:dyDescent="0.3">
      <c r="A1395" t="s">
        <v>1454</v>
      </c>
      <c r="B1395" t="s">
        <v>44</v>
      </c>
      <c r="C1395" t="s">
        <v>37</v>
      </c>
      <c r="D1395" t="s">
        <v>68</v>
      </c>
      <c r="E1395" t="s">
        <v>61</v>
      </c>
      <c r="F1395" t="str">
        <f>IF(BBDD_fashion_boutique[[#This Row],[category]]="Accessories","Accesorio",IF(BBDD_fashion_boutique[[#This Row],[size]]="","Desconocido",BBDD_fashion_boutique[[#This Row],[size]]))</f>
        <v>XS</v>
      </c>
      <c r="G1395" t="s">
        <v>33</v>
      </c>
      <c r="H1395" s="2">
        <v>37.270000000000003</v>
      </c>
      <c r="I1395">
        <v>0</v>
      </c>
      <c r="J1395" s="5">
        <f>BBDD_fashion_boutique[[#This Row],[markdown_percentage]]/100</f>
        <v>0</v>
      </c>
      <c r="K1395" s="2">
        <v>37.270000000000003</v>
      </c>
      <c r="L1395" s="2">
        <f>BBDD_fashion_boutique[[#This Row],[original_price]]-BBDD_fashion_boutique[[#This Row],[current_price]]</f>
        <v>0</v>
      </c>
      <c r="M1395" s="1">
        <v>45875</v>
      </c>
      <c r="N1395" s="1" t="str">
        <f>PROPER(TEXT(BBDD_fashion_boutique[[#This Row],[purchase_date]],"dddd"))</f>
        <v>Miércoles</v>
      </c>
      <c r="O1395" s="1" t="str">
        <f>PROPER(TEXT(BBDD_fashion_boutique[[#This Row],[purchase_date]],"mmmm"))</f>
        <v>Agosto</v>
      </c>
      <c r="P1395" s="4">
        <v>27</v>
      </c>
      <c r="Q1395" s="2">
        <v>2.8</v>
      </c>
      <c r="R1395" t="str">
        <f>IF(BBDD_fashion_boutique[[#This Row],[stock_quantity]]&gt;9,"Ok",IF(BBDD_fashion_boutique[[#This Row],[stock_quantity]]=0,"Agotado","Pocas Unidades"))</f>
        <v>Ok</v>
      </c>
      <c r="S1395" s="3">
        <f>IF(BBDD_fashion_boutique[[#This Row],[customer_rating]]="","No valorado",BBDD_fashion_boutique[[#This Row],[customer_rating]])</f>
        <v>2.8</v>
      </c>
      <c r="T1395" t="s">
        <v>41</v>
      </c>
      <c r="U1395" t="s">
        <v>121</v>
      </c>
      <c r="V1395">
        <f>IF(BBDD_fashion_boutique[[#This Row],[is_returned]]="False",0,1)</f>
        <v>1</v>
      </c>
      <c r="W1395">
        <f>IF(BBDD_fashion_boutique[[#This Row],[is_returned]]="True",0,BBDD_fashion_boutique[[#This Row],[current_price]])</f>
        <v>0</v>
      </c>
      <c r="X1395" t="str">
        <f>IF(BBDD_fashion_boutique[[#This Row],[return_reason]]="","No return",BBDD_fashion_boutique[[#This Row],[return_reason]])</f>
        <v>Changed Mind</v>
      </c>
      <c r="Y1395">
        <f>IF(IFERROR(VLOOKUP(BBDD_fashion_boutique[[#This Row],[product_id]],A1396:A3571,1,FALSE),0),1,0)</f>
        <v>0</v>
      </c>
    </row>
    <row r="1396" spans="1:25" x14ac:dyDescent="0.3">
      <c r="A1396" t="s">
        <v>1455</v>
      </c>
      <c r="B1396" t="s">
        <v>26</v>
      </c>
      <c r="C1396" t="s">
        <v>67</v>
      </c>
      <c r="D1396" t="s">
        <v>68</v>
      </c>
      <c r="E1396" t="s">
        <v>22</v>
      </c>
      <c r="F1396" t="str">
        <f>IF(BBDD_fashion_boutique[[#This Row],[category]]="Accessories","Accesorio",IF(BBDD_fashion_boutique[[#This Row],[size]]="","Desconocido",BBDD_fashion_boutique[[#This Row],[size]]))</f>
        <v>XL</v>
      </c>
      <c r="G1396" t="s">
        <v>50</v>
      </c>
      <c r="H1396" s="2">
        <v>90.48</v>
      </c>
      <c r="I1396">
        <v>55.2</v>
      </c>
      <c r="J1396" s="5">
        <f>BBDD_fashion_boutique[[#This Row],[markdown_percentage]]/100</f>
        <v>0.55200000000000005</v>
      </c>
      <c r="K1396" s="2">
        <v>40.54</v>
      </c>
      <c r="L1396" s="2">
        <f>BBDD_fashion_boutique[[#This Row],[original_price]]-BBDD_fashion_boutique[[#This Row],[current_price]]</f>
        <v>49.940000000000005</v>
      </c>
      <c r="M1396" s="1">
        <v>45875</v>
      </c>
      <c r="N1396" s="1" t="str">
        <f>PROPER(TEXT(BBDD_fashion_boutique[[#This Row],[purchase_date]],"dddd"))</f>
        <v>Miércoles</v>
      </c>
      <c r="O1396" s="1" t="str">
        <f>PROPER(TEXT(BBDD_fashion_boutique[[#This Row],[purchase_date]],"mmmm"))</f>
        <v>Agosto</v>
      </c>
      <c r="P1396" s="4">
        <v>26</v>
      </c>
      <c r="Q1396" s="2">
        <v>3</v>
      </c>
      <c r="R1396" t="str">
        <f>IF(BBDD_fashion_boutique[[#This Row],[stock_quantity]]&gt;9,"Ok",IF(BBDD_fashion_boutique[[#This Row],[stock_quantity]]=0,"Agotado","Pocas Unidades"))</f>
        <v>Ok</v>
      </c>
      <c r="S1396" s="3">
        <f>IF(BBDD_fashion_boutique[[#This Row],[customer_rating]]="","No valorado",BBDD_fashion_boutique[[#This Row],[customer_rating]])</f>
        <v>3</v>
      </c>
      <c r="T1396" t="s">
        <v>24</v>
      </c>
      <c r="V1396">
        <f>IF(BBDD_fashion_boutique[[#This Row],[is_returned]]="False",0,1)</f>
        <v>0</v>
      </c>
      <c r="W1396">
        <f>IF(BBDD_fashion_boutique[[#This Row],[is_returned]]="True",0,BBDD_fashion_boutique[[#This Row],[current_price]])</f>
        <v>40.54</v>
      </c>
      <c r="X1396" t="str">
        <f>IF(BBDD_fashion_boutique[[#This Row],[return_reason]]="","No return",BBDD_fashion_boutique[[#This Row],[return_reason]])</f>
        <v>No return</v>
      </c>
      <c r="Y1396">
        <f>IF(IFERROR(VLOOKUP(BBDD_fashion_boutique[[#This Row],[product_id]],A1397:A3572,1,FALSE),0),1,0)</f>
        <v>0</v>
      </c>
    </row>
    <row r="1397" spans="1:25" x14ac:dyDescent="0.3">
      <c r="A1397" t="s">
        <v>1456</v>
      </c>
      <c r="B1397" t="s">
        <v>35</v>
      </c>
      <c r="C1397" t="s">
        <v>67</v>
      </c>
      <c r="D1397" t="s">
        <v>68</v>
      </c>
      <c r="E1397" t="s">
        <v>45</v>
      </c>
      <c r="F1397" t="str">
        <f>IF(BBDD_fashion_boutique[[#This Row],[category]]="Accessories","Accesorio",IF(BBDD_fashion_boutique[[#This Row],[size]]="","Desconocido",BBDD_fashion_boutique[[#This Row],[size]]))</f>
        <v>S</v>
      </c>
      <c r="G1397" t="s">
        <v>52</v>
      </c>
      <c r="H1397" s="2">
        <v>159.62</v>
      </c>
      <c r="I1397">
        <v>58.4</v>
      </c>
      <c r="J1397" s="5">
        <f>BBDD_fashion_boutique[[#This Row],[markdown_percentage]]/100</f>
        <v>0.58399999999999996</v>
      </c>
      <c r="K1397" s="2">
        <v>66.400000000000006</v>
      </c>
      <c r="L1397" s="2">
        <f>BBDD_fashion_boutique[[#This Row],[original_price]]-BBDD_fashion_boutique[[#This Row],[current_price]]</f>
        <v>93.22</v>
      </c>
      <c r="M1397" s="1">
        <v>45875</v>
      </c>
      <c r="N1397" s="1" t="str">
        <f>PROPER(TEXT(BBDD_fashion_boutique[[#This Row],[purchase_date]],"dddd"))</f>
        <v>Miércoles</v>
      </c>
      <c r="O1397" s="1" t="str">
        <f>PROPER(TEXT(BBDD_fashion_boutique[[#This Row],[purchase_date]],"mmmm"))</f>
        <v>Agosto</v>
      </c>
      <c r="P1397" s="4">
        <v>45</v>
      </c>
      <c r="Q1397" s="2">
        <v>1.1000000000000001</v>
      </c>
      <c r="R1397" t="str">
        <f>IF(BBDD_fashion_boutique[[#This Row],[stock_quantity]]&gt;9,"Ok",IF(BBDD_fashion_boutique[[#This Row],[stock_quantity]]=0,"Agotado","Pocas Unidades"))</f>
        <v>Ok</v>
      </c>
      <c r="S1397" s="3">
        <f>IF(BBDD_fashion_boutique[[#This Row],[customer_rating]]="","No valorado",BBDD_fashion_boutique[[#This Row],[customer_rating]])</f>
        <v>1.1000000000000001</v>
      </c>
      <c r="T1397" t="s">
        <v>24</v>
      </c>
      <c r="V1397">
        <f>IF(BBDD_fashion_boutique[[#This Row],[is_returned]]="False",0,1)</f>
        <v>0</v>
      </c>
      <c r="W1397">
        <f>IF(BBDD_fashion_boutique[[#This Row],[is_returned]]="True",0,BBDD_fashion_boutique[[#This Row],[current_price]])</f>
        <v>66.400000000000006</v>
      </c>
      <c r="X1397" t="str">
        <f>IF(BBDD_fashion_boutique[[#This Row],[return_reason]]="","No return",BBDD_fashion_boutique[[#This Row],[return_reason]])</f>
        <v>No return</v>
      </c>
      <c r="Y1397">
        <f>IF(IFERROR(VLOOKUP(BBDD_fashion_boutique[[#This Row],[product_id]],A1398:A3573,1,FALSE),0),1,0)</f>
        <v>0</v>
      </c>
    </row>
    <row r="1398" spans="1:25" x14ac:dyDescent="0.3">
      <c r="A1398" t="s">
        <v>1457</v>
      </c>
      <c r="B1398" t="s">
        <v>35</v>
      </c>
      <c r="C1398" t="s">
        <v>59</v>
      </c>
      <c r="D1398" t="s">
        <v>68</v>
      </c>
      <c r="E1398" t="s">
        <v>29</v>
      </c>
      <c r="F1398" t="str">
        <f>IF(BBDD_fashion_boutique[[#This Row],[category]]="Accessories","Accesorio",IF(BBDD_fashion_boutique[[#This Row],[size]]="","Desconocido",BBDD_fashion_boutique[[#This Row],[size]]))</f>
        <v>L</v>
      </c>
      <c r="G1398" t="s">
        <v>46</v>
      </c>
      <c r="H1398" s="2">
        <v>81.459999999999994</v>
      </c>
      <c r="I1398">
        <v>58.8</v>
      </c>
      <c r="J1398" s="5">
        <f>BBDD_fashion_boutique[[#This Row],[markdown_percentage]]/100</f>
        <v>0.58799999999999997</v>
      </c>
      <c r="K1398" s="2">
        <v>33.56</v>
      </c>
      <c r="L1398" s="2">
        <f>BBDD_fashion_boutique[[#This Row],[original_price]]-BBDD_fashion_boutique[[#This Row],[current_price]]</f>
        <v>47.899999999999991</v>
      </c>
      <c r="M1398" s="1">
        <v>45875</v>
      </c>
      <c r="N1398" s="1" t="str">
        <f>PROPER(TEXT(BBDD_fashion_boutique[[#This Row],[purchase_date]],"dddd"))</f>
        <v>Miércoles</v>
      </c>
      <c r="O1398" s="1" t="str">
        <f>PROPER(TEXT(BBDD_fashion_boutique[[#This Row],[purchase_date]],"mmmm"))</f>
        <v>Agosto</v>
      </c>
      <c r="P1398" s="4">
        <v>37</v>
      </c>
      <c r="Q1398" s="2">
        <v>4.5999999999999996</v>
      </c>
      <c r="R1398" t="str">
        <f>IF(BBDD_fashion_boutique[[#This Row],[stock_quantity]]&gt;9,"Ok",IF(BBDD_fashion_boutique[[#This Row],[stock_quantity]]=0,"Agotado","Pocas Unidades"))</f>
        <v>Ok</v>
      </c>
      <c r="S1398" s="3">
        <f>IF(BBDD_fashion_boutique[[#This Row],[customer_rating]]="","No valorado",BBDD_fashion_boutique[[#This Row],[customer_rating]])</f>
        <v>4.5999999999999996</v>
      </c>
      <c r="T1398" t="s">
        <v>24</v>
      </c>
      <c r="V1398">
        <f>IF(BBDD_fashion_boutique[[#This Row],[is_returned]]="False",0,1)</f>
        <v>0</v>
      </c>
      <c r="W1398">
        <f>IF(BBDD_fashion_boutique[[#This Row],[is_returned]]="True",0,BBDD_fashion_boutique[[#This Row],[current_price]])</f>
        <v>33.56</v>
      </c>
      <c r="X1398" t="str">
        <f>IF(BBDD_fashion_boutique[[#This Row],[return_reason]]="","No return",BBDD_fashion_boutique[[#This Row],[return_reason]])</f>
        <v>No return</v>
      </c>
      <c r="Y1398">
        <f>IF(IFERROR(VLOOKUP(BBDD_fashion_boutique[[#This Row],[product_id]],A1399:A3574,1,FALSE),0),1,0)</f>
        <v>0</v>
      </c>
    </row>
    <row r="1399" spans="1:25" x14ac:dyDescent="0.3">
      <c r="A1399" t="s">
        <v>1458</v>
      </c>
      <c r="B1399" t="s">
        <v>35</v>
      </c>
      <c r="C1399" t="s">
        <v>81</v>
      </c>
      <c r="D1399" t="s">
        <v>28</v>
      </c>
      <c r="E1399" t="s">
        <v>61</v>
      </c>
      <c r="F1399" t="str">
        <f>IF(BBDD_fashion_boutique[[#This Row],[category]]="Accessories","Accesorio",IF(BBDD_fashion_boutique[[#This Row],[size]]="","Desconocido",BBDD_fashion_boutique[[#This Row],[size]]))</f>
        <v>XS</v>
      </c>
      <c r="G1399" t="s">
        <v>40</v>
      </c>
      <c r="H1399" s="2">
        <v>93.63</v>
      </c>
      <c r="I1399">
        <v>0</v>
      </c>
      <c r="J1399" s="5">
        <f>BBDD_fashion_boutique[[#This Row],[markdown_percentage]]/100</f>
        <v>0</v>
      </c>
      <c r="K1399" s="2">
        <v>93.63</v>
      </c>
      <c r="L1399" s="2">
        <f>BBDD_fashion_boutique[[#This Row],[original_price]]-BBDD_fashion_boutique[[#This Row],[current_price]]</f>
        <v>0</v>
      </c>
      <c r="M1399" s="1">
        <v>45875</v>
      </c>
      <c r="N1399" s="1" t="str">
        <f>PROPER(TEXT(BBDD_fashion_boutique[[#This Row],[purchase_date]],"dddd"))</f>
        <v>Miércoles</v>
      </c>
      <c r="O1399" s="1" t="str">
        <f>PROPER(TEXT(BBDD_fashion_boutique[[#This Row],[purchase_date]],"mmmm"))</f>
        <v>Agosto</v>
      </c>
      <c r="P1399" s="4">
        <v>47</v>
      </c>
      <c r="Q1399" s="2">
        <v>4.0999999999999996</v>
      </c>
      <c r="R1399" t="str">
        <f>IF(BBDD_fashion_boutique[[#This Row],[stock_quantity]]&gt;9,"Ok",IF(BBDD_fashion_boutique[[#This Row],[stock_quantity]]=0,"Agotado","Pocas Unidades"))</f>
        <v>Ok</v>
      </c>
      <c r="S1399" s="3">
        <f>IF(BBDD_fashion_boutique[[#This Row],[customer_rating]]="","No valorado",BBDD_fashion_boutique[[#This Row],[customer_rating]])</f>
        <v>4.0999999999999996</v>
      </c>
      <c r="T1399" t="s">
        <v>24</v>
      </c>
      <c r="V1399">
        <f>IF(BBDD_fashion_boutique[[#This Row],[is_returned]]="False",0,1)</f>
        <v>0</v>
      </c>
      <c r="W1399">
        <f>IF(BBDD_fashion_boutique[[#This Row],[is_returned]]="True",0,BBDD_fashion_boutique[[#This Row],[current_price]])</f>
        <v>93.63</v>
      </c>
      <c r="X1399" t="str">
        <f>IF(BBDD_fashion_boutique[[#This Row],[return_reason]]="","No return",BBDD_fashion_boutique[[#This Row],[return_reason]])</f>
        <v>No return</v>
      </c>
      <c r="Y1399">
        <f>IF(IFERROR(VLOOKUP(BBDD_fashion_boutique[[#This Row],[product_id]],A1400:A3575,1,FALSE),0),1,0)</f>
        <v>0</v>
      </c>
    </row>
    <row r="1400" spans="1:25" x14ac:dyDescent="0.3">
      <c r="A1400" t="s">
        <v>1459</v>
      </c>
      <c r="B1400" t="s">
        <v>26</v>
      </c>
      <c r="C1400" t="s">
        <v>59</v>
      </c>
      <c r="D1400" t="s">
        <v>68</v>
      </c>
      <c r="E1400" t="s">
        <v>64</v>
      </c>
      <c r="F1400" t="str">
        <f>IF(BBDD_fashion_boutique[[#This Row],[category]]="Accessories","Accesorio",IF(BBDD_fashion_boutique[[#This Row],[size]]="","Desconocido",BBDD_fashion_boutique[[#This Row],[size]]))</f>
        <v>M</v>
      </c>
      <c r="G1400" t="s">
        <v>76</v>
      </c>
      <c r="H1400" s="2">
        <v>95.55</v>
      </c>
      <c r="I1400">
        <v>0</v>
      </c>
      <c r="J1400" s="5">
        <f>BBDD_fashion_boutique[[#This Row],[markdown_percentage]]/100</f>
        <v>0</v>
      </c>
      <c r="K1400" s="2">
        <v>95.55</v>
      </c>
      <c r="L1400" s="2">
        <f>BBDD_fashion_boutique[[#This Row],[original_price]]-BBDD_fashion_boutique[[#This Row],[current_price]]</f>
        <v>0</v>
      </c>
      <c r="M1400" s="1">
        <v>45875</v>
      </c>
      <c r="N1400" s="1" t="str">
        <f>PROPER(TEXT(BBDD_fashion_boutique[[#This Row],[purchase_date]],"dddd"))</f>
        <v>Miércoles</v>
      </c>
      <c r="O1400" s="1" t="str">
        <f>PROPER(TEXT(BBDD_fashion_boutique[[#This Row],[purchase_date]],"mmmm"))</f>
        <v>Agosto</v>
      </c>
      <c r="P1400" s="4">
        <v>25</v>
      </c>
      <c r="Q1400" s="2">
        <v>4.7</v>
      </c>
      <c r="R1400" t="str">
        <f>IF(BBDD_fashion_boutique[[#This Row],[stock_quantity]]&gt;9,"Ok",IF(BBDD_fashion_boutique[[#This Row],[stock_quantity]]=0,"Agotado","Pocas Unidades"))</f>
        <v>Ok</v>
      </c>
      <c r="S1400" s="3">
        <f>IF(BBDD_fashion_boutique[[#This Row],[customer_rating]]="","No valorado",BBDD_fashion_boutique[[#This Row],[customer_rating]])</f>
        <v>4.7</v>
      </c>
      <c r="T1400" t="s">
        <v>24</v>
      </c>
      <c r="V1400">
        <f>IF(BBDD_fashion_boutique[[#This Row],[is_returned]]="False",0,1)</f>
        <v>0</v>
      </c>
      <c r="W1400">
        <f>IF(BBDD_fashion_boutique[[#This Row],[is_returned]]="True",0,BBDD_fashion_boutique[[#This Row],[current_price]])</f>
        <v>95.55</v>
      </c>
      <c r="X1400" t="str">
        <f>IF(BBDD_fashion_boutique[[#This Row],[return_reason]]="","No return",BBDD_fashion_boutique[[#This Row],[return_reason]])</f>
        <v>No return</v>
      </c>
      <c r="Y1400">
        <f>IF(IFERROR(VLOOKUP(BBDD_fashion_boutique[[#This Row],[product_id]],A1401:A3576,1,FALSE),0),1,0)</f>
        <v>0</v>
      </c>
    </row>
    <row r="1401" spans="1:25" x14ac:dyDescent="0.3">
      <c r="A1401" t="s">
        <v>1460</v>
      </c>
      <c r="B1401" t="s">
        <v>19</v>
      </c>
      <c r="C1401" t="s">
        <v>20</v>
      </c>
      <c r="D1401" t="s">
        <v>28</v>
      </c>
      <c r="E1401" t="s">
        <v>64</v>
      </c>
      <c r="F1401" t="str">
        <f>IF(BBDD_fashion_boutique[[#This Row],[category]]="Accessories","Accesorio",IF(BBDD_fashion_boutique[[#This Row],[size]]="","Desconocido",BBDD_fashion_boutique[[#This Row],[size]]))</f>
        <v>M</v>
      </c>
      <c r="G1401" t="s">
        <v>40</v>
      </c>
      <c r="H1401" s="2">
        <v>146.44999999999999</v>
      </c>
      <c r="I1401">
        <v>0</v>
      </c>
      <c r="J1401" s="5">
        <f>BBDD_fashion_boutique[[#This Row],[markdown_percentage]]/100</f>
        <v>0</v>
      </c>
      <c r="K1401" s="2">
        <v>146.44999999999999</v>
      </c>
      <c r="L1401" s="2">
        <f>BBDD_fashion_boutique[[#This Row],[original_price]]-BBDD_fashion_boutique[[#This Row],[current_price]]</f>
        <v>0</v>
      </c>
      <c r="M1401" s="1">
        <v>45875</v>
      </c>
      <c r="N1401" s="1" t="str">
        <f>PROPER(TEXT(BBDD_fashion_boutique[[#This Row],[purchase_date]],"dddd"))</f>
        <v>Miércoles</v>
      </c>
      <c r="O1401" s="1" t="str">
        <f>PROPER(TEXT(BBDD_fashion_boutique[[#This Row],[purchase_date]],"mmmm"))</f>
        <v>Agosto</v>
      </c>
      <c r="P1401" s="4">
        <v>45</v>
      </c>
      <c r="Q1401" s="2">
        <v>3.4</v>
      </c>
      <c r="R1401" t="str">
        <f>IF(BBDD_fashion_boutique[[#This Row],[stock_quantity]]&gt;9,"Ok",IF(BBDD_fashion_boutique[[#This Row],[stock_quantity]]=0,"Agotado","Pocas Unidades"))</f>
        <v>Ok</v>
      </c>
      <c r="S1401" s="3">
        <f>IF(BBDD_fashion_boutique[[#This Row],[customer_rating]]="","No valorado",BBDD_fashion_boutique[[#This Row],[customer_rating]])</f>
        <v>3.4</v>
      </c>
      <c r="T1401" t="s">
        <v>24</v>
      </c>
      <c r="V1401">
        <f>IF(BBDD_fashion_boutique[[#This Row],[is_returned]]="False",0,1)</f>
        <v>0</v>
      </c>
      <c r="W1401">
        <f>IF(BBDD_fashion_boutique[[#This Row],[is_returned]]="True",0,BBDD_fashion_boutique[[#This Row],[current_price]])</f>
        <v>146.44999999999999</v>
      </c>
      <c r="X1401" t="str">
        <f>IF(BBDD_fashion_boutique[[#This Row],[return_reason]]="","No return",BBDD_fashion_boutique[[#This Row],[return_reason]])</f>
        <v>No return</v>
      </c>
      <c r="Y1401">
        <f>IF(IFERROR(VLOOKUP(BBDD_fashion_boutique[[#This Row],[product_id]],A1402:A3577,1,FALSE),0),1,0)</f>
        <v>0</v>
      </c>
    </row>
    <row r="1402" spans="1:25" x14ac:dyDescent="0.3">
      <c r="A1402" t="s">
        <v>1461</v>
      </c>
      <c r="B1402" t="s">
        <v>35</v>
      </c>
      <c r="C1402" t="s">
        <v>37</v>
      </c>
      <c r="D1402" t="s">
        <v>21</v>
      </c>
      <c r="E1402" t="s">
        <v>64</v>
      </c>
      <c r="F1402" t="str">
        <f>IF(BBDD_fashion_boutique[[#This Row],[category]]="Accessories","Accesorio",IF(BBDD_fashion_boutique[[#This Row],[size]]="","Desconocido",BBDD_fashion_boutique[[#This Row],[size]]))</f>
        <v>M</v>
      </c>
      <c r="G1402" t="s">
        <v>50</v>
      </c>
      <c r="H1402" s="2">
        <v>96.9</v>
      </c>
      <c r="I1402">
        <v>0</v>
      </c>
      <c r="J1402" s="5">
        <f>BBDD_fashion_boutique[[#This Row],[markdown_percentage]]/100</f>
        <v>0</v>
      </c>
      <c r="K1402" s="2">
        <v>96.9</v>
      </c>
      <c r="L1402" s="2">
        <f>BBDD_fashion_boutique[[#This Row],[original_price]]-BBDD_fashion_boutique[[#This Row],[current_price]]</f>
        <v>0</v>
      </c>
      <c r="M1402" s="1">
        <v>45691</v>
      </c>
      <c r="N1402" s="1" t="str">
        <f>PROPER(TEXT(BBDD_fashion_boutique[[#This Row],[purchase_date]],"dddd"))</f>
        <v>Lunes</v>
      </c>
      <c r="O1402" s="1" t="str">
        <f>PROPER(TEXT(BBDD_fashion_boutique[[#This Row],[purchase_date]],"mmmm"))</f>
        <v>Febrero</v>
      </c>
      <c r="P1402" s="4">
        <v>24</v>
      </c>
      <c r="Q1402" s="2">
        <v>4.3</v>
      </c>
      <c r="R1402" t="str">
        <f>IF(BBDD_fashion_boutique[[#This Row],[stock_quantity]]&gt;9,"Ok",IF(BBDD_fashion_boutique[[#This Row],[stock_quantity]]=0,"Agotado","Pocas Unidades"))</f>
        <v>Ok</v>
      </c>
      <c r="S1402" s="3">
        <f>IF(BBDD_fashion_boutique[[#This Row],[customer_rating]]="","No valorado",BBDD_fashion_boutique[[#This Row],[customer_rating]])</f>
        <v>4.3</v>
      </c>
      <c r="T1402" t="s">
        <v>24</v>
      </c>
      <c r="V1402">
        <f>IF(BBDD_fashion_boutique[[#This Row],[is_returned]]="False",0,1)</f>
        <v>0</v>
      </c>
      <c r="W1402">
        <f>IF(BBDD_fashion_boutique[[#This Row],[is_returned]]="True",0,BBDD_fashion_boutique[[#This Row],[current_price]])</f>
        <v>96.9</v>
      </c>
      <c r="X1402" t="str">
        <f>IF(BBDD_fashion_boutique[[#This Row],[return_reason]]="","No return",BBDD_fashion_boutique[[#This Row],[return_reason]])</f>
        <v>No return</v>
      </c>
      <c r="Y1402">
        <f>IF(IFERROR(VLOOKUP(BBDD_fashion_boutique[[#This Row],[product_id]],A1403:A3578,1,FALSE),0),1,0)</f>
        <v>0</v>
      </c>
    </row>
    <row r="1403" spans="1:25" x14ac:dyDescent="0.3">
      <c r="A1403" t="s">
        <v>1462</v>
      </c>
      <c r="B1403" t="s">
        <v>26</v>
      </c>
      <c r="C1403" t="s">
        <v>37</v>
      </c>
      <c r="D1403" t="s">
        <v>39</v>
      </c>
      <c r="E1403" t="s">
        <v>55</v>
      </c>
      <c r="F1403" t="str">
        <f>IF(BBDD_fashion_boutique[[#This Row],[category]]="Accessories","Accesorio",IF(BBDD_fashion_boutique[[#This Row],[size]]="","Desconocido",BBDD_fashion_boutique[[#This Row],[size]]))</f>
        <v>XXL</v>
      </c>
      <c r="G1403" t="s">
        <v>76</v>
      </c>
      <c r="H1403" s="2">
        <v>71.83</v>
      </c>
      <c r="I1403">
        <v>0</v>
      </c>
      <c r="J1403" s="5">
        <f>BBDD_fashion_boutique[[#This Row],[markdown_percentage]]/100</f>
        <v>0</v>
      </c>
      <c r="K1403" s="2">
        <v>71.83</v>
      </c>
      <c r="L1403" s="2">
        <f>BBDD_fashion_boutique[[#This Row],[original_price]]-BBDD_fashion_boutique[[#This Row],[current_price]]</f>
        <v>0</v>
      </c>
      <c r="M1403" s="1">
        <v>45875</v>
      </c>
      <c r="N1403" s="1" t="str">
        <f>PROPER(TEXT(BBDD_fashion_boutique[[#This Row],[purchase_date]],"dddd"))</f>
        <v>Miércoles</v>
      </c>
      <c r="O1403" s="1" t="str">
        <f>PROPER(TEXT(BBDD_fashion_boutique[[#This Row],[purchase_date]],"mmmm"))</f>
        <v>Agosto</v>
      </c>
      <c r="P1403" s="4">
        <v>46</v>
      </c>
      <c r="Q1403" s="2">
        <v>4.5</v>
      </c>
      <c r="R1403" t="str">
        <f>IF(BBDD_fashion_boutique[[#This Row],[stock_quantity]]&gt;9,"Ok",IF(BBDD_fashion_boutique[[#This Row],[stock_quantity]]=0,"Agotado","Pocas Unidades"))</f>
        <v>Ok</v>
      </c>
      <c r="S1403" s="3">
        <f>IF(BBDD_fashion_boutique[[#This Row],[customer_rating]]="","No valorado",BBDD_fashion_boutique[[#This Row],[customer_rating]])</f>
        <v>4.5</v>
      </c>
      <c r="T1403" t="s">
        <v>24</v>
      </c>
      <c r="V1403">
        <f>IF(BBDD_fashion_boutique[[#This Row],[is_returned]]="False",0,1)</f>
        <v>0</v>
      </c>
      <c r="W1403">
        <f>IF(BBDD_fashion_boutique[[#This Row],[is_returned]]="True",0,BBDD_fashion_boutique[[#This Row],[current_price]])</f>
        <v>71.83</v>
      </c>
      <c r="X1403" t="str">
        <f>IF(BBDD_fashion_boutique[[#This Row],[return_reason]]="","No return",BBDD_fashion_boutique[[#This Row],[return_reason]])</f>
        <v>No return</v>
      </c>
      <c r="Y1403">
        <f>IF(IFERROR(VLOOKUP(BBDD_fashion_boutique[[#This Row],[product_id]],A1404:A3579,1,FALSE),0),1,0)</f>
        <v>0</v>
      </c>
    </row>
    <row r="1404" spans="1:25" x14ac:dyDescent="0.3">
      <c r="A1404" t="s">
        <v>1463</v>
      </c>
      <c r="B1404" t="s">
        <v>26</v>
      </c>
      <c r="C1404" t="s">
        <v>54</v>
      </c>
      <c r="D1404" t="s">
        <v>68</v>
      </c>
      <c r="E1404" t="s">
        <v>29</v>
      </c>
      <c r="F1404" t="str">
        <f>IF(BBDD_fashion_boutique[[#This Row],[category]]="Accessories","Accesorio",IF(BBDD_fashion_boutique[[#This Row],[size]]="","Desconocido",BBDD_fashion_boutique[[#This Row],[size]]))</f>
        <v>L</v>
      </c>
      <c r="G1404" t="s">
        <v>70</v>
      </c>
      <c r="H1404" s="2">
        <v>29.17</v>
      </c>
      <c r="I1404">
        <v>0</v>
      </c>
      <c r="J1404" s="5">
        <f>BBDD_fashion_boutique[[#This Row],[markdown_percentage]]/100</f>
        <v>0</v>
      </c>
      <c r="K1404" s="2">
        <v>29.17</v>
      </c>
      <c r="L1404" s="2">
        <f>BBDD_fashion_boutique[[#This Row],[original_price]]-BBDD_fashion_boutique[[#This Row],[current_price]]</f>
        <v>0</v>
      </c>
      <c r="M1404" s="1">
        <v>45875</v>
      </c>
      <c r="N1404" s="1" t="str">
        <f>PROPER(TEXT(BBDD_fashion_boutique[[#This Row],[purchase_date]],"dddd"))</f>
        <v>Miércoles</v>
      </c>
      <c r="O1404" s="1" t="str">
        <f>PROPER(TEXT(BBDD_fashion_boutique[[#This Row],[purchase_date]],"mmmm"))</f>
        <v>Agosto</v>
      </c>
      <c r="P1404" s="4">
        <v>17</v>
      </c>
      <c r="Q1404" s="2">
        <v>1.6</v>
      </c>
      <c r="R1404" t="str">
        <f>IF(BBDD_fashion_boutique[[#This Row],[stock_quantity]]&gt;9,"Ok",IF(BBDD_fashion_boutique[[#This Row],[stock_quantity]]=0,"Agotado","Pocas Unidades"))</f>
        <v>Ok</v>
      </c>
      <c r="S1404" s="3">
        <f>IF(BBDD_fashion_boutique[[#This Row],[customer_rating]]="","No valorado",BBDD_fashion_boutique[[#This Row],[customer_rating]])</f>
        <v>1.6</v>
      </c>
      <c r="T1404" t="s">
        <v>24</v>
      </c>
      <c r="V1404">
        <f>IF(BBDD_fashion_boutique[[#This Row],[is_returned]]="False",0,1)</f>
        <v>0</v>
      </c>
      <c r="W1404">
        <f>IF(BBDD_fashion_boutique[[#This Row],[is_returned]]="True",0,BBDD_fashion_boutique[[#This Row],[current_price]])</f>
        <v>29.17</v>
      </c>
      <c r="X1404" t="str">
        <f>IF(BBDD_fashion_boutique[[#This Row],[return_reason]]="","No return",BBDD_fashion_boutique[[#This Row],[return_reason]])</f>
        <v>No return</v>
      </c>
      <c r="Y1404">
        <f>IF(IFERROR(VLOOKUP(BBDD_fashion_boutique[[#This Row],[product_id]],A1405:A3580,1,FALSE),0),1,0)</f>
        <v>0</v>
      </c>
    </row>
    <row r="1405" spans="1:25" x14ac:dyDescent="0.3">
      <c r="A1405" t="s">
        <v>1464</v>
      </c>
      <c r="B1405" t="s">
        <v>26</v>
      </c>
      <c r="C1405" t="s">
        <v>54</v>
      </c>
      <c r="D1405" t="s">
        <v>21</v>
      </c>
      <c r="E1405" t="s">
        <v>45</v>
      </c>
      <c r="F1405" t="str">
        <f>IF(BBDD_fashion_boutique[[#This Row],[category]]="Accessories","Accesorio",IF(BBDD_fashion_boutique[[#This Row],[size]]="","Desconocido",BBDD_fashion_boutique[[#This Row],[size]]))</f>
        <v>S</v>
      </c>
      <c r="G1405" t="s">
        <v>52</v>
      </c>
      <c r="H1405" s="2">
        <v>31.3</v>
      </c>
      <c r="I1405">
        <v>43.6</v>
      </c>
      <c r="J1405" s="5">
        <f>BBDD_fashion_boutique[[#This Row],[markdown_percentage]]/100</f>
        <v>0.436</v>
      </c>
      <c r="K1405" s="2">
        <v>17.649999999999999</v>
      </c>
      <c r="L1405" s="2">
        <f>BBDD_fashion_boutique[[#This Row],[original_price]]-BBDD_fashion_boutique[[#This Row],[current_price]]</f>
        <v>13.650000000000002</v>
      </c>
      <c r="M1405" s="1">
        <v>45722</v>
      </c>
      <c r="N1405" s="1" t="str">
        <f>PROPER(TEXT(BBDD_fashion_boutique[[#This Row],[purchase_date]],"dddd"))</f>
        <v>Jueves</v>
      </c>
      <c r="O1405" s="1" t="str">
        <f>PROPER(TEXT(BBDD_fashion_boutique[[#This Row],[purchase_date]],"mmmm"))</f>
        <v>Marzo</v>
      </c>
      <c r="P1405" s="4">
        <v>21</v>
      </c>
      <c r="Q1405" s="2">
        <v>4.4000000000000004</v>
      </c>
      <c r="R1405" t="str">
        <f>IF(BBDD_fashion_boutique[[#This Row],[stock_quantity]]&gt;9,"Ok",IF(BBDD_fashion_boutique[[#This Row],[stock_quantity]]=0,"Agotado","Pocas Unidades"))</f>
        <v>Ok</v>
      </c>
      <c r="S1405" s="3">
        <f>IF(BBDD_fashion_boutique[[#This Row],[customer_rating]]="","No valorado",BBDD_fashion_boutique[[#This Row],[customer_rating]])</f>
        <v>4.4000000000000004</v>
      </c>
      <c r="T1405" t="s">
        <v>24</v>
      </c>
      <c r="V1405">
        <f>IF(BBDD_fashion_boutique[[#This Row],[is_returned]]="False",0,1)</f>
        <v>0</v>
      </c>
      <c r="W1405">
        <f>IF(BBDD_fashion_boutique[[#This Row],[is_returned]]="True",0,BBDD_fashion_boutique[[#This Row],[current_price]])</f>
        <v>17.649999999999999</v>
      </c>
      <c r="X1405" t="str">
        <f>IF(BBDD_fashion_boutique[[#This Row],[return_reason]]="","No return",BBDD_fashion_boutique[[#This Row],[return_reason]])</f>
        <v>No return</v>
      </c>
      <c r="Y1405">
        <f>IF(IFERROR(VLOOKUP(BBDD_fashion_boutique[[#This Row],[product_id]],A1406:A3581,1,FALSE),0),1,0)</f>
        <v>0</v>
      </c>
    </row>
    <row r="1406" spans="1:25" x14ac:dyDescent="0.3">
      <c r="A1406" t="s">
        <v>1465</v>
      </c>
      <c r="B1406" t="s">
        <v>32</v>
      </c>
      <c r="C1406" t="s">
        <v>20</v>
      </c>
      <c r="D1406" t="s">
        <v>39</v>
      </c>
      <c r="F1406" t="str">
        <f>IF(BBDD_fashion_boutique[[#This Row],[category]]="Accessories","Accesorio",IF(BBDD_fashion_boutique[[#This Row],[size]]="","Desconocido",BBDD_fashion_boutique[[#This Row],[size]]))</f>
        <v>Accesorio</v>
      </c>
      <c r="G1406" t="s">
        <v>52</v>
      </c>
      <c r="H1406" s="2">
        <v>73.569999999999993</v>
      </c>
      <c r="I1406">
        <v>0</v>
      </c>
      <c r="J1406" s="5">
        <f>BBDD_fashion_boutique[[#This Row],[markdown_percentage]]/100</f>
        <v>0</v>
      </c>
      <c r="K1406" s="2">
        <v>73.569999999999993</v>
      </c>
      <c r="L1406" s="2">
        <f>BBDD_fashion_boutique[[#This Row],[original_price]]-BBDD_fashion_boutique[[#This Row],[current_price]]</f>
        <v>0</v>
      </c>
      <c r="M1406" s="1">
        <v>45875</v>
      </c>
      <c r="N1406" s="1" t="str">
        <f>PROPER(TEXT(BBDD_fashion_boutique[[#This Row],[purchase_date]],"dddd"))</f>
        <v>Miércoles</v>
      </c>
      <c r="O1406" s="1" t="str">
        <f>PROPER(TEXT(BBDD_fashion_boutique[[#This Row],[purchase_date]],"mmmm"))</f>
        <v>Agosto</v>
      </c>
      <c r="P1406" s="4">
        <v>22</v>
      </c>
      <c r="Q1406" s="2">
        <v>1.1000000000000001</v>
      </c>
      <c r="R1406" t="str">
        <f>IF(BBDD_fashion_boutique[[#This Row],[stock_quantity]]&gt;9,"Ok",IF(BBDD_fashion_boutique[[#This Row],[stock_quantity]]=0,"Agotado","Pocas Unidades"))</f>
        <v>Ok</v>
      </c>
      <c r="S1406" s="3">
        <f>IF(BBDD_fashion_boutique[[#This Row],[customer_rating]]="","No valorado",BBDD_fashion_boutique[[#This Row],[customer_rating]])</f>
        <v>1.1000000000000001</v>
      </c>
      <c r="T1406" t="s">
        <v>24</v>
      </c>
      <c r="V1406">
        <f>IF(BBDD_fashion_boutique[[#This Row],[is_returned]]="False",0,1)</f>
        <v>0</v>
      </c>
      <c r="W1406">
        <f>IF(BBDD_fashion_boutique[[#This Row],[is_returned]]="True",0,BBDD_fashion_boutique[[#This Row],[current_price]])</f>
        <v>73.569999999999993</v>
      </c>
      <c r="X1406" t="str">
        <f>IF(BBDD_fashion_boutique[[#This Row],[return_reason]]="","No return",BBDD_fashion_boutique[[#This Row],[return_reason]])</f>
        <v>No return</v>
      </c>
      <c r="Y1406">
        <f>IF(IFERROR(VLOOKUP(BBDD_fashion_boutique[[#This Row],[product_id]],A1407:A3582,1,FALSE),0),1,0)</f>
        <v>0</v>
      </c>
    </row>
    <row r="1407" spans="1:25" x14ac:dyDescent="0.3">
      <c r="A1407" t="s">
        <v>1466</v>
      </c>
      <c r="B1407" t="s">
        <v>35</v>
      </c>
      <c r="C1407" t="s">
        <v>49</v>
      </c>
      <c r="D1407" t="s">
        <v>68</v>
      </c>
      <c r="F1407" t="str">
        <f>IF(BBDD_fashion_boutique[[#This Row],[category]]="Accessories","Accesorio",IF(BBDD_fashion_boutique[[#This Row],[size]]="","Desconocido",BBDD_fashion_boutique[[#This Row],[size]]))</f>
        <v>Desconocido</v>
      </c>
      <c r="G1407" t="s">
        <v>30</v>
      </c>
      <c r="H1407" s="2">
        <v>75.95</v>
      </c>
      <c r="I1407">
        <v>0</v>
      </c>
      <c r="J1407" s="5">
        <f>BBDD_fashion_boutique[[#This Row],[markdown_percentage]]/100</f>
        <v>0</v>
      </c>
      <c r="K1407" s="2">
        <v>75.95</v>
      </c>
      <c r="L1407" s="2">
        <f>BBDD_fashion_boutique[[#This Row],[original_price]]-BBDD_fashion_boutique[[#This Row],[current_price]]</f>
        <v>0</v>
      </c>
      <c r="M1407" s="1">
        <v>45875</v>
      </c>
      <c r="N1407" s="1" t="str">
        <f>PROPER(TEXT(BBDD_fashion_boutique[[#This Row],[purchase_date]],"dddd"))</f>
        <v>Miércoles</v>
      </c>
      <c r="O1407" s="1" t="str">
        <f>PROPER(TEXT(BBDD_fashion_boutique[[#This Row],[purchase_date]],"mmmm"))</f>
        <v>Agosto</v>
      </c>
      <c r="P1407" s="4">
        <v>14</v>
      </c>
      <c r="R1407" t="str">
        <f>IF(BBDD_fashion_boutique[[#This Row],[stock_quantity]]&gt;9,"Ok",IF(BBDD_fashion_boutique[[#This Row],[stock_quantity]]=0,"Agotado","Pocas Unidades"))</f>
        <v>Ok</v>
      </c>
      <c r="S1407" s="3" t="str">
        <f>IF(BBDD_fashion_boutique[[#This Row],[customer_rating]]="","No valorado",BBDD_fashion_boutique[[#This Row],[customer_rating]])</f>
        <v>No valorado</v>
      </c>
      <c r="T1407" t="s">
        <v>24</v>
      </c>
      <c r="V1407">
        <f>IF(BBDD_fashion_boutique[[#This Row],[is_returned]]="False",0,1)</f>
        <v>0</v>
      </c>
      <c r="W1407">
        <f>IF(BBDD_fashion_boutique[[#This Row],[is_returned]]="True",0,BBDD_fashion_boutique[[#This Row],[current_price]])</f>
        <v>75.95</v>
      </c>
      <c r="X1407" t="str">
        <f>IF(BBDD_fashion_boutique[[#This Row],[return_reason]]="","No return",BBDD_fashion_boutique[[#This Row],[return_reason]])</f>
        <v>No return</v>
      </c>
      <c r="Y1407">
        <f>IF(IFERROR(VLOOKUP(BBDD_fashion_boutique[[#This Row],[product_id]],A1408:A3583,1,FALSE),0),1,0)</f>
        <v>0</v>
      </c>
    </row>
    <row r="1408" spans="1:25" x14ac:dyDescent="0.3">
      <c r="A1408" t="s">
        <v>1467</v>
      </c>
      <c r="B1408" t="s">
        <v>32</v>
      </c>
      <c r="C1408" t="s">
        <v>54</v>
      </c>
      <c r="D1408" t="s">
        <v>21</v>
      </c>
      <c r="F1408" t="str">
        <f>IF(BBDD_fashion_boutique[[#This Row],[category]]="Accessories","Accesorio",IF(BBDD_fashion_boutique[[#This Row],[size]]="","Desconocido",BBDD_fashion_boutique[[#This Row],[size]]))</f>
        <v>Accesorio</v>
      </c>
      <c r="G1408" t="s">
        <v>52</v>
      </c>
      <c r="H1408" s="2">
        <v>79.040000000000006</v>
      </c>
      <c r="I1408">
        <v>0</v>
      </c>
      <c r="J1408" s="5">
        <f>BBDD_fashion_boutique[[#This Row],[markdown_percentage]]/100</f>
        <v>0</v>
      </c>
      <c r="K1408" s="2">
        <v>79.040000000000006</v>
      </c>
      <c r="L1408" s="2">
        <f>BBDD_fashion_boutique[[#This Row],[original_price]]-BBDD_fashion_boutique[[#This Row],[current_price]]</f>
        <v>0</v>
      </c>
      <c r="M1408" s="1">
        <v>45568</v>
      </c>
      <c r="N1408" s="1" t="str">
        <f>PROPER(TEXT(BBDD_fashion_boutique[[#This Row],[purchase_date]],"dddd"))</f>
        <v>Jueves</v>
      </c>
      <c r="O1408" s="1" t="str">
        <f>PROPER(TEXT(BBDD_fashion_boutique[[#This Row],[purchase_date]],"mmmm"))</f>
        <v>Octubre</v>
      </c>
      <c r="P1408" s="4">
        <v>28</v>
      </c>
      <c r="Q1408" s="2">
        <v>4.7</v>
      </c>
      <c r="R1408" t="str">
        <f>IF(BBDD_fashion_boutique[[#This Row],[stock_quantity]]&gt;9,"Ok",IF(BBDD_fashion_boutique[[#This Row],[stock_quantity]]=0,"Agotado","Pocas Unidades"))</f>
        <v>Ok</v>
      </c>
      <c r="S1408" s="3">
        <f>IF(BBDD_fashion_boutique[[#This Row],[customer_rating]]="","No valorado",BBDD_fashion_boutique[[#This Row],[customer_rating]])</f>
        <v>4.7</v>
      </c>
      <c r="T1408" t="s">
        <v>24</v>
      </c>
      <c r="V1408">
        <f>IF(BBDD_fashion_boutique[[#This Row],[is_returned]]="False",0,1)</f>
        <v>0</v>
      </c>
      <c r="W1408">
        <f>IF(BBDD_fashion_boutique[[#This Row],[is_returned]]="True",0,BBDD_fashion_boutique[[#This Row],[current_price]])</f>
        <v>79.040000000000006</v>
      </c>
      <c r="X1408" t="str">
        <f>IF(BBDD_fashion_boutique[[#This Row],[return_reason]]="","No return",BBDD_fashion_boutique[[#This Row],[return_reason]])</f>
        <v>No return</v>
      </c>
      <c r="Y1408">
        <f>IF(IFERROR(VLOOKUP(BBDD_fashion_boutique[[#This Row],[product_id]],A1409:A3584,1,FALSE),0),1,0)</f>
        <v>0</v>
      </c>
    </row>
    <row r="1409" spans="1:25" x14ac:dyDescent="0.3">
      <c r="A1409" t="s">
        <v>1468</v>
      </c>
      <c r="B1409" t="s">
        <v>26</v>
      </c>
      <c r="C1409" t="s">
        <v>49</v>
      </c>
      <c r="D1409" t="s">
        <v>39</v>
      </c>
      <c r="E1409" t="s">
        <v>29</v>
      </c>
      <c r="F1409" t="str">
        <f>IF(BBDD_fashion_boutique[[#This Row],[category]]="Accessories","Accesorio",IF(BBDD_fashion_boutique[[#This Row],[size]]="","Desconocido",BBDD_fashion_boutique[[#This Row],[size]]))</f>
        <v>L</v>
      </c>
      <c r="G1409" t="s">
        <v>40</v>
      </c>
      <c r="H1409" s="2">
        <v>26.85</v>
      </c>
      <c r="I1409">
        <v>0</v>
      </c>
      <c r="J1409" s="5">
        <f>BBDD_fashion_boutique[[#This Row],[markdown_percentage]]/100</f>
        <v>0</v>
      </c>
      <c r="K1409" s="2">
        <v>26.85</v>
      </c>
      <c r="L1409" s="2">
        <f>BBDD_fashion_boutique[[#This Row],[original_price]]-BBDD_fashion_boutique[[#This Row],[current_price]]</f>
        <v>0</v>
      </c>
      <c r="M1409" s="1">
        <v>45875</v>
      </c>
      <c r="N1409" s="1" t="str">
        <f>PROPER(TEXT(BBDD_fashion_boutique[[#This Row],[purchase_date]],"dddd"))</f>
        <v>Miércoles</v>
      </c>
      <c r="O1409" s="1" t="str">
        <f>PROPER(TEXT(BBDD_fashion_boutique[[#This Row],[purchase_date]],"mmmm"))</f>
        <v>Agosto</v>
      </c>
      <c r="P1409" s="4">
        <v>26</v>
      </c>
      <c r="R1409" t="str">
        <f>IF(BBDD_fashion_boutique[[#This Row],[stock_quantity]]&gt;9,"Ok",IF(BBDD_fashion_boutique[[#This Row],[stock_quantity]]=0,"Agotado","Pocas Unidades"))</f>
        <v>Ok</v>
      </c>
      <c r="S1409" s="3" t="str">
        <f>IF(BBDD_fashion_boutique[[#This Row],[customer_rating]]="","No valorado",BBDD_fashion_boutique[[#This Row],[customer_rating]])</f>
        <v>No valorado</v>
      </c>
      <c r="T1409" t="s">
        <v>24</v>
      </c>
      <c r="V1409">
        <f>IF(BBDD_fashion_boutique[[#This Row],[is_returned]]="False",0,1)</f>
        <v>0</v>
      </c>
      <c r="W1409">
        <f>IF(BBDD_fashion_boutique[[#This Row],[is_returned]]="True",0,BBDD_fashion_boutique[[#This Row],[current_price]])</f>
        <v>26.85</v>
      </c>
      <c r="X1409" t="str">
        <f>IF(BBDD_fashion_boutique[[#This Row],[return_reason]]="","No return",BBDD_fashion_boutique[[#This Row],[return_reason]])</f>
        <v>No return</v>
      </c>
      <c r="Y1409">
        <f>IF(IFERROR(VLOOKUP(BBDD_fashion_boutique[[#This Row],[product_id]],A1410:A3585,1,FALSE),0),1,0)</f>
        <v>0</v>
      </c>
    </row>
    <row r="1410" spans="1:25" x14ac:dyDescent="0.3">
      <c r="A1410" t="s">
        <v>1469</v>
      </c>
      <c r="B1410" t="s">
        <v>48</v>
      </c>
      <c r="C1410" t="s">
        <v>59</v>
      </c>
      <c r="D1410" t="s">
        <v>21</v>
      </c>
      <c r="E1410" t="s">
        <v>29</v>
      </c>
      <c r="F1410" t="str">
        <f>IF(BBDD_fashion_boutique[[#This Row],[category]]="Accessories","Accesorio",IF(BBDD_fashion_boutique[[#This Row],[size]]="","Desconocido",BBDD_fashion_boutique[[#This Row],[size]]))</f>
        <v>L</v>
      </c>
      <c r="G1410" t="s">
        <v>46</v>
      </c>
      <c r="H1410" s="2">
        <v>126.21</v>
      </c>
      <c r="I1410">
        <v>29.2</v>
      </c>
      <c r="J1410" s="5">
        <f>BBDD_fashion_boutique[[#This Row],[markdown_percentage]]/100</f>
        <v>0.29199999999999998</v>
      </c>
      <c r="K1410" s="2">
        <v>89.36</v>
      </c>
      <c r="L1410" s="2">
        <f>BBDD_fashion_boutique[[#This Row],[original_price]]-BBDD_fashion_boutique[[#This Row],[current_price]]</f>
        <v>36.849999999999994</v>
      </c>
      <c r="M1410" s="1">
        <v>45519</v>
      </c>
      <c r="N1410" s="1" t="str">
        <f>PROPER(TEXT(BBDD_fashion_boutique[[#This Row],[purchase_date]],"dddd"))</f>
        <v>Jueves</v>
      </c>
      <c r="O1410" s="1" t="str">
        <f>PROPER(TEXT(BBDD_fashion_boutique[[#This Row],[purchase_date]],"mmmm"))</f>
        <v>Agosto</v>
      </c>
      <c r="P1410" s="4">
        <v>25</v>
      </c>
      <c r="Q1410" s="2">
        <v>1.1000000000000001</v>
      </c>
      <c r="R1410" t="str">
        <f>IF(BBDD_fashion_boutique[[#This Row],[stock_quantity]]&gt;9,"Ok",IF(BBDD_fashion_boutique[[#This Row],[stock_quantity]]=0,"Agotado","Pocas Unidades"))</f>
        <v>Ok</v>
      </c>
      <c r="S1410" s="3">
        <f>IF(BBDD_fashion_boutique[[#This Row],[customer_rating]]="","No valorado",BBDD_fashion_boutique[[#This Row],[customer_rating]])</f>
        <v>1.1000000000000001</v>
      </c>
      <c r="T1410" t="s">
        <v>24</v>
      </c>
      <c r="V1410">
        <f>IF(BBDD_fashion_boutique[[#This Row],[is_returned]]="False",0,1)</f>
        <v>0</v>
      </c>
      <c r="W1410">
        <f>IF(BBDD_fashion_boutique[[#This Row],[is_returned]]="True",0,BBDD_fashion_boutique[[#This Row],[current_price]])</f>
        <v>89.36</v>
      </c>
      <c r="X1410" t="str">
        <f>IF(BBDD_fashion_boutique[[#This Row],[return_reason]]="","No return",BBDD_fashion_boutique[[#This Row],[return_reason]])</f>
        <v>No return</v>
      </c>
      <c r="Y1410">
        <f>IF(IFERROR(VLOOKUP(BBDD_fashion_boutique[[#This Row],[product_id]],A1411:A3586,1,FALSE),0),1,0)</f>
        <v>0</v>
      </c>
    </row>
    <row r="1411" spans="1:25" x14ac:dyDescent="0.3">
      <c r="A1411" t="s">
        <v>1470</v>
      </c>
      <c r="B1411" t="s">
        <v>35</v>
      </c>
      <c r="C1411" t="s">
        <v>49</v>
      </c>
      <c r="D1411" t="s">
        <v>39</v>
      </c>
      <c r="E1411" t="s">
        <v>45</v>
      </c>
      <c r="F1411" t="str">
        <f>IF(BBDD_fashion_boutique[[#This Row],[category]]="Accessories","Accesorio",IF(BBDD_fashion_boutique[[#This Row],[size]]="","Desconocido",BBDD_fashion_boutique[[#This Row],[size]]))</f>
        <v>S</v>
      </c>
      <c r="G1411" t="s">
        <v>70</v>
      </c>
      <c r="H1411" s="2">
        <v>71.459999999999994</v>
      </c>
      <c r="I1411">
        <v>0</v>
      </c>
      <c r="J1411" s="5">
        <f>BBDD_fashion_boutique[[#This Row],[markdown_percentage]]/100</f>
        <v>0</v>
      </c>
      <c r="K1411" s="2">
        <v>71.459999999999994</v>
      </c>
      <c r="L1411" s="2">
        <f>BBDD_fashion_boutique[[#This Row],[original_price]]-BBDD_fashion_boutique[[#This Row],[current_price]]</f>
        <v>0</v>
      </c>
      <c r="M1411" s="1">
        <v>45875</v>
      </c>
      <c r="N1411" s="1" t="str">
        <f>PROPER(TEXT(BBDD_fashion_boutique[[#This Row],[purchase_date]],"dddd"))</f>
        <v>Miércoles</v>
      </c>
      <c r="O1411" s="1" t="str">
        <f>PROPER(TEXT(BBDD_fashion_boutique[[#This Row],[purchase_date]],"mmmm"))</f>
        <v>Agosto</v>
      </c>
      <c r="P1411" s="4">
        <v>2</v>
      </c>
      <c r="Q1411" s="2">
        <v>3.1</v>
      </c>
      <c r="R1411" t="str">
        <f>IF(BBDD_fashion_boutique[[#This Row],[stock_quantity]]&gt;9,"Ok",IF(BBDD_fashion_boutique[[#This Row],[stock_quantity]]=0,"Agotado","Pocas Unidades"))</f>
        <v>Pocas Unidades</v>
      </c>
      <c r="S1411" s="3">
        <f>IF(BBDD_fashion_boutique[[#This Row],[customer_rating]]="","No valorado",BBDD_fashion_boutique[[#This Row],[customer_rating]])</f>
        <v>3.1</v>
      </c>
      <c r="T1411" t="s">
        <v>24</v>
      </c>
      <c r="V1411">
        <f>IF(BBDD_fashion_boutique[[#This Row],[is_returned]]="False",0,1)</f>
        <v>0</v>
      </c>
      <c r="W1411">
        <f>IF(BBDD_fashion_boutique[[#This Row],[is_returned]]="True",0,BBDD_fashion_boutique[[#This Row],[current_price]])</f>
        <v>71.459999999999994</v>
      </c>
      <c r="X1411" t="str">
        <f>IF(BBDD_fashion_boutique[[#This Row],[return_reason]]="","No return",BBDD_fashion_boutique[[#This Row],[return_reason]])</f>
        <v>No return</v>
      </c>
      <c r="Y1411">
        <f>IF(IFERROR(VLOOKUP(BBDD_fashion_boutique[[#This Row],[product_id]],A1412:A3587,1,FALSE),0),1,0)</f>
        <v>0</v>
      </c>
    </row>
    <row r="1412" spans="1:25" x14ac:dyDescent="0.3">
      <c r="A1412" t="s">
        <v>1471</v>
      </c>
      <c r="B1412" t="s">
        <v>48</v>
      </c>
      <c r="C1412" t="s">
        <v>49</v>
      </c>
      <c r="D1412" t="s">
        <v>28</v>
      </c>
      <c r="E1412" t="s">
        <v>64</v>
      </c>
      <c r="F1412" t="str">
        <f>IF(BBDD_fashion_boutique[[#This Row],[category]]="Accessories","Accesorio",IF(BBDD_fashion_boutique[[#This Row],[size]]="","Desconocido",BBDD_fashion_boutique[[#This Row],[size]]))</f>
        <v>M</v>
      </c>
      <c r="G1412" t="s">
        <v>62</v>
      </c>
      <c r="H1412" s="2">
        <v>65.069999999999993</v>
      </c>
      <c r="I1412">
        <v>14.8</v>
      </c>
      <c r="J1412" s="5">
        <f>BBDD_fashion_boutique[[#This Row],[markdown_percentage]]/100</f>
        <v>0.14800000000000002</v>
      </c>
      <c r="K1412" s="2">
        <v>55.44</v>
      </c>
      <c r="L1412" s="2">
        <f>BBDD_fashion_boutique[[#This Row],[original_price]]-BBDD_fashion_boutique[[#This Row],[current_price]]</f>
        <v>9.6299999999999955</v>
      </c>
      <c r="M1412" s="1">
        <v>45875</v>
      </c>
      <c r="N1412" s="1" t="str">
        <f>PROPER(TEXT(BBDD_fashion_boutique[[#This Row],[purchase_date]],"dddd"))</f>
        <v>Miércoles</v>
      </c>
      <c r="O1412" s="1" t="str">
        <f>PROPER(TEXT(BBDD_fashion_boutique[[#This Row],[purchase_date]],"mmmm"))</f>
        <v>Agosto</v>
      </c>
      <c r="P1412" s="4">
        <v>21</v>
      </c>
      <c r="R1412" t="str">
        <f>IF(BBDD_fashion_boutique[[#This Row],[stock_quantity]]&gt;9,"Ok",IF(BBDD_fashion_boutique[[#This Row],[stock_quantity]]=0,"Agotado","Pocas Unidades"))</f>
        <v>Ok</v>
      </c>
      <c r="S1412" s="3" t="str">
        <f>IF(BBDD_fashion_boutique[[#This Row],[customer_rating]]="","No valorado",BBDD_fashion_boutique[[#This Row],[customer_rating]])</f>
        <v>No valorado</v>
      </c>
      <c r="T1412" t="s">
        <v>24</v>
      </c>
      <c r="V1412">
        <f>IF(BBDD_fashion_boutique[[#This Row],[is_returned]]="False",0,1)</f>
        <v>0</v>
      </c>
      <c r="W1412">
        <f>IF(BBDD_fashion_boutique[[#This Row],[is_returned]]="True",0,BBDD_fashion_boutique[[#This Row],[current_price]])</f>
        <v>55.44</v>
      </c>
      <c r="X1412" t="str">
        <f>IF(BBDD_fashion_boutique[[#This Row],[return_reason]]="","No return",BBDD_fashion_boutique[[#This Row],[return_reason]])</f>
        <v>No return</v>
      </c>
      <c r="Y1412">
        <f>IF(IFERROR(VLOOKUP(BBDD_fashion_boutique[[#This Row],[product_id]],A1413:A3588,1,FALSE),0),1,0)</f>
        <v>0</v>
      </c>
    </row>
    <row r="1413" spans="1:25" x14ac:dyDescent="0.3">
      <c r="A1413" t="s">
        <v>1472</v>
      </c>
      <c r="B1413" t="s">
        <v>44</v>
      </c>
      <c r="C1413" t="s">
        <v>49</v>
      </c>
      <c r="D1413" t="s">
        <v>39</v>
      </c>
      <c r="E1413" t="s">
        <v>22</v>
      </c>
      <c r="F1413" t="str">
        <f>IF(BBDD_fashion_boutique[[#This Row],[category]]="Accessories","Accesorio",IF(BBDD_fashion_boutique[[#This Row],[size]]="","Desconocido",BBDD_fashion_boutique[[#This Row],[size]]))</f>
        <v>XL</v>
      </c>
      <c r="G1413" t="s">
        <v>30</v>
      </c>
      <c r="H1413" s="2">
        <v>28.11</v>
      </c>
      <c r="I1413">
        <v>20.9</v>
      </c>
      <c r="J1413" s="5">
        <f>BBDD_fashion_boutique[[#This Row],[markdown_percentage]]/100</f>
        <v>0.20899999999999999</v>
      </c>
      <c r="K1413" s="2">
        <v>22.24</v>
      </c>
      <c r="L1413" s="2">
        <f>BBDD_fashion_boutique[[#This Row],[original_price]]-BBDD_fashion_boutique[[#This Row],[current_price]]</f>
        <v>5.870000000000001</v>
      </c>
      <c r="M1413" s="1">
        <v>45875</v>
      </c>
      <c r="N1413" s="1" t="str">
        <f>PROPER(TEXT(BBDD_fashion_boutique[[#This Row],[purchase_date]],"dddd"))</f>
        <v>Miércoles</v>
      </c>
      <c r="O1413" s="1" t="str">
        <f>PROPER(TEXT(BBDD_fashion_boutique[[#This Row],[purchase_date]],"mmmm"))</f>
        <v>Agosto</v>
      </c>
      <c r="P1413" s="4">
        <v>6</v>
      </c>
      <c r="Q1413" s="2">
        <v>2.2999999999999998</v>
      </c>
      <c r="R1413" t="str">
        <f>IF(BBDD_fashion_boutique[[#This Row],[stock_quantity]]&gt;9,"Ok",IF(BBDD_fashion_boutique[[#This Row],[stock_quantity]]=0,"Agotado","Pocas Unidades"))</f>
        <v>Pocas Unidades</v>
      </c>
      <c r="S1413" s="3">
        <f>IF(BBDD_fashion_boutique[[#This Row],[customer_rating]]="","No valorado",BBDD_fashion_boutique[[#This Row],[customer_rating]])</f>
        <v>2.2999999999999998</v>
      </c>
      <c r="T1413" t="s">
        <v>24</v>
      </c>
      <c r="V1413">
        <f>IF(BBDD_fashion_boutique[[#This Row],[is_returned]]="False",0,1)</f>
        <v>0</v>
      </c>
      <c r="W1413">
        <f>IF(BBDD_fashion_boutique[[#This Row],[is_returned]]="True",0,BBDD_fashion_boutique[[#This Row],[current_price]])</f>
        <v>22.24</v>
      </c>
      <c r="X1413" t="str">
        <f>IF(BBDD_fashion_boutique[[#This Row],[return_reason]]="","No return",BBDD_fashion_boutique[[#This Row],[return_reason]])</f>
        <v>No return</v>
      </c>
      <c r="Y1413">
        <f>IF(IFERROR(VLOOKUP(BBDD_fashion_boutique[[#This Row],[product_id]],A1414:A3589,1,FALSE),0),1,0)</f>
        <v>0</v>
      </c>
    </row>
    <row r="1414" spans="1:25" x14ac:dyDescent="0.3">
      <c r="A1414" t="s">
        <v>1473</v>
      </c>
      <c r="B1414" t="s">
        <v>26</v>
      </c>
      <c r="C1414" t="s">
        <v>54</v>
      </c>
      <c r="D1414" t="s">
        <v>21</v>
      </c>
      <c r="E1414" t="s">
        <v>29</v>
      </c>
      <c r="F1414" t="str">
        <f>IF(BBDD_fashion_boutique[[#This Row],[category]]="Accessories","Accesorio",IF(BBDD_fashion_boutique[[#This Row],[size]]="","Desconocido",BBDD_fashion_boutique[[#This Row],[size]]))</f>
        <v>L</v>
      </c>
      <c r="G1414" t="s">
        <v>52</v>
      </c>
      <c r="H1414" s="2">
        <v>29.12</v>
      </c>
      <c r="I1414">
        <v>0</v>
      </c>
      <c r="J1414" s="5">
        <f>BBDD_fashion_boutique[[#This Row],[markdown_percentage]]/100</f>
        <v>0</v>
      </c>
      <c r="K1414" s="2">
        <v>29.12</v>
      </c>
      <c r="L1414" s="2">
        <f>BBDD_fashion_boutique[[#This Row],[original_price]]-BBDD_fashion_boutique[[#This Row],[current_price]]</f>
        <v>0</v>
      </c>
      <c r="M1414" s="1">
        <v>45741</v>
      </c>
      <c r="N1414" s="1" t="str">
        <f>PROPER(TEXT(BBDD_fashion_boutique[[#This Row],[purchase_date]],"dddd"))</f>
        <v>Martes</v>
      </c>
      <c r="O1414" s="1" t="str">
        <f>PROPER(TEXT(BBDD_fashion_boutique[[#This Row],[purchase_date]],"mmmm"))</f>
        <v>Marzo</v>
      </c>
      <c r="P1414" s="4">
        <v>14</v>
      </c>
      <c r="Q1414" s="2">
        <v>2.7</v>
      </c>
      <c r="R1414" t="str">
        <f>IF(BBDD_fashion_boutique[[#This Row],[stock_quantity]]&gt;9,"Ok",IF(BBDD_fashion_boutique[[#This Row],[stock_quantity]]=0,"Agotado","Pocas Unidades"))</f>
        <v>Ok</v>
      </c>
      <c r="S1414" s="3">
        <f>IF(BBDD_fashion_boutique[[#This Row],[customer_rating]]="","No valorado",BBDD_fashion_boutique[[#This Row],[customer_rating]])</f>
        <v>2.7</v>
      </c>
      <c r="T1414" t="s">
        <v>24</v>
      </c>
      <c r="V1414">
        <f>IF(BBDD_fashion_boutique[[#This Row],[is_returned]]="False",0,1)</f>
        <v>0</v>
      </c>
      <c r="W1414">
        <f>IF(BBDD_fashion_boutique[[#This Row],[is_returned]]="True",0,BBDD_fashion_boutique[[#This Row],[current_price]])</f>
        <v>29.12</v>
      </c>
      <c r="X1414" t="str">
        <f>IF(BBDD_fashion_boutique[[#This Row],[return_reason]]="","No return",BBDD_fashion_boutique[[#This Row],[return_reason]])</f>
        <v>No return</v>
      </c>
      <c r="Y1414">
        <f>IF(IFERROR(VLOOKUP(BBDD_fashion_boutique[[#This Row],[product_id]],A1415:A3590,1,FALSE),0),1,0)</f>
        <v>0</v>
      </c>
    </row>
    <row r="1415" spans="1:25" x14ac:dyDescent="0.3">
      <c r="A1415" t="s">
        <v>1474</v>
      </c>
      <c r="B1415" t="s">
        <v>32</v>
      </c>
      <c r="C1415" t="s">
        <v>81</v>
      </c>
      <c r="D1415" t="s">
        <v>28</v>
      </c>
      <c r="F1415" t="str">
        <f>IF(BBDD_fashion_boutique[[#This Row],[category]]="Accessories","Accesorio",IF(BBDD_fashion_boutique[[#This Row],[size]]="","Desconocido",BBDD_fashion_boutique[[#This Row],[size]]))</f>
        <v>Accesorio</v>
      </c>
      <c r="G1415" t="s">
        <v>33</v>
      </c>
      <c r="H1415" s="2">
        <v>57.1</v>
      </c>
      <c r="I1415">
        <v>0</v>
      </c>
      <c r="J1415" s="5">
        <f>BBDD_fashion_boutique[[#This Row],[markdown_percentage]]/100</f>
        <v>0</v>
      </c>
      <c r="K1415" s="2">
        <v>57.1</v>
      </c>
      <c r="L1415" s="2">
        <f>BBDD_fashion_boutique[[#This Row],[original_price]]-BBDD_fashion_boutique[[#This Row],[current_price]]</f>
        <v>0</v>
      </c>
      <c r="M1415" s="1">
        <v>45875</v>
      </c>
      <c r="N1415" s="1" t="str">
        <f>PROPER(TEXT(BBDD_fashion_boutique[[#This Row],[purchase_date]],"dddd"))</f>
        <v>Miércoles</v>
      </c>
      <c r="O1415" s="1" t="str">
        <f>PROPER(TEXT(BBDD_fashion_boutique[[#This Row],[purchase_date]],"mmmm"))</f>
        <v>Agosto</v>
      </c>
      <c r="P1415" s="4">
        <v>28</v>
      </c>
      <c r="R1415" t="str">
        <f>IF(BBDD_fashion_boutique[[#This Row],[stock_quantity]]&gt;9,"Ok",IF(BBDD_fashion_boutique[[#This Row],[stock_quantity]]=0,"Agotado","Pocas Unidades"))</f>
        <v>Ok</v>
      </c>
      <c r="S1415" s="3" t="str">
        <f>IF(BBDD_fashion_boutique[[#This Row],[customer_rating]]="","No valorado",BBDD_fashion_boutique[[#This Row],[customer_rating]])</f>
        <v>No valorado</v>
      </c>
      <c r="T1415" t="s">
        <v>41</v>
      </c>
      <c r="U1415" t="s">
        <v>131</v>
      </c>
      <c r="V1415">
        <f>IF(BBDD_fashion_boutique[[#This Row],[is_returned]]="False",0,1)</f>
        <v>1</v>
      </c>
      <c r="W1415">
        <f>IF(BBDD_fashion_boutique[[#This Row],[is_returned]]="True",0,BBDD_fashion_boutique[[#This Row],[current_price]])</f>
        <v>0</v>
      </c>
      <c r="X1415" t="str">
        <f>IF(BBDD_fashion_boutique[[#This Row],[return_reason]]="","No return",BBDD_fashion_boutique[[#This Row],[return_reason]])</f>
        <v>Wrong Item</v>
      </c>
      <c r="Y1415">
        <f>IF(IFERROR(VLOOKUP(BBDD_fashion_boutique[[#This Row],[product_id]],A1416:A3591,1,FALSE),0),1,0)</f>
        <v>0</v>
      </c>
    </row>
    <row r="1416" spans="1:25" x14ac:dyDescent="0.3">
      <c r="A1416" t="s">
        <v>1475</v>
      </c>
      <c r="B1416" t="s">
        <v>19</v>
      </c>
      <c r="C1416" t="s">
        <v>27</v>
      </c>
      <c r="D1416" t="s">
        <v>21</v>
      </c>
      <c r="E1416" t="s">
        <v>64</v>
      </c>
      <c r="F1416" t="str">
        <f>IF(BBDD_fashion_boutique[[#This Row],[category]]="Accessories","Accesorio",IF(BBDD_fashion_boutique[[#This Row],[size]]="","Desconocido",BBDD_fashion_boutique[[#This Row],[size]]))</f>
        <v>M</v>
      </c>
      <c r="G1416" t="s">
        <v>33</v>
      </c>
      <c r="H1416" s="2">
        <v>248.05</v>
      </c>
      <c r="I1416">
        <v>0</v>
      </c>
      <c r="J1416" s="5">
        <f>BBDD_fashion_boutique[[#This Row],[markdown_percentage]]/100</f>
        <v>0</v>
      </c>
      <c r="K1416" s="2">
        <v>248.05</v>
      </c>
      <c r="L1416" s="2">
        <f>BBDD_fashion_boutique[[#This Row],[original_price]]-BBDD_fashion_boutique[[#This Row],[current_price]]</f>
        <v>0</v>
      </c>
      <c r="M1416" s="1">
        <v>45776</v>
      </c>
      <c r="N1416" s="1" t="str">
        <f>PROPER(TEXT(BBDD_fashion_boutique[[#This Row],[purchase_date]],"dddd"))</f>
        <v>Martes</v>
      </c>
      <c r="O1416" s="1" t="str">
        <f>PROPER(TEXT(BBDD_fashion_boutique[[#This Row],[purchase_date]],"mmmm"))</f>
        <v>Abril</v>
      </c>
      <c r="P1416" s="4">
        <v>17</v>
      </c>
      <c r="Q1416" s="2">
        <v>4.5999999999999996</v>
      </c>
      <c r="R1416" t="str">
        <f>IF(BBDD_fashion_boutique[[#This Row],[stock_quantity]]&gt;9,"Ok",IF(BBDD_fashion_boutique[[#This Row],[stock_quantity]]=0,"Agotado","Pocas Unidades"))</f>
        <v>Ok</v>
      </c>
      <c r="S1416" s="3">
        <f>IF(BBDD_fashion_boutique[[#This Row],[customer_rating]]="","No valorado",BBDD_fashion_boutique[[#This Row],[customer_rating]])</f>
        <v>4.5999999999999996</v>
      </c>
      <c r="T1416" t="s">
        <v>24</v>
      </c>
      <c r="V1416">
        <f>IF(BBDD_fashion_boutique[[#This Row],[is_returned]]="False",0,1)</f>
        <v>0</v>
      </c>
      <c r="W1416">
        <f>IF(BBDD_fashion_boutique[[#This Row],[is_returned]]="True",0,BBDD_fashion_boutique[[#This Row],[current_price]])</f>
        <v>248.05</v>
      </c>
      <c r="X1416" t="str">
        <f>IF(BBDD_fashion_boutique[[#This Row],[return_reason]]="","No return",BBDD_fashion_boutique[[#This Row],[return_reason]])</f>
        <v>No return</v>
      </c>
      <c r="Y1416">
        <f>IF(IFERROR(VLOOKUP(BBDD_fashion_boutique[[#This Row],[product_id]],A1417:A3592,1,FALSE),0),1,0)</f>
        <v>0</v>
      </c>
    </row>
    <row r="1417" spans="1:25" x14ac:dyDescent="0.3">
      <c r="A1417" t="s">
        <v>1476</v>
      </c>
      <c r="B1417" t="s">
        <v>44</v>
      </c>
      <c r="C1417" t="s">
        <v>20</v>
      </c>
      <c r="D1417" t="s">
        <v>39</v>
      </c>
      <c r="E1417" t="s">
        <v>45</v>
      </c>
      <c r="F1417" t="str">
        <f>IF(BBDD_fashion_boutique[[#This Row],[category]]="Accessories","Accesorio",IF(BBDD_fashion_boutique[[#This Row],[size]]="","Desconocido",BBDD_fashion_boutique[[#This Row],[size]]))</f>
        <v>S</v>
      </c>
      <c r="G1417" t="s">
        <v>46</v>
      </c>
      <c r="H1417" s="2">
        <v>108.59</v>
      </c>
      <c r="I1417">
        <v>40.6</v>
      </c>
      <c r="J1417" s="5">
        <f>BBDD_fashion_boutique[[#This Row],[markdown_percentage]]/100</f>
        <v>0.40600000000000003</v>
      </c>
      <c r="K1417" s="2">
        <v>64.5</v>
      </c>
      <c r="L1417" s="2">
        <f>BBDD_fashion_boutique[[#This Row],[original_price]]-BBDD_fashion_boutique[[#This Row],[current_price]]</f>
        <v>44.09</v>
      </c>
      <c r="M1417" s="1">
        <v>45875</v>
      </c>
      <c r="N1417" s="1" t="str">
        <f>PROPER(TEXT(BBDD_fashion_boutique[[#This Row],[purchase_date]],"dddd"))</f>
        <v>Miércoles</v>
      </c>
      <c r="O1417" s="1" t="str">
        <f>PROPER(TEXT(BBDD_fashion_boutique[[#This Row],[purchase_date]],"mmmm"))</f>
        <v>Agosto</v>
      </c>
      <c r="P1417" s="4">
        <v>9</v>
      </c>
      <c r="Q1417" s="2">
        <v>1.3</v>
      </c>
      <c r="R1417" t="str">
        <f>IF(BBDD_fashion_boutique[[#This Row],[stock_quantity]]&gt;9,"Ok",IF(BBDD_fashion_boutique[[#This Row],[stock_quantity]]=0,"Agotado","Pocas Unidades"))</f>
        <v>Pocas Unidades</v>
      </c>
      <c r="S1417" s="3">
        <f>IF(BBDD_fashion_boutique[[#This Row],[customer_rating]]="","No valorado",BBDD_fashion_boutique[[#This Row],[customer_rating]])</f>
        <v>1.3</v>
      </c>
      <c r="T1417" t="s">
        <v>24</v>
      </c>
      <c r="V1417">
        <f>IF(BBDD_fashion_boutique[[#This Row],[is_returned]]="False",0,1)</f>
        <v>0</v>
      </c>
      <c r="W1417">
        <f>IF(BBDD_fashion_boutique[[#This Row],[is_returned]]="True",0,BBDD_fashion_boutique[[#This Row],[current_price]])</f>
        <v>64.5</v>
      </c>
      <c r="X1417" t="str">
        <f>IF(BBDD_fashion_boutique[[#This Row],[return_reason]]="","No return",BBDD_fashion_boutique[[#This Row],[return_reason]])</f>
        <v>No return</v>
      </c>
      <c r="Y1417">
        <f>IF(IFERROR(VLOOKUP(BBDD_fashion_boutique[[#This Row],[product_id]],A1418:A3593,1,FALSE),0),1,0)</f>
        <v>0</v>
      </c>
    </row>
    <row r="1418" spans="1:25" x14ac:dyDescent="0.3">
      <c r="A1418" t="s">
        <v>1477</v>
      </c>
      <c r="B1418" t="s">
        <v>19</v>
      </c>
      <c r="C1418" t="s">
        <v>81</v>
      </c>
      <c r="D1418" t="s">
        <v>68</v>
      </c>
      <c r="E1418" t="s">
        <v>22</v>
      </c>
      <c r="F1418" t="str">
        <f>IF(BBDD_fashion_boutique[[#This Row],[category]]="Accessories","Accesorio",IF(BBDD_fashion_boutique[[#This Row],[size]]="","Desconocido",BBDD_fashion_boutique[[#This Row],[size]]))</f>
        <v>XL</v>
      </c>
      <c r="G1418" t="s">
        <v>62</v>
      </c>
      <c r="H1418" s="2">
        <v>124.13</v>
      </c>
      <c r="I1418">
        <v>0</v>
      </c>
      <c r="J1418" s="5">
        <f>BBDD_fashion_boutique[[#This Row],[markdown_percentage]]/100</f>
        <v>0</v>
      </c>
      <c r="K1418" s="2">
        <v>124.13</v>
      </c>
      <c r="L1418" s="2">
        <f>BBDD_fashion_boutique[[#This Row],[original_price]]-BBDD_fashion_boutique[[#This Row],[current_price]]</f>
        <v>0</v>
      </c>
      <c r="M1418" s="1">
        <v>45875</v>
      </c>
      <c r="N1418" s="1" t="str">
        <f>PROPER(TEXT(BBDD_fashion_boutique[[#This Row],[purchase_date]],"dddd"))</f>
        <v>Miércoles</v>
      </c>
      <c r="O1418" s="1" t="str">
        <f>PROPER(TEXT(BBDD_fashion_boutique[[#This Row],[purchase_date]],"mmmm"))</f>
        <v>Agosto</v>
      </c>
      <c r="P1418" s="4">
        <v>33</v>
      </c>
      <c r="Q1418" s="2">
        <v>5</v>
      </c>
      <c r="R1418" t="str">
        <f>IF(BBDD_fashion_boutique[[#This Row],[stock_quantity]]&gt;9,"Ok",IF(BBDD_fashion_boutique[[#This Row],[stock_quantity]]=0,"Agotado","Pocas Unidades"))</f>
        <v>Ok</v>
      </c>
      <c r="S1418" s="3">
        <f>IF(BBDD_fashion_boutique[[#This Row],[customer_rating]]="","No valorado",BBDD_fashion_boutique[[#This Row],[customer_rating]])</f>
        <v>5</v>
      </c>
      <c r="T1418" t="s">
        <v>24</v>
      </c>
      <c r="V1418">
        <f>IF(BBDD_fashion_boutique[[#This Row],[is_returned]]="False",0,1)</f>
        <v>0</v>
      </c>
      <c r="W1418">
        <f>IF(BBDD_fashion_boutique[[#This Row],[is_returned]]="True",0,BBDD_fashion_boutique[[#This Row],[current_price]])</f>
        <v>124.13</v>
      </c>
      <c r="X1418" t="str">
        <f>IF(BBDD_fashion_boutique[[#This Row],[return_reason]]="","No return",BBDD_fashion_boutique[[#This Row],[return_reason]])</f>
        <v>No return</v>
      </c>
      <c r="Y1418">
        <f>IF(IFERROR(VLOOKUP(BBDD_fashion_boutique[[#This Row],[product_id]],A1419:A3594,1,FALSE),0),1,0)</f>
        <v>0</v>
      </c>
    </row>
    <row r="1419" spans="1:25" x14ac:dyDescent="0.3">
      <c r="A1419" t="s">
        <v>1478</v>
      </c>
      <c r="B1419" t="s">
        <v>32</v>
      </c>
      <c r="C1419" t="s">
        <v>20</v>
      </c>
      <c r="D1419" t="s">
        <v>21</v>
      </c>
      <c r="F1419" t="str">
        <f>IF(BBDD_fashion_boutique[[#This Row],[category]]="Accessories","Accesorio",IF(BBDD_fashion_boutique[[#This Row],[size]]="","Desconocido",BBDD_fashion_boutique[[#This Row],[size]]))</f>
        <v>Accesorio</v>
      </c>
      <c r="G1419" t="s">
        <v>76</v>
      </c>
      <c r="H1419" s="2">
        <v>62.21</v>
      </c>
      <c r="I1419">
        <v>1.8</v>
      </c>
      <c r="J1419" s="5">
        <f>BBDD_fashion_boutique[[#This Row],[markdown_percentage]]/100</f>
        <v>1.8000000000000002E-2</v>
      </c>
      <c r="K1419" s="2">
        <v>61.09</v>
      </c>
      <c r="L1419" s="2">
        <f>BBDD_fashion_boutique[[#This Row],[original_price]]-BBDD_fashion_boutique[[#This Row],[current_price]]</f>
        <v>1.1199999999999974</v>
      </c>
      <c r="M1419" s="1">
        <v>45599</v>
      </c>
      <c r="N1419" s="1" t="str">
        <f>PROPER(TEXT(BBDD_fashion_boutique[[#This Row],[purchase_date]],"dddd"))</f>
        <v>Domingo</v>
      </c>
      <c r="O1419" s="1" t="str">
        <f>PROPER(TEXT(BBDD_fashion_boutique[[#This Row],[purchase_date]],"mmmm"))</f>
        <v>Noviembre</v>
      </c>
      <c r="P1419" s="4">
        <v>4</v>
      </c>
      <c r="Q1419" s="2">
        <v>2.2999999999999998</v>
      </c>
      <c r="R1419" t="str">
        <f>IF(BBDD_fashion_boutique[[#This Row],[stock_quantity]]&gt;9,"Ok",IF(BBDD_fashion_boutique[[#This Row],[stock_quantity]]=0,"Agotado","Pocas Unidades"))</f>
        <v>Pocas Unidades</v>
      </c>
      <c r="S1419" s="3">
        <f>IF(BBDD_fashion_boutique[[#This Row],[customer_rating]]="","No valorado",BBDD_fashion_boutique[[#This Row],[customer_rating]])</f>
        <v>2.2999999999999998</v>
      </c>
      <c r="T1419" t="s">
        <v>24</v>
      </c>
      <c r="V1419">
        <f>IF(BBDD_fashion_boutique[[#This Row],[is_returned]]="False",0,1)</f>
        <v>0</v>
      </c>
      <c r="W1419">
        <f>IF(BBDD_fashion_boutique[[#This Row],[is_returned]]="True",0,BBDD_fashion_boutique[[#This Row],[current_price]])</f>
        <v>61.09</v>
      </c>
      <c r="X1419" t="str">
        <f>IF(BBDD_fashion_boutique[[#This Row],[return_reason]]="","No return",BBDD_fashion_boutique[[#This Row],[return_reason]])</f>
        <v>No return</v>
      </c>
      <c r="Y1419">
        <f>IF(IFERROR(VLOOKUP(BBDD_fashion_boutique[[#This Row],[product_id]],A1420:A3595,1,FALSE),0),1,0)</f>
        <v>0</v>
      </c>
    </row>
    <row r="1420" spans="1:25" x14ac:dyDescent="0.3">
      <c r="A1420" t="s">
        <v>1479</v>
      </c>
      <c r="B1420" t="s">
        <v>44</v>
      </c>
      <c r="C1420" t="s">
        <v>27</v>
      </c>
      <c r="D1420" t="s">
        <v>39</v>
      </c>
      <c r="E1420" t="s">
        <v>64</v>
      </c>
      <c r="F1420" t="str">
        <f>IF(BBDD_fashion_boutique[[#This Row],[category]]="Accessories","Accesorio",IF(BBDD_fashion_boutique[[#This Row],[size]]="","Desconocido",BBDD_fashion_boutique[[#This Row],[size]]))</f>
        <v>M</v>
      </c>
      <c r="G1420" t="s">
        <v>46</v>
      </c>
      <c r="H1420" s="2">
        <v>48.27</v>
      </c>
      <c r="I1420">
        <v>0</v>
      </c>
      <c r="J1420" s="5">
        <f>BBDD_fashion_boutique[[#This Row],[markdown_percentage]]/100</f>
        <v>0</v>
      </c>
      <c r="K1420" s="2">
        <v>48.27</v>
      </c>
      <c r="L1420" s="2">
        <f>BBDD_fashion_boutique[[#This Row],[original_price]]-BBDD_fashion_boutique[[#This Row],[current_price]]</f>
        <v>0</v>
      </c>
      <c r="M1420" s="1">
        <v>45875</v>
      </c>
      <c r="N1420" s="1" t="str">
        <f>PROPER(TEXT(BBDD_fashion_boutique[[#This Row],[purchase_date]],"dddd"))</f>
        <v>Miércoles</v>
      </c>
      <c r="O1420" s="1" t="str">
        <f>PROPER(TEXT(BBDD_fashion_boutique[[#This Row],[purchase_date]],"mmmm"))</f>
        <v>Agosto</v>
      </c>
      <c r="P1420" s="4">
        <v>33</v>
      </c>
      <c r="R1420" t="str">
        <f>IF(BBDD_fashion_boutique[[#This Row],[stock_quantity]]&gt;9,"Ok",IF(BBDD_fashion_boutique[[#This Row],[stock_quantity]]=0,"Agotado","Pocas Unidades"))</f>
        <v>Ok</v>
      </c>
      <c r="S1420" s="3" t="str">
        <f>IF(BBDD_fashion_boutique[[#This Row],[customer_rating]]="","No valorado",BBDD_fashion_boutique[[#This Row],[customer_rating]])</f>
        <v>No valorado</v>
      </c>
      <c r="T1420" t="s">
        <v>24</v>
      </c>
      <c r="V1420">
        <f>IF(BBDD_fashion_boutique[[#This Row],[is_returned]]="False",0,1)</f>
        <v>0</v>
      </c>
      <c r="W1420">
        <f>IF(BBDD_fashion_boutique[[#This Row],[is_returned]]="True",0,BBDD_fashion_boutique[[#This Row],[current_price]])</f>
        <v>48.27</v>
      </c>
      <c r="X1420" t="str">
        <f>IF(BBDD_fashion_boutique[[#This Row],[return_reason]]="","No return",BBDD_fashion_boutique[[#This Row],[return_reason]])</f>
        <v>No return</v>
      </c>
      <c r="Y1420">
        <f>IF(IFERROR(VLOOKUP(BBDD_fashion_boutique[[#This Row],[product_id]],A1421:A3596,1,FALSE),0),1,0)</f>
        <v>0</v>
      </c>
    </row>
    <row r="1421" spans="1:25" x14ac:dyDescent="0.3">
      <c r="A1421" t="s">
        <v>1480</v>
      </c>
      <c r="B1421" t="s">
        <v>26</v>
      </c>
      <c r="C1421" t="s">
        <v>20</v>
      </c>
      <c r="D1421" t="s">
        <v>21</v>
      </c>
      <c r="E1421" t="s">
        <v>22</v>
      </c>
      <c r="F1421" t="str">
        <f>IF(BBDD_fashion_boutique[[#This Row],[category]]="Accessories","Accesorio",IF(BBDD_fashion_boutique[[#This Row],[size]]="","Desconocido",BBDD_fashion_boutique[[#This Row],[size]]))</f>
        <v>XL</v>
      </c>
      <c r="G1421" t="s">
        <v>50</v>
      </c>
      <c r="H1421" s="2">
        <v>88.77</v>
      </c>
      <c r="I1421">
        <v>0</v>
      </c>
      <c r="J1421" s="5">
        <f>BBDD_fashion_boutique[[#This Row],[markdown_percentage]]/100</f>
        <v>0</v>
      </c>
      <c r="K1421" s="2">
        <v>88.77</v>
      </c>
      <c r="L1421" s="2">
        <f>BBDD_fashion_boutique[[#This Row],[original_price]]-BBDD_fashion_boutique[[#This Row],[current_price]]</f>
        <v>0</v>
      </c>
      <c r="M1421" s="1">
        <v>45793</v>
      </c>
      <c r="N1421" s="1" t="str">
        <f>PROPER(TEXT(BBDD_fashion_boutique[[#This Row],[purchase_date]],"dddd"))</f>
        <v>Viernes</v>
      </c>
      <c r="O1421" s="1" t="str">
        <f>PROPER(TEXT(BBDD_fashion_boutique[[#This Row],[purchase_date]],"mmmm"))</f>
        <v>Mayo</v>
      </c>
      <c r="P1421" s="4">
        <v>40</v>
      </c>
      <c r="Q1421" s="2">
        <v>4.8</v>
      </c>
      <c r="R1421" t="str">
        <f>IF(BBDD_fashion_boutique[[#This Row],[stock_quantity]]&gt;9,"Ok",IF(BBDD_fashion_boutique[[#This Row],[stock_quantity]]=0,"Agotado","Pocas Unidades"))</f>
        <v>Ok</v>
      </c>
      <c r="S1421" s="3">
        <f>IF(BBDD_fashion_boutique[[#This Row],[customer_rating]]="","No valorado",BBDD_fashion_boutique[[#This Row],[customer_rating]])</f>
        <v>4.8</v>
      </c>
      <c r="T1421" t="s">
        <v>24</v>
      </c>
      <c r="V1421">
        <f>IF(BBDD_fashion_boutique[[#This Row],[is_returned]]="False",0,1)</f>
        <v>0</v>
      </c>
      <c r="W1421">
        <f>IF(BBDD_fashion_boutique[[#This Row],[is_returned]]="True",0,BBDD_fashion_boutique[[#This Row],[current_price]])</f>
        <v>88.77</v>
      </c>
      <c r="X1421" t="str">
        <f>IF(BBDD_fashion_boutique[[#This Row],[return_reason]]="","No return",BBDD_fashion_boutique[[#This Row],[return_reason]])</f>
        <v>No return</v>
      </c>
      <c r="Y1421">
        <f>IF(IFERROR(VLOOKUP(BBDD_fashion_boutique[[#This Row],[product_id]],A1422:A3597,1,FALSE),0),1,0)</f>
        <v>0</v>
      </c>
    </row>
    <row r="1422" spans="1:25" x14ac:dyDescent="0.3">
      <c r="A1422" t="s">
        <v>1481</v>
      </c>
      <c r="B1422" t="s">
        <v>48</v>
      </c>
      <c r="C1422" t="s">
        <v>67</v>
      </c>
      <c r="D1422" t="s">
        <v>39</v>
      </c>
      <c r="E1422" t="s">
        <v>64</v>
      </c>
      <c r="F1422" t="str">
        <f>IF(BBDD_fashion_boutique[[#This Row],[category]]="Accessories","Accesorio",IF(BBDD_fashion_boutique[[#This Row],[size]]="","Desconocido",BBDD_fashion_boutique[[#This Row],[size]]))</f>
        <v>M</v>
      </c>
      <c r="G1422" t="s">
        <v>70</v>
      </c>
      <c r="H1422" s="2">
        <v>94.17</v>
      </c>
      <c r="I1422">
        <v>0</v>
      </c>
      <c r="J1422" s="5">
        <f>BBDD_fashion_boutique[[#This Row],[markdown_percentage]]/100</f>
        <v>0</v>
      </c>
      <c r="K1422" s="2">
        <v>94.17</v>
      </c>
      <c r="L1422" s="2">
        <f>BBDD_fashion_boutique[[#This Row],[original_price]]-BBDD_fashion_boutique[[#This Row],[current_price]]</f>
        <v>0</v>
      </c>
      <c r="M1422" s="1">
        <v>45875</v>
      </c>
      <c r="N1422" s="1" t="str">
        <f>PROPER(TEXT(BBDD_fashion_boutique[[#This Row],[purchase_date]],"dddd"))</f>
        <v>Miércoles</v>
      </c>
      <c r="O1422" s="1" t="str">
        <f>PROPER(TEXT(BBDD_fashion_boutique[[#This Row],[purchase_date]],"mmmm"))</f>
        <v>Agosto</v>
      </c>
      <c r="P1422" s="4">
        <v>2</v>
      </c>
      <c r="R1422" t="str">
        <f>IF(BBDD_fashion_boutique[[#This Row],[stock_quantity]]&gt;9,"Ok",IF(BBDD_fashion_boutique[[#This Row],[stock_quantity]]=0,"Agotado","Pocas Unidades"))</f>
        <v>Pocas Unidades</v>
      </c>
      <c r="S1422" s="3" t="str">
        <f>IF(BBDD_fashion_boutique[[#This Row],[customer_rating]]="","No valorado",BBDD_fashion_boutique[[#This Row],[customer_rating]])</f>
        <v>No valorado</v>
      </c>
      <c r="T1422" t="s">
        <v>24</v>
      </c>
      <c r="V1422">
        <f>IF(BBDD_fashion_boutique[[#This Row],[is_returned]]="False",0,1)</f>
        <v>0</v>
      </c>
      <c r="W1422">
        <f>IF(BBDD_fashion_boutique[[#This Row],[is_returned]]="True",0,BBDD_fashion_boutique[[#This Row],[current_price]])</f>
        <v>94.17</v>
      </c>
      <c r="X1422" t="str">
        <f>IF(BBDD_fashion_boutique[[#This Row],[return_reason]]="","No return",BBDD_fashion_boutique[[#This Row],[return_reason]])</f>
        <v>No return</v>
      </c>
      <c r="Y1422">
        <f>IF(IFERROR(VLOOKUP(BBDD_fashion_boutique[[#This Row],[product_id]],A1423:A3598,1,FALSE),0),1,0)</f>
        <v>0</v>
      </c>
    </row>
    <row r="1423" spans="1:25" x14ac:dyDescent="0.3">
      <c r="A1423" t="s">
        <v>1482</v>
      </c>
      <c r="B1423" t="s">
        <v>32</v>
      </c>
      <c r="C1423" t="s">
        <v>81</v>
      </c>
      <c r="D1423" t="s">
        <v>39</v>
      </c>
      <c r="F1423" t="str">
        <f>IF(BBDD_fashion_boutique[[#This Row],[category]]="Accessories","Accesorio",IF(BBDD_fashion_boutique[[#This Row],[size]]="","Desconocido",BBDD_fashion_boutique[[#This Row],[size]]))</f>
        <v>Accesorio</v>
      </c>
      <c r="G1423" t="s">
        <v>33</v>
      </c>
      <c r="H1423" s="2">
        <v>30.44</v>
      </c>
      <c r="I1423">
        <v>0</v>
      </c>
      <c r="J1423" s="5">
        <f>BBDD_fashion_boutique[[#This Row],[markdown_percentage]]/100</f>
        <v>0</v>
      </c>
      <c r="K1423" s="2">
        <v>30.44</v>
      </c>
      <c r="L1423" s="2">
        <f>BBDD_fashion_boutique[[#This Row],[original_price]]-BBDD_fashion_boutique[[#This Row],[current_price]]</f>
        <v>0</v>
      </c>
      <c r="M1423" s="1">
        <v>45875</v>
      </c>
      <c r="N1423" s="1" t="str">
        <f>PROPER(TEXT(BBDD_fashion_boutique[[#This Row],[purchase_date]],"dddd"))</f>
        <v>Miércoles</v>
      </c>
      <c r="O1423" s="1" t="str">
        <f>PROPER(TEXT(BBDD_fashion_boutique[[#This Row],[purchase_date]],"mmmm"))</f>
        <v>Agosto</v>
      </c>
      <c r="P1423" s="4">
        <v>42</v>
      </c>
      <c r="R1423" t="str">
        <f>IF(BBDD_fashion_boutique[[#This Row],[stock_quantity]]&gt;9,"Ok",IF(BBDD_fashion_boutique[[#This Row],[stock_quantity]]=0,"Agotado","Pocas Unidades"))</f>
        <v>Ok</v>
      </c>
      <c r="S1423" s="3" t="str">
        <f>IF(BBDD_fashion_boutique[[#This Row],[customer_rating]]="","No valorado",BBDD_fashion_boutique[[#This Row],[customer_rating]])</f>
        <v>No valorado</v>
      </c>
      <c r="T1423" t="s">
        <v>24</v>
      </c>
      <c r="V1423">
        <f>IF(BBDD_fashion_boutique[[#This Row],[is_returned]]="False",0,1)</f>
        <v>0</v>
      </c>
      <c r="W1423">
        <f>IF(BBDD_fashion_boutique[[#This Row],[is_returned]]="True",0,BBDD_fashion_boutique[[#This Row],[current_price]])</f>
        <v>30.44</v>
      </c>
      <c r="X1423" t="str">
        <f>IF(BBDD_fashion_boutique[[#This Row],[return_reason]]="","No return",BBDD_fashion_boutique[[#This Row],[return_reason]])</f>
        <v>No return</v>
      </c>
      <c r="Y1423">
        <f>IF(IFERROR(VLOOKUP(BBDD_fashion_boutique[[#This Row],[product_id]],A1424:A3599,1,FALSE),0),1,0)</f>
        <v>0</v>
      </c>
    </row>
    <row r="1424" spans="1:25" x14ac:dyDescent="0.3">
      <c r="A1424" t="s">
        <v>1483</v>
      </c>
      <c r="B1424" t="s">
        <v>44</v>
      </c>
      <c r="C1424" t="s">
        <v>27</v>
      </c>
      <c r="D1424" t="s">
        <v>39</v>
      </c>
      <c r="E1424" t="s">
        <v>61</v>
      </c>
      <c r="F1424" t="str">
        <f>IF(BBDD_fashion_boutique[[#This Row],[category]]="Accessories","Accesorio",IF(BBDD_fashion_boutique[[#This Row],[size]]="","Desconocido",BBDD_fashion_boutique[[#This Row],[size]]))</f>
        <v>XS</v>
      </c>
      <c r="G1424" t="s">
        <v>72</v>
      </c>
      <c r="H1424" s="2">
        <v>114.29</v>
      </c>
      <c r="I1424">
        <v>0</v>
      </c>
      <c r="J1424" s="5">
        <f>BBDD_fashion_boutique[[#This Row],[markdown_percentage]]/100</f>
        <v>0</v>
      </c>
      <c r="K1424" s="2">
        <v>114.29</v>
      </c>
      <c r="L1424" s="2">
        <f>BBDD_fashion_boutique[[#This Row],[original_price]]-BBDD_fashion_boutique[[#This Row],[current_price]]</f>
        <v>0</v>
      </c>
      <c r="M1424" s="1">
        <v>45875</v>
      </c>
      <c r="N1424" s="1" t="str">
        <f>PROPER(TEXT(BBDD_fashion_boutique[[#This Row],[purchase_date]],"dddd"))</f>
        <v>Miércoles</v>
      </c>
      <c r="O1424" s="1" t="str">
        <f>PROPER(TEXT(BBDD_fashion_boutique[[#This Row],[purchase_date]],"mmmm"))</f>
        <v>Agosto</v>
      </c>
      <c r="P1424" s="4">
        <v>9</v>
      </c>
      <c r="Q1424" s="2">
        <v>3.2</v>
      </c>
      <c r="R1424" t="str">
        <f>IF(BBDD_fashion_boutique[[#This Row],[stock_quantity]]&gt;9,"Ok",IF(BBDD_fashion_boutique[[#This Row],[stock_quantity]]=0,"Agotado","Pocas Unidades"))</f>
        <v>Pocas Unidades</v>
      </c>
      <c r="S1424" s="3">
        <f>IF(BBDD_fashion_boutique[[#This Row],[customer_rating]]="","No valorado",BBDD_fashion_boutique[[#This Row],[customer_rating]])</f>
        <v>3.2</v>
      </c>
      <c r="T1424" t="s">
        <v>24</v>
      </c>
      <c r="V1424">
        <f>IF(BBDD_fashion_boutique[[#This Row],[is_returned]]="False",0,1)</f>
        <v>0</v>
      </c>
      <c r="W1424">
        <f>IF(BBDD_fashion_boutique[[#This Row],[is_returned]]="True",0,BBDD_fashion_boutique[[#This Row],[current_price]])</f>
        <v>114.29</v>
      </c>
      <c r="X1424" t="str">
        <f>IF(BBDD_fashion_boutique[[#This Row],[return_reason]]="","No return",BBDD_fashion_boutique[[#This Row],[return_reason]])</f>
        <v>No return</v>
      </c>
      <c r="Y1424">
        <f>IF(IFERROR(VLOOKUP(BBDD_fashion_boutique[[#This Row],[product_id]],A1425:A3600,1,FALSE),0),1,0)</f>
        <v>0</v>
      </c>
    </row>
    <row r="1425" spans="1:25" x14ac:dyDescent="0.3">
      <c r="A1425" t="s">
        <v>1484</v>
      </c>
      <c r="B1425" t="s">
        <v>35</v>
      </c>
      <c r="C1425" t="s">
        <v>27</v>
      </c>
      <c r="D1425" t="s">
        <v>39</v>
      </c>
      <c r="E1425" t="s">
        <v>22</v>
      </c>
      <c r="F1425" t="str">
        <f>IF(BBDD_fashion_boutique[[#This Row],[category]]="Accessories","Accesorio",IF(BBDD_fashion_boutique[[#This Row],[size]]="","Desconocido",BBDD_fashion_boutique[[#This Row],[size]]))</f>
        <v>XL</v>
      </c>
      <c r="G1425" t="s">
        <v>46</v>
      </c>
      <c r="H1425" s="2">
        <v>105.01</v>
      </c>
      <c r="I1425">
        <v>25.8</v>
      </c>
      <c r="J1425" s="5">
        <f>BBDD_fashion_boutique[[#This Row],[markdown_percentage]]/100</f>
        <v>0.25800000000000001</v>
      </c>
      <c r="K1425" s="2">
        <v>77.92</v>
      </c>
      <c r="L1425" s="2">
        <f>BBDD_fashion_boutique[[#This Row],[original_price]]-BBDD_fashion_boutique[[#This Row],[current_price]]</f>
        <v>27.090000000000003</v>
      </c>
      <c r="M1425" s="1">
        <v>45875</v>
      </c>
      <c r="N1425" s="1" t="str">
        <f>PROPER(TEXT(BBDD_fashion_boutique[[#This Row],[purchase_date]],"dddd"))</f>
        <v>Miércoles</v>
      </c>
      <c r="O1425" s="1" t="str">
        <f>PROPER(TEXT(BBDD_fashion_boutique[[#This Row],[purchase_date]],"mmmm"))</f>
        <v>Agosto</v>
      </c>
      <c r="P1425" s="4">
        <v>17</v>
      </c>
      <c r="Q1425" s="2">
        <v>3.2</v>
      </c>
      <c r="R1425" t="str">
        <f>IF(BBDD_fashion_boutique[[#This Row],[stock_quantity]]&gt;9,"Ok",IF(BBDD_fashion_boutique[[#This Row],[stock_quantity]]=0,"Agotado","Pocas Unidades"))</f>
        <v>Ok</v>
      </c>
      <c r="S1425" s="3">
        <f>IF(BBDD_fashion_boutique[[#This Row],[customer_rating]]="","No valorado",BBDD_fashion_boutique[[#This Row],[customer_rating]])</f>
        <v>3.2</v>
      </c>
      <c r="T1425" t="s">
        <v>24</v>
      </c>
      <c r="V1425">
        <f>IF(BBDD_fashion_boutique[[#This Row],[is_returned]]="False",0,1)</f>
        <v>0</v>
      </c>
      <c r="W1425">
        <f>IF(BBDD_fashion_boutique[[#This Row],[is_returned]]="True",0,BBDD_fashion_boutique[[#This Row],[current_price]])</f>
        <v>77.92</v>
      </c>
      <c r="X1425" t="str">
        <f>IF(BBDD_fashion_boutique[[#This Row],[return_reason]]="","No return",BBDD_fashion_boutique[[#This Row],[return_reason]])</f>
        <v>No return</v>
      </c>
      <c r="Y1425">
        <f>IF(IFERROR(VLOOKUP(BBDD_fashion_boutique[[#This Row],[product_id]],A1426:A3601,1,FALSE),0),1,0)</f>
        <v>0</v>
      </c>
    </row>
    <row r="1426" spans="1:25" x14ac:dyDescent="0.3">
      <c r="A1426" t="s">
        <v>1485</v>
      </c>
      <c r="B1426" t="s">
        <v>26</v>
      </c>
      <c r="C1426" t="s">
        <v>59</v>
      </c>
      <c r="D1426" t="s">
        <v>21</v>
      </c>
      <c r="E1426" t="s">
        <v>22</v>
      </c>
      <c r="F1426" t="str">
        <f>IF(BBDD_fashion_boutique[[#This Row],[category]]="Accessories","Accesorio",IF(BBDD_fashion_boutique[[#This Row],[size]]="","Desconocido",BBDD_fashion_boutique[[#This Row],[size]]))</f>
        <v>XL</v>
      </c>
      <c r="G1426" t="s">
        <v>50</v>
      </c>
      <c r="H1426" s="2">
        <v>38.56</v>
      </c>
      <c r="I1426">
        <v>0</v>
      </c>
      <c r="J1426" s="5">
        <f>BBDD_fashion_boutique[[#This Row],[markdown_percentage]]/100</f>
        <v>0</v>
      </c>
      <c r="K1426" s="2">
        <v>38.56</v>
      </c>
      <c r="L1426" s="2">
        <f>BBDD_fashion_boutique[[#This Row],[original_price]]-BBDD_fashion_boutique[[#This Row],[current_price]]</f>
        <v>0</v>
      </c>
      <c r="M1426" s="1">
        <v>45807</v>
      </c>
      <c r="N1426" s="1" t="str">
        <f>PROPER(TEXT(BBDD_fashion_boutique[[#This Row],[purchase_date]],"dddd"))</f>
        <v>Viernes</v>
      </c>
      <c r="O1426" s="1" t="str">
        <f>PROPER(TEXT(BBDD_fashion_boutique[[#This Row],[purchase_date]],"mmmm"))</f>
        <v>Mayo</v>
      </c>
      <c r="P1426" s="4">
        <v>39</v>
      </c>
      <c r="Q1426" s="2">
        <v>1.5</v>
      </c>
      <c r="R1426" t="str">
        <f>IF(BBDD_fashion_boutique[[#This Row],[stock_quantity]]&gt;9,"Ok",IF(BBDD_fashion_boutique[[#This Row],[stock_quantity]]=0,"Agotado","Pocas Unidades"))</f>
        <v>Ok</v>
      </c>
      <c r="S1426" s="3">
        <f>IF(BBDD_fashion_boutique[[#This Row],[customer_rating]]="","No valorado",BBDD_fashion_boutique[[#This Row],[customer_rating]])</f>
        <v>1.5</v>
      </c>
      <c r="T1426" t="s">
        <v>24</v>
      </c>
      <c r="V1426">
        <f>IF(BBDD_fashion_boutique[[#This Row],[is_returned]]="False",0,1)</f>
        <v>0</v>
      </c>
      <c r="W1426">
        <f>IF(BBDD_fashion_boutique[[#This Row],[is_returned]]="True",0,BBDD_fashion_boutique[[#This Row],[current_price]])</f>
        <v>38.56</v>
      </c>
      <c r="X1426" t="str">
        <f>IF(BBDD_fashion_boutique[[#This Row],[return_reason]]="","No return",BBDD_fashion_boutique[[#This Row],[return_reason]])</f>
        <v>No return</v>
      </c>
      <c r="Y1426">
        <f>IF(IFERROR(VLOOKUP(BBDD_fashion_boutique[[#This Row],[product_id]],A1427:A3602,1,FALSE),0),1,0)</f>
        <v>0</v>
      </c>
    </row>
    <row r="1427" spans="1:25" x14ac:dyDescent="0.3">
      <c r="A1427" t="s">
        <v>1486</v>
      </c>
      <c r="B1427" t="s">
        <v>35</v>
      </c>
      <c r="C1427" t="s">
        <v>49</v>
      </c>
      <c r="D1427" t="s">
        <v>28</v>
      </c>
      <c r="E1427" t="s">
        <v>29</v>
      </c>
      <c r="F1427" t="str">
        <f>IF(BBDD_fashion_boutique[[#This Row],[category]]="Accessories","Accesorio",IF(BBDD_fashion_boutique[[#This Row],[size]]="","Desconocido",BBDD_fashion_boutique[[#This Row],[size]]))</f>
        <v>L</v>
      </c>
      <c r="G1427" t="s">
        <v>72</v>
      </c>
      <c r="H1427" s="2">
        <v>64.94</v>
      </c>
      <c r="I1427">
        <v>0</v>
      </c>
      <c r="J1427" s="5">
        <f>BBDD_fashion_boutique[[#This Row],[markdown_percentage]]/100</f>
        <v>0</v>
      </c>
      <c r="K1427" s="2">
        <v>64.94</v>
      </c>
      <c r="L1427" s="2">
        <f>BBDD_fashion_boutique[[#This Row],[original_price]]-BBDD_fashion_boutique[[#This Row],[current_price]]</f>
        <v>0</v>
      </c>
      <c r="M1427" s="1">
        <v>45875</v>
      </c>
      <c r="N1427" s="1" t="str">
        <f>PROPER(TEXT(BBDD_fashion_boutique[[#This Row],[purchase_date]],"dddd"))</f>
        <v>Miércoles</v>
      </c>
      <c r="O1427" s="1" t="str">
        <f>PROPER(TEXT(BBDD_fashion_boutique[[#This Row],[purchase_date]],"mmmm"))</f>
        <v>Agosto</v>
      </c>
      <c r="P1427" s="4">
        <v>32</v>
      </c>
      <c r="Q1427" s="2">
        <v>4.5</v>
      </c>
      <c r="R1427" t="str">
        <f>IF(BBDD_fashion_boutique[[#This Row],[stock_quantity]]&gt;9,"Ok",IF(BBDD_fashion_boutique[[#This Row],[stock_quantity]]=0,"Agotado","Pocas Unidades"))</f>
        <v>Ok</v>
      </c>
      <c r="S1427" s="3">
        <f>IF(BBDD_fashion_boutique[[#This Row],[customer_rating]]="","No valorado",BBDD_fashion_boutique[[#This Row],[customer_rating]])</f>
        <v>4.5</v>
      </c>
      <c r="T1427" t="s">
        <v>24</v>
      </c>
      <c r="V1427">
        <f>IF(BBDD_fashion_boutique[[#This Row],[is_returned]]="False",0,1)</f>
        <v>0</v>
      </c>
      <c r="W1427">
        <f>IF(BBDD_fashion_boutique[[#This Row],[is_returned]]="True",0,BBDD_fashion_boutique[[#This Row],[current_price]])</f>
        <v>64.94</v>
      </c>
      <c r="X1427" t="str">
        <f>IF(BBDD_fashion_boutique[[#This Row],[return_reason]]="","No return",BBDD_fashion_boutique[[#This Row],[return_reason]])</f>
        <v>No return</v>
      </c>
      <c r="Y1427">
        <f>IF(IFERROR(VLOOKUP(BBDD_fashion_boutique[[#This Row],[product_id]],A1428:A3603,1,FALSE),0),1,0)</f>
        <v>0</v>
      </c>
    </row>
    <row r="1428" spans="1:25" x14ac:dyDescent="0.3">
      <c r="A1428" t="s">
        <v>1487</v>
      </c>
      <c r="B1428" t="s">
        <v>44</v>
      </c>
      <c r="C1428" t="s">
        <v>49</v>
      </c>
      <c r="D1428" t="s">
        <v>28</v>
      </c>
      <c r="E1428" t="s">
        <v>45</v>
      </c>
      <c r="F1428" t="str">
        <f>IF(BBDD_fashion_boutique[[#This Row],[category]]="Accessories","Accesorio",IF(BBDD_fashion_boutique[[#This Row],[size]]="","Desconocido",BBDD_fashion_boutique[[#This Row],[size]]))</f>
        <v>S</v>
      </c>
      <c r="G1428" t="s">
        <v>52</v>
      </c>
      <c r="H1428" s="2">
        <v>63.74</v>
      </c>
      <c r="I1428">
        <v>56.8</v>
      </c>
      <c r="J1428" s="5">
        <f>BBDD_fashion_boutique[[#This Row],[markdown_percentage]]/100</f>
        <v>0.56799999999999995</v>
      </c>
      <c r="K1428" s="2">
        <v>27.54</v>
      </c>
      <c r="L1428" s="2">
        <f>BBDD_fashion_boutique[[#This Row],[original_price]]-BBDD_fashion_boutique[[#This Row],[current_price]]</f>
        <v>36.200000000000003</v>
      </c>
      <c r="M1428" s="1">
        <v>45875</v>
      </c>
      <c r="N1428" s="1" t="str">
        <f>PROPER(TEXT(BBDD_fashion_boutique[[#This Row],[purchase_date]],"dddd"))</f>
        <v>Miércoles</v>
      </c>
      <c r="O1428" s="1" t="str">
        <f>PROPER(TEXT(BBDD_fashion_boutique[[#This Row],[purchase_date]],"mmmm"))</f>
        <v>Agosto</v>
      </c>
      <c r="P1428" s="4">
        <v>15</v>
      </c>
      <c r="Q1428" s="2">
        <v>4</v>
      </c>
      <c r="R1428" t="str">
        <f>IF(BBDD_fashion_boutique[[#This Row],[stock_quantity]]&gt;9,"Ok",IF(BBDD_fashion_boutique[[#This Row],[stock_quantity]]=0,"Agotado","Pocas Unidades"))</f>
        <v>Ok</v>
      </c>
      <c r="S1428" s="3">
        <f>IF(BBDD_fashion_boutique[[#This Row],[customer_rating]]="","No valorado",BBDD_fashion_boutique[[#This Row],[customer_rating]])</f>
        <v>4</v>
      </c>
      <c r="T1428" t="s">
        <v>24</v>
      </c>
      <c r="V1428">
        <f>IF(BBDD_fashion_boutique[[#This Row],[is_returned]]="False",0,1)</f>
        <v>0</v>
      </c>
      <c r="W1428">
        <f>IF(BBDD_fashion_boutique[[#This Row],[is_returned]]="True",0,BBDD_fashion_boutique[[#This Row],[current_price]])</f>
        <v>27.54</v>
      </c>
      <c r="X1428" t="str">
        <f>IF(BBDD_fashion_boutique[[#This Row],[return_reason]]="","No return",BBDD_fashion_boutique[[#This Row],[return_reason]])</f>
        <v>No return</v>
      </c>
      <c r="Y1428">
        <f>IF(IFERROR(VLOOKUP(BBDD_fashion_boutique[[#This Row],[product_id]],A1429:A3604,1,FALSE),0),1,0)</f>
        <v>0</v>
      </c>
    </row>
    <row r="1429" spans="1:25" x14ac:dyDescent="0.3">
      <c r="A1429" t="s">
        <v>1488</v>
      </c>
      <c r="B1429" t="s">
        <v>26</v>
      </c>
      <c r="C1429" t="s">
        <v>20</v>
      </c>
      <c r="D1429" t="s">
        <v>68</v>
      </c>
      <c r="E1429" t="s">
        <v>22</v>
      </c>
      <c r="F1429" t="str">
        <f>IF(BBDD_fashion_boutique[[#This Row],[category]]="Accessories","Accesorio",IF(BBDD_fashion_boutique[[#This Row],[size]]="","Desconocido",BBDD_fashion_boutique[[#This Row],[size]]))</f>
        <v>XL</v>
      </c>
      <c r="G1429" t="s">
        <v>30</v>
      </c>
      <c r="H1429" s="2">
        <v>67.23</v>
      </c>
      <c r="I1429">
        <v>11.1</v>
      </c>
      <c r="J1429" s="5">
        <f>BBDD_fashion_boutique[[#This Row],[markdown_percentage]]/100</f>
        <v>0.111</v>
      </c>
      <c r="K1429" s="2">
        <v>59.77</v>
      </c>
      <c r="L1429" s="2">
        <f>BBDD_fashion_boutique[[#This Row],[original_price]]-BBDD_fashion_boutique[[#This Row],[current_price]]</f>
        <v>7.4600000000000009</v>
      </c>
      <c r="M1429" s="1">
        <v>45875</v>
      </c>
      <c r="N1429" s="1" t="str">
        <f>PROPER(TEXT(BBDD_fashion_boutique[[#This Row],[purchase_date]],"dddd"))</f>
        <v>Miércoles</v>
      </c>
      <c r="O1429" s="1" t="str">
        <f>PROPER(TEXT(BBDD_fashion_boutique[[#This Row],[purchase_date]],"mmmm"))</f>
        <v>Agosto</v>
      </c>
      <c r="P1429" s="4">
        <v>39</v>
      </c>
      <c r="Q1429" s="2">
        <v>1.1000000000000001</v>
      </c>
      <c r="R1429" t="str">
        <f>IF(BBDD_fashion_boutique[[#This Row],[stock_quantity]]&gt;9,"Ok",IF(BBDD_fashion_boutique[[#This Row],[stock_quantity]]=0,"Agotado","Pocas Unidades"))</f>
        <v>Ok</v>
      </c>
      <c r="S1429" s="3">
        <f>IF(BBDD_fashion_boutique[[#This Row],[customer_rating]]="","No valorado",BBDD_fashion_boutique[[#This Row],[customer_rating]])</f>
        <v>1.1000000000000001</v>
      </c>
      <c r="T1429" t="s">
        <v>41</v>
      </c>
      <c r="U1429" t="s">
        <v>131</v>
      </c>
      <c r="V1429">
        <f>IF(BBDD_fashion_boutique[[#This Row],[is_returned]]="False",0,1)</f>
        <v>1</v>
      </c>
      <c r="W1429">
        <f>IF(BBDD_fashion_boutique[[#This Row],[is_returned]]="True",0,BBDD_fashion_boutique[[#This Row],[current_price]])</f>
        <v>0</v>
      </c>
      <c r="X1429" t="str">
        <f>IF(BBDD_fashion_boutique[[#This Row],[return_reason]]="","No return",BBDD_fashion_boutique[[#This Row],[return_reason]])</f>
        <v>Wrong Item</v>
      </c>
      <c r="Y1429">
        <f>IF(IFERROR(VLOOKUP(BBDD_fashion_boutique[[#This Row],[product_id]],A1430:A3605,1,FALSE),0),1,0)</f>
        <v>0</v>
      </c>
    </row>
    <row r="1430" spans="1:25" x14ac:dyDescent="0.3">
      <c r="A1430" t="s">
        <v>1489</v>
      </c>
      <c r="B1430" t="s">
        <v>32</v>
      </c>
      <c r="C1430" t="s">
        <v>54</v>
      </c>
      <c r="D1430" t="s">
        <v>21</v>
      </c>
      <c r="F1430" t="str">
        <f>IF(BBDD_fashion_boutique[[#This Row],[category]]="Accessories","Accesorio",IF(BBDD_fashion_boutique[[#This Row],[size]]="","Desconocido",BBDD_fashion_boutique[[#This Row],[size]]))</f>
        <v>Accesorio</v>
      </c>
      <c r="G1430" t="s">
        <v>50</v>
      </c>
      <c r="H1430" s="2">
        <v>27.2</v>
      </c>
      <c r="I1430">
        <v>40.4</v>
      </c>
      <c r="J1430" s="5">
        <f>BBDD_fashion_boutique[[#This Row],[markdown_percentage]]/100</f>
        <v>0.40399999999999997</v>
      </c>
      <c r="K1430" s="2">
        <v>16.21</v>
      </c>
      <c r="L1430" s="2">
        <f>BBDD_fashion_boutique[[#This Row],[original_price]]-BBDD_fashion_boutique[[#This Row],[current_price]]</f>
        <v>10.989999999999998</v>
      </c>
      <c r="M1430" s="1">
        <v>45523</v>
      </c>
      <c r="N1430" s="1" t="str">
        <f>PROPER(TEXT(BBDD_fashion_boutique[[#This Row],[purchase_date]],"dddd"))</f>
        <v>Lunes</v>
      </c>
      <c r="O1430" s="1" t="str">
        <f>PROPER(TEXT(BBDD_fashion_boutique[[#This Row],[purchase_date]],"mmmm"))</f>
        <v>Agosto</v>
      </c>
      <c r="P1430" s="4">
        <v>20</v>
      </c>
      <c r="Q1430" s="2">
        <v>4.3</v>
      </c>
      <c r="R1430" t="str">
        <f>IF(BBDD_fashion_boutique[[#This Row],[stock_quantity]]&gt;9,"Ok",IF(BBDD_fashion_boutique[[#This Row],[stock_quantity]]=0,"Agotado","Pocas Unidades"))</f>
        <v>Ok</v>
      </c>
      <c r="S1430" s="3">
        <f>IF(BBDD_fashion_boutique[[#This Row],[customer_rating]]="","No valorado",BBDD_fashion_boutique[[#This Row],[customer_rating]])</f>
        <v>4.3</v>
      </c>
      <c r="T1430" t="s">
        <v>24</v>
      </c>
      <c r="V1430">
        <f>IF(BBDD_fashion_boutique[[#This Row],[is_returned]]="False",0,1)</f>
        <v>0</v>
      </c>
      <c r="W1430">
        <f>IF(BBDD_fashion_boutique[[#This Row],[is_returned]]="True",0,BBDD_fashion_boutique[[#This Row],[current_price]])</f>
        <v>16.21</v>
      </c>
      <c r="X1430" t="str">
        <f>IF(BBDD_fashion_boutique[[#This Row],[return_reason]]="","No return",BBDD_fashion_boutique[[#This Row],[return_reason]])</f>
        <v>No return</v>
      </c>
      <c r="Y1430">
        <f>IF(IFERROR(VLOOKUP(BBDD_fashion_boutique[[#This Row],[product_id]],A1431:A3606,1,FALSE),0),1,0)</f>
        <v>0</v>
      </c>
    </row>
    <row r="1431" spans="1:25" x14ac:dyDescent="0.3">
      <c r="A1431" t="s">
        <v>1490</v>
      </c>
      <c r="B1431" t="s">
        <v>26</v>
      </c>
      <c r="C1431" t="s">
        <v>49</v>
      </c>
      <c r="D1431" t="s">
        <v>21</v>
      </c>
      <c r="E1431" t="s">
        <v>22</v>
      </c>
      <c r="F1431" t="str">
        <f>IF(BBDD_fashion_boutique[[#This Row],[category]]="Accessories","Accesorio",IF(BBDD_fashion_boutique[[#This Row],[size]]="","Desconocido",BBDD_fashion_boutique[[#This Row],[size]]))</f>
        <v>XL</v>
      </c>
      <c r="G1431" t="s">
        <v>76</v>
      </c>
      <c r="H1431" s="2">
        <v>75.84</v>
      </c>
      <c r="I1431">
        <v>0</v>
      </c>
      <c r="J1431" s="5">
        <f>BBDD_fashion_boutique[[#This Row],[markdown_percentage]]/100</f>
        <v>0</v>
      </c>
      <c r="K1431" s="2">
        <v>75.84</v>
      </c>
      <c r="L1431" s="2">
        <f>BBDD_fashion_boutique[[#This Row],[original_price]]-BBDD_fashion_boutique[[#This Row],[current_price]]</f>
        <v>0</v>
      </c>
      <c r="M1431" s="1">
        <v>45754</v>
      </c>
      <c r="N1431" s="1" t="str">
        <f>PROPER(TEXT(BBDD_fashion_boutique[[#This Row],[purchase_date]],"dddd"))</f>
        <v>Lunes</v>
      </c>
      <c r="O1431" s="1" t="str">
        <f>PROPER(TEXT(BBDD_fashion_boutique[[#This Row],[purchase_date]],"mmmm"))</f>
        <v>Abril</v>
      </c>
      <c r="P1431" s="4">
        <v>8</v>
      </c>
      <c r="Q1431" s="2">
        <v>4.0999999999999996</v>
      </c>
      <c r="R1431" t="str">
        <f>IF(BBDD_fashion_boutique[[#This Row],[stock_quantity]]&gt;9,"Ok",IF(BBDD_fashion_boutique[[#This Row],[stock_quantity]]=0,"Agotado","Pocas Unidades"))</f>
        <v>Pocas Unidades</v>
      </c>
      <c r="S1431" s="3">
        <f>IF(BBDD_fashion_boutique[[#This Row],[customer_rating]]="","No valorado",BBDD_fashion_boutique[[#This Row],[customer_rating]])</f>
        <v>4.0999999999999996</v>
      </c>
      <c r="T1431" t="s">
        <v>24</v>
      </c>
      <c r="V1431">
        <f>IF(BBDD_fashion_boutique[[#This Row],[is_returned]]="False",0,1)</f>
        <v>0</v>
      </c>
      <c r="W1431">
        <f>IF(BBDD_fashion_boutique[[#This Row],[is_returned]]="True",0,BBDD_fashion_boutique[[#This Row],[current_price]])</f>
        <v>75.84</v>
      </c>
      <c r="X1431" t="str">
        <f>IF(BBDD_fashion_boutique[[#This Row],[return_reason]]="","No return",BBDD_fashion_boutique[[#This Row],[return_reason]])</f>
        <v>No return</v>
      </c>
      <c r="Y1431">
        <f>IF(IFERROR(VLOOKUP(BBDD_fashion_boutique[[#This Row],[product_id]],A1432:A3607,1,FALSE),0),1,0)</f>
        <v>0</v>
      </c>
    </row>
    <row r="1432" spans="1:25" x14ac:dyDescent="0.3">
      <c r="A1432" t="s">
        <v>1491</v>
      </c>
      <c r="B1432" t="s">
        <v>48</v>
      </c>
      <c r="C1432" t="s">
        <v>49</v>
      </c>
      <c r="D1432" t="s">
        <v>28</v>
      </c>
      <c r="E1432" t="s">
        <v>64</v>
      </c>
      <c r="F1432" t="str">
        <f>IF(BBDD_fashion_boutique[[#This Row],[category]]="Accessories","Accesorio",IF(BBDD_fashion_boutique[[#This Row],[size]]="","Desconocido",BBDD_fashion_boutique[[#This Row],[size]]))</f>
        <v>M</v>
      </c>
      <c r="G1432" t="s">
        <v>70</v>
      </c>
      <c r="H1432" s="2">
        <v>68.510000000000005</v>
      </c>
      <c r="I1432">
        <v>0</v>
      </c>
      <c r="J1432" s="5">
        <f>BBDD_fashion_boutique[[#This Row],[markdown_percentage]]/100</f>
        <v>0</v>
      </c>
      <c r="K1432" s="2">
        <v>68.510000000000005</v>
      </c>
      <c r="L1432" s="2">
        <f>BBDD_fashion_boutique[[#This Row],[original_price]]-BBDD_fashion_boutique[[#This Row],[current_price]]</f>
        <v>0</v>
      </c>
      <c r="M1432" s="1">
        <v>45875</v>
      </c>
      <c r="N1432" s="1" t="str">
        <f>PROPER(TEXT(BBDD_fashion_boutique[[#This Row],[purchase_date]],"dddd"))</f>
        <v>Miércoles</v>
      </c>
      <c r="O1432" s="1" t="str">
        <f>PROPER(TEXT(BBDD_fashion_boutique[[#This Row],[purchase_date]],"mmmm"))</f>
        <v>Agosto</v>
      </c>
      <c r="P1432" s="4">
        <v>1</v>
      </c>
      <c r="Q1432" s="2">
        <v>2.6</v>
      </c>
      <c r="R1432" t="str">
        <f>IF(BBDD_fashion_boutique[[#This Row],[stock_quantity]]&gt;9,"Ok",IF(BBDD_fashion_boutique[[#This Row],[stock_quantity]]=0,"Agotado","Pocas Unidades"))</f>
        <v>Pocas Unidades</v>
      </c>
      <c r="S1432" s="3">
        <f>IF(BBDD_fashion_boutique[[#This Row],[customer_rating]]="","No valorado",BBDD_fashion_boutique[[#This Row],[customer_rating]])</f>
        <v>2.6</v>
      </c>
      <c r="T1432" t="s">
        <v>24</v>
      </c>
      <c r="V1432">
        <f>IF(BBDD_fashion_boutique[[#This Row],[is_returned]]="False",0,1)</f>
        <v>0</v>
      </c>
      <c r="W1432">
        <f>IF(BBDD_fashion_boutique[[#This Row],[is_returned]]="True",0,BBDD_fashion_boutique[[#This Row],[current_price]])</f>
        <v>68.510000000000005</v>
      </c>
      <c r="X1432" t="str">
        <f>IF(BBDD_fashion_boutique[[#This Row],[return_reason]]="","No return",BBDD_fashion_boutique[[#This Row],[return_reason]])</f>
        <v>No return</v>
      </c>
      <c r="Y1432">
        <f>IF(IFERROR(VLOOKUP(BBDD_fashion_boutique[[#This Row],[product_id]],A1433:A3608,1,FALSE),0),1,0)</f>
        <v>0</v>
      </c>
    </row>
    <row r="1433" spans="1:25" x14ac:dyDescent="0.3">
      <c r="A1433" t="s">
        <v>1492</v>
      </c>
      <c r="B1433" t="s">
        <v>32</v>
      </c>
      <c r="C1433" t="s">
        <v>49</v>
      </c>
      <c r="D1433" t="s">
        <v>68</v>
      </c>
      <c r="F1433" t="str">
        <f>IF(BBDD_fashion_boutique[[#This Row],[category]]="Accessories","Accesorio",IF(BBDD_fashion_boutique[[#This Row],[size]]="","Desconocido",BBDD_fashion_boutique[[#This Row],[size]]))</f>
        <v>Accesorio</v>
      </c>
      <c r="G1433" t="s">
        <v>72</v>
      </c>
      <c r="H1433" s="2">
        <v>25.49</v>
      </c>
      <c r="I1433">
        <v>0</v>
      </c>
      <c r="J1433" s="5">
        <f>BBDD_fashion_boutique[[#This Row],[markdown_percentage]]/100</f>
        <v>0</v>
      </c>
      <c r="K1433" s="2">
        <v>25.49</v>
      </c>
      <c r="L1433" s="2">
        <f>BBDD_fashion_boutique[[#This Row],[original_price]]-BBDD_fashion_boutique[[#This Row],[current_price]]</f>
        <v>0</v>
      </c>
      <c r="M1433" s="1">
        <v>45875</v>
      </c>
      <c r="N1433" s="1" t="str">
        <f>PROPER(TEXT(BBDD_fashion_boutique[[#This Row],[purchase_date]],"dddd"))</f>
        <v>Miércoles</v>
      </c>
      <c r="O1433" s="1" t="str">
        <f>PROPER(TEXT(BBDD_fashion_boutique[[#This Row],[purchase_date]],"mmmm"))</f>
        <v>Agosto</v>
      </c>
      <c r="P1433" s="4">
        <v>35</v>
      </c>
      <c r="Q1433" s="2">
        <v>2.2000000000000002</v>
      </c>
      <c r="R1433" t="str">
        <f>IF(BBDD_fashion_boutique[[#This Row],[stock_quantity]]&gt;9,"Ok",IF(BBDD_fashion_boutique[[#This Row],[stock_quantity]]=0,"Agotado","Pocas Unidades"))</f>
        <v>Ok</v>
      </c>
      <c r="S1433" s="3">
        <f>IF(BBDD_fashion_boutique[[#This Row],[customer_rating]]="","No valorado",BBDD_fashion_boutique[[#This Row],[customer_rating]])</f>
        <v>2.2000000000000002</v>
      </c>
      <c r="T1433" t="s">
        <v>41</v>
      </c>
      <c r="U1433" t="s">
        <v>79</v>
      </c>
      <c r="V1433">
        <f>IF(BBDD_fashion_boutique[[#This Row],[is_returned]]="False",0,1)</f>
        <v>1</v>
      </c>
      <c r="W1433">
        <f>IF(BBDD_fashion_boutique[[#This Row],[is_returned]]="True",0,BBDD_fashion_boutique[[#This Row],[current_price]])</f>
        <v>0</v>
      </c>
      <c r="X1433" t="str">
        <f>IF(BBDD_fashion_boutique[[#This Row],[return_reason]]="","No return",BBDD_fashion_boutique[[#This Row],[return_reason]])</f>
        <v>Size Issue</v>
      </c>
      <c r="Y1433">
        <f>IF(IFERROR(VLOOKUP(BBDD_fashion_boutique[[#This Row],[product_id]],A1434:A3609,1,FALSE),0),1,0)</f>
        <v>0</v>
      </c>
    </row>
    <row r="1434" spans="1:25" x14ac:dyDescent="0.3">
      <c r="A1434" t="s">
        <v>1493</v>
      </c>
      <c r="B1434" t="s">
        <v>26</v>
      </c>
      <c r="C1434" t="s">
        <v>59</v>
      </c>
      <c r="D1434" t="s">
        <v>39</v>
      </c>
      <c r="E1434" t="s">
        <v>61</v>
      </c>
      <c r="F1434" t="str">
        <f>IF(BBDD_fashion_boutique[[#This Row],[category]]="Accessories","Accesorio",IF(BBDD_fashion_boutique[[#This Row],[size]]="","Desconocido",BBDD_fashion_boutique[[#This Row],[size]]))</f>
        <v>XS</v>
      </c>
      <c r="G1434" t="s">
        <v>23</v>
      </c>
      <c r="H1434" s="2">
        <v>70.88</v>
      </c>
      <c r="I1434">
        <v>0</v>
      </c>
      <c r="J1434" s="5">
        <f>BBDD_fashion_boutique[[#This Row],[markdown_percentage]]/100</f>
        <v>0</v>
      </c>
      <c r="K1434" s="2">
        <v>70.88</v>
      </c>
      <c r="L1434" s="2">
        <f>BBDD_fashion_boutique[[#This Row],[original_price]]-BBDD_fashion_boutique[[#This Row],[current_price]]</f>
        <v>0</v>
      </c>
      <c r="M1434" s="1">
        <v>45875</v>
      </c>
      <c r="N1434" s="1" t="str">
        <f>PROPER(TEXT(BBDD_fashion_boutique[[#This Row],[purchase_date]],"dddd"))</f>
        <v>Miércoles</v>
      </c>
      <c r="O1434" s="1" t="str">
        <f>PROPER(TEXT(BBDD_fashion_boutique[[#This Row],[purchase_date]],"mmmm"))</f>
        <v>Agosto</v>
      </c>
      <c r="P1434" s="4">
        <v>5</v>
      </c>
      <c r="Q1434" s="2">
        <v>2.2999999999999998</v>
      </c>
      <c r="R1434" t="str">
        <f>IF(BBDD_fashion_boutique[[#This Row],[stock_quantity]]&gt;9,"Ok",IF(BBDD_fashion_boutique[[#This Row],[stock_quantity]]=0,"Agotado","Pocas Unidades"))</f>
        <v>Pocas Unidades</v>
      </c>
      <c r="S1434" s="3">
        <f>IF(BBDD_fashion_boutique[[#This Row],[customer_rating]]="","No valorado",BBDD_fashion_boutique[[#This Row],[customer_rating]])</f>
        <v>2.2999999999999998</v>
      </c>
      <c r="T1434" t="s">
        <v>24</v>
      </c>
      <c r="V1434">
        <f>IF(BBDD_fashion_boutique[[#This Row],[is_returned]]="False",0,1)</f>
        <v>0</v>
      </c>
      <c r="W1434">
        <f>IF(BBDD_fashion_boutique[[#This Row],[is_returned]]="True",0,BBDD_fashion_boutique[[#This Row],[current_price]])</f>
        <v>70.88</v>
      </c>
      <c r="X1434" t="str">
        <f>IF(BBDD_fashion_boutique[[#This Row],[return_reason]]="","No return",BBDD_fashion_boutique[[#This Row],[return_reason]])</f>
        <v>No return</v>
      </c>
      <c r="Y1434">
        <f>IF(IFERROR(VLOOKUP(BBDD_fashion_boutique[[#This Row],[product_id]],A1435:A3610,1,FALSE),0),1,0)</f>
        <v>0</v>
      </c>
    </row>
    <row r="1435" spans="1:25" x14ac:dyDescent="0.3">
      <c r="A1435" t="s">
        <v>1494</v>
      </c>
      <c r="B1435" t="s">
        <v>35</v>
      </c>
      <c r="C1435" t="s">
        <v>54</v>
      </c>
      <c r="D1435" t="s">
        <v>68</v>
      </c>
      <c r="E1435" t="s">
        <v>61</v>
      </c>
      <c r="F1435" t="str">
        <f>IF(BBDD_fashion_boutique[[#This Row],[category]]="Accessories","Accesorio",IF(BBDD_fashion_boutique[[#This Row],[size]]="","Desconocido",BBDD_fashion_boutique[[#This Row],[size]]))</f>
        <v>XS</v>
      </c>
      <c r="G1435" t="s">
        <v>40</v>
      </c>
      <c r="H1435" s="2">
        <v>176.64</v>
      </c>
      <c r="I1435">
        <v>8.8000000000000007</v>
      </c>
      <c r="J1435" s="5">
        <f>BBDD_fashion_boutique[[#This Row],[markdown_percentage]]/100</f>
        <v>8.8000000000000009E-2</v>
      </c>
      <c r="K1435" s="2">
        <v>161.1</v>
      </c>
      <c r="L1435" s="2">
        <f>BBDD_fashion_boutique[[#This Row],[original_price]]-BBDD_fashion_boutique[[#This Row],[current_price]]</f>
        <v>15.539999999999992</v>
      </c>
      <c r="M1435" s="1">
        <v>45875</v>
      </c>
      <c r="N1435" s="1" t="str">
        <f>PROPER(TEXT(BBDD_fashion_boutique[[#This Row],[purchase_date]],"dddd"))</f>
        <v>Miércoles</v>
      </c>
      <c r="O1435" s="1" t="str">
        <f>PROPER(TEXT(BBDD_fashion_boutique[[#This Row],[purchase_date]],"mmmm"))</f>
        <v>Agosto</v>
      </c>
      <c r="P1435" s="4">
        <v>1</v>
      </c>
      <c r="Q1435" s="2">
        <v>1.7</v>
      </c>
      <c r="R1435" t="str">
        <f>IF(BBDD_fashion_boutique[[#This Row],[stock_quantity]]&gt;9,"Ok",IF(BBDD_fashion_boutique[[#This Row],[stock_quantity]]=0,"Agotado","Pocas Unidades"))</f>
        <v>Pocas Unidades</v>
      </c>
      <c r="S1435" s="3">
        <f>IF(BBDD_fashion_boutique[[#This Row],[customer_rating]]="","No valorado",BBDD_fashion_boutique[[#This Row],[customer_rating]])</f>
        <v>1.7</v>
      </c>
      <c r="T1435" t="s">
        <v>24</v>
      </c>
      <c r="V1435">
        <f>IF(BBDD_fashion_boutique[[#This Row],[is_returned]]="False",0,1)</f>
        <v>0</v>
      </c>
      <c r="W1435">
        <f>IF(BBDD_fashion_boutique[[#This Row],[is_returned]]="True",0,BBDD_fashion_boutique[[#This Row],[current_price]])</f>
        <v>161.1</v>
      </c>
      <c r="X1435" t="str">
        <f>IF(BBDD_fashion_boutique[[#This Row],[return_reason]]="","No return",BBDD_fashion_boutique[[#This Row],[return_reason]])</f>
        <v>No return</v>
      </c>
      <c r="Y1435">
        <f>IF(IFERROR(VLOOKUP(BBDD_fashion_boutique[[#This Row],[product_id]],A1436:A3611,1,FALSE),0),1,0)</f>
        <v>0</v>
      </c>
    </row>
    <row r="1436" spans="1:25" x14ac:dyDescent="0.3">
      <c r="A1436" t="s">
        <v>1495</v>
      </c>
      <c r="B1436" t="s">
        <v>48</v>
      </c>
      <c r="C1436" t="s">
        <v>59</v>
      </c>
      <c r="D1436" t="s">
        <v>28</v>
      </c>
      <c r="E1436" t="s">
        <v>29</v>
      </c>
      <c r="F1436" t="str">
        <f>IF(BBDD_fashion_boutique[[#This Row],[category]]="Accessories","Accesorio",IF(BBDD_fashion_boutique[[#This Row],[size]]="","Desconocido",BBDD_fashion_boutique[[#This Row],[size]]))</f>
        <v>L</v>
      </c>
      <c r="G1436" t="s">
        <v>23</v>
      </c>
      <c r="H1436" s="2">
        <v>50.76</v>
      </c>
      <c r="I1436">
        <v>0</v>
      </c>
      <c r="J1436" s="5">
        <f>BBDD_fashion_boutique[[#This Row],[markdown_percentage]]/100</f>
        <v>0</v>
      </c>
      <c r="K1436" s="2">
        <v>50.76</v>
      </c>
      <c r="L1436" s="2">
        <f>BBDD_fashion_boutique[[#This Row],[original_price]]-BBDD_fashion_boutique[[#This Row],[current_price]]</f>
        <v>0</v>
      </c>
      <c r="M1436" s="1">
        <v>45875</v>
      </c>
      <c r="N1436" s="1" t="str">
        <f>PROPER(TEXT(BBDD_fashion_boutique[[#This Row],[purchase_date]],"dddd"))</f>
        <v>Miércoles</v>
      </c>
      <c r="O1436" s="1" t="str">
        <f>PROPER(TEXT(BBDD_fashion_boutique[[#This Row],[purchase_date]],"mmmm"))</f>
        <v>Agosto</v>
      </c>
      <c r="P1436" s="4">
        <v>45</v>
      </c>
      <c r="Q1436" s="2">
        <v>4.3</v>
      </c>
      <c r="R1436" t="str">
        <f>IF(BBDD_fashion_boutique[[#This Row],[stock_quantity]]&gt;9,"Ok",IF(BBDD_fashion_boutique[[#This Row],[stock_quantity]]=0,"Agotado","Pocas Unidades"))</f>
        <v>Ok</v>
      </c>
      <c r="S1436" s="3">
        <f>IF(BBDD_fashion_boutique[[#This Row],[customer_rating]]="","No valorado",BBDD_fashion_boutique[[#This Row],[customer_rating]])</f>
        <v>4.3</v>
      </c>
      <c r="T1436" t="s">
        <v>24</v>
      </c>
      <c r="V1436">
        <f>IF(BBDD_fashion_boutique[[#This Row],[is_returned]]="False",0,1)</f>
        <v>0</v>
      </c>
      <c r="W1436">
        <f>IF(BBDD_fashion_boutique[[#This Row],[is_returned]]="True",0,BBDD_fashion_boutique[[#This Row],[current_price]])</f>
        <v>50.76</v>
      </c>
      <c r="X1436" t="str">
        <f>IF(BBDD_fashion_boutique[[#This Row],[return_reason]]="","No return",BBDD_fashion_boutique[[#This Row],[return_reason]])</f>
        <v>No return</v>
      </c>
      <c r="Y1436">
        <f>IF(IFERROR(VLOOKUP(BBDD_fashion_boutique[[#This Row],[product_id]],A1437:A3612,1,FALSE),0),1,0)</f>
        <v>0</v>
      </c>
    </row>
    <row r="1437" spans="1:25" x14ac:dyDescent="0.3">
      <c r="A1437" t="s">
        <v>1496</v>
      </c>
      <c r="B1437" t="s">
        <v>35</v>
      </c>
      <c r="C1437" t="s">
        <v>49</v>
      </c>
      <c r="D1437" t="s">
        <v>39</v>
      </c>
      <c r="E1437" t="s">
        <v>22</v>
      </c>
      <c r="F1437" t="str">
        <f>IF(BBDD_fashion_boutique[[#This Row],[category]]="Accessories","Accesorio",IF(BBDD_fashion_boutique[[#This Row],[size]]="","Desconocido",BBDD_fashion_boutique[[#This Row],[size]]))</f>
        <v>XL</v>
      </c>
      <c r="G1437" t="s">
        <v>30</v>
      </c>
      <c r="H1437" s="2">
        <v>155.85</v>
      </c>
      <c r="I1437">
        <v>0</v>
      </c>
      <c r="J1437" s="5">
        <f>BBDD_fashion_boutique[[#This Row],[markdown_percentage]]/100</f>
        <v>0</v>
      </c>
      <c r="K1437" s="2">
        <v>155.85</v>
      </c>
      <c r="L1437" s="2">
        <f>BBDD_fashion_boutique[[#This Row],[original_price]]-BBDD_fashion_boutique[[#This Row],[current_price]]</f>
        <v>0</v>
      </c>
      <c r="M1437" s="1">
        <v>45875</v>
      </c>
      <c r="N1437" s="1" t="str">
        <f>PROPER(TEXT(BBDD_fashion_boutique[[#This Row],[purchase_date]],"dddd"))</f>
        <v>Miércoles</v>
      </c>
      <c r="O1437" s="1" t="str">
        <f>PROPER(TEXT(BBDD_fashion_boutique[[#This Row],[purchase_date]],"mmmm"))</f>
        <v>Agosto</v>
      </c>
      <c r="P1437" s="4">
        <v>1</v>
      </c>
      <c r="Q1437" s="2">
        <v>3.5</v>
      </c>
      <c r="R1437" t="str">
        <f>IF(BBDD_fashion_boutique[[#This Row],[stock_quantity]]&gt;9,"Ok",IF(BBDD_fashion_boutique[[#This Row],[stock_quantity]]=0,"Agotado","Pocas Unidades"))</f>
        <v>Pocas Unidades</v>
      </c>
      <c r="S1437" s="3">
        <f>IF(BBDD_fashion_boutique[[#This Row],[customer_rating]]="","No valorado",BBDD_fashion_boutique[[#This Row],[customer_rating]])</f>
        <v>3.5</v>
      </c>
      <c r="T1437" t="s">
        <v>24</v>
      </c>
      <c r="V1437">
        <f>IF(BBDD_fashion_boutique[[#This Row],[is_returned]]="False",0,1)</f>
        <v>0</v>
      </c>
      <c r="W1437">
        <f>IF(BBDD_fashion_boutique[[#This Row],[is_returned]]="True",0,BBDD_fashion_boutique[[#This Row],[current_price]])</f>
        <v>155.85</v>
      </c>
      <c r="X1437" t="str">
        <f>IF(BBDD_fashion_boutique[[#This Row],[return_reason]]="","No return",BBDD_fashion_boutique[[#This Row],[return_reason]])</f>
        <v>No return</v>
      </c>
      <c r="Y1437">
        <f>IF(IFERROR(VLOOKUP(BBDD_fashion_boutique[[#This Row],[product_id]],A1438:A3613,1,FALSE),0),1,0)</f>
        <v>0</v>
      </c>
    </row>
    <row r="1438" spans="1:25" x14ac:dyDescent="0.3">
      <c r="A1438" t="s">
        <v>1497</v>
      </c>
      <c r="B1438" t="s">
        <v>48</v>
      </c>
      <c r="C1438" t="s">
        <v>37</v>
      </c>
      <c r="D1438" t="s">
        <v>21</v>
      </c>
      <c r="E1438" t="s">
        <v>22</v>
      </c>
      <c r="F1438" t="str">
        <f>IF(BBDD_fashion_boutique[[#This Row],[category]]="Accessories","Accesorio",IF(BBDD_fashion_boutique[[#This Row],[size]]="","Desconocido",BBDD_fashion_boutique[[#This Row],[size]]))</f>
        <v>XL</v>
      </c>
      <c r="G1438" t="s">
        <v>50</v>
      </c>
      <c r="H1438" s="2">
        <v>48.04</v>
      </c>
      <c r="I1438">
        <v>0</v>
      </c>
      <c r="J1438" s="5">
        <f>BBDD_fashion_boutique[[#This Row],[markdown_percentage]]/100</f>
        <v>0</v>
      </c>
      <c r="K1438" s="2">
        <v>48.04</v>
      </c>
      <c r="L1438" s="2">
        <f>BBDD_fashion_boutique[[#This Row],[original_price]]-BBDD_fashion_boutique[[#This Row],[current_price]]</f>
        <v>0</v>
      </c>
      <c r="M1438" s="1">
        <v>45778</v>
      </c>
      <c r="N1438" s="1" t="str">
        <f>PROPER(TEXT(BBDD_fashion_boutique[[#This Row],[purchase_date]],"dddd"))</f>
        <v>Jueves</v>
      </c>
      <c r="O1438" s="1" t="str">
        <f>PROPER(TEXT(BBDD_fashion_boutique[[#This Row],[purchase_date]],"mmmm"))</f>
        <v>Mayo</v>
      </c>
      <c r="P1438" s="4">
        <v>20</v>
      </c>
      <c r="Q1438" s="2">
        <v>3.2</v>
      </c>
      <c r="R1438" t="str">
        <f>IF(BBDD_fashion_boutique[[#This Row],[stock_quantity]]&gt;9,"Ok",IF(BBDD_fashion_boutique[[#This Row],[stock_quantity]]=0,"Agotado","Pocas Unidades"))</f>
        <v>Ok</v>
      </c>
      <c r="S1438" s="3">
        <f>IF(BBDD_fashion_boutique[[#This Row],[customer_rating]]="","No valorado",BBDD_fashion_boutique[[#This Row],[customer_rating]])</f>
        <v>3.2</v>
      </c>
      <c r="T1438" t="s">
        <v>24</v>
      </c>
      <c r="V1438">
        <f>IF(BBDD_fashion_boutique[[#This Row],[is_returned]]="False",0,1)</f>
        <v>0</v>
      </c>
      <c r="W1438">
        <f>IF(BBDD_fashion_boutique[[#This Row],[is_returned]]="True",0,BBDD_fashion_boutique[[#This Row],[current_price]])</f>
        <v>48.04</v>
      </c>
      <c r="X1438" t="str">
        <f>IF(BBDD_fashion_boutique[[#This Row],[return_reason]]="","No return",BBDD_fashion_boutique[[#This Row],[return_reason]])</f>
        <v>No return</v>
      </c>
      <c r="Y1438">
        <f>IF(IFERROR(VLOOKUP(BBDD_fashion_boutique[[#This Row],[product_id]],A1439:A3614,1,FALSE),0),1,0)</f>
        <v>0</v>
      </c>
    </row>
    <row r="1439" spans="1:25" x14ac:dyDescent="0.3">
      <c r="A1439" t="s">
        <v>1498</v>
      </c>
      <c r="B1439" t="s">
        <v>26</v>
      </c>
      <c r="C1439" t="s">
        <v>81</v>
      </c>
      <c r="D1439" t="s">
        <v>21</v>
      </c>
      <c r="E1439" t="s">
        <v>61</v>
      </c>
      <c r="F1439" t="str">
        <f>IF(BBDD_fashion_boutique[[#This Row],[category]]="Accessories","Accesorio",IF(BBDD_fashion_boutique[[#This Row],[size]]="","Desconocido",BBDD_fashion_boutique[[#This Row],[size]]))</f>
        <v>XS</v>
      </c>
      <c r="G1439" t="s">
        <v>70</v>
      </c>
      <c r="H1439" s="2">
        <v>44.79</v>
      </c>
      <c r="I1439">
        <v>0</v>
      </c>
      <c r="J1439" s="5">
        <f>BBDD_fashion_boutique[[#This Row],[markdown_percentage]]/100</f>
        <v>0</v>
      </c>
      <c r="K1439" s="2">
        <v>44.79</v>
      </c>
      <c r="L1439" s="2">
        <f>BBDD_fashion_boutique[[#This Row],[original_price]]-BBDD_fashion_boutique[[#This Row],[current_price]]</f>
        <v>0</v>
      </c>
      <c r="M1439" s="1">
        <v>45676</v>
      </c>
      <c r="N1439" s="1" t="str">
        <f>PROPER(TEXT(BBDD_fashion_boutique[[#This Row],[purchase_date]],"dddd"))</f>
        <v>Domingo</v>
      </c>
      <c r="O1439" s="1" t="str">
        <f>PROPER(TEXT(BBDD_fashion_boutique[[#This Row],[purchase_date]],"mmmm"))</f>
        <v>Enero</v>
      </c>
      <c r="P1439" s="4">
        <v>7</v>
      </c>
      <c r="Q1439" s="2">
        <v>3.6</v>
      </c>
      <c r="R1439" t="str">
        <f>IF(BBDD_fashion_boutique[[#This Row],[stock_quantity]]&gt;9,"Ok",IF(BBDD_fashion_boutique[[#This Row],[stock_quantity]]=0,"Agotado","Pocas Unidades"))</f>
        <v>Pocas Unidades</v>
      </c>
      <c r="S1439" s="3">
        <f>IF(BBDD_fashion_boutique[[#This Row],[customer_rating]]="","No valorado",BBDD_fashion_boutique[[#This Row],[customer_rating]])</f>
        <v>3.6</v>
      </c>
      <c r="T1439" t="s">
        <v>24</v>
      </c>
      <c r="V1439">
        <f>IF(BBDD_fashion_boutique[[#This Row],[is_returned]]="False",0,1)</f>
        <v>0</v>
      </c>
      <c r="W1439">
        <f>IF(BBDD_fashion_boutique[[#This Row],[is_returned]]="True",0,BBDD_fashion_boutique[[#This Row],[current_price]])</f>
        <v>44.79</v>
      </c>
      <c r="X1439" t="str">
        <f>IF(BBDD_fashion_boutique[[#This Row],[return_reason]]="","No return",BBDD_fashion_boutique[[#This Row],[return_reason]])</f>
        <v>No return</v>
      </c>
      <c r="Y1439">
        <f>IF(IFERROR(VLOOKUP(BBDD_fashion_boutique[[#This Row],[product_id]],A1440:A3615,1,FALSE),0),1,0)</f>
        <v>0</v>
      </c>
    </row>
    <row r="1440" spans="1:25" x14ac:dyDescent="0.3">
      <c r="A1440" t="s">
        <v>1499</v>
      </c>
      <c r="B1440" t="s">
        <v>26</v>
      </c>
      <c r="C1440" t="s">
        <v>27</v>
      </c>
      <c r="D1440" t="s">
        <v>21</v>
      </c>
      <c r="E1440" t="s">
        <v>61</v>
      </c>
      <c r="F1440" t="str">
        <f>IF(BBDD_fashion_boutique[[#This Row],[category]]="Accessories","Accesorio",IF(BBDD_fashion_boutique[[#This Row],[size]]="","Desconocido",BBDD_fashion_boutique[[#This Row],[size]]))</f>
        <v>XS</v>
      </c>
      <c r="G1440" t="s">
        <v>50</v>
      </c>
      <c r="H1440" s="2">
        <v>76.95</v>
      </c>
      <c r="I1440">
        <v>0</v>
      </c>
      <c r="J1440" s="5">
        <f>BBDD_fashion_boutique[[#This Row],[markdown_percentage]]/100</f>
        <v>0</v>
      </c>
      <c r="K1440" s="2">
        <v>76.95</v>
      </c>
      <c r="L1440" s="2">
        <f>BBDD_fashion_boutique[[#This Row],[original_price]]-BBDD_fashion_boutique[[#This Row],[current_price]]</f>
        <v>0</v>
      </c>
      <c r="M1440" s="1">
        <v>45669</v>
      </c>
      <c r="N1440" s="1" t="str">
        <f>PROPER(TEXT(BBDD_fashion_boutique[[#This Row],[purchase_date]],"dddd"))</f>
        <v>Domingo</v>
      </c>
      <c r="O1440" s="1" t="str">
        <f>PROPER(TEXT(BBDD_fashion_boutique[[#This Row],[purchase_date]],"mmmm"))</f>
        <v>Enero</v>
      </c>
      <c r="P1440" s="4">
        <v>9</v>
      </c>
      <c r="Q1440" s="2">
        <v>2.5</v>
      </c>
      <c r="R1440" t="str">
        <f>IF(BBDD_fashion_boutique[[#This Row],[stock_quantity]]&gt;9,"Ok",IF(BBDD_fashion_boutique[[#This Row],[stock_quantity]]=0,"Agotado","Pocas Unidades"))</f>
        <v>Pocas Unidades</v>
      </c>
      <c r="S1440" s="3">
        <f>IF(BBDD_fashion_boutique[[#This Row],[customer_rating]]="","No valorado",BBDD_fashion_boutique[[#This Row],[customer_rating]])</f>
        <v>2.5</v>
      </c>
      <c r="T1440" t="s">
        <v>24</v>
      </c>
      <c r="V1440">
        <f>IF(BBDD_fashion_boutique[[#This Row],[is_returned]]="False",0,1)</f>
        <v>0</v>
      </c>
      <c r="W1440">
        <f>IF(BBDD_fashion_boutique[[#This Row],[is_returned]]="True",0,BBDD_fashion_boutique[[#This Row],[current_price]])</f>
        <v>76.95</v>
      </c>
      <c r="X1440" t="str">
        <f>IF(BBDD_fashion_boutique[[#This Row],[return_reason]]="","No return",BBDD_fashion_boutique[[#This Row],[return_reason]])</f>
        <v>No return</v>
      </c>
      <c r="Y1440">
        <f>IF(IFERROR(VLOOKUP(BBDD_fashion_boutique[[#This Row],[product_id]],A1441:A3616,1,FALSE),0),1,0)</f>
        <v>0</v>
      </c>
    </row>
    <row r="1441" spans="1:25" x14ac:dyDescent="0.3">
      <c r="A1441" t="s">
        <v>1500</v>
      </c>
      <c r="B1441" t="s">
        <v>32</v>
      </c>
      <c r="C1441" t="s">
        <v>67</v>
      </c>
      <c r="D1441" t="s">
        <v>68</v>
      </c>
      <c r="F1441" t="str">
        <f>IF(BBDD_fashion_boutique[[#This Row],[category]]="Accessories","Accesorio",IF(BBDD_fashion_boutique[[#This Row],[size]]="","Desconocido",BBDD_fashion_boutique[[#This Row],[size]]))</f>
        <v>Accesorio</v>
      </c>
      <c r="G1441" t="s">
        <v>46</v>
      </c>
      <c r="H1441" s="2">
        <v>35.93</v>
      </c>
      <c r="I1441">
        <v>49.9</v>
      </c>
      <c r="J1441" s="5">
        <f>BBDD_fashion_boutique[[#This Row],[markdown_percentage]]/100</f>
        <v>0.499</v>
      </c>
      <c r="K1441" s="2">
        <v>18</v>
      </c>
      <c r="L1441" s="2">
        <f>BBDD_fashion_boutique[[#This Row],[original_price]]-BBDD_fashion_boutique[[#This Row],[current_price]]</f>
        <v>17.93</v>
      </c>
      <c r="M1441" s="1">
        <v>45875</v>
      </c>
      <c r="N1441" s="1" t="str">
        <f>PROPER(TEXT(BBDD_fashion_boutique[[#This Row],[purchase_date]],"dddd"))</f>
        <v>Miércoles</v>
      </c>
      <c r="O1441" s="1" t="str">
        <f>PROPER(TEXT(BBDD_fashion_boutique[[#This Row],[purchase_date]],"mmmm"))</f>
        <v>Agosto</v>
      </c>
      <c r="P1441" s="4">
        <v>26</v>
      </c>
      <c r="Q1441" s="2">
        <v>4</v>
      </c>
      <c r="R1441" t="str">
        <f>IF(BBDD_fashion_boutique[[#This Row],[stock_quantity]]&gt;9,"Ok",IF(BBDD_fashion_boutique[[#This Row],[stock_quantity]]=0,"Agotado","Pocas Unidades"))</f>
        <v>Ok</v>
      </c>
      <c r="S1441" s="3">
        <f>IF(BBDD_fashion_boutique[[#This Row],[customer_rating]]="","No valorado",BBDD_fashion_boutique[[#This Row],[customer_rating]])</f>
        <v>4</v>
      </c>
      <c r="T1441" t="s">
        <v>24</v>
      </c>
      <c r="V1441">
        <f>IF(BBDD_fashion_boutique[[#This Row],[is_returned]]="False",0,1)</f>
        <v>0</v>
      </c>
      <c r="W1441">
        <f>IF(BBDD_fashion_boutique[[#This Row],[is_returned]]="True",0,BBDD_fashion_boutique[[#This Row],[current_price]])</f>
        <v>18</v>
      </c>
      <c r="X1441" t="str">
        <f>IF(BBDD_fashion_boutique[[#This Row],[return_reason]]="","No return",BBDD_fashion_boutique[[#This Row],[return_reason]])</f>
        <v>No return</v>
      </c>
      <c r="Y1441">
        <f>IF(IFERROR(VLOOKUP(BBDD_fashion_boutique[[#This Row],[product_id]],A1442:A3617,1,FALSE),0),1,0)</f>
        <v>0</v>
      </c>
    </row>
    <row r="1442" spans="1:25" x14ac:dyDescent="0.3">
      <c r="A1442" t="s">
        <v>1501</v>
      </c>
      <c r="B1442" t="s">
        <v>44</v>
      </c>
      <c r="C1442" t="s">
        <v>37</v>
      </c>
      <c r="D1442" t="s">
        <v>39</v>
      </c>
      <c r="E1442" t="s">
        <v>22</v>
      </c>
      <c r="F1442" t="str">
        <f>IF(BBDD_fashion_boutique[[#This Row],[category]]="Accessories","Accesorio",IF(BBDD_fashion_boutique[[#This Row],[size]]="","Desconocido",BBDD_fashion_boutique[[#This Row],[size]]))</f>
        <v>XL</v>
      </c>
      <c r="G1442" t="s">
        <v>23</v>
      </c>
      <c r="H1442" s="2">
        <v>49.97</v>
      </c>
      <c r="I1442">
        <v>0</v>
      </c>
      <c r="J1442" s="5">
        <f>BBDD_fashion_boutique[[#This Row],[markdown_percentage]]/100</f>
        <v>0</v>
      </c>
      <c r="K1442" s="2">
        <v>49.97</v>
      </c>
      <c r="L1442" s="2">
        <f>BBDD_fashion_boutique[[#This Row],[original_price]]-BBDD_fashion_boutique[[#This Row],[current_price]]</f>
        <v>0</v>
      </c>
      <c r="M1442" s="1">
        <v>45875</v>
      </c>
      <c r="N1442" s="1" t="str">
        <f>PROPER(TEXT(BBDD_fashion_boutique[[#This Row],[purchase_date]],"dddd"))</f>
        <v>Miércoles</v>
      </c>
      <c r="O1442" s="1" t="str">
        <f>PROPER(TEXT(BBDD_fashion_boutique[[#This Row],[purchase_date]],"mmmm"))</f>
        <v>Agosto</v>
      </c>
      <c r="P1442" s="4">
        <v>11</v>
      </c>
      <c r="Q1442" s="2">
        <v>3.5</v>
      </c>
      <c r="R1442" t="str">
        <f>IF(BBDD_fashion_boutique[[#This Row],[stock_quantity]]&gt;9,"Ok",IF(BBDD_fashion_boutique[[#This Row],[stock_quantity]]=0,"Agotado","Pocas Unidades"))</f>
        <v>Ok</v>
      </c>
      <c r="S1442" s="3">
        <f>IF(BBDD_fashion_boutique[[#This Row],[customer_rating]]="","No valorado",BBDD_fashion_boutique[[#This Row],[customer_rating]])</f>
        <v>3.5</v>
      </c>
      <c r="T1442" t="s">
        <v>41</v>
      </c>
      <c r="U1442" t="s">
        <v>89</v>
      </c>
      <c r="V1442">
        <f>IF(BBDD_fashion_boutique[[#This Row],[is_returned]]="False",0,1)</f>
        <v>1</v>
      </c>
      <c r="W1442">
        <f>IF(BBDD_fashion_boutique[[#This Row],[is_returned]]="True",0,BBDD_fashion_boutique[[#This Row],[current_price]])</f>
        <v>0</v>
      </c>
      <c r="X1442" t="str">
        <f>IF(BBDD_fashion_boutique[[#This Row],[return_reason]]="","No return",BBDD_fashion_boutique[[#This Row],[return_reason]])</f>
        <v>Quality Issue</v>
      </c>
      <c r="Y1442">
        <f>IF(IFERROR(VLOOKUP(BBDD_fashion_boutique[[#This Row],[product_id]],A1443:A3618,1,FALSE),0),1,0)</f>
        <v>0</v>
      </c>
    </row>
    <row r="1443" spans="1:25" x14ac:dyDescent="0.3">
      <c r="A1443" t="s">
        <v>1502</v>
      </c>
      <c r="B1443" t="s">
        <v>19</v>
      </c>
      <c r="C1443" t="s">
        <v>54</v>
      </c>
      <c r="D1443" t="s">
        <v>68</v>
      </c>
      <c r="F1443" t="str">
        <f>IF(BBDD_fashion_boutique[[#This Row],[category]]="Accessories","Accesorio",IF(BBDD_fashion_boutique[[#This Row],[size]]="","Desconocido",BBDD_fashion_boutique[[#This Row],[size]]))</f>
        <v>Desconocido</v>
      </c>
      <c r="G1443" t="s">
        <v>33</v>
      </c>
      <c r="H1443" s="2">
        <v>169.69</v>
      </c>
      <c r="I1443">
        <v>0</v>
      </c>
      <c r="J1443" s="5">
        <f>BBDD_fashion_boutique[[#This Row],[markdown_percentage]]/100</f>
        <v>0</v>
      </c>
      <c r="K1443" s="2">
        <v>169.69</v>
      </c>
      <c r="L1443" s="2">
        <f>BBDD_fashion_boutique[[#This Row],[original_price]]-BBDD_fashion_boutique[[#This Row],[current_price]]</f>
        <v>0</v>
      </c>
      <c r="M1443" s="1">
        <v>45875</v>
      </c>
      <c r="N1443" s="1" t="str">
        <f>PROPER(TEXT(BBDD_fashion_boutique[[#This Row],[purchase_date]],"dddd"))</f>
        <v>Miércoles</v>
      </c>
      <c r="O1443" s="1" t="str">
        <f>PROPER(TEXT(BBDD_fashion_boutique[[#This Row],[purchase_date]],"mmmm"))</f>
        <v>Agosto</v>
      </c>
      <c r="P1443" s="4">
        <v>29</v>
      </c>
      <c r="Q1443" s="2">
        <v>1.9</v>
      </c>
      <c r="R1443" t="str">
        <f>IF(BBDD_fashion_boutique[[#This Row],[stock_quantity]]&gt;9,"Ok",IF(BBDD_fashion_boutique[[#This Row],[stock_quantity]]=0,"Agotado","Pocas Unidades"))</f>
        <v>Ok</v>
      </c>
      <c r="S1443" s="3">
        <f>IF(BBDD_fashion_boutique[[#This Row],[customer_rating]]="","No valorado",BBDD_fashion_boutique[[#This Row],[customer_rating]])</f>
        <v>1.9</v>
      </c>
      <c r="T1443" t="s">
        <v>24</v>
      </c>
      <c r="V1443">
        <f>IF(BBDD_fashion_boutique[[#This Row],[is_returned]]="False",0,1)</f>
        <v>0</v>
      </c>
      <c r="W1443">
        <f>IF(BBDD_fashion_boutique[[#This Row],[is_returned]]="True",0,BBDD_fashion_boutique[[#This Row],[current_price]])</f>
        <v>169.69</v>
      </c>
      <c r="X1443" t="str">
        <f>IF(BBDD_fashion_boutique[[#This Row],[return_reason]]="","No return",BBDD_fashion_boutique[[#This Row],[return_reason]])</f>
        <v>No return</v>
      </c>
      <c r="Y1443">
        <f>IF(IFERROR(VLOOKUP(BBDD_fashion_boutique[[#This Row],[product_id]],A1444:A3619,1,FALSE),0),1,0)</f>
        <v>0</v>
      </c>
    </row>
    <row r="1444" spans="1:25" x14ac:dyDescent="0.3">
      <c r="A1444" t="s">
        <v>1503</v>
      </c>
      <c r="B1444" t="s">
        <v>19</v>
      </c>
      <c r="C1444" t="s">
        <v>59</v>
      </c>
      <c r="D1444" t="s">
        <v>21</v>
      </c>
      <c r="F1444" t="str">
        <f>IF(BBDD_fashion_boutique[[#This Row],[category]]="Accessories","Accesorio",IF(BBDD_fashion_boutique[[#This Row],[size]]="","Desconocido",BBDD_fashion_boutique[[#This Row],[size]]))</f>
        <v>Desconocido</v>
      </c>
      <c r="G1444" t="s">
        <v>40</v>
      </c>
      <c r="H1444" s="2">
        <v>209.3</v>
      </c>
      <c r="I1444">
        <v>14.2</v>
      </c>
      <c r="J1444" s="5">
        <f>BBDD_fashion_boutique[[#This Row],[markdown_percentage]]/100</f>
        <v>0.14199999999999999</v>
      </c>
      <c r="K1444" s="2">
        <v>179.58</v>
      </c>
      <c r="L1444" s="2">
        <f>BBDD_fashion_boutique[[#This Row],[original_price]]-BBDD_fashion_boutique[[#This Row],[current_price]]</f>
        <v>29.72</v>
      </c>
      <c r="M1444" s="1">
        <v>45721</v>
      </c>
      <c r="N1444" s="1" t="str">
        <f>PROPER(TEXT(BBDD_fashion_boutique[[#This Row],[purchase_date]],"dddd"))</f>
        <v>Miércoles</v>
      </c>
      <c r="O1444" s="1" t="str">
        <f>PROPER(TEXT(BBDD_fashion_boutique[[#This Row],[purchase_date]],"mmmm"))</f>
        <v>Marzo</v>
      </c>
      <c r="P1444" s="4">
        <v>29</v>
      </c>
      <c r="R1444" t="str">
        <f>IF(BBDD_fashion_boutique[[#This Row],[stock_quantity]]&gt;9,"Ok",IF(BBDD_fashion_boutique[[#This Row],[stock_quantity]]=0,"Agotado","Pocas Unidades"))</f>
        <v>Ok</v>
      </c>
      <c r="S1444" s="3" t="str">
        <f>IF(BBDD_fashion_boutique[[#This Row],[customer_rating]]="","No valorado",BBDD_fashion_boutique[[#This Row],[customer_rating]])</f>
        <v>No valorado</v>
      </c>
      <c r="T1444" t="s">
        <v>24</v>
      </c>
      <c r="V1444">
        <f>IF(BBDD_fashion_boutique[[#This Row],[is_returned]]="False",0,1)</f>
        <v>0</v>
      </c>
      <c r="W1444">
        <f>IF(BBDD_fashion_boutique[[#This Row],[is_returned]]="True",0,BBDD_fashion_boutique[[#This Row],[current_price]])</f>
        <v>179.58</v>
      </c>
      <c r="X1444" t="str">
        <f>IF(BBDD_fashion_boutique[[#This Row],[return_reason]]="","No return",BBDD_fashion_boutique[[#This Row],[return_reason]])</f>
        <v>No return</v>
      </c>
      <c r="Y1444">
        <f>IF(IFERROR(VLOOKUP(BBDD_fashion_boutique[[#This Row],[product_id]],A1445:A3620,1,FALSE),0),1,0)</f>
        <v>0</v>
      </c>
    </row>
    <row r="1445" spans="1:25" x14ac:dyDescent="0.3">
      <c r="A1445" t="s">
        <v>1504</v>
      </c>
      <c r="B1445" t="s">
        <v>26</v>
      </c>
      <c r="C1445" t="s">
        <v>67</v>
      </c>
      <c r="D1445" t="s">
        <v>68</v>
      </c>
      <c r="E1445" t="s">
        <v>55</v>
      </c>
      <c r="F1445" t="str">
        <f>IF(BBDD_fashion_boutique[[#This Row],[category]]="Accessories","Accesorio",IF(BBDD_fashion_boutique[[#This Row],[size]]="","Desconocido",BBDD_fashion_boutique[[#This Row],[size]]))</f>
        <v>XXL</v>
      </c>
      <c r="G1445" t="s">
        <v>30</v>
      </c>
      <c r="H1445" s="2">
        <v>110.81</v>
      </c>
      <c r="I1445">
        <v>0</v>
      </c>
      <c r="J1445" s="5">
        <f>BBDD_fashion_boutique[[#This Row],[markdown_percentage]]/100</f>
        <v>0</v>
      </c>
      <c r="K1445" s="2">
        <v>110.81</v>
      </c>
      <c r="L1445" s="2">
        <f>BBDD_fashion_boutique[[#This Row],[original_price]]-BBDD_fashion_boutique[[#This Row],[current_price]]</f>
        <v>0</v>
      </c>
      <c r="M1445" s="1">
        <v>45875</v>
      </c>
      <c r="N1445" s="1" t="str">
        <f>PROPER(TEXT(BBDD_fashion_boutique[[#This Row],[purchase_date]],"dddd"))</f>
        <v>Miércoles</v>
      </c>
      <c r="O1445" s="1" t="str">
        <f>PROPER(TEXT(BBDD_fashion_boutique[[#This Row],[purchase_date]],"mmmm"))</f>
        <v>Agosto</v>
      </c>
      <c r="P1445" s="4">
        <v>24</v>
      </c>
      <c r="Q1445" s="2">
        <v>2.4</v>
      </c>
      <c r="R1445" t="str">
        <f>IF(BBDD_fashion_boutique[[#This Row],[stock_quantity]]&gt;9,"Ok",IF(BBDD_fashion_boutique[[#This Row],[stock_quantity]]=0,"Agotado","Pocas Unidades"))</f>
        <v>Ok</v>
      </c>
      <c r="S1445" s="3">
        <f>IF(BBDD_fashion_boutique[[#This Row],[customer_rating]]="","No valorado",BBDD_fashion_boutique[[#This Row],[customer_rating]])</f>
        <v>2.4</v>
      </c>
      <c r="T1445" t="s">
        <v>24</v>
      </c>
      <c r="V1445">
        <f>IF(BBDD_fashion_boutique[[#This Row],[is_returned]]="False",0,1)</f>
        <v>0</v>
      </c>
      <c r="W1445">
        <f>IF(BBDD_fashion_boutique[[#This Row],[is_returned]]="True",0,BBDD_fashion_boutique[[#This Row],[current_price]])</f>
        <v>110.81</v>
      </c>
      <c r="X1445" t="str">
        <f>IF(BBDD_fashion_boutique[[#This Row],[return_reason]]="","No return",BBDD_fashion_boutique[[#This Row],[return_reason]])</f>
        <v>No return</v>
      </c>
      <c r="Y1445">
        <f>IF(IFERROR(VLOOKUP(BBDD_fashion_boutique[[#This Row],[product_id]],A1446:A3621,1,FALSE),0),1,0)</f>
        <v>0</v>
      </c>
    </row>
    <row r="1446" spans="1:25" x14ac:dyDescent="0.3">
      <c r="A1446" t="s">
        <v>1505</v>
      </c>
      <c r="B1446" t="s">
        <v>32</v>
      </c>
      <c r="C1446" t="s">
        <v>27</v>
      </c>
      <c r="D1446" t="s">
        <v>39</v>
      </c>
      <c r="F1446" t="str">
        <f>IF(BBDD_fashion_boutique[[#This Row],[category]]="Accessories","Accesorio",IF(BBDD_fashion_boutique[[#This Row],[size]]="","Desconocido",BBDD_fashion_boutique[[#This Row],[size]]))</f>
        <v>Accesorio</v>
      </c>
      <c r="G1446" t="s">
        <v>33</v>
      </c>
      <c r="H1446" s="2">
        <v>61.84</v>
      </c>
      <c r="I1446">
        <v>0</v>
      </c>
      <c r="J1446" s="5">
        <f>BBDD_fashion_boutique[[#This Row],[markdown_percentage]]/100</f>
        <v>0</v>
      </c>
      <c r="K1446" s="2">
        <v>61.84</v>
      </c>
      <c r="L1446" s="2">
        <f>BBDD_fashion_boutique[[#This Row],[original_price]]-BBDD_fashion_boutique[[#This Row],[current_price]]</f>
        <v>0</v>
      </c>
      <c r="M1446" s="1">
        <v>45875</v>
      </c>
      <c r="N1446" s="1" t="str">
        <f>PROPER(TEXT(BBDD_fashion_boutique[[#This Row],[purchase_date]],"dddd"))</f>
        <v>Miércoles</v>
      </c>
      <c r="O1446" s="1" t="str">
        <f>PROPER(TEXT(BBDD_fashion_boutique[[#This Row],[purchase_date]],"mmmm"))</f>
        <v>Agosto</v>
      </c>
      <c r="P1446" s="4">
        <v>0</v>
      </c>
      <c r="Q1446" s="2">
        <v>4.7</v>
      </c>
      <c r="R1446" t="str">
        <f>IF(BBDD_fashion_boutique[[#This Row],[stock_quantity]]&gt;9,"Ok",IF(BBDD_fashion_boutique[[#This Row],[stock_quantity]]=0,"Agotado","Pocas Unidades"))</f>
        <v>Agotado</v>
      </c>
      <c r="S1446" s="3">
        <f>IF(BBDD_fashion_boutique[[#This Row],[customer_rating]]="","No valorado",BBDD_fashion_boutique[[#This Row],[customer_rating]])</f>
        <v>4.7</v>
      </c>
      <c r="T1446" t="s">
        <v>41</v>
      </c>
      <c r="U1446" t="s">
        <v>131</v>
      </c>
      <c r="V1446">
        <f>IF(BBDD_fashion_boutique[[#This Row],[is_returned]]="False",0,1)</f>
        <v>1</v>
      </c>
      <c r="W1446">
        <f>IF(BBDD_fashion_boutique[[#This Row],[is_returned]]="True",0,BBDD_fashion_boutique[[#This Row],[current_price]])</f>
        <v>0</v>
      </c>
      <c r="X1446" t="str">
        <f>IF(BBDD_fashion_boutique[[#This Row],[return_reason]]="","No return",BBDD_fashion_boutique[[#This Row],[return_reason]])</f>
        <v>Wrong Item</v>
      </c>
      <c r="Y1446">
        <f>IF(IFERROR(VLOOKUP(BBDD_fashion_boutique[[#This Row],[product_id]],A1447:A3622,1,FALSE),0),1,0)</f>
        <v>0</v>
      </c>
    </row>
    <row r="1447" spans="1:25" x14ac:dyDescent="0.3">
      <c r="A1447" t="s">
        <v>1506</v>
      </c>
      <c r="B1447" t="s">
        <v>19</v>
      </c>
      <c r="C1447" t="s">
        <v>20</v>
      </c>
      <c r="D1447" t="s">
        <v>21</v>
      </c>
      <c r="E1447" t="s">
        <v>45</v>
      </c>
      <c r="F1447" t="str">
        <f>IF(BBDD_fashion_boutique[[#This Row],[category]]="Accessories","Accesorio",IF(BBDD_fashion_boutique[[#This Row],[size]]="","Desconocido",BBDD_fashion_boutique[[#This Row],[size]]))</f>
        <v>S</v>
      </c>
      <c r="G1447" t="s">
        <v>76</v>
      </c>
      <c r="H1447" s="2">
        <v>190.03</v>
      </c>
      <c r="I1447">
        <v>14.9</v>
      </c>
      <c r="J1447" s="5">
        <f>BBDD_fashion_boutique[[#This Row],[markdown_percentage]]/100</f>
        <v>0.14899999999999999</v>
      </c>
      <c r="K1447" s="2">
        <v>161.72</v>
      </c>
      <c r="L1447" s="2">
        <f>BBDD_fashion_boutique[[#This Row],[original_price]]-BBDD_fashion_boutique[[#This Row],[current_price]]</f>
        <v>28.310000000000002</v>
      </c>
      <c r="M1447" s="1">
        <v>45862</v>
      </c>
      <c r="N1447" s="1" t="str">
        <f>PROPER(TEXT(BBDD_fashion_boutique[[#This Row],[purchase_date]],"dddd"))</f>
        <v>Jueves</v>
      </c>
      <c r="O1447" s="1" t="str">
        <f>PROPER(TEXT(BBDD_fashion_boutique[[#This Row],[purchase_date]],"mmmm"))</f>
        <v>Julio</v>
      </c>
      <c r="P1447" s="4">
        <v>35</v>
      </c>
      <c r="Q1447" s="2">
        <v>4.0999999999999996</v>
      </c>
      <c r="R1447" t="str">
        <f>IF(BBDD_fashion_boutique[[#This Row],[stock_quantity]]&gt;9,"Ok",IF(BBDD_fashion_boutique[[#This Row],[stock_quantity]]=0,"Agotado","Pocas Unidades"))</f>
        <v>Ok</v>
      </c>
      <c r="S1447" s="3">
        <f>IF(BBDD_fashion_boutique[[#This Row],[customer_rating]]="","No valorado",BBDD_fashion_boutique[[#This Row],[customer_rating]])</f>
        <v>4.0999999999999996</v>
      </c>
      <c r="T1447" t="s">
        <v>24</v>
      </c>
      <c r="V1447">
        <f>IF(BBDD_fashion_boutique[[#This Row],[is_returned]]="False",0,1)</f>
        <v>0</v>
      </c>
      <c r="W1447">
        <f>IF(BBDD_fashion_boutique[[#This Row],[is_returned]]="True",0,BBDD_fashion_boutique[[#This Row],[current_price]])</f>
        <v>161.72</v>
      </c>
      <c r="X1447" t="str">
        <f>IF(BBDD_fashion_boutique[[#This Row],[return_reason]]="","No return",BBDD_fashion_boutique[[#This Row],[return_reason]])</f>
        <v>No return</v>
      </c>
      <c r="Y1447">
        <f>IF(IFERROR(VLOOKUP(BBDD_fashion_boutique[[#This Row],[product_id]],A1448:A3623,1,FALSE),0),1,0)</f>
        <v>0</v>
      </c>
    </row>
    <row r="1448" spans="1:25" x14ac:dyDescent="0.3">
      <c r="A1448" t="s">
        <v>1507</v>
      </c>
      <c r="B1448" t="s">
        <v>44</v>
      </c>
      <c r="C1448" t="s">
        <v>37</v>
      </c>
      <c r="D1448" t="s">
        <v>39</v>
      </c>
      <c r="E1448" t="s">
        <v>61</v>
      </c>
      <c r="F1448" t="str">
        <f>IF(BBDD_fashion_boutique[[#This Row],[category]]="Accessories","Accesorio",IF(BBDD_fashion_boutique[[#This Row],[size]]="","Desconocido",BBDD_fashion_boutique[[#This Row],[size]]))</f>
        <v>XS</v>
      </c>
      <c r="G1448" t="s">
        <v>23</v>
      </c>
      <c r="H1448" s="2">
        <v>74.27</v>
      </c>
      <c r="I1448">
        <v>0</v>
      </c>
      <c r="J1448" s="5">
        <f>BBDD_fashion_boutique[[#This Row],[markdown_percentage]]/100</f>
        <v>0</v>
      </c>
      <c r="K1448" s="2">
        <v>74.27</v>
      </c>
      <c r="L1448" s="2">
        <f>BBDD_fashion_boutique[[#This Row],[original_price]]-BBDD_fashion_boutique[[#This Row],[current_price]]</f>
        <v>0</v>
      </c>
      <c r="M1448" s="1">
        <v>45875</v>
      </c>
      <c r="N1448" s="1" t="str">
        <f>PROPER(TEXT(BBDD_fashion_boutique[[#This Row],[purchase_date]],"dddd"))</f>
        <v>Miércoles</v>
      </c>
      <c r="O1448" s="1" t="str">
        <f>PROPER(TEXT(BBDD_fashion_boutique[[#This Row],[purchase_date]],"mmmm"))</f>
        <v>Agosto</v>
      </c>
      <c r="P1448" s="4">
        <v>6</v>
      </c>
      <c r="Q1448" s="2">
        <v>1.3</v>
      </c>
      <c r="R1448" t="str">
        <f>IF(BBDD_fashion_boutique[[#This Row],[stock_quantity]]&gt;9,"Ok",IF(BBDD_fashion_boutique[[#This Row],[stock_quantity]]=0,"Agotado","Pocas Unidades"))</f>
        <v>Pocas Unidades</v>
      </c>
      <c r="S1448" s="3">
        <f>IF(BBDD_fashion_boutique[[#This Row],[customer_rating]]="","No valorado",BBDD_fashion_boutique[[#This Row],[customer_rating]])</f>
        <v>1.3</v>
      </c>
      <c r="T1448" t="s">
        <v>24</v>
      </c>
      <c r="V1448">
        <f>IF(BBDD_fashion_boutique[[#This Row],[is_returned]]="False",0,1)</f>
        <v>0</v>
      </c>
      <c r="W1448">
        <f>IF(BBDD_fashion_boutique[[#This Row],[is_returned]]="True",0,BBDD_fashion_boutique[[#This Row],[current_price]])</f>
        <v>74.27</v>
      </c>
      <c r="X1448" t="str">
        <f>IF(BBDD_fashion_boutique[[#This Row],[return_reason]]="","No return",BBDD_fashion_boutique[[#This Row],[return_reason]])</f>
        <v>No return</v>
      </c>
      <c r="Y1448">
        <f>IF(IFERROR(VLOOKUP(BBDD_fashion_boutique[[#This Row],[product_id]],A1449:A3624,1,FALSE),0),1,0)</f>
        <v>0</v>
      </c>
    </row>
    <row r="1449" spans="1:25" x14ac:dyDescent="0.3">
      <c r="A1449" t="s">
        <v>1508</v>
      </c>
      <c r="B1449" t="s">
        <v>19</v>
      </c>
      <c r="C1449" t="s">
        <v>20</v>
      </c>
      <c r="D1449" t="s">
        <v>39</v>
      </c>
      <c r="E1449" t="s">
        <v>22</v>
      </c>
      <c r="F1449" t="str">
        <f>IF(BBDD_fashion_boutique[[#This Row],[category]]="Accessories","Accesorio",IF(BBDD_fashion_boutique[[#This Row],[size]]="","Desconocido",BBDD_fashion_boutique[[#This Row],[size]]))</f>
        <v>XL</v>
      </c>
      <c r="G1449" t="s">
        <v>62</v>
      </c>
      <c r="H1449" s="2">
        <v>163.77000000000001</v>
      </c>
      <c r="I1449">
        <v>30.5</v>
      </c>
      <c r="J1449" s="5">
        <f>BBDD_fashion_boutique[[#This Row],[markdown_percentage]]/100</f>
        <v>0.30499999999999999</v>
      </c>
      <c r="K1449" s="2">
        <v>113.82</v>
      </c>
      <c r="L1449" s="2">
        <f>BBDD_fashion_boutique[[#This Row],[original_price]]-BBDD_fashion_boutique[[#This Row],[current_price]]</f>
        <v>49.950000000000017</v>
      </c>
      <c r="M1449" s="1">
        <v>45875</v>
      </c>
      <c r="N1449" s="1" t="str">
        <f>PROPER(TEXT(BBDD_fashion_boutique[[#This Row],[purchase_date]],"dddd"))</f>
        <v>Miércoles</v>
      </c>
      <c r="O1449" s="1" t="str">
        <f>PROPER(TEXT(BBDD_fashion_boutique[[#This Row],[purchase_date]],"mmmm"))</f>
        <v>Agosto</v>
      </c>
      <c r="P1449" s="4">
        <v>10</v>
      </c>
      <c r="R1449" t="str">
        <f>IF(BBDD_fashion_boutique[[#This Row],[stock_quantity]]&gt;9,"Ok",IF(BBDD_fashion_boutique[[#This Row],[stock_quantity]]=0,"Agotado","Pocas Unidades"))</f>
        <v>Ok</v>
      </c>
      <c r="S1449" s="3" t="str">
        <f>IF(BBDD_fashion_boutique[[#This Row],[customer_rating]]="","No valorado",BBDD_fashion_boutique[[#This Row],[customer_rating]])</f>
        <v>No valorado</v>
      </c>
      <c r="T1449" t="s">
        <v>24</v>
      </c>
      <c r="V1449">
        <f>IF(BBDD_fashion_boutique[[#This Row],[is_returned]]="False",0,1)</f>
        <v>0</v>
      </c>
      <c r="W1449">
        <f>IF(BBDD_fashion_boutique[[#This Row],[is_returned]]="True",0,BBDD_fashion_boutique[[#This Row],[current_price]])</f>
        <v>113.82</v>
      </c>
      <c r="X1449" t="str">
        <f>IF(BBDD_fashion_boutique[[#This Row],[return_reason]]="","No return",BBDD_fashion_boutique[[#This Row],[return_reason]])</f>
        <v>No return</v>
      </c>
      <c r="Y1449">
        <f>IF(IFERROR(VLOOKUP(BBDD_fashion_boutique[[#This Row],[product_id]],A1450:A3625,1,FALSE),0),1,0)</f>
        <v>0</v>
      </c>
    </row>
    <row r="1450" spans="1:25" x14ac:dyDescent="0.3">
      <c r="A1450" t="s">
        <v>1509</v>
      </c>
      <c r="B1450" t="s">
        <v>32</v>
      </c>
      <c r="C1450" t="s">
        <v>49</v>
      </c>
      <c r="D1450" t="s">
        <v>28</v>
      </c>
      <c r="F1450" t="str">
        <f>IF(BBDD_fashion_boutique[[#This Row],[category]]="Accessories","Accesorio",IF(BBDD_fashion_boutique[[#This Row],[size]]="","Desconocido",BBDD_fashion_boutique[[#This Row],[size]]))</f>
        <v>Accesorio</v>
      </c>
      <c r="G1450" t="s">
        <v>72</v>
      </c>
      <c r="H1450" s="2">
        <v>42.28</v>
      </c>
      <c r="I1450">
        <v>0</v>
      </c>
      <c r="J1450" s="5">
        <f>BBDD_fashion_boutique[[#This Row],[markdown_percentage]]/100</f>
        <v>0</v>
      </c>
      <c r="K1450" s="2">
        <v>42.28</v>
      </c>
      <c r="L1450" s="2">
        <f>BBDD_fashion_boutique[[#This Row],[original_price]]-BBDD_fashion_boutique[[#This Row],[current_price]]</f>
        <v>0</v>
      </c>
      <c r="M1450" s="1">
        <v>45875</v>
      </c>
      <c r="N1450" s="1" t="str">
        <f>PROPER(TEXT(BBDD_fashion_boutique[[#This Row],[purchase_date]],"dddd"))</f>
        <v>Miércoles</v>
      </c>
      <c r="O1450" s="1" t="str">
        <f>PROPER(TEXT(BBDD_fashion_boutique[[#This Row],[purchase_date]],"mmmm"))</f>
        <v>Agosto</v>
      </c>
      <c r="P1450" s="4">
        <v>22</v>
      </c>
      <c r="Q1450" s="2">
        <v>1.9</v>
      </c>
      <c r="R1450" t="str">
        <f>IF(BBDD_fashion_boutique[[#This Row],[stock_quantity]]&gt;9,"Ok",IF(BBDD_fashion_boutique[[#This Row],[stock_quantity]]=0,"Agotado","Pocas Unidades"))</f>
        <v>Ok</v>
      </c>
      <c r="S1450" s="3">
        <f>IF(BBDD_fashion_boutique[[#This Row],[customer_rating]]="","No valorado",BBDD_fashion_boutique[[#This Row],[customer_rating]])</f>
        <v>1.9</v>
      </c>
      <c r="T1450" t="s">
        <v>24</v>
      </c>
      <c r="V1450">
        <f>IF(BBDD_fashion_boutique[[#This Row],[is_returned]]="False",0,1)</f>
        <v>0</v>
      </c>
      <c r="W1450">
        <f>IF(BBDD_fashion_boutique[[#This Row],[is_returned]]="True",0,BBDD_fashion_boutique[[#This Row],[current_price]])</f>
        <v>42.28</v>
      </c>
      <c r="X1450" t="str">
        <f>IF(BBDD_fashion_boutique[[#This Row],[return_reason]]="","No return",BBDD_fashion_boutique[[#This Row],[return_reason]])</f>
        <v>No return</v>
      </c>
      <c r="Y1450">
        <f>IF(IFERROR(VLOOKUP(BBDD_fashion_boutique[[#This Row],[product_id]],A1451:A3626,1,FALSE),0),1,0)</f>
        <v>0</v>
      </c>
    </row>
    <row r="1451" spans="1:25" x14ac:dyDescent="0.3">
      <c r="A1451" t="s">
        <v>1510</v>
      </c>
      <c r="B1451" t="s">
        <v>44</v>
      </c>
      <c r="C1451" t="s">
        <v>54</v>
      </c>
      <c r="D1451" t="s">
        <v>68</v>
      </c>
      <c r="E1451" t="s">
        <v>61</v>
      </c>
      <c r="F1451" t="str">
        <f>IF(BBDD_fashion_boutique[[#This Row],[category]]="Accessories","Accesorio",IF(BBDD_fashion_boutique[[#This Row],[size]]="","Desconocido",BBDD_fashion_boutique[[#This Row],[size]]))</f>
        <v>XS</v>
      </c>
      <c r="G1451" t="s">
        <v>70</v>
      </c>
      <c r="H1451" s="2">
        <v>52.92</v>
      </c>
      <c r="I1451">
        <v>0</v>
      </c>
      <c r="J1451" s="5">
        <f>BBDD_fashion_boutique[[#This Row],[markdown_percentage]]/100</f>
        <v>0</v>
      </c>
      <c r="K1451" s="2">
        <v>52.92</v>
      </c>
      <c r="L1451" s="2">
        <f>BBDD_fashion_boutique[[#This Row],[original_price]]-BBDD_fashion_boutique[[#This Row],[current_price]]</f>
        <v>0</v>
      </c>
      <c r="M1451" s="1">
        <v>45875</v>
      </c>
      <c r="N1451" s="1" t="str">
        <f>PROPER(TEXT(BBDD_fashion_boutique[[#This Row],[purchase_date]],"dddd"))</f>
        <v>Miércoles</v>
      </c>
      <c r="O1451" s="1" t="str">
        <f>PROPER(TEXT(BBDD_fashion_boutique[[#This Row],[purchase_date]],"mmmm"))</f>
        <v>Agosto</v>
      </c>
      <c r="P1451" s="4">
        <v>9</v>
      </c>
      <c r="R1451" t="str">
        <f>IF(BBDD_fashion_boutique[[#This Row],[stock_quantity]]&gt;9,"Ok",IF(BBDD_fashion_boutique[[#This Row],[stock_quantity]]=0,"Agotado","Pocas Unidades"))</f>
        <v>Pocas Unidades</v>
      </c>
      <c r="S1451" s="3" t="str">
        <f>IF(BBDD_fashion_boutique[[#This Row],[customer_rating]]="","No valorado",BBDD_fashion_boutique[[#This Row],[customer_rating]])</f>
        <v>No valorado</v>
      </c>
      <c r="T1451" t="s">
        <v>24</v>
      </c>
      <c r="V1451">
        <f>IF(BBDD_fashion_boutique[[#This Row],[is_returned]]="False",0,1)</f>
        <v>0</v>
      </c>
      <c r="W1451">
        <f>IF(BBDD_fashion_boutique[[#This Row],[is_returned]]="True",0,BBDD_fashion_boutique[[#This Row],[current_price]])</f>
        <v>52.92</v>
      </c>
      <c r="X1451" t="str">
        <f>IF(BBDD_fashion_boutique[[#This Row],[return_reason]]="","No return",BBDD_fashion_boutique[[#This Row],[return_reason]])</f>
        <v>No return</v>
      </c>
      <c r="Y1451">
        <f>IF(IFERROR(VLOOKUP(BBDD_fashion_boutique[[#This Row],[product_id]],A1452:A3627,1,FALSE),0),1,0)</f>
        <v>0</v>
      </c>
    </row>
    <row r="1452" spans="1:25" x14ac:dyDescent="0.3">
      <c r="A1452" t="s">
        <v>1511</v>
      </c>
      <c r="B1452" t="s">
        <v>32</v>
      </c>
      <c r="C1452" t="s">
        <v>59</v>
      </c>
      <c r="D1452" t="s">
        <v>21</v>
      </c>
      <c r="F1452" t="str">
        <f>IF(BBDD_fashion_boutique[[#This Row],[category]]="Accessories","Accesorio",IF(BBDD_fashion_boutique[[#This Row],[size]]="","Desconocido",BBDD_fashion_boutique[[#This Row],[size]]))</f>
        <v>Accesorio</v>
      </c>
      <c r="G1452" t="s">
        <v>33</v>
      </c>
      <c r="H1452" s="2">
        <v>40.549999999999997</v>
      </c>
      <c r="I1452">
        <v>6.2</v>
      </c>
      <c r="J1452" s="5">
        <f>BBDD_fashion_boutique[[#This Row],[markdown_percentage]]/100</f>
        <v>6.2E-2</v>
      </c>
      <c r="K1452" s="2">
        <v>38.04</v>
      </c>
      <c r="L1452" s="2">
        <f>BBDD_fashion_boutique[[#This Row],[original_price]]-BBDD_fashion_boutique[[#This Row],[current_price]]</f>
        <v>2.509999999999998</v>
      </c>
      <c r="M1452" s="1">
        <v>45544</v>
      </c>
      <c r="N1452" s="1" t="str">
        <f>PROPER(TEXT(BBDD_fashion_boutique[[#This Row],[purchase_date]],"dddd"))</f>
        <v>Lunes</v>
      </c>
      <c r="O1452" s="1" t="str">
        <f>PROPER(TEXT(BBDD_fashion_boutique[[#This Row],[purchase_date]],"mmmm"))</f>
        <v>Septiembre</v>
      </c>
      <c r="P1452" s="4">
        <v>26</v>
      </c>
      <c r="Q1452" s="2">
        <v>3.7</v>
      </c>
      <c r="R1452" t="str">
        <f>IF(BBDD_fashion_boutique[[#This Row],[stock_quantity]]&gt;9,"Ok",IF(BBDD_fashion_boutique[[#This Row],[stock_quantity]]=0,"Agotado","Pocas Unidades"))</f>
        <v>Ok</v>
      </c>
      <c r="S1452" s="3">
        <f>IF(BBDD_fashion_boutique[[#This Row],[customer_rating]]="","No valorado",BBDD_fashion_boutique[[#This Row],[customer_rating]])</f>
        <v>3.7</v>
      </c>
      <c r="T1452" t="s">
        <v>41</v>
      </c>
      <c r="U1452" t="s">
        <v>131</v>
      </c>
      <c r="V1452">
        <f>IF(BBDD_fashion_boutique[[#This Row],[is_returned]]="False",0,1)</f>
        <v>1</v>
      </c>
      <c r="W1452">
        <f>IF(BBDD_fashion_boutique[[#This Row],[is_returned]]="True",0,BBDD_fashion_boutique[[#This Row],[current_price]])</f>
        <v>0</v>
      </c>
      <c r="X1452" t="str">
        <f>IF(BBDD_fashion_boutique[[#This Row],[return_reason]]="","No return",BBDD_fashion_boutique[[#This Row],[return_reason]])</f>
        <v>Wrong Item</v>
      </c>
      <c r="Y1452">
        <f>IF(IFERROR(VLOOKUP(BBDD_fashion_boutique[[#This Row],[product_id]],A1453:A3628,1,FALSE),0),1,0)</f>
        <v>0</v>
      </c>
    </row>
    <row r="1453" spans="1:25" x14ac:dyDescent="0.3">
      <c r="A1453" t="s">
        <v>1512</v>
      </c>
      <c r="B1453" t="s">
        <v>35</v>
      </c>
      <c r="C1453" t="s">
        <v>49</v>
      </c>
      <c r="D1453" t="s">
        <v>68</v>
      </c>
      <c r="E1453" t="s">
        <v>55</v>
      </c>
      <c r="F1453" t="str">
        <f>IF(BBDD_fashion_boutique[[#This Row],[category]]="Accessories","Accesorio",IF(BBDD_fashion_boutique[[#This Row],[size]]="","Desconocido",BBDD_fashion_boutique[[#This Row],[size]]))</f>
        <v>XXL</v>
      </c>
      <c r="G1453" t="s">
        <v>33</v>
      </c>
      <c r="H1453" s="2">
        <v>129.76</v>
      </c>
      <c r="I1453">
        <v>0</v>
      </c>
      <c r="J1453" s="5">
        <f>BBDD_fashion_boutique[[#This Row],[markdown_percentage]]/100</f>
        <v>0</v>
      </c>
      <c r="K1453" s="2">
        <v>129.76</v>
      </c>
      <c r="L1453" s="2">
        <f>BBDD_fashion_boutique[[#This Row],[original_price]]-BBDD_fashion_boutique[[#This Row],[current_price]]</f>
        <v>0</v>
      </c>
      <c r="M1453" s="1">
        <v>45875</v>
      </c>
      <c r="N1453" s="1" t="str">
        <f>PROPER(TEXT(BBDD_fashion_boutique[[#This Row],[purchase_date]],"dddd"))</f>
        <v>Miércoles</v>
      </c>
      <c r="O1453" s="1" t="str">
        <f>PROPER(TEXT(BBDD_fashion_boutique[[#This Row],[purchase_date]],"mmmm"))</f>
        <v>Agosto</v>
      </c>
      <c r="P1453" s="4">
        <v>39</v>
      </c>
      <c r="Q1453" s="2">
        <v>2.9</v>
      </c>
      <c r="R1453" t="str">
        <f>IF(BBDD_fashion_boutique[[#This Row],[stock_quantity]]&gt;9,"Ok",IF(BBDD_fashion_boutique[[#This Row],[stock_quantity]]=0,"Agotado","Pocas Unidades"))</f>
        <v>Ok</v>
      </c>
      <c r="S1453" s="3">
        <f>IF(BBDD_fashion_boutique[[#This Row],[customer_rating]]="","No valorado",BBDD_fashion_boutique[[#This Row],[customer_rating]])</f>
        <v>2.9</v>
      </c>
      <c r="T1453" t="s">
        <v>24</v>
      </c>
      <c r="V1453">
        <f>IF(BBDD_fashion_boutique[[#This Row],[is_returned]]="False",0,1)</f>
        <v>0</v>
      </c>
      <c r="W1453">
        <f>IF(BBDD_fashion_boutique[[#This Row],[is_returned]]="True",0,BBDD_fashion_boutique[[#This Row],[current_price]])</f>
        <v>129.76</v>
      </c>
      <c r="X1453" t="str">
        <f>IF(BBDD_fashion_boutique[[#This Row],[return_reason]]="","No return",BBDD_fashion_boutique[[#This Row],[return_reason]])</f>
        <v>No return</v>
      </c>
      <c r="Y1453">
        <f>IF(IFERROR(VLOOKUP(BBDD_fashion_boutique[[#This Row],[product_id]],A1454:A3629,1,FALSE),0),1,0)</f>
        <v>0</v>
      </c>
    </row>
    <row r="1454" spans="1:25" x14ac:dyDescent="0.3">
      <c r="A1454" t="s">
        <v>1513</v>
      </c>
      <c r="B1454" t="s">
        <v>26</v>
      </c>
      <c r="C1454" t="s">
        <v>59</v>
      </c>
      <c r="D1454" t="s">
        <v>39</v>
      </c>
      <c r="E1454" t="s">
        <v>22</v>
      </c>
      <c r="F1454" t="str">
        <f>IF(BBDD_fashion_boutique[[#This Row],[category]]="Accessories","Accesorio",IF(BBDD_fashion_boutique[[#This Row],[size]]="","Desconocido",BBDD_fashion_boutique[[#This Row],[size]]))</f>
        <v>XL</v>
      </c>
      <c r="G1454" t="s">
        <v>72</v>
      </c>
      <c r="H1454" s="2">
        <v>63.39</v>
      </c>
      <c r="I1454">
        <v>0</v>
      </c>
      <c r="J1454" s="5">
        <f>BBDD_fashion_boutique[[#This Row],[markdown_percentage]]/100</f>
        <v>0</v>
      </c>
      <c r="K1454" s="2">
        <v>63.39</v>
      </c>
      <c r="L1454" s="2">
        <f>BBDD_fashion_boutique[[#This Row],[original_price]]-BBDD_fashion_boutique[[#This Row],[current_price]]</f>
        <v>0</v>
      </c>
      <c r="M1454" s="1">
        <v>45875</v>
      </c>
      <c r="N1454" s="1" t="str">
        <f>PROPER(TEXT(BBDD_fashion_boutique[[#This Row],[purchase_date]],"dddd"))</f>
        <v>Miércoles</v>
      </c>
      <c r="O1454" s="1" t="str">
        <f>PROPER(TEXT(BBDD_fashion_boutique[[#This Row],[purchase_date]],"mmmm"))</f>
        <v>Agosto</v>
      </c>
      <c r="P1454" s="4">
        <v>50</v>
      </c>
      <c r="Q1454" s="2">
        <v>2.5</v>
      </c>
      <c r="R1454" t="str">
        <f>IF(BBDD_fashion_boutique[[#This Row],[stock_quantity]]&gt;9,"Ok",IF(BBDD_fashion_boutique[[#This Row],[stock_quantity]]=0,"Agotado","Pocas Unidades"))</f>
        <v>Ok</v>
      </c>
      <c r="S1454" s="3">
        <f>IF(BBDD_fashion_boutique[[#This Row],[customer_rating]]="","No valorado",BBDD_fashion_boutique[[#This Row],[customer_rating]])</f>
        <v>2.5</v>
      </c>
      <c r="T1454" t="s">
        <v>24</v>
      </c>
      <c r="V1454">
        <f>IF(BBDD_fashion_boutique[[#This Row],[is_returned]]="False",0,1)</f>
        <v>0</v>
      </c>
      <c r="W1454">
        <f>IF(BBDD_fashion_boutique[[#This Row],[is_returned]]="True",0,BBDD_fashion_boutique[[#This Row],[current_price]])</f>
        <v>63.39</v>
      </c>
      <c r="X1454" t="str">
        <f>IF(BBDD_fashion_boutique[[#This Row],[return_reason]]="","No return",BBDD_fashion_boutique[[#This Row],[return_reason]])</f>
        <v>No return</v>
      </c>
      <c r="Y1454">
        <f>IF(IFERROR(VLOOKUP(BBDD_fashion_boutique[[#This Row],[product_id]],A1455:A3630,1,FALSE),0),1,0)</f>
        <v>0</v>
      </c>
    </row>
    <row r="1455" spans="1:25" x14ac:dyDescent="0.3">
      <c r="A1455" t="s">
        <v>1514</v>
      </c>
      <c r="B1455" t="s">
        <v>35</v>
      </c>
      <c r="C1455" t="s">
        <v>54</v>
      </c>
      <c r="D1455" t="s">
        <v>39</v>
      </c>
      <c r="E1455" t="s">
        <v>45</v>
      </c>
      <c r="F1455" t="str">
        <f>IF(BBDD_fashion_boutique[[#This Row],[category]]="Accessories","Accesorio",IF(BBDD_fashion_boutique[[#This Row],[size]]="","Desconocido",BBDD_fashion_boutique[[#This Row],[size]]))</f>
        <v>S</v>
      </c>
      <c r="G1455" t="s">
        <v>70</v>
      </c>
      <c r="H1455" s="2">
        <v>191.94</v>
      </c>
      <c r="I1455">
        <v>1.3</v>
      </c>
      <c r="J1455" s="5">
        <f>BBDD_fashion_boutique[[#This Row],[markdown_percentage]]/100</f>
        <v>1.3000000000000001E-2</v>
      </c>
      <c r="K1455" s="2">
        <v>189.44</v>
      </c>
      <c r="L1455" s="2">
        <f>BBDD_fashion_boutique[[#This Row],[original_price]]-BBDD_fashion_boutique[[#This Row],[current_price]]</f>
        <v>2.5</v>
      </c>
      <c r="M1455" s="1">
        <v>45875</v>
      </c>
      <c r="N1455" s="1" t="str">
        <f>PROPER(TEXT(BBDD_fashion_boutique[[#This Row],[purchase_date]],"dddd"))</f>
        <v>Miércoles</v>
      </c>
      <c r="O1455" s="1" t="str">
        <f>PROPER(TEXT(BBDD_fashion_boutique[[#This Row],[purchase_date]],"mmmm"))</f>
        <v>Agosto</v>
      </c>
      <c r="P1455" s="4">
        <v>39</v>
      </c>
      <c r="Q1455" s="2">
        <v>1.2</v>
      </c>
      <c r="R1455" t="str">
        <f>IF(BBDD_fashion_boutique[[#This Row],[stock_quantity]]&gt;9,"Ok",IF(BBDD_fashion_boutique[[#This Row],[stock_quantity]]=0,"Agotado","Pocas Unidades"))</f>
        <v>Ok</v>
      </c>
      <c r="S1455" s="3">
        <f>IF(BBDD_fashion_boutique[[#This Row],[customer_rating]]="","No valorado",BBDD_fashion_boutique[[#This Row],[customer_rating]])</f>
        <v>1.2</v>
      </c>
      <c r="T1455" t="s">
        <v>24</v>
      </c>
      <c r="V1455">
        <f>IF(BBDD_fashion_boutique[[#This Row],[is_returned]]="False",0,1)</f>
        <v>0</v>
      </c>
      <c r="W1455">
        <f>IF(BBDD_fashion_boutique[[#This Row],[is_returned]]="True",0,BBDD_fashion_boutique[[#This Row],[current_price]])</f>
        <v>189.44</v>
      </c>
      <c r="X1455" t="str">
        <f>IF(BBDD_fashion_boutique[[#This Row],[return_reason]]="","No return",BBDD_fashion_boutique[[#This Row],[return_reason]])</f>
        <v>No return</v>
      </c>
      <c r="Y1455">
        <f>IF(IFERROR(VLOOKUP(BBDD_fashion_boutique[[#This Row],[product_id]],A1456:A3631,1,FALSE),0),1,0)</f>
        <v>0</v>
      </c>
    </row>
    <row r="1456" spans="1:25" x14ac:dyDescent="0.3">
      <c r="A1456" t="s">
        <v>1515</v>
      </c>
      <c r="B1456" t="s">
        <v>32</v>
      </c>
      <c r="C1456" t="s">
        <v>27</v>
      </c>
      <c r="D1456" t="s">
        <v>21</v>
      </c>
      <c r="F1456" t="str">
        <f>IF(BBDD_fashion_boutique[[#This Row],[category]]="Accessories","Accesorio",IF(BBDD_fashion_boutique[[#This Row],[size]]="","Desconocido",BBDD_fashion_boutique[[#This Row],[size]]))</f>
        <v>Accesorio</v>
      </c>
      <c r="G1456" t="s">
        <v>72</v>
      </c>
      <c r="H1456" s="2">
        <v>63.42</v>
      </c>
      <c r="I1456">
        <v>0</v>
      </c>
      <c r="J1456" s="5">
        <f>BBDD_fashion_boutique[[#This Row],[markdown_percentage]]/100</f>
        <v>0</v>
      </c>
      <c r="K1456" s="2">
        <v>63.42</v>
      </c>
      <c r="L1456" s="2">
        <f>BBDD_fashion_boutique[[#This Row],[original_price]]-BBDD_fashion_boutique[[#This Row],[current_price]]</f>
        <v>0</v>
      </c>
      <c r="M1456" s="1">
        <v>45608</v>
      </c>
      <c r="N1456" s="1" t="str">
        <f>PROPER(TEXT(BBDD_fashion_boutique[[#This Row],[purchase_date]],"dddd"))</f>
        <v>Martes</v>
      </c>
      <c r="O1456" s="1" t="str">
        <f>PROPER(TEXT(BBDD_fashion_boutique[[#This Row],[purchase_date]],"mmmm"))</f>
        <v>Noviembre</v>
      </c>
      <c r="P1456" s="4">
        <v>19</v>
      </c>
      <c r="Q1456" s="2">
        <v>2.9</v>
      </c>
      <c r="R1456" t="str">
        <f>IF(BBDD_fashion_boutique[[#This Row],[stock_quantity]]&gt;9,"Ok",IF(BBDD_fashion_boutique[[#This Row],[stock_quantity]]=0,"Agotado","Pocas Unidades"))</f>
        <v>Ok</v>
      </c>
      <c r="S1456" s="3">
        <f>IF(BBDD_fashion_boutique[[#This Row],[customer_rating]]="","No valorado",BBDD_fashion_boutique[[#This Row],[customer_rating]])</f>
        <v>2.9</v>
      </c>
      <c r="T1456" t="s">
        <v>41</v>
      </c>
      <c r="U1456" t="s">
        <v>42</v>
      </c>
      <c r="V1456">
        <f>IF(BBDD_fashion_boutique[[#This Row],[is_returned]]="False",0,1)</f>
        <v>1</v>
      </c>
      <c r="W1456">
        <f>IF(BBDD_fashion_boutique[[#This Row],[is_returned]]="True",0,BBDD_fashion_boutique[[#This Row],[current_price]])</f>
        <v>0</v>
      </c>
      <c r="X1456" t="str">
        <f>IF(BBDD_fashion_boutique[[#This Row],[return_reason]]="","No return",BBDD_fashion_boutique[[#This Row],[return_reason]])</f>
        <v>Color Mismatch</v>
      </c>
      <c r="Y1456">
        <f>IF(IFERROR(VLOOKUP(BBDD_fashion_boutique[[#This Row],[product_id]],A1457:A3632,1,FALSE),0),1,0)</f>
        <v>0</v>
      </c>
    </row>
    <row r="1457" spans="1:25" x14ac:dyDescent="0.3">
      <c r="A1457" t="s">
        <v>1516</v>
      </c>
      <c r="B1457" t="s">
        <v>26</v>
      </c>
      <c r="C1457" t="s">
        <v>59</v>
      </c>
      <c r="D1457" t="s">
        <v>28</v>
      </c>
      <c r="E1457" t="s">
        <v>55</v>
      </c>
      <c r="F1457" t="str">
        <f>IF(BBDD_fashion_boutique[[#This Row],[category]]="Accessories","Accesorio",IF(BBDD_fashion_boutique[[#This Row],[size]]="","Desconocido",BBDD_fashion_boutique[[#This Row],[size]]))</f>
        <v>XXL</v>
      </c>
      <c r="G1457" t="s">
        <v>62</v>
      </c>
      <c r="H1457" s="2">
        <v>35.26</v>
      </c>
      <c r="I1457">
        <v>0</v>
      </c>
      <c r="J1457" s="5">
        <f>BBDD_fashion_boutique[[#This Row],[markdown_percentage]]/100</f>
        <v>0</v>
      </c>
      <c r="K1457" s="2">
        <v>35.26</v>
      </c>
      <c r="L1457" s="2">
        <f>BBDD_fashion_boutique[[#This Row],[original_price]]-BBDD_fashion_boutique[[#This Row],[current_price]]</f>
        <v>0</v>
      </c>
      <c r="M1457" s="1">
        <v>45875</v>
      </c>
      <c r="N1457" s="1" t="str">
        <f>PROPER(TEXT(BBDD_fashion_boutique[[#This Row],[purchase_date]],"dddd"))</f>
        <v>Miércoles</v>
      </c>
      <c r="O1457" s="1" t="str">
        <f>PROPER(TEXT(BBDD_fashion_boutique[[#This Row],[purchase_date]],"mmmm"))</f>
        <v>Agosto</v>
      </c>
      <c r="P1457" s="4">
        <v>47</v>
      </c>
      <c r="Q1457" s="2">
        <v>2.2999999999999998</v>
      </c>
      <c r="R1457" t="str">
        <f>IF(BBDD_fashion_boutique[[#This Row],[stock_quantity]]&gt;9,"Ok",IF(BBDD_fashion_boutique[[#This Row],[stock_quantity]]=0,"Agotado","Pocas Unidades"))</f>
        <v>Ok</v>
      </c>
      <c r="S1457" s="3">
        <f>IF(BBDD_fashion_boutique[[#This Row],[customer_rating]]="","No valorado",BBDD_fashion_boutique[[#This Row],[customer_rating]])</f>
        <v>2.2999999999999998</v>
      </c>
      <c r="T1457" t="s">
        <v>24</v>
      </c>
      <c r="V1457">
        <f>IF(BBDD_fashion_boutique[[#This Row],[is_returned]]="False",0,1)</f>
        <v>0</v>
      </c>
      <c r="W1457">
        <f>IF(BBDD_fashion_boutique[[#This Row],[is_returned]]="True",0,BBDD_fashion_boutique[[#This Row],[current_price]])</f>
        <v>35.26</v>
      </c>
      <c r="X1457" t="str">
        <f>IF(BBDD_fashion_boutique[[#This Row],[return_reason]]="","No return",BBDD_fashion_boutique[[#This Row],[return_reason]])</f>
        <v>No return</v>
      </c>
      <c r="Y1457">
        <f>IF(IFERROR(VLOOKUP(BBDD_fashion_boutique[[#This Row],[product_id]],A1458:A3633,1,FALSE),0),1,0)</f>
        <v>0</v>
      </c>
    </row>
    <row r="1458" spans="1:25" x14ac:dyDescent="0.3">
      <c r="A1458" t="s">
        <v>1517</v>
      </c>
      <c r="B1458" t="s">
        <v>32</v>
      </c>
      <c r="C1458" t="s">
        <v>67</v>
      </c>
      <c r="D1458" t="s">
        <v>21</v>
      </c>
      <c r="F1458" t="str">
        <f>IF(BBDD_fashion_boutique[[#This Row],[category]]="Accessories","Accesorio",IF(BBDD_fashion_boutique[[#This Row],[size]]="","Desconocido",BBDD_fashion_boutique[[#This Row],[size]]))</f>
        <v>Accesorio</v>
      </c>
      <c r="G1458" t="s">
        <v>52</v>
      </c>
      <c r="H1458" s="2">
        <v>44.5</v>
      </c>
      <c r="I1458">
        <v>0</v>
      </c>
      <c r="J1458" s="5">
        <f>BBDD_fashion_boutique[[#This Row],[markdown_percentage]]/100</f>
        <v>0</v>
      </c>
      <c r="K1458" s="2">
        <v>44.5</v>
      </c>
      <c r="L1458" s="2">
        <f>BBDD_fashion_boutique[[#This Row],[original_price]]-BBDD_fashion_boutique[[#This Row],[current_price]]</f>
        <v>0</v>
      </c>
      <c r="M1458" s="1">
        <v>45821</v>
      </c>
      <c r="N1458" s="1" t="str">
        <f>PROPER(TEXT(BBDD_fashion_boutique[[#This Row],[purchase_date]],"dddd"))</f>
        <v>Viernes</v>
      </c>
      <c r="O1458" s="1" t="str">
        <f>PROPER(TEXT(BBDD_fashion_boutique[[#This Row],[purchase_date]],"mmmm"))</f>
        <v>Junio</v>
      </c>
      <c r="P1458" s="4">
        <v>36</v>
      </c>
      <c r="Q1458" s="2">
        <v>3.6</v>
      </c>
      <c r="R1458" t="str">
        <f>IF(BBDD_fashion_boutique[[#This Row],[stock_quantity]]&gt;9,"Ok",IF(BBDD_fashion_boutique[[#This Row],[stock_quantity]]=0,"Agotado","Pocas Unidades"))</f>
        <v>Ok</v>
      </c>
      <c r="S1458" s="3">
        <f>IF(BBDD_fashion_boutique[[#This Row],[customer_rating]]="","No valorado",BBDD_fashion_boutique[[#This Row],[customer_rating]])</f>
        <v>3.6</v>
      </c>
      <c r="T1458" t="s">
        <v>24</v>
      </c>
      <c r="V1458">
        <f>IF(BBDD_fashion_boutique[[#This Row],[is_returned]]="False",0,1)</f>
        <v>0</v>
      </c>
      <c r="W1458">
        <f>IF(BBDD_fashion_boutique[[#This Row],[is_returned]]="True",0,BBDD_fashion_boutique[[#This Row],[current_price]])</f>
        <v>44.5</v>
      </c>
      <c r="X1458" t="str">
        <f>IF(BBDD_fashion_boutique[[#This Row],[return_reason]]="","No return",BBDD_fashion_boutique[[#This Row],[return_reason]])</f>
        <v>No return</v>
      </c>
      <c r="Y1458">
        <f>IF(IFERROR(VLOOKUP(BBDD_fashion_boutique[[#This Row],[product_id]],A1459:A3634,1,FALSE),0),1,0)</f>
        <v>0</v>
      </c>
    </row>
    <row r="1459" spans="1:25" x14ac:dyDescent="0.3">
      <c r="A1459" t="s">
        <v>1518</v>
      </c>
      <c r="B1459" t="s">
        <v>35</v>
      </c>
      <c r="C1459" t="s">
        <v>20</v>
      </c>
      <c r="D1459" t="s">
        <v>21</v>
      </c>
      <c r="E1459" t="s">
        <v>61</v>
      </c>
      <c r="F1459" t="str">
        <f>IF(BBDD_fashion_boutique[[#This Row],[category]]="Accessories","Accesorio",IF(BBDD_fashion_boutique[[#This Row],[size]]="","Desconocido",BBDD_fashion_boutique[[#This Row],[size]]))</f>
        <v>XS</v>
      </c>
      <c r="G1459" t="s">
        <v>40</v>
      </c>
      <c r="H1459" s="2">
        <v>186.78</v>
      </c>
      <c r="I1459">
        <v>43.4</v>
      </c>
      <c r="J1459" s="5">
        <f>BBDD_fashion_boutique[[#This Row],[markdown_percentage]]/100</f>
        <v>0.434</v>
      </c>
      <c r="K1459" s="2">
        <v>105.72</v>
      </c>
      <c r="L1459" s="2">
        <f>BBDD_fashion_boutique[[#This Row],[original_price]]-BBDD_fashion_boutique[[#This Row],[current_price]]</f>
        <v>81.06</v>
      </c>
      <c r="M1459" s="1">
        <v>45568</v>
      </c>
      <c r="N1459" s="1" t="str">
        <f>PROPER(TEXT(BBDD_fashion_boutique[[#This Row],[purchase_date]],"dddd"))</f>
        <v>Jueves</v>
      </c>
      <c r="O1459" s="1" t="str">
        <f>PROPER(TEXT(BBDD_fashion_boutique[[#This Row],[purchase_date]],"mmmm"))</f>
        <v>Octubre</v>
      </c>
      <c r="P1459" s="4">
        <v>42</v>
      </c>
      <c r="Q1459" s="2">
        <v>2.5</v>
      </c>
      <c r="R1459" t="str">
        <f>IF(BBDD_fashion_boutique[[#This Row],[stock_quantity]]&gt;9,"Ok",IF(BBDD_fashion_boutique[[#This Row],[stock_quantity]]=0,"Agotado","Pocas Unidades"))</f>
        <v>Ok</v>
      </c>
      <c r="S1459" s="3">
        <f>IF(BBDD_fashion_boutique[[#This Row],[customer_rating]]="","No valorado",BBDD_fashion_boutique[[#This Row],[customer_rating]])</f>
        <v>2.5</v>
      </c>
      <c r="T1459" t="s">
        <v>41</v>
      </c>
      <c r="U1459" t="s">
        <v>84</v>
      </c>
      <c r="V1459">
        <f>IF(BBDD_fashion_boutique[[#This Row],[is_returned]]="False",0,1)</f>
        <v>1</v>
      </c>
      <c r="W1459">
        <f>IF(BBDD_fashion_boutique[[#This Row],[is_returned]]="True",0,BBDD_fashion_boutique[[#This Row],[current_price]])</f>
        <v>0</v>
      </c>
      <c r="X1459" t="str">
        <f>IF(BBDD_fashion_boutique[[#This Row],[return_reason]]="","No return",BBDD_fashion_boutique[[#This Row],[return_reason]])</f>
        <v>Damaged</v>
      </c>
      <c r="Y1459">
        <f>IF(IFERROR(VLOOKUP(BBDD_fashion_boutique[[#This Row],[product_id]],A1460:A3635,1,FALSE),0),1,0)</f>
        <v>0</v>
      </c>
    </row>
    <row r="1460" spans="1:25" x14ac:dyDescent="0.3">
      <c r="A1460" t="s">
        <v>1519</v>
      </c>
      <c r="B1460" t="s">
        <v>26</v>
      </c>
      <c r="C1460" t="s">
        <v>54</v>
      </c>
      <c r="D1460" t="s">
        <v>68</v>
      </c>
      <c r="E1460" t="s">
        <v>29</v>
      </c>
      <c r="F1460" t="str">
        <f>IF(BBDD_fashion_boutique[[#This Row],[category]]="Accessories","Accesorio",IF(BBDD_fashion_boutique[[#This Row],[size]]="","Desconocido",BBDD_fashion_boutique[[#This Row],[size]]))</f>
        <v>L</v>
      </c>
      <c r="G1460" t="s">
        <v>33</v>
      </c>
      <c r="H1460" s="2">
        <v>116.71</v>
      </c>
      <c r="I1460">
        <v>55.4</v>
      </c>
      <c r="J1460" s="5">
        <f>BBDD_fashion_boutique[[#This Row],[markdown_percentage]]/100</f>
        <v>0.55399999999999994</v>
      </c>
      <c r="K1460" s="2">
        <v>52.05</v>
      </c>
      <c r="L1460" s="2">
        <f>BBDD_fashion_boutique[[#This Row],[original_price]]-BBDD_fashion_boutique[[#This Row],[current_price]]</f>
        <v>64.66</v>
      </c>
      <c r="M1460" s="1">
        <v>45875</v>
      </c>
      <c r="N1460" s="1" t="str">
        <f>PROPER(TEXT(BBDD_fashion_boutique[[#This Row],[purchase_date]],"dddd"))</f>
        <v>Miércoles</v>
      </c>
      <c r="O1460" s="1" t="str">
        <f>PROPER(TEXT(BBDD_fashion_boutique[[#This Row],[purchase_date]],"mmmm"))</f>
        <v>Agosto</v>
      </c>
      <c r="P1460" s="4">
        <v>15</v>
      </c>
      <c r="R1460" t="str">
        <f>IF(BBDD_fashion_boutique[[#This Row],[stock_quantity]]&gt;9,"Ok",IF(BBDD_fashion_boutique[[#This Row],[stock_quantity]]=0,"Agotado","Pocas Unidades"))</f>
        <v>Ok</v>
      </c>
      <c r="S1460" s="3" t="str">
        <f>IF(BBDD_fashion_boutique[[#This Row],[customer_rating]]="","No valorado",BBDD_fashion_boutique[[#This Row],[customer_rating]])</f>
        <v>No valorado</v>
      </c>
      <c r="T1460" t="s">
        <v>24</v>
      </c>
      <c r="V1460">
        <f>IF(BBDD_fashion_boutique[[#This Row],[is_returned]]="False",0,1)</f>
        <v>0</v>
      </c>
      <c r="W1460">
        <f>IF(BBDD_fashion_boutique[[#This Row],[is_returned]]="True",0,BBDD_fashion_boutique[[#This Row],[current_price]])</f>
        <v>52.05</v>
      </c>
      <c r="X1460" t="str">
        <f>IF(BBDD_fashion_boutique[[#This Row],[return_reason]]="","No return",BBDD_fashion_boutique[[#This Row],[return_reason]])</f>
        <v>No return</v>
      </c>
      <c r="Y1460">
        <f>IF(IFERROR(VLOOKUP(BBDD_fashion_boutique[[#This Row],[product_id]],A1461:A3636,1,FALSE),0),1,0)</f>
        <v>0</v>
      </c>
    </row>
    <row r="1461" spans="1:25" x14ac:dyDescent="0.3">
      <c r="A1461" t="s">
        <v>1520</v>
      </c>
      <c r="B1461" t="s">
        <v>32</v>
      </c>
      <c r="C1461" t="s">
        <v>54</v>
      </c>
      <c r="D1461" t="s">
        <v>28</v>
      </c>
      <c r="F1461" t="str">
        <f>IF(BBDD_fashion_boutique[[#This Row],[category]]="Accessories","Accesorio",IF(BBDD_fashion_boutique[[#This Row],[size]]="","Desconocido",BBDD_fashion_boutique[[#This Row],[size]]))</f>
        <v>Accesorio</v>
      </c>
      <c r="G1461" t="s">
        <v>33</v>
      </c>
      <c r="H1461" s="2">
        <v>24.5</v>
      </c>
      <c r="I1461">
        <v>0</v>
      </c>
      <c r="J1461" s="5">
        <f>BBDD_fashion_boutique[[#This Row],[markdown_percentage]]/100</f>
        <v>0</v>
      </c>
      <c r="K1461" s="2">
        <v>24.5</v>
      </c>
      <c r="L1461" s="2">
        <f>BBDD_fashion_boutique[[#This Row],[original_price]]-BBDD_fashion_boutique[[#This Row],[current_price]]</f>
        <v>0</v>
      </c>
      <c r="M1461" s="1">
        <v>45875</v>
      </c>
      <c r="N1461" s="1" t="str">
        <f>PROPER(TEXT(BBDD_fashion_boutique[[#This Row],[purchase_date]],"dddd"))</f>
        <v>Miércoles</v>
      </c>
      <c r="O1461" s="1" t="str">
        <f>PROPER(TEXT(BBDD_fashion_boutique[[#This Row],[purchase_date]],"mmmm"))</f>
        <v>Agosto</v>
      </c>
      <c r="P1461" s="4">
        <v>7</v>
      </c>
      <c r="R1461" t="str">
        <f>IF(BBDD_fashion_boutique[[#This Row],[stock_quantity]]&gt;9,"Ok",IF(BBDD_fashion_boutique[[#This Row],[stock_quantity]]=0,"Agotado","Pocas Unidades"))</f>
        <v>Pocas Unidades</v>
      </c>
      <c r="S1461" s="3" t="str">
        <f>IF(BBDD_fashion_boutique[[#This Row],[customer_rating]]="","No valorado",BBDD_fashion_boutique[[#This Row],[customer_rating]])</f>
        <v>No valorado</v>
      </c>
      <c r="T1461" t="s">
        <v>24</v>
      </c>
      <c r="V1461">
        <f>IF(BBDD_fashion_boutique[[#This Row],[is_returned]]="False",0,1)</f>
        <v>0</v>
      </c>
      <c r="W1461">
        <f>IF(BBDD_fashion_boutique[[#This Row],[is_returned]]="True",0,BBDD_fashion_boutique[[#This Row],[current_price]])</f>
        <v>24.5</v>
      </c>
      <c r="X1461" t="str">
        <f>IF(BBDD_fashion_boutique[[#This Row],[return_reason]]="","No return",BBDD_fashion_boutique[[#This Row],[return_reason]])</f>
        <v>No return</v>
      </c>
      <c r="Y1461">
        <f>IF(IFERROR(VLOOKUP(BBDD_fashion_boutique[[#This Row],[product_id]],A1462:A3637,1,FALSE),0),1,0)</f>
        <v>0</v>
      </c>
    </row>
    <row r="1462" spans="1:25" x14ac:dyDescent="0.3">
      <c r="A1462" t="s">
        <v>1521</v>
      </c>
      <c r="B1462" t="s">
        <v>32</v>
      </c>
      <c r="C1462" t="s">
        <v>67</v>
      </c>
      <c r="D1462" t="s">
        <v>28</v>
      </c>
      <c r="F1462" t="str">
        <f>IF(BBDD_fashion_boutique[[#This Row],[category]]="Accessories","Accesorio",IF(BBDD_fashion_boutique[[#This Row],[size]]="","Desconocido",BBDD_fashion_boutique[[#This Row],[size]]))</f>
        <v>Accesorio</v>
      </c>
      <c r="G1462" t="s">
        <v>70</v>
      </c>
      <c r="H1462" s="2">
        <v>23.2</v>
      </c>
      <c r="I1462">
        <v>0</v>
      </c>
      <c r="J1462" s="5">
        <f>BBDD_fashion_boutique[[#This Row],[markdown_percentage]]/100</f>
        <v>0</v>
      </c>
      <c r="K1462" s="2">
        <v>23.2</v>
      </c>
      <c r="L1462" s="2">
        <f>BBDD_fashion_boutique[[#This Row],[original_price]]-BBDD_fashion_boutique[[#This Row],[current_price]]</f>
        <v>0</v>
      </c>
      <c r="M1462" s="1">
        <v>45875</v>
      </c>
      <c r="N1462" s="1" t="str">
        <f>PROPER(TEXT(BBDD_fashion_boutique[[#This Row],[purchase_date]],"dddd"))</f>
        <v>Miércoles</v>
      </c>
      <c r="O1462" s="1" t="str">
        <f>PROPER(TEXT(BBDD_fashion_boutique[[#This Row],[purchase_date]],"mmmm"))</f>
        <v>Agosto</v>
      </c>
      <c r="P1462" s="4">
        <v>17</v>
      </c>
      <c r="Q1462" s="2">
        <v>2.1</v>
      </c>
      <c r="R1462" t="str">
        <f>IF(BBDD_fashion_boutique[[#This Row],[stock_quantity]]&gt;9,"Ok",IF(BBDD_fashion_boutique[[#This Row],[stock_quantity]]=0,"Agotado","Pocas Unidades"))</f>
        <v>Ok</v>
      </c>
      <c r="S1462" s="3">
        <f>IF(BBDD_fashion_boutique[[#This Row],[customer_rating]]="","No valorado",BBDD_fashion_boutique[[#This Row],[customer_rating]])</f>
        <v>2.1</v>
      </c>
      <c r="T1462" t="s">
        <v>24</v>
      </c>
      <c r="V1462">
        <f>IF(BBDD_fashion_boutique[[#This Row],[is_returned]]="False",0,1)</f>
        <v>0</v>
      </c>
      <c r="W1462">
        <f>IF(BBDD_fashion_boutique[[#This Row],[is_returned]]="True",0,BBDD_fashion_boutique[[#This Row],[current_price]])</f>
        <v>23.2</v>
      </c>
      <c r="X1462" t="str">
        <f>IF(BBDD_fashion_boutique[[#This Row],[return_reason]]="","No return",BBDD_fashion_boutique[[#This Row],[return_reason]])</f>
        <v>No return</v>
      </c>
      <c r="Y1462">
        <f>IF(IFERROR(VLOOKUP(BBDD_fashion_boutique[[#This Row],[product_id]],A1463:A3638,1,FALSE),0),1,0)</f>
        <v>0</v>
      </c>
    </row>
    <row r="1463" spans="1:25" x14ac:dyDescent="0.3">
      <c r="A1463" t="s">
        <v>1522</v>
      </c>
      <c r="B1463" t="s">
        <v>44</v>
      </c>
      <c r="C1463" t="s">
        <v>81</v>
      </c>
      <c r="D1463" t="s">
        <v>28</v>
      </c>
      <c r="E1463" t="s">
        <v>22</v>
      </c>
      <c r="F1463" t="str">
        <f>IF(BBDD_fashion_boutique[[#This Row],[category]]="Accessories","Accesorio",IF(BBDD_fashion_boutique[[#This Row],[size]]="","Desconocido",BBDD_fashion_boutique[[#This Row],[size]]))</f>
        <v>XL</v>
      </c>
      <c r="G1463" t="s">
        <v>52</v>
      </c>
      <c r="H1463" s="2">
        <v>73.8</v>
      </c>
      <c r="I1463">
        <v>0</v>
      </c>
      <c r="J1463" s="5">
        <f>BBDD_fashion_boutique[[#This Row],[markdown_percentage]]/100</f>
        <v>0</v>
      </c>
      <c r="K1463" s="2">
        <v>73.8</v>
      </c>
      <c r="L1463" s="2">
        <f>BBDD_fashion_boutique[[#This Row],[original_price]]-BBDD_fashion_boutique[[#This Row],[current_price]]</f>
        <v>0</v>
      </c>
      <c r="M1463" s="1">
        <v>45875</v>
      </c>
      <c r="N1463" s="1" t="str">
        <f>PROPER(TEXT(BBDD_fashion_boutique[[#This Row],[purchase_date]],"dddd"))</f>
        <v>Miércoles</v>
      </c>
      <c r="O1463" s="1" t="str">
        <f>PROPER(TEXT(BBDD_fashion_boutique[[#This Row],[purchase_date]],"mmmm"))</f>
        <v>Agosto</v>
      </c>
      <c r="P1463" s="4">
        <v>42</v>
      </c>
      <c r="R1463" t="str">
        <f>IF(BBDD_fashion_boutique[[#This Row],[stock_quantity]]&gt;9,"Ok",IF(BBDD_fashion_boutique[[#This Row],[stock_quantity]]=0,"Agotado","Pocas Unidades"))</f>
        <v>Ok</v>
      </c>
      <c r="S1463" s="3" t="str">
        <f>IF(BBDD_fashion_boutique[[#This Row],[customer_rating]]="","No valorado",BBDD_fashion_boutique[[#This Row],[customer_rating]])</f>
        <v>No valorado</v>
      </c>
      <c r="T1463" t="s">
        <v>24</v>
      </c>
      <c r="V1463">
        <f>IF(BBDD_fashion_boutique[[#This Row],[is_returned]]="False",0,1)</f>
        <v>0</v>
      </c>
      <c r="W1463">
        <f>IF(BBDD_fashion_boutique[[#This Row],[is_returned]]="True",0,BBDD_fashion_boutique[[#This Row],[current_price]])</f>
        <v>73.8</v>
      </c>
      <c r="X1463" t="str">
        <f>IF(BBDD_fashion_boutique[[#This Row],[return_reason]]="","No return",BBDD_fashion_boutique[[#This Row],[return_reason]])</f>
        <v>No return</v>
      </c>
      <c r="Y1463">
        <f>IF(IFERROR(VLOOKUP(BBDD_fashion_boutique[[#This Row],[product_id]],A1464:A3639,1,FALSE),0),1,0)</f>
        <v>0</v>
      </c>
    </row>
    <row r="1464" spans="1:25" x14ac:dyDescent="0.3">
      <c r="A1464" t="s">
        <v>1523</v>
      </c>
      <c r="B1464" t="s">
        <v>32</v>
      </c>
      <c r="C1464" t="s">
        <v>20</v>
      </c>
      <c r="D1464" t="s">
        <v>68</v>
      </c>
      <c r="F1464" t="str">
        <f>IF(BBDD_fashion_boutique[[#This Row],[category]]="Accessories","Accesorio",IF(BBDD_fashion_boutique[[#This Row],[size]]="","Desconocido",BBDD_fashion_boutique[[#This Row],[size]]))</f>
        <v>Accesorio</v>
      </c>
      <c r="G1464" t="s">
        <v>33</v>
      </c>
      <c r="H1464" s="2">
        <v>51.33</v>
      </c>
      <c r="I1464">
        <v>0</v>
      </c>
      <c r="J1464" s="5">
        <f>BBDD_fashion_boutique[[#This Row],[markdown_percentage]]/100</f>
        <v>0</v>
      </c>
      <c r="K1464" s="2">
        <v>51.33</v>
      </c>
      <c r="L1464" s="2">
        <f>BBDD_fashion_boutique[[#This Row],[original_price]]-BBDD_fashion_boutique[[#This Row],[current_price]]</f>
        <v>0</v>
      </c>
      <c r="M1464" s="1">
        <v>45875</v>
      </c>
      <c r="N1464" s="1" t="str">
        <f>PROPER(TEXT(BBDD_fashion_boutique[[#This Row],[purchase_date]],"dddd"))</f>
        <v>Miércoles</v>
      </c>
      <c r="O1464" s="1" t="str">
        <f>PROPER(TEXT(BBDD_fashion_boutique[[#This Row],[purchase_date]],"mmmm"))</f>
        <v>Agosto</v>
      </c>
      <c r="P1464" s="4">
        <v>25</v>
      </c>
      <c r="Q1464" s="2">
        <v>1.2</v>
      </c>
      <c r="R1464" t="str">
        <f>IF(BBDD_fashion_boutique[[#This Row],[stock_quantity]]&gt;9,"Ok",IF(BBDD_fashion_boutique[[#This Row],[stock_quantity]]=0,"Agotado","Pocas Unidades"))</f>
        <v>Ok</v>
      </c>
      <c r="S1464" s="3">
        <f>IF(BBDD_fashion_boutique[[#This Row],[customer_rating]]="","No valorado",BBDD_fashion_boutique[[#This Row],[customer_rating]])</f>
        <v>1.2</v>
      </c>
      <c r="T1464" t="s">
        <v>24</v>
      </c>
      <c r="V1464">
        <f>IF(BBDD_fashion_boutique[[#This Row],[is_returned]]="False",0,1)</f>
        <v>0</v>
      </c>
      <c r="W1464">
        <f>IF(BBDD_fashion_boutique[[#This Row],[is_returned]]="True",0,BBDD_fashion_boutique[[#This Row],[current_price]])</f>
        <v>51.33</v>
      </c>
      <c r="X1464" t="str">
        <f>IF(BBDD_fashion_boutique[[#This Row],[return_reason]]="","No return",BBDD_fashion_boutique[[#This Row],[return_reason]])</f>
        <v>No return</v>
      </c>
      <c r="Y1464">
        <f>IF(IFERROR(VLOOKUP(BBDD_fashion_boutique[[#This Row],[product_id]],A1465:A3640,1,FALSE),0),1,0)</f>
        <v>0</v>
      </c>
    </row>
    <row r="1465" spans="1:25" x14ac:dyDescent="0.3">
      <c r="A1465" t="s">
        <v>1524</v>
      </c>
      <c r="B1465" t="s">
        <v>44</v>
      </c>
      <c r="C1465" t="s">
        <v>54</v>
      </c>
      <c r="D1465" t="s">
        <v>28</v>
      </c>
      <c r="E1465" t="s">
        <v>55</v>
      </c>
      <c r="F1465" t="str">
        <f>IF(BBDD_fashion_boutique[[#This Row],[category]]="Accessories","Accesorio",IF(BBDD_fashion_boutique[[#This Row],[size]]="","Desconocido",BBDD_fashion_boutique[[#This Row],[size]]))</f>
        <v>XXL</v>
      </c>
      <c r="G1465" t="s">
        <v>52</v>
      </c>
      <c r="H1465" s="2">
        <v>80.209999999999994</v>
      </c>
      <c r="I1465">
        <v>0</v>
      </c>
      <c r="J1465" s="5">
        <f>BBDD_fashion_boutique[[#This Row],[markdown_percentage]]/100</f>
        <v>0</v>
      </c>
      <c r="K1465" s="2">
        <v>80.209999999999994</v>
      </c>
      <c r="L1465" s="2">
        <f>BBDD_fashion_boutique[[#This Row],[original_price]]-BBDD_fashion_boutique[[#This Row],[current_price]]</f>
        <v>0</v>
      </c>
      <c r="M1465" s="1">
        <v>45875</v>
      </c>
      <c r="N1465" s="1" t="str">
        <f>PROPER(TEXT(BBDD_fashion_boutique[[#This Row],[purchase_date]],"dddd"))</f>
        <v>Miércoles</v>
      </c>
      <c r="O1465" s="1" t="str">
        <f>PROPER(TEXT(BBDD_fashion_boutique[[#This Row],[purchase_date]],"mmmm"))</f>
        <v>Agosto</v>
      </c>
      <c r="P1465" s="4">
        <v>17</v>
      </c>
      <c r="R1465" t="str">
        <f>IF(BBDD_fashion_boutique[[#This Row],[stock_quantity]]&gt;9,"Ok",IF(BBDD_fashion_boutique[[#This Row],[stock_quantity]]=0,"Agotado","Pocas Unidades"))</f>
        <v>Ok</v>
      </c>
      <c r="S1465" s="3" t="str">
        <f>IF(BBDD_fashion_boutique[[#This Row],[customer_rating]]="","No valorado",BBDD_fashion_boutique[[#This Row],[customer_rating]])</f>
        <v>No valorado</v>
      </c>
      <c r="T1465" t="s">
        <v>24</v>
      </c>
      <c r="V1465">
        <f>IF(BBDD_fashion_boutique[[#This Row],[is_returned]]="False",0,1)</f>
        <v>0</v>
      </c>
      <c r="W1465">
        <f>IF(BBDD_fashion_boutique[[#This Row],[is_returned]]="True",0,BBDD_fashion_boutique[[#This Row],[current_price]])</f>
        <v>80.209999999999994</v>
      </c>
      <c r="X1465" t="str">
        <f>IF(BBDD_fashion_boutique[[#This Row],[return_reason]]="","No return",BBDD_fashion_boutique[[#This Row],[return_reason]])</f>
        <v>No return</v>
      </c>
      <c r="Y1465">
        <f>IF(IFERROR(VLOOKUP(BBDD_fashion_boutique[[#This Row],[product_id]],A1466:A3641,1,FALSE),0),1,0)</f>
        <v>0</v>
      </c>
    </row>
    <row r="1466" spans="1:25" x14ac:dyDescent="0.3">
      <c r="A1466" t="s">
        <v>1525</v>
      </c>
      <c r="B1466" t="s">
        <v>19</v>
      </c>
      <c r="C1466" t="s">
        <v>27</v>
      </c>
      <c r="D1466" t="s">
        <v>39</v>
      </c>
      <c r="E1466" t="s">
        <v>29</v>
      </c>
      <c r="F1466" t="str">
        <f>IF(BBDD_fashion_boutique[[#This Row],[category]]="Accessories","Accesorio",IF(BBDD_fashion_boutique[[#This Row],[size]]="","Desconocido",BBDD_fashion_boutique[[#This Row],[size]]))</f>
        <v>L</v>
      </c>
      <c r="G1466" t="s">
        <v>76</v>
      </c>
      <c r="H1466" s="2">
        <v>237.65</v>
      </c>
      <c r="I1466">
        <v>0</v>
      </c>
      <c r="J1466" s="5">
        <f>BBDD_fashion_boutique[[#This Row],[markdown_percentage]]/100</f>
        <v>0</v>
      </c>
      <c r="K1466" s="2">
        <v>237.65</v>
      </c>
      <c r="L1466" s="2">
        <f>BBDD_fashion_boutique[[#This Row],[original_price]]-BBDD_fashion_boutique[[#This Row],[current_price]]</f>
        <v>0</v>
      </c>
      <c r="M1466" s="1">
        <v>45875</v>
      </c>
      <c r="N1466" s="1" t="str">
        <f>PROPER(TEXT(BBDD_fashion_boutique[[#This Row],[purchase_date]],"dddd"))</f>
        <v>Miércoles</v>
      </c>
      <c r="O1466" s="1" t="str">
        <f>PROPER(TEXT(BBDD_fashion_boutique[[#This Row],[purchase_date]],"mmmm"))</f>
        <v>Agosto</v>
      </c>
      <c r="P1466" s="4">
        <v>3</v>
      </c>
      <c r="Q1466" s="2">
        <v>3.4</v>
      </c>
      <c r="R1466" t="str">
        <f>IF(BBDD_fashion_boutique[[#This Row],[stock_quantity]]&gt;9,"Ok",IF(BBDD_fashion_boutique[[#This Row],[stock_quantity]]=0,"Agotado","Pocas Unidades"))</f>
        <v>Pocas Unidades</v>
      </c>
      <c r="S1466" s="3">
        <f>IF(BBDD_fashion_boutique[[#This Row],[customer_rating]]="","No valorado",BBDD_fashion_boutique[[#This Row],[customer_rating]])</f>
        <v>3.4</v>
      </c>
      <c r="T1466" t="s">
        <v>24</v>
      </c>
      <c r="V1466">
        <f>IF(BBDD_fashion_boutique[[#This Row],[is_returned]]="False",0,1)</f>
        <v>0</v>
      </c>
      <c r="W1466">
        <f>IF(BBDD_fashion_boutique[[#This Row],[is_returned]]="True",0,BBDD_fashion_boutique[[#This Row],[current_price]])</f>
        <v>237.65</v>
      </c>
      <c r="X1466" t="str">
        <f>IF(BBDD_fashion_boutique[[#This Row],[return_reason]]="","No return",BBDD_fashion_boutique[[#This Row],[return_reason]])</f>
        <v>No return</v>
      </c>
      <c r="Y1466">
        <f>IF(IFERROR(VLOOKUP(BBDD_fashion_boutique[[#This Row],[product_id]],A1467:A3642,1,FALSE),0),1,0)</f>
        <v>0</v>
      </c>
    </row>
    <row r="1467" spans="1:25" x14ac:dyDescent="0.3">
      <c r="A1467" t="s">
        <v>1526</v>
      </c>
      <c r="B1467" t="s">
        <v>44</v>
      </c>
      <c r="C1467" t="s">
        <v>37</v>
      </c>
      <c r="D1467" t="s">
        <v>21</v>
      </c>
      <c r="E1467" t="s">
        <v>45</v>
      </c>
      <c r="F1467" t="str">
        <f>IF(BBDD_fashion_boutique[[#This Row],[category]]="Accessories","Accesorio",IF(BBDD_fashion_boutique[[#This Row],[size]]="","Desconocido",BBDD_fashion_boutique[[#This Row],[size]]))</f>
        <v>S</v>
      </c>
      <c r="G1467" t="s">
        <v>76</v>
      </c>
      <c r="H1467" s="2">
        <v>96.35</v>
      </c>
      <c r="I1467">
        <v>0</v>
      </c>
      <c r="J1467" s="5">
        <f>BBDD_fashion_boutique[[#This Row],[markdown_percentage]]/100</f>
        <v>0</v>
      </c>
      <c r="K1467" s="2">
        <v>96.35</v>
      </c>
      <c r="L1467" s="2">
        <f>BBDD_fashion_boutique[[#This Row],[original_price]]-BBDD_fashion_boutique[[#This Row],[current_price]]</f>
        <v>0</v>
      </c>
      <c r="M1467" s="1">
        <v>45638</v>
      </c>
      <c r="N1467" s="1" t="str">
        <f>PROPER(TEXT(BBDD_fashion_boutique[[#This Row],[purchase_date]],"dddd"))</f>
        <v>Jueves</v>
      </c>
      <c r="O1467" s="1" t="str">
        <f>PROPER(TEXT(BBDD_fashion_boutique[[#This Row],[purchase_date]],"mmmm"))</f>
        <v>Diciembre</v>
      </c>
      <c r="P1467" s="4">
        <v>34</v>
      </c>
      <c r="Q1467" s="2">
        <v>3.7</v>
      </c>
      <c r="R1467" t="str">
        <f>IF(BBDD_fashion_boutique[[#This Row],[stock_quantity]]&gt;9,"Ok",IF(BBDD_fashion_boutique[[#This Row],[stock_quantity]]=0,"Agotado","Pocas Unidades"))</f>
        <v>Ok</v>
      </c>
      <c r="S1467" s="3">
        <f>IF(BBDD_fashion_boutique[[#This Row],[customer_rating]]="","No valorado",BBDD_fashion_boutique[[#This Row],[customer_rating]])</f>
        <v>3.7</v>
      </c>
      <c r="T1467" t="s">
        <v>24</v>
      </c>
      <c r="V1467">
        <f>IF(BBDD_fashion_boutique[[#This Row],[is_returned]]="False",0,1)</f>
        <v>0</v>
      </c>
      <c r="W1467">
        <f>IF(BBDD_fashion_boutique[[#This Row],[is_returned]]="True",0,BBDD_fashion_boutique[[#This Row],[current_price]])</f>
        <v>96.35</v>
      </c>
      <c r="X1467" t="str">
        <f>IF(BBDD_fashion_boutique[[#This Row],[return_reason]]="","No return",BBDD_fashion_boutique[[#This Row],[return_reason]])</f>
        <v>No return</v>
      </c>
      <c r="Y1467">
        <f>IF(IFERROR(VLOOKUP(BBDD_fashion_boutique[[#This Row],[product_id]],A1468:A3643,1,FALSE),0),1,0)</f>
        <v>0</v>
      </c>
    </row>
    <row r="1468" spans="1:25" x14ac:dyDescent="0.3">
      <c r="A1468" t="s">
        <v>1527</v>
      </c>
      <c r="B1468" t="s">
        <v>44</v>
      </c>
      <c r="C1468" t="s">
        <v>37</v>
      </c>
      <c r="D1468" t="s">
        <v>28</v>
      </c>
      <c r="E1468" t="s">
        <v>22</v>
      </c>
      <c r="F1468" t="str">
        <f>IF(BBDD_fashion_boutique[[#This Row],[category]]="Accessories","Accesorio",IF(BBDD_fashion_boutique[[#This Row],[size]]="","Desconocido",BBDD_fashion_boutique[[#This Row],[size]]))</f>
        <v>XL</v>
      </c>
      <c r="G1468" t="s">
        <v>40</v>
      </c>
      <c r="H1468" s="2">
        <v>91.92</v>
      </c>
      <c r="I1468">
        <v>0</v>
      </c>
      <c r="J1468" s="5">
        <f>BBDD_fashion_boutique[[#This Row],[markdown_percentage]]/100</f>
        <v>0</v>
      </c>
      <c r="K1468" s="2">
        <v>91.92</v>
      </c>
      <c r="L1468" s="2">
        <f>BBDD_fashion_boutique[[#This Row],[original_price]]-BBDD_fashion_boutique[[#This Row],[current_price]]</f>
        <v>0</v>
      </c>
      <c r="M1468" s="1">
        <v>45875</v>
      </c>
      <c r="N1468" s="1" t="str">
        <f>PROPER(TEXT(BBDD_fashion_boutique[[#This Row],[purchase_date]],"dddd"))</f>
        <v>Miércoles</v>
      </c>
      <c r="O1468" s="1" t="str">
        <f>PROPER(TEXT(BBDD_fashion_boutique[[#This Row],[purchase_date]],"mmmm"))</f>
        <v>Agosto</v>
      </c>
      <c r="P1468" s="4">
        <v>29</v>
      </c>
      <c r="R1468" t="str">
        <f>IF(BBDD_fashion_boutique[[#This Row],[stock_quantity]]&gt;9,"Ok",IF(BBDD_fashion_boutique[[#This Row],[stock_quantity]]=0,"Agotado","Pocas Unidades"))</f>
        <v>Ok</v>
      </c>
      <c r="S1468" s="3" t="str">
        <f>IF(BBDD_fashion_boutique[[#This Row],[customer_rating]]="","No valorado",BBDD_fashion_boutique[[#This Row],[customer_rating]])</f>
        <v>No valorado</v>
      </c>
      <c r="T1468" t="s">
        <v>24</v>
      </c>
      <c r="V1468">
        <f>IF(BBDD_fashion_boutique[[#This Row],[is_returned]]="False",0,1)</f>
        <v>0</v>
      </c>
      <c r="W1468">
        <f>IF(BBDD_fashion_boutique[[#This Row],[is_returned]]="True",0,BBDD_fashion_boutique[[#This Row],[current_price]])</f>
        <v>91.92</v>
      </c>
      <c r="X1468" t="str">
        <f>IF(BBDD_fashion_boutique[[#This Row],[return_reason]]="","No return",BBDD_fashion_boutique[[#This Row],[return_reason]])</f>
        <v>No return</v>
      </c>
      <c r="Y1468">
        <f>IF(IFERROR(VLOOKUP(BBDD_fashion_boutique[[#This Row],[product_id]],A1469:A3644,1,FALSE),0),1,0)</f>
        <v>0</v>
      </c>
    </row>
    <row r="1469" spans="1:25" x14ac:dyDescent="0.3">
      <c r="A1469" t="s">
        <v>1528</v>
      </c>
      <c r="B1469" t="s">
        <v>35</v>
      </c>
      <c r="C1469" t="s">
        <v>37</v>
      </c>
      <c r="D1469" t="s">
        <v>39</v>
      </c>
      <c r="E1469" t="s">
        <v>55</v>
      </c>
      <c r="F1469" t="str">
        <f>IF(BBDD_fashion_boutique[[#This Row],[category]]="Accessories","Accesorio",IF(BBDD_fashion_boutique[[#This Row],[size]]="","Desconocido",BBDD_fashion_boutique[[#This Row],[size]]))</f>
        <v>XXL</v>
      </c>
      <c r="G1469" t="s">
        <v>70</v>
      </c>
      <c r="H1469" s="2">
        <v>194.05</v>
      </c>
      <c r="I1469">
        <v>0</v>
      </c>
      <c r="J1469" s="5">
        <f>BBDD_fashion_boutique[[#This Row],[markdown_percentage]]/100</f>
        <v>0</v>
      </c>
      <c r="K1469" s="2">
        <v>194.05</v>
      </c>
      <c r="L1469" s="2">
        <f>BBDD_fashion_boutique[[#This Row],[original_price]]-BBDD_fashion_boutique[[#This Row],[current_price]]</f>
        <v>0</v>
      </c>
      <c r="M1469" s="1">
        <v>45875</v>
      </c>
      <c r="N1469" s="1" t="str">
        <f>PROPER(TEXT(BBDD_fashion_boutique[[#This Row],[purchase_date]],"dddd"))</f>
        <v>Miércoles</v>
      </c>
      <c r="O1469" s="1" t="str">
        <f>PROPER(TEXT(BBDD_fashion_boutique[[#This Row],[purchase_date]],"mmmm"))</f>
        <v>Agosto</v>
      </c>
      <c r="P1469" s="4">
        <v>7</v>
      </c>
      <c r="Q1469" s="2">
        <v>1.3</v>
      </c>
      <c r="R1469" t="str">
        <f>IF(BBDD_fashion_boutique[[#This Row],[stock_quantity]]&gt;9,"Ok",IF(BBDD_fashion_boutique[[#This Row],[stock_quantity]]=0,"Agotado","Pocas Unidades"))</f>
        <v>Pocas Unidades</v>
      </c>
      <c r="S1469" s="3">
        <f>IF(BBDD_fashion_boutique[[#This Row],[customer_rating]]="","No valorado",BBDD_fashion_boutique[[#This Row],[customer_rating]])</f>
        <v>1.3</v>
      </c>
      <c r="T1469" t="s">
        <v>24</v>
      </c>
      <c r="V1469">
        <f>IF(BBDD_fashion_boutique[[#This Row],[is_returned]]="False",0,1)</f>
        <v>0</v>
      </c>
      <c r="W1469">
        <f>IF(BBDD_fashion_boutique[[#This Row],[is_returned]]="True",0,BBDD_fashion_boutique[[#This Row],[current_price]])</f>
        <v>194.05</v>
      </c>
      <c r="X1469" t="str">
        <f>IF(BBDD_fashion_boutique[[#This Row],[return_reason]]="","No return",BBDD_fashion_boutique[[#This Row],[return_reason]])</f>
        <v>No return</v>
      </c>
      <c r="Y1469">
        <f>IF(IFERROR(VLOOKUP(BBDD_fashion_boutique[[#This Row],[product_id]],A1470:A3645,1,FALSE),0),1,0)</f>
        <v>0</v>
      </c>
    </row>
    <row r="1470" spans="1:25" x14ac:dyDescent="0.3">
      <c r="A1470" t="s">
        <v>1529</v>
      </c>
      <c r="B1470" t="s">
        <v>19</v>
      </c>
      <c r="C1470" t="s">
        <v>67</v>
      </c>
      <c r="D1470" t="s">
        <v>68</v>
      </c>
      <c r="E1470" t="s">
        <v>45</v>
      </c>
      <c r="F1470" t="str">
        <f>IF(BBDD_fashion_boutique[[#This Row],[category]]="Accessories","Accesorio",IF(BBDD_fashion_boutique[[#This Row],[size]]="","Desconocido",BBDD_fashion_boutique[[#This Row],[size]]))</f>
        <v>S</v>
      </c>
      <c r="G1470" t="s">
        <v>23</v>
      </c>
      <c r="H1470" s="2">
        <v>166.88</v>
      </c>
      <c r="I1470">
        <v>0</v>
      </c>
      <c r="J1470" s="5">
        <f>BBDD_fashion_boutique[[#This Row],[markdown_percentage]]/100</f>
        <v>0</v>
      </c>
      <c r="K1470" s="2">
        <v>166.88</v>
      </c>
      <c r="L1470" s="2">
        <f>BBDD_fashion_boutique[[#This Row],[original_price]]-BBDD_fashion_boutique[[#This Row],[current_price]]</f>
        <v>0</v>
      </c>
      <c r="M1470" s="1">
        <v>45875</v>
      </c>
      <c r="N1470" s="1" t="str">
        <f>PROPER(TEXT(BBDD_fashion_boutique[[#This Row],[purchase_date]],"dddd"))</f>
        <v>Miércoles</v>
      </c>
      <c r="O1470" s="1" t="str">
        <f>PROPER(TEXT(BBDD_fashion_boutique[[#This Row],[purchase_date]],"mmmm"))</f>
        <v>Agosto</v>
      </c>
      <c r="P1470" s="4">
        <v>10</v>
      </c>
      <c r="Q1470" s="2">
        <v>1.6</v>
      </c>
      <c r="R1470" t="str">
        <f>IF(BBDD_fashion_boutique[[#This Row],[stock_quantity]]&gt;9,"Ok",IF(BBDD_fashion_boutique[[#This Row],[stock_quantity]]=0,"Agotado","Pocas Unidades"))</f>
        <v>Ok</v>
      </c>
      <c r="S1470" s="3">
        <f>IF(BBDD_fashion_boutique[[#This Row],[customer_rating]]="","No valorado",BBDD_fashion_boutique[[#This Row],[customer_rating]])</f>
        <v>1.6</v>
      </c>
      <c r="T1470" t="s">
        <v>24</v>
      </c>
      <c r="V1470">
        <f>IF(BBDD_fashion_boutique[[#This Row],[is_returned]]="False",0,1)</f>
        <v>0</v>
      </c>
      <c r="W1470">
        <f>IF(BBDD_fashion_boutique[[#This Row],[is_returned]]="True",0,BBDD_fashion_boutique[[#This Row],[current_price]])</f>
        <v>166.88</v>
      </c>
      <c r="X1470" t="str">
        <f>IF(BBDD_fashion_boutique[[#This Row],[return_reason]]="","No return",BBDD_fashion_boutique[[#This Row],[return_reason]])</f>
        <v>No return</v>
      </c>
      <c r="Y1470">
        <f>IF(IFERROR(VLOOKUP(BBDD_fashion_boutique[[#This Row],[product_id]],A1471:A3646,1,FALSE),0),1,0)</f>
        <v>0</v>
      </c>
    </row>
    <row r="1471" spans="1:25" x14ac:dyDescent="0.3">
      <c r="A1471" t="s">
        <v>1530</v>
      </c>
      <c r="B1471" t="s">
        <v>44</v>
      </c>
      <c r="C1471" t="s">
        <v>54</v>
      </c>
      <c r="D1471" t="s">
        <v>28</v>
      </c>
      <c r="E1471" t="s">
        <v>45</v>
      </c>
      <c r="F1471" t="str">
        <f>IF(BBDD_fashion_boutique[[#This Row],[category]]="Accessories","Accesorio",IF(BBDD_fashion_boutique[[#This Row],[size]]="","Desconocido",BBDD_fashion_boutique[[#This Row],[size]]))</f>
        <v>S</v>
      </c>
      <c r="G1471" t="s">
        <v>23</v>
      </c>
      <c r="H1471" s="2">
        <v>47.01</v>
      </c>
      <c r="I1471">
        <v>0</v>
      </c>
      <c r="J1471" s="5">
        <f>BBDD_fashion_boutique[[#This Row],[markdown_percentage]]/100</f>
        <v>0</v>
      </c>
      <c r="K1471" s="2">
        <v>47.01</v>
      </c>
      <c r="L1471" s="2">
        <f>BBDD_fashion_boutique[[#This Row],[original_price]]-BBDD_fashion_boutique[[#This Row],[current_price]]</f>
        <v>0</v>
      </c>
      <c r="M1471" s="1">
        <v>45875</v>
      </c>
      <c r="N1471" s="1" t="str">
        <f>PROPER(TEXT(BBDD_fashion_boutique[[#This Row],[purchase_date]],"dddd"))</f>
        <v>Miércoles</v>
      </c>
      <c r="O1471" s="1" t="str">
        <f>PROPER(TEXT(BBDD_fashion_boutique[[#This Row],[purchase_date]],"mmmm"))</f>
        <v>Agosto</v>
      </c>
      <c r="P1471" s="4">
        <v>17</v>
      </c>
      <c r="Q1471" s="2">
        <v>1.6</v>
      </c>
      <c r="R1471" t="str">
        <f>IF(BBDD_fashion_boutique[[#This Row],[stock_quantity]]&gt;9,"Ok",IF(BBDD_fashion_boutique[[#This Row],[stock_quantity]]=0,"Agotado","Pocas Unidades"))</f>
        <v>Ok</v>
      </c>
      <c r="S1471" s="3">
        <f>IF(BBDD_fashion_boutique[[#This Row],[customer_rating]]="","No valorado",BBDD_fashion_boutique[[#This Row],[customer_rating]])</f>
        <v>1.6</v>
      </c>
      <c r="T1471" t="s">
        <v>24</v>
      </c>
      <c r="V1471">
        <f>IF(BBDD_fashion_boutique[[#This Row],[is_returned]]="False",0,1)</f>
        <v>0</v>
      </c>
      <c r="W1471">
        <f>IF(BBDD_fashion_boutique[[#This Row],[is_returned]]="True",0,BBDD_fashion_boutique[[#This Row],[current_price]])</f>
        <v>47.01</v>
      </c>
      <c r="X1471" t="str">
        <f>IF(BBDD_fashion_boutique[[#This Row],[return_reason]]="","No return",BBDD_fashion_boutique[[#This Row],[return_reason]])</f>
        <v>No return</v>
      </c>
      <c r="Y1471">
        <f>IF(IFERROR(VLOOKUP(BBDD_fashion_boutique[[#This Row],[product_id]],A1472:A3647,1,FALSE),0),1,0)</f>
        <v>0</v>
      </c>
    </row>
    <row r="1472" spans="1:25" x14ac:dyDescent="0.3">
      <c r="A1472" t="s">
        <v>1531</v>
      </c>
      <c r="B1472" t="s">
        <v>35</v>
      </c>
      <c r="C1472" t="s">
        <v>37</v>
      </c>
      <c r="D1472" t="s">
        <v>28</v>
      </c>
      <c r="E1472" t="s">
        <v>55</v>
      </c>
      <c r="F1472" t="str">
        <f>IF(BBDD_fashion_boutique[[#This Row],[category]]="Accessories","Accesorio",IF(BBDD_fashion_boutique[[#This Row],[size]]="","Desconocido",BBDD_fashion_boutique[[#This Row],[size]]))</f>
        <v>XXL</v>
      </c>
      <c r="G1472" t="s">
        <v>30</v>
      </c>
      <c r="H1472" s="2">
        <v>119.91</v>
      </c>
      <c r="I1472">
        <v>20.3</v>
      </c>
      <c r="J1472" s="5">
        <f>BBDD_fashion_boutique[[#This Row],[markdown_percentage]]/100</f>
        <v>0.20300000000000001</v>
      </c>
      <c r="K1472" s="2">
        <v>95.57</v>
      </c>
      <c r="L1472" s="2">
        <f>BBDD_fashion_boutique[[#This Row],[original_price]]-BBDD_fashion_boutique[[#This Row],[current_price]]</f>
        <v>24.340000000000003</v>
      </c>
      <c r="M1472" s="1">
        <v>45875</v>
      </c>
      <c r="N1472" s="1" t="str">
        <f>PROPER(TEXT(BBDD_fashion_boutique[[#This Row],[purchase_date]],"dddd"))</f>
        <v>Miércoles</v>
      </c>
      <c r="O1472" s="1" t="str">
        <f>PROPER(TEXT(BBDD_fashion_boutique[[#This Row],[purchase_date]],"mmmm"))</f>
        <v>Agosto</v>
      </c>
      <c r="P1472" s="4">
        <v>15</v>
      </c>
      <c r="Q1472" s="2">
        <v>3.8</v>
      </c>
      <c r="R1472" t="str">
        <f>IF(BBDD_fashion_boutique[[#This Row],[stock_quantity]]&gt;9,"Ok",IF(BBDD_fashion_boutique[[#This Row],[stock_quantity]]=0,"Agotado","Pocas Unidades"))</f>
        <v>Ok</v>
      </c>
      <c r="S1472" s="3">
        <f>IF(BBDD_fashion_boutique[[#This Row],[customer_rating]]="","No valorado",BBDD_fashion_boutique[[#This Row],[customer_rating]])</f>
        <v>3.8</v>
      </c>
      <c r="T1472" t="s">
        <v>24</v>
      </c>
      <c r="V1472">
        <f>IF(BBDD_fashion_boutique[[#This Row],[is_returned]]="False",0,1)</f>
        <v>0</v>
      </c>
      <c r="W1472">
        <f>IF(BBDD_fashion_boutique[[#This Row],[is_returned]]="True",0,BBDD_fashion_boutique[[#This Row],[current_price]])</f>
        <v>95.57</v>
      </c>
      <c r="X1472" t="str">
        <f>IF(BBDD_fashion_boutique[[#This Row],[return_reason]]="","No return",BBDD_fashion_boutique[[#This Row],[return_reason]])</f>
        <v>No return</v>
      </c>
      <c r="Y1472">
        <f>IF(IFERROR(VLOOKUP(BBDD_fashion_boutique[[#This Row],[product_id]],A1473:A3648,1,FALSE),0),1,0)</f>
        <v>0</v>
      </c>
    </row>
    <row r="1473" spans="1:25" x14ac:dyDescent="0.3">
      <c r="A1473" t="s">
        <v>1532</v>
      </c>
      <c r="B1473" t="s">
        <v>32</v>
      </c>
      <c r="C1473" t="s">
        <v>54</v>
      </c>
      <c r="D1473" t="s">
        <v>39</v>
      </c>
      <c r="F1473" t="str">
        <f>IF(BBDD_fashion_boutique[[#This Row],[category]]="Accessories","Accesorio",IF(BBDD_fashion_boutique[[#This Row],[size]]="","Desconocido",BBDD_fashion_boutique[[#This Row],[size]]))</f>
        <v>Accesorio</v>
      </c>
      <c r="G1473" t="s">
        <v>23</v>
      </c>
      <c r="H1473" s="2">
        <v>73.73</v>
      </c>
      <c r="I1473">
        <v>54.2</v>
      </c>
      <c r="J1473" s="5">
        <f>BBDD_fashion_boutique[[#This Row],[markdown_percentage]]/100</f>
        <v>0.54200000000000004</v>
      </c>
      <c r="K1473" s="2">
        <v>33.770000000000003</v>
      </c>
      <c r="L1473" s="2">
        <f>BBDD_fashion_boutique[[#This Row],[original_price]]-BBDD_fashion_boutique[[#This Row],[current_price]]</f>
        <v>39.96</v>
      </c>
      <c r="M1473" s="1">
        <v>45875</v>
      </c>
      <c r="N1473" s="1" t="str">
        <f>PROPER(TEXT(BBDD_fashion_boutique[[#This Row],[purchase_date]],"dddd"))</f>
        <v>Miércoles</v>
      </c>
      <c r="O1473" s="1" t="str">
        <f>PROPER(TEXT(BBDD_fashion_boutique[[#This Row],[purchase_date]],"mmmm"))</f>
        <v>Agosto</v>
      </c>
      <c r="P1473" s="4">
        <v>37</v>
      </c>
      <c r="Q1473" s="2">
        <v>4.0999999999999996</v>
      </c>
      <c r="R1473" t="str">
        <f>IF(BBDD_fashion_boutique[[#This Row],[stock_quantity]]&gt;9,"Ok",IF(BBDD_fashion_boutique[[#This Row],[stock_quantity]]=0,"Agotado","Pocas Unidades"))</f>
        <v>Ok</v>
      </c>
      <c r="S1473" s="3">
        <f>IF(BBDD_fashion_boutique[[#This Row],[customer_rating]]="","No valorado",BBDD_fashion_boutique[[#This Row],[customer_rating]])</f>
        <v>4.0999999999999996</v>
      </c>
      <c r="T1473" t="s">
        <v>24</v>
      </c>
      <c r="V1473">
        <f>IF(BBDD_fashion_boutique[[#This Row],[is_returned]]="False",0,1)</f>
        <v>0</v>
      </c>
      <c r="W1473">
        <f>IF(BBDD_fashion_boutique[[#This Row],[is_returned]]="True",0,BBDD_fashion_boutique[[#This Row],[current_price]])</f>
        <v>33.770000000000003</v>
      </c>
      <c r="X1473" t="str">
        <f>IF(BBDD_fashion_boutique[[#This Row],[return_reason]]="","No return",BBDD_fashion_boutique[[#This Row],[return_reason]])</f>
        <v>No return</v>
      </c>
      <c r="Y1473">
        <f>IF(IFERROR(VLOOKUP(BBDD_fashion_boutique[[#This Row],[product_id]],A1474:A3649,1,FALSE),0),1,0)</f>
        <v>0</v>
      </c>
    </row>
    <row r="1474" spans="1:25" x14ac:dyDescent="0.3">
      <c r="A1474" t="s">
        <v>1533</v>
      </c>
      <c r="B1474" t="s">
        <v>44</v>
      </c>
      <c r="C1474" t="s">
        <v>20</v>
      </c>
      <c r="D1474" t="s">
        <v>39</v>
      </c>
      <c r="E1474" t="s">
        <v>29</v>
      </c>
      <c r="F1474" t="str">
        <f>IF(BBDD_fashion_boutique[[#This Row],[category]]="Accessories","Accesorio",IF(BBDD_fashion_boutique[[#This Row],[size]]="","Desconocido",BBDD_fashion_boutique[[#This Row],[size]]))</f>
        <v>L</v>
      </c>
      <c r="G1474" t="s">
        <v>33</v>
      </c>
      <c r="H1474" s="2">
        <v>108.65</v>
      </c>
      <c r="I1474">
        <v>0</v>
      </c>
      <c r="J1474" s="5">
        <f>BBDD_fashion_boutique[[#This Row],[markdown_percentage]]/100</f>
        <v>0</v>
      </c>
      <c r="K1474" s="2">
        <v>108.65</v>
      </c>
      <c r="L1474" s="2">
        <f>BBDD_fashion_boutique[[#This Row],[original_price]]-BBDD_fashion_boutique[[#This Row],[current_price]]</f>
        <v>0</v>
      </c>
      <c r="M1474" s="1">
        <v>45875</v>
      </c>
      <c r="N1474" s="1" t="str">
        <f>PROPER(TEXT(BBDD_fashion_boutique[[#This Row],[purchase_date]],"dddd"))</f>
        <v>Miércoles</v>
      </c>
      <c r="O1474" s="1" t="str">
        <f>PROPER(TEXT(BBDD_fashion_boutique[[#This Row],[purchase_date]],"mmmm"))</f>
        <v>Agosto</v>
      </c>
      <c r="P1474" s="4">
        <v>26</v>
      </c>
      <c r="Q1474" s="2">
        <v>2.4</v>
      </c>
      <c r="R1474" t="str">
        <f>IF(BBDD_fashion_boutique[[#This Row],[stock_quantity]]&gt;9,"Ok",IF(BBDD_fashion_boutique[[#This Row],[stock_quantity]]=0,"Agotado","Pocas Unidades"))</f>
        <v>Ok</v>
      </c>
      <c r="S1474" s="3">
        <f>IF(BBDD_fashion_boutique[[#This Row],[customer_rating]]="","No valorado",BBDD_fashion_boutique[[#This Row],[customer_rating]])</f>
        <v>2.4</v>
      </c>
      <c r="T1474" t="s">
        <v>24</v>
      </c>
      <c r="V1474">
        <f>IF(BBDD_fashion_boutique[[#This Row],[is_returned]]="False",0,1)</f>
        <v>0</v>
      </c>
      <c r="W1474">
        <f>IF(BBDD_fashion_boutique[[#This Row],[is_returned]]="True",0,BBDD_fashion_boutique[[#This Row],[current_price]])</f>
        <v>108.65</v>
      </c>
      <c r="X1474" t="str">
        <f>IF(BBDD_fashion_boutique[[#This Row],[return_reason]]="","No return",BBDD_fashion_boutique[[#This Row],[return_reason]])</f>
        <v>No return</v>
      </c>
      <c r="Y1474">
        <f>IF(IFERROR(VLOOKUP(BBDD_fashion_boutique[[#This Row],[product_id]],A1475:A3650,1,FALSE),0),1,0)</f>
        <v>0</v>
      </c>
    </row>
    <row r="1475" spans="1:25" x14ac:dyDescent="0.3">
      <c r="A1475" t="s">
        <v>1534</v>
      </c>
      <c r="B1475" t="s">
        <v>35</v>
      </c>
      <c r="C1475" t="s">
        <v>49</v>
      </c>
      <c r="D1475" t="s">
        <v>68</v>
      </c>
      <c r="E1475" t="s">
        <v>29</v>
      </c>
      <c r="F1475" t="str">
        <f>IF(BBDD_fashion_boutique[[#This Row],[category]]="Accessories","Accesorio",IF(BBDD_fashion_boutique[[#This Row],[size]]="","Desconocido",BBDD_fashion_boutique[[#This Row],[size]]))</f>
        <v>L</v>
      </c>
      <c r="G1475" t="s">
        <v>23</v>
      </c>
      <c r="H1475" s="2">
        <v>186.53</v>
      </c>
      <c r="I1475">
        <v>0</v>
      </c>
      <c r="J1475" s="5">
        <f>BBDD_fashion_boutique[[#This Row],[markdown_percentage]]/100</f>
        <v>0</v>
      </c>
      <c r="K1475" s="2">
        <v>186.53</v>
      </c>
      <c r="L1475" s="2">
        <f>BBDD_fashion_boutique[[#This Row],[original_price]]-BBDD_fashion_boutique[[#This Row],[current_price]]</f>
        <v>0</v>
      </c>
      <c r="M1475" s="1">
        <v>45875</v>
      </c>
      <c r="N1475" s="1" t="str">
        <f>PROPER(TEXT(BBDD_fashion_boutique[[#This Row],[purchase_date]],"dddd"))</f>
        <v>Miércoles</v>
      </c>
      <c r="O1475" s="1" t="str">
        <f>PROPER(TEXT(BBDD_fashion_boutique[[#This Row],[purchase_date]],"mmmm"))</f>
        <v>Agosto</v>
      </c>
      <c r="P1475" s="4">
        <v>31</v>
      </c>
      <c r="Q1475" s="2">
        <v>2.6</v>
      </c>
      <c r="R1475" t="str">
        <f>IF(BBDD_fashion_boutique[[#This Row],[stock_quantity]]&gt;9,"Ok",IF(BBDD_fashion_boutique[[#This Row],[stock_quantity]]=0,"Agotado","Pocas Unidades"))</f>
        <v>Ok</v>
      </c>
      <c r="S1475" s="3">
        <f>IF(BBDD_fashion_boutique[[#This Row],[customer_rating]]="","No valorado",BBDD_fashion_boutique[[#This Row],[customer_rating]])</f>
        <v>2.6</v>
      </c>
      <c r="T1475" t="s">
        <v>24</v>
      </c>
      <c r="V1475">
        <f>IF(BBDD_fashion_boutique[[#This Row],[is_returned]]="False",0,1)</f>
        <v>0</v>
      </c>
      <c r="W1475">
        <f>IF(BBDD_fashion_boutique[[#This Row],[is_returned]]="True",0,BBDD_fashion_boutique[[#This Row],[current_price]])</f>
        <v>186.53</v>
      </c>
      <c r="X1475" t="str">
        <f>IF(BBDD_fashion_boutique[[#This Row],[return_reason]]="","No return",BBDD_fashion_boutique[[#This Row],[return_reason]])</f>
        <v>No return</v>
      </c>
      <c r="Y1475">
        <f>IF(IFERROR(VLOOKUP(BBDD_fashion_boutique[[#This Row],[product_id]],A1476:A3651,1,FALSE),0),1,0)</f>
        <v>0</v>
      </c>
    </row>
    <row r="1476" spans="1:25" x14ac:dyDescent="0.3">
      <c r="A1476" t="s">
        <v>1535</v>
      </c>
      <c r="B1476" t="s">
        <v>32</v>
      </c>
      <c r="C1476" t="s">
        <v>20</v>
      </c>
      <c r="D1476" t="s">
        <v>68</v>
      </c>
      <c r="F1476" t="str">
        <f>IF(BBDD_fashion_boutique[[#This Row],[category]]="Accessories","Accesorio",IF(BBDD_fashion_boutique[[#This Row],[size]]="","Desconocido",BBDD_fashion_boutique[[#This Row],[size]]))</f>
        <v>Accesorio</v>
      </c>
      <c r="G1476" t="s">
        <v>23</v>
      </c>
      <c r="H1476" s="2">
        <v>60.34</v>
      </c>
      <c r="I1476">
        <v>0</v>
      </c>
      <c r="J1476" s="5">
        <f>BBDD_fashion_boutique[[#This Row],[markdown_percentage]]/100</f>
        <v>0</v>
      </c>
      <c r="K1476" s="2">
        <v>60.34</v>
      </c>
      <c r="L1476" s="2">
        <f>BBDD_fashion_boutique[[#This Row],[original_price]]-BBDD_fashion_boutique[[#This Row],[current_price]]</f>
        <v>0</v>
      </c>
      <c r="M1476" s="1">
        <v>45875</v>
      </c>
      <c r="N1476" s="1" t="str">
        <f>PROPER(TEXT(BBDD_fashion_boutique[[#This Row],[purchase_date]],"dddd"))</f>
        <v>Miércoles</v>
      </c>
      <c r="O1476" s="1" t="str">
        <f>PROPER(TEXT(BBDD_fashion_boutique[[#This Row],[purchase_date]],"mmmm"))</f>
        <v>Agosto</v>
      </c>
      <c r="P1476" s="4">
        <v>13</v>
      </c>
      <c r="R1476" t="str">
        <f>IF(BBDD_fashion_boutique[[#This Row],[stock_quantity]]&gt;9,"Ok",IF(BBDD_fashion_boutique[[#This Row],[stock_quantity]]=0,"Agotado","Pocas Unidades"))</f>
        <v>Ok</v>
      </c>
      <c r="S1476" s="3" t="str">
        <f>IF(BBDD_fashion_boutique[[#This Row],[customer_rating]]="","No valorado",BBDD_fashion_boutique[[#This Row],[customer_rating]])</f>
        <v>No valorado</v>
      </c>
      <c r="T1476" t="s">
        <v>24</v>
      </c>
      <c r="V1476">
        <f>IF(BBDD_fashion_boutique[[#This Row],[is_returned]]="False",0,1)</f>
        <v>0</v>
      </c>
      <c r="W1476">
        <f>IF(BBDD_fashion_boutique[[#This Row],[is_returned]]="True",0,BBDD_fashion_boutique[[#This Row],[current_price]])</f>
        <v>60.34</v>
      </c>
      <c r="X1476" t="str">
        <f>IF(BBDD_fashion_boutique[[#This Row],[return_reason]]="","No return",BBDD_fashion_boutique[[#This Row],[return_reason]])</f>
        <v>No return</v>
      </c>
      <c r="Y1476">
        <f>IF(IFERROR(VLOOKUP(BBDD_fashion_boutique[[#This Row],[product_id]],A1477:A3652,1,FALSE),0),1,0)</f>
        <v>0</v>
      </c>
    </row>
    <row r="1477" spans="1:25" x14ac:dyDescent="0.3">
      <c r="A1477" t="s">
        <v>1536</v>
      </c>
      <c r="B1477" t="s">
        <v>32</v>
      </c>
      <c r="C1477" t="s">
        <v>49</v>
      </c>
      <c r="D1477" t="s">
        <v>28</v>
      </c>
      <c r="F1477" t="str">
        <f>IF(BBDD_fashion_boutique[[#This Row],[category]]="Accessories","Accesorio",IF(BBDD_fashion_boutique[[#This Row],[size]]="","Desconocido",BBDD_fashion_boutique[[#This Row],[size]]))</f>
        <v>Accesorio</v>
      </c>
      <c r="G1477" t="s">
        <v>70</v>
      </c>
      <c r="H1477" s="2">
        <v>61.16</v>
      </c>
      <c r="I1477">
        <v>0</v>
      </c>
      <c r="J1477" s="5">
        <f>BBDD_fashion_boutique[[#This Row],[markdown_percentage]]/100</f>
        <v>0</v>
      </c>
      <c r="K1477" s="2">
        <v>61.16</v>
      </c>
      <c r="L1477" s="2">
        <f>BBDD_fashion_boutique[[#This Row],[original_price]]-BBDD_fashion_boutique[[#This Row],[current_price]]</f>
        <v>0</v>
      </c>
      <c r="M1477" s="1">
        <v>45875</v>
      </c>
      <c r="N1477" s="1" t="str">
        <f>PROPER(TEXT(BBDD_fashion_boutique[[#This Row],[purchase_date]],"dddd"))</f>
        <v>Miércoles</v>
      </c>
      <c r="O1477" s="1" t="str">
        <f>PROPER(TEXT(BBDD_fashion_boutique[[#This Row],[purchase_date]],"mmmm"))</f>
        <v>Agosto</v>
      </c>
      <c r="P1477" s="4">
        <v>28</v>
      </c>
      <c r="Q1477" s="2">
        <v>2.2999999999999998</v>
      </c>
      <c r="R1477" t="str">
        <f>IF(BBDD_fashion_boutique[[#This Row],[stock_quantity]]&gt;9,"Ok",IF(BBDD_fashion_boutique[[#This Row],[stock_quantity]]=0,"Agotado","Pocas Unidades"))</f>
        <v>Ok</v>
      </c>
      <c r="S1477" s="3">
        <f>IF(BBDD_fashion_boutique[[#This Row],[customer_rating]]="","No valorado",BBDD_fashion_boutique[[#This Row],[customer_rating]])</f>
        <v>2.2999999999999998</v>
      </c>
      <c r="T1477" t="s">
        <v>24</v>
      </c>
      <c r="V1477">
        <f>IF(BBDD_fashion_boutique[[#This Row],[is_returned]]="False",0,1)</f>
        <v>0</v>
      </c>
      <c r="W1477">
        <f>IF(BBDD_fashion_boutique[[#This Row],[is_returned]]="True",0,BBDD_fashion_boutique[[#This Row],[current_price]])</f>
        <v>61.16</v>
      </c>
      <c r="X1477" t="str">
        <f>IF(BBDD_fashion_boutique[[#This Row],[return_reason]]="","No return",BBDD_fashion_boutique[[#This Row],[return_reason]])</f>
        <v>No return</v>
      </c>
      <c r="Y1477">
        <f>IF(IFERROR(VLOOKUP(BBDD_fashion_boutique[[#This Row],[product_id]],A1478:A3653,1,FALSE),0),1,0)</f>
        <v>0</v>
      </c>
    </row>
    <row r="1478" spans="1:25" x14ac:dyDescent="0.3">
      <c r="A1478" t="s">
        <v>1537</v>
      </c>
      <c r="B1478" t="s">
        <v>35</v>
      </c>
      <c r="C1478" t="s">
        <v>81</v>
      </c>
      <c r="D1478" t="s">
        <v>28</v>
      </c>
      <c r="E1478" t="s">
        <v>22</v>
      </c>
      <c r="F1478" t="str">
        <f>IF(BBDD_fashion_boutique[[#This Row],[category]]="Accessories","Accesorio",IF(BBDD_fashion_boutique[[#This Row],[size]]="","Desconocido",BBDD_fashion_boutique[[#This Row],[size]]))</f>
        <v>XL</v>
      </c>
      <c r="G1478" t="s">
        <v>52</v>
      </c>
      <c r="H1478" s="2">
        <v>168.85</v>
      </c>
      <c r="I1478">
        <v>35.299999999999997</v>
      </c>
      <c r="J1478" s="5">
        <f>BBDD_fashion_boutique[[#This Row],[markdown_percentage]]/100</f>
        <v>0.35299999999999998</v>
      </c>
      <c r="K1478" s="2">
        <v>109.25</v>
      </c>
      <c r="L1478" s="2">
        <f>BBDD_fashion_boutique[[#This Row],[original_price]]-BBDD_fashion_boutique[[#This Row],[current_price]]</f>
        <v>59.599999999999994</v>
      </c>
      <c r="M1478" s="1">
        <v>45875</v>
      </c>
      <c r="N1478" s="1" t="str">
        <f>PROPER(TEXT(BBDD_fashion_boutique[[#This Row],[purchase_date]],"dddd"))</f>
        <v>Miércoles</v>
      </c>
      <c r="O1478" s="1" t="str">
        <f>PROPER(TEXT(BBDD_fashion_boutique[[#This Row],[purchase_date]],"mmmm"))</f>
        <v>Agosto</v>
      </c>
      <c r="P1478" s="4">
        <v>10</v>
      </c>
      <c r="Q1478" s="2">
        <v>3.3</v>
      </c>
      <c r="R1478" t="str">
        <f>IF(BBDD_fashion_boutique[[#This Row],[stock_quantity]]&gt;9,"Ok",IF(BBDD_fashion_boutique[[#This Row],[stock_quantity]]=0,"Agotado","Pocas Unidades"))</f>
        <v>Ok</v>
      </c>
      <c r="S1478" s="3">
        <f>IF(BBDD_fashion_boutique[[#This Row],[customer_rating]]="","No valorado",BBDD_fashion_boutique[[#This Row],[customer_rating]])</f>
        <v>3.3</v>
      </c>
      <c r="T1478" t="s">
        <v>24</v>
      </c>
      <c r="V1478">
        <f>IF(BBDD_fashion_boutique[[#This Row],[is_returned]]="False",0,1)</f>
        <v>0</v>
      </c>
      <c r="W1478">
        <f>IF(BBDD_fashion_boutique[[#This Row],[is_returned]]="True",0,BBDD_fashion_boutique[[#This Row],[current_price]])</f>
        <v>109.25</v>
      </c>
      <c r="X1478" t="str">
        <f>IF(BBDD_fashion_boutique[[#This Row],[return_reason]]="","No return",BBDD_fashion_boutique[[#This Row],[return_reason]])</f>
        <v>No return</v>
      </c>
      <c r="Y1478">
        <f>IF(IFERROR(VLOOKUP(BBDD_fashion_boutique[[#This Row],[product_id]],A1479:A3654,1,FALSE),0),1,0)</f>
        <v>0</v>
      </c>
    </row>
    <row r="1479" spans="1:25" x14ac:dyDescent="0.3">
      <c r="A1479" t="s">
        <v>1538</v>
      </c>
      <c r="B1479" t="s">
        <v>26</v>
      </c>
      <c r="C1479" t="s">
        <v>59</v>
      </c>
      <c r="D1479" t="s">
        <v>28</v>
      </c>
      <c r="E1479" t="s">
        <v>29</v>
      </c>
      <c r="F1479" t="str">
        <f>IF(BBDD_fashion_boutique[[#This Row],[category]]="Accessories","Accesorio",IF(BBDD_fashion_boutique[[#This Row],[size]]="","Desconocido",BBDD_fashion_boutique[[#This Row],[size]]))</f>
        <v>L</v>
      </c>
      <c r="G1479" t="s">
        <v>70</v>
      </c>
      <c r="H1479" s="2">
        <v>60.08</v>
      </c>
      <c r="I1479">
        <v>0</v>
      </c>
      <c r="J1479" s="5">
        <f>BBDD_fashion_boutique[[#This Row],[markdown_percentage]]/100</f>
        <v>0</v>
      </c>
      <c r="K1479" s="2">
        <v>60.08</v>
      </c>
      <c r="L1479" s="2">
        <f>BBDD_fashion_boutique[[#This Row],[original_price]]-BBDD_fashion_boutique[[#This Row],[current_price]]</f>
        <v>0</v>
      </c>
      <c r="M1479" s="1">
        <v>45875</v>
      </c>
      <c r="N1479" s="1" t="str">
        <f>PROPER(TEXT(BBDD_fashion_boutique[[#This Row],[purchase_date]],"dddd"))</f>
        <v>Miércoles</v>
      </c>
      <c r="O1479" s="1" t="str">
        <f>PROPER(TEXT(BBDD_fashion_boutique[[#This Row],[purchase_date]],"mmmm"))</f>
        <v>Agosto</v>
      </c>
      <c r="P1479" s="4">
        <v>26</v>
      </c>
      <c r="R1479" t="str">
        <f>IF(BBDD_fashion_boutique[[#This Row],[stock_quantity]]&gt;9,"Ok",IF(BBDD_fashion_boutique[[#This Row],[stock_quantity]]=0,"Agotado","Pocas Unidades"))</f>
        <v>Ok</v>
      </c>
      <c r="S1479" s="3" t="str">
        <f>IF(BBDD_fashion_boutique[[#This Row],[customer_rating]]="","No valorado",BBDD_fashion_boutique[[#This Row],[customer_rating]])</f>
        <v>No valorado</v>
      </c>
      <c r="T1479" t="s">
        <v>24</v>
      </c>
      <c r="V1479">
        <f>IF(BBDD_fashion_boutique[[#This Row],[is_returned]]="False",0,1)</f>
        <v>0</v>
      </c>
      <c r="W1479">
        <f>IF(BBDD_fashion_boutique[[#This Row],[is_returned]]="True",0,BBDD_fashion_boutique[[#This Row],[current_price]])</f>
        <v>60.08</v>
      </c>
      <c r="X1479" t="str">
        <f>IF(BBDD_fashion_boutique[[#This Row],[return_reason]]="","No return",BBDD_fashion_boutique[[#This Row],[return_reason]])</f>
        <v>No return</v>
      </c>
      <c r="Y1479">
        <f>IF(IFERROR(VLOOKUP(BBDD_fashion_boutique[[#This Row],[product_id]],A1480:A3655,1,FALSE),0),1,0)</f>
        <v>0</v>
      </c>
    </row>
    <row r="1480" spans="1:25" x14ac:dyDescent="0.3">
      <c r="A1480" t="s">
        <v>1539</v>
      </c>
      <c r="B1480" t="s">
        <v>32</v>
      </c>
      <c r="C1480" t="s">
        <v>67</v>
      </c>
      <c r="D1480" t="s">
        <v>68</v>
      </c>
      <c r="F1480" t="str">
        <f>IF(BBDD_fashion_boutique[[#This Row],[category]]="Accessories","Accesorio",IF(BBDD_fashion_boutique[[#This Row],[size]]="","Desconocido",BBDD_fashion_boutique[[#This Row],[size]]))</f>
        <v>Accesorio</v>
      </c>
      <c r="G1480" t="s">
        <v>76</v>
      </c>
      <c r="H1480" s="2">
        <v>39.39</v>
      </c>
      <c r="I1480">
        <v>29.8</v>
      </c>
      <c r="J1480" s="5">
        <f>BBDD_fashion_boutique[[#This Row],[markdown_percentage]]/100</f>
        <v>0.29799999999999999</v>
      </c>
      <c r="K1480" s="2">
        <v>27.65</v>
      </c>
      <c r="L1480" s="2">
        <f>BBDD_fashion_boutique[[#This Row],[original_price]]-BBDD_fashion_boutique[[#This Row],[current_price]]</f>
        <v>11.740000000000002</v>
      </c>
      <c r="M1480" s="1">
        <v>45875</v>
      </c>
      <c r="N1480" s="1" t="str">
        <f>PROPER(TEXT(BBDD_fashion_boutique[[#This Row],[purchase_date]],"dddd"))</f>
        <v>Miércoles</v>
      </c>
      <c r="O1480" s="1" t="str">
        <f>PROPER(TEXT(BBDD_fashion_boutique[[#This Row],[purchase_date]],"mmmm"))</f>
        <v>Agosto</v>
      </c>
      <c r="P1480" s="4">
        <v>13</v>
      </c>
      <c r="Q1480" s="2">
        <v>4.7</v>
      </c>
      <c r="R1480" t="str">
        <f>IF(BBDD_fashion_boutique[[#This Row],[stock_quantity]]&gt;9,"Ok",IF(BBDD_fashion_boutique[[#This Row],[stock_quantity]]=0,"Agotado","Pocas Unidades"))</f>
        <v>Ok</v>
      </c>
      <c r="S1480" s="3">
        <f>IF(BBDD_fashion_boutique[[#This Row],[customer_rating]]="","No valorado",BBDD_fashion_boutique[[#This Row],[customer_rating]])</f>
        <v>4.7</v>
      </c>
      <c r="T1480" t="s">
        <v>24</v>
      </c>
      <c r="V1480">
        <f>IF(BBDD_fashion_boutique[[#This Row],[is_returned]]="False",0,1)</f>
        <v>0</v>
      </c>
      <c r="W1480">
        <f>IF(BBDD_fashion_boutique[[#This Row],[is_returned]]="True",0,BBDD_fashion_boutique[[#This Row],[current_price]])</f>
        <v>27.65</v>
      </c>
      <c r="X1480" t="str">
        <f>IF(BBDD_fashion_boutique[[#This Row],[return_reason]]="","No return",BBDD_fashion_boutique[[#This Row],[return_reason]])</f>
        <v>No return</v>
      </c>
      <c r="Y1480">
        <f>IF(IFERROR(VLOOKUP(BBDD_fashion_boutique[[#This Row],[product_id]],A1481:A3656,1,FALSE),0),1,0)</f>
        <v>0</v>
      </c>
    </row>
    <row r="1481" spans="1:25" x14ac:dyDescent="0.3">
      <c r="A1481" t="s">
        <v>1540</v>
      </c>
      <c r="B1481" t="s">
        <v>26</v>
      </c>
      <c r="C1481" t="s">
        <v>67</v>
      </c>
      <c r="D1481" t="s">
        <v>39</v>
      </c>
      <c r="E1481" t="s">
        <v>64</v>
      </c>
      <c r="F1481" t="str">
        <f>IF(BBDD_fashion_boutique[[#This Row],[category]]="Accessories","Accesorio",IF(BBDD_fashion_boutique[[#This Row],[size]]="","Desconocido",BBDD_fashion_boutique[[#This Row],[size]]))</f>
        <v>M</v>
      </c>
      <c r="G1481" t="s">
        <v>30</v>
      </c>
      <c r="H1481" s="2">
        <v>111.09</v>
      </c>
      <c r="I1481">
        <v>0</v>
      </c>
      <c r="J1481" s="5">
        <f>BBDD_fashion_boutique[[#This Row],[markdown_percentage]]/100</f>
        <v>0</v>
      </c>
      <c r="K1481" s="2">
        <v>111.09</v>
      </c>
      <c r="L1481" s="2">
        <f>BBDD_fashion_boutique[[#This Row],[original_price]]-BBDD_fashion_boutique[[#This Row],[current_price]]</f>
        <v>0</v>
      </c>
      <c r="M1481" s="1">
        <v>45875</v>
      </c>
      <c r="N1481" s="1" t="str">
        <f>PROPER(TEXT(BBDD_fashion_boutique[[#This Row],[purchase_date]],"dddd"))</f>
        <v>Miércoles</v>
      </c>
      <c r="O1481" s="1" t="str">
        <f>PROPER(TEXT(BBDD_fashion_boutique[[#This Row],[purchase_date]],"mmmm"))</f>
        <v>Agosto</v>
      </c>
      <c r="P1481" s="4">
        <v>24</v>
      </c>
      <c r="Q1481" s="2">
        <v>2.2000000000000002</v>
      </c>
      <c r="R1481" t="str">
        <f>IF(BBDD_fashion_boutique[[#This Row],[stock_quantity]]&gt;9,"Ok",IF(BBDD_fashion_boutique[[#This Row],[stock_quantity]]=0,"Agotado","Pocas Unidades"))</f>
        <v>Ok</v>
      </c>
      <c r="S1481" s="3">
        <f>IF(BBDD_fashion_boutique[[#This Row],[customer_rating]]="","No valorado",BBDD_fashion_boutique[[#This Row],[customer_rating]])</f>
        <v>2.2000000000000002</v>
      </c>
      <c r="T1481" t="s">
        <v>24</v>
      </c>
      <c r="V1481">
        <f>IF(BBDD_fashion_boutique[[#This Row],[is_returned]]="False",0,1)</f>
        <v>0</v>
      </c>
      <c r="W1481">
        <f>IF(BBDD_fashion_boutique[[#This Row],[is_returned]]="True",0,BBDD_fashion_boutique[[#This Row],[current_price]])</f>
        <v>111.09</v>
      </c>
      <c r="X1481" t="str">
        <f>IF(BBDD_fashion_boutique[[#This Row],[return_reason]]="","No return",BBDD_fashion_boutique[[#This Row],[return_reason]])</f>
        <v>No return</v>
      </c>
      <c r="Y1481">
        <f>IF(IFERROR(VLOOKUP(BBDD_fashion_boutique[[#This Row],[product_id]],A1482:A3657,1,FALSE),0),1,0)</f>
        <v>0</v>
      </c>
    </row>
    <row r="1482" spans="1:25" x14ac:dyDescent="0.3">
      <c r="A1482" t="s">
        <v>1541</v>
      </c>
      <c r="B1482" t="s">
        <v>48</v>
      </c>
      <c r="C1482" t="s">
        <v>37</v>
      </c>
      <c r="D1482" t="s">
        <v>68</v>
      </c>
      <c r="E1482" t="s">
        <v>64</v>
      </c>
      <c r="F1482" t="str">
        <f>IF(BBDD_fashion_boutique[[#This Row],[category]]="Accessories","Accesorio",IF(BBDD_fashion_boutique[[#This Row],[size]]="","Desconocido",BBDD_fashion_boutique[[#This Row],[size]]))</f>
        <v>M</v>
      </c>
      <c r="G1482" t="s">
        <v>52</v>
      </c>
      <c r="H1482" s="2">
        <v>133.51</v>
      </c>
      <c r="I1482">
        <v>0</v>
      </c>
      <c r="J1482" s="5">
        <f>BBDD_fashion_boutique[[#This Row],[markdown_percentage]]/100</f>
        <v>0</v>
      </c>
      <c r="K1482" s="2">
        <v>133.51</v>
      </c>
      <c r="L1482" s="2">
        <f>BBDD_fashion_boutique[[#This Row],[original_price]]-BBDD_fashion_boutique[[#This Row],[current_price]]</f>
        <v>0</v>
      </c>
      <c r="M1482" s="1">
        <v>45875</v>
      </c>
      <c r="N1482" s="1" t="str">
        <f>PROPER(TEXT(BBDD_fashion_boutique[[#This Row],[purchase_date]],"dddd"))</f>
        <v>Miércoles</v>
      </c>
      <c r="O1482" s="1" t="str">
        <f>PROPER(TEXT(BBDD_fashion_boutique[[#This Row],[purchase_date]],"mmmm"))</f>
        <v>Agosto</v>
      </c>
      <c r="P1482" s="4">
        <v>5</v>
      </c>
      <c r="Q1482" s="2">
        <v>1.7</v>
      </c>
      <c r="R1482" t="str">
        <f>IF(BBDD_fashion_boutique[[#This Row],[stock_quantity]]&gt;9,"Ok",IF(BBDD_fashion_boutique[[#This Row],[stock_quantity]]=0,"Agotado","Pocas Unidades"))</f>
        <v>Pocas Unidades</v>
      </c>
      <c r="S1482" s="3">
        <f>IF(BBDD_fashion_boutique[[#This Row],[customer_rating]]="","No valorado",BBDD_fashion_boutique[[#This Row],[customer_rating]])</f>
        <v>1.7</v>
      </c>
      <c r="T1482" t="s">
        <v>41</v>
      </c>
      <c r="U1482" t="s">
        <v>89</v>
      </c>
      <c r="V1482">
        <f>IF(BBDD_fashion_boutique[[#This Row],[is_returned]]="False",0,1)</f>
        <v>1</v>
      </c>
      <c r="W1482">
        <f>IF(BBDD_fashion_boutique[[#This Row],[is_returned]]="True",0,BBDD_fashion_boutique[[#This Row],[current_price]])</f>
        <v>0</v>
      </c>
      <c r="X1482" t="str">
        <f>IF(BBDD_fashion_boutique[[#This Row],[return_reason]]="","No return",BBDD_fashion_boutique[[#This Row],[return_reason]])</f>
        <v>Quality Issue</v>
      </c>
      <c r="Y1482">
        <f>IF(IFERROR(VLOOKUP(BBDD_fashion_boutique[[#This Row],[product_id]],A1483:A3658,1,FALSE),0),1,0)</f>
        <v>0</v>
      </c>
    </row>
    <row r="1483" spans="1:25" x14ac:dyDescent="0.3">
      <c r="A1483" t="s">
        <v>1542</v>
      </c>
      <c r="B1483" t="s">
        <v>48</v>
      </c>
      <c r="C1483" t="s">
        <v>81</v>
      </c>
      <c r="D1483" t="s">
        <v>68</v>
      </c>
      <c r="E1483" t="s">
        <v>61</v>
      </c>
      <c r="F1483" t="str">
        <f>IF(BBDD_fashion_boutique[[#This Row],[category]]="Accessories","Accesorio",IF(BBDD_fashion_boutique[[#This Row],[size]]="","Desconocido",BBDD_fashion_boutique[[#This Row],[size]]))</f>
        <v>XS</v>
      </c>
      <c r="G1483" t="s">
        <v>30</v>
      </c>
      <c r="H1483" s="2">
        <v>158.9</v>
      </c>
      <c r="I1483">
        <v>43.5</v>
      </c>
      <c r="J1483" s="5">
        <f>BBDD_fashion_boutique[[#This Row],[markdown_percentage]]/100</f>
        <v>0.435</v>
      </c>
      <c r="K1483" s="2">
        <v>89.78</v>
      </c>
      <c r="L1483" s="2">
        <f>BBDD_fashion_boutique[[#This Row],[original_price]]-BBDD_fashion_boutique[[#This Row],[current_price]]</f>
        <v>69.12</v>
      </c>
      <c r="M1483" s="1">
        <v>45875</v>
      </c>
      <c r="N1483" s="1" t="str">
        <f>PROPER(TEXT(BBDD_fashion_boutique[[#This Row],[purchase_date]],"dddd"))</f>
        <v>Miércoles</v>
      </c>
      <c r="O1483" s="1" t="str">
        <f>PROPER(TEXT(BBDD_fashion_boutique[[#This Row],[purchase_date]],"mmmm"))</f>
        <v>Agosto</v>
      </c>
      <c r="P1483" s="4">
        <v>46</v>
      </c>
      <c r="R1483" t="str">
        <f>IF(BBDD_fashion_boutique[[#This Row],[stock_quantity]]&gt;9,"Ok",IF(BBDD_fashion_boutique[[#This Row],[stock_quantity]]=0,"Agotado","Pocas Unidades"))</f>
        <v>Ok</v>
      </c>
      <c r="S1483" s="3" t="str">
        <f>IF(BBDD_fashion_boutique[[#This Row],[customer_rating]]="","No valorado",BBDD_fashion_boutique[[#This Row],[customer_rating]])</f>
        <v>No valorado</v>
      </c>
      <c r="T1483" t="s">
        <v>24</v>
      </c>
      <c r="V1483">
        <f>IF(BBDD_fashion_boutique[[#This Row],[is_returned]]="False",0,1)</f>
        <v>0</v>
      </c>
      <c r="W1483">
        <f>IF(BBDD_fashion_boutique[[#This Row],[is_returned]]="True",0,BBDD_fashion_boutique[[#This Row],[current_price]])</f>
        <v>89.78</v>
      </c>
      <c r="X1483" t="str">
        <f>IF(BBDD_fashion_boutique[[#This Row],[return_reason]]="","No return",BBDD_fashion_boutique[[#This Row],[return_reason]])</f>
        <v>No return</v>
      </c>
      <c r="Y1483">
        <f>IF(IFERROR(VLOOKUP(BBDD_fashion_boutique[[#This Row],[product_id]],A1484:A3659,1,FALSE),0),1,0)</f>
        <v>0</v>
      </c>
    </row>
    <row r="1484" spans="1:25" x14ac:dyDescent="0.3">
      <c r="A1484" t="s">
        <v>1543</v>
      </c>
      <c r="B1484" t="s">
        <v>26</v>
      </c>
      <c r="C1484" t="s">
        <v>67</v>
      </c>
      <c r="D1484" t="s">
        <v>21</v>
      </c>
      <c r="E1484" t="s">
        <v>61</v>
      </c>
      <c r="F1484" t="str">
        <f>IF(BBDD_fashion_boutique[[#This Row],[category]]="Accessories","Accesorio",IF(BBDD_fashion_boutique[[#This Row],[size]]="","Desconocido",BBDD_fashion_boutique[[#This Row],[size]]))</f>
        <v>XS</v>
      </c>
      <c r="G1484" t="s">
        <v>76</v>
      </c>
      <c r="H1484" s="2">
        <v>65.27</v>
      </c>
      <c r="I1484">
        <v>19</v>
      </c>
      <c r="J1484" s="5">
        <f>BBDD_fashion_boutique[[#This Row],[markdown_percentage]]/100</f>
        <v>0.19</v>
      </c>
      <c r="K1484" s="2">
        <v>52.87</v>
      </c>
      <c r="L1484" s="2">
        <f>BBDD_fashion_boutique[[#This Row],[original_price]]-BBDD_fashion_boutique[[#This Row],[current_price]]</f>
        <v>12.399999999999999</v>
      </c>
      <c r="M1484" s="1">
        <v>45533</v>
      </c>
      <c r="N1484" s="1" t="str">
        <f>PROPER(TEXT(BBDD_fashion_boutique[[#This Row],[purchase_date]],"dddd"))</f>
        <v>Jueves</v>
      </c>
      <c r="O1484" s="1" t="str">
        <f>PROPER(TEXT(BBDD_fashion_boutique[[#This Row],[purchase_date]],"mmmm"))</f>
        <v>Agosto</v>
      </c>
      <c r="P1484" s="4">
        <v>48</v>
      </c>
      <c r="Q1484" s="2">
        <v>3</v>
      </c>
      <c r="R1484" t="str">
        <f>IF(BBDD_fashion_boutique[[#This Row],[stock_quantity]]&gt;9,"Ok",IF(BBDD_fashion_boutique[[#This Row],[stock_quantity]]=0,"Agotado","Pocas Unidades"))</f>
        <v>Ok</v>
      </c>
      <c r="S1484" s="3">
        <f>IF(BBDD_fashion_boutique[[#This Row],[customer_rating]]="","No valorado",BBDD_fashion_boutique[[#This Row],[customer_rating]])</f>
        <v>3</v>
      </c>
      <c r="T1484" t="s">
        <v>24</v>
      </c>
      <c r="V1484">
        <f>IF(BBDD_fashion_boutique[[#This Row],[is_returned]]="False",0,1)</f>
        <v>0</v>
      </c>
      <c r="W1484">
        <f>IF(BBDD_fashion_boutique[[#This Row],[is_returned]]="True",0,BBDD_fashion_boutique[[#This Row],[current_price]])</f>
        <v>52.87</v>
      </c>
      <c r="X1484" t="str">
        <f>IF(BBDD_fashion_boutique[[#This Row],[return_reason]]="","No return",BBDD_fashion_boutique[[#This Row],[return_reason]])</f>
        <v>No return</v>
      </c>
      <c r="Y1484">
        <f>IF(IFERROR(VLOOKUP(BBDD_fashion_boutique[[#This Row],[product_id]],A1485:A3660,1,FALSE),0),1,0)</f>
        <v>0</v>
      </c>
    </row>
    <row r="1485" spans="1:25" x14ac:dyDescent="0.3">
      <c r="A1485" t="s">
        <v>1544</v>
      </c>
      <c r="B1485" t="s">
        <v>32</v>
      </c>
      <c r="C1485" t="s">
        <v>20</v>
      </c>
      <c r="D1485" t="s">
        <v>39</v>
      </c>
      <c r="F1485" t="str">
        <f>IF(BBDD_fashion_boutique[[#This Row],[category]]="Accessories","Accesorio",IF(BBDD_fashion_boutique[[#This Row],[size]]="","Desconocido",BBDD_fashion_boutique[[#This Row],[size]]))</f>
        <v>Accesorio</v>
      </c>
      <c r="G1485" t="s">
        <v>52</v>
      </c>
      <c r="H1485" s="2">
        <v>72.37</v>
      </c>
      <c r="I1485">
        <v>0</v>
      </c>
      <c r="J1485" s="5">
        <f>BBDD_fashion_boutique[[#This Row],[markdown_percentage]]/100</f>
        <v>0</v>
      </c>
      <c r="K1485" s="2">
        <v>72.37</v>
      </c>
      <c r="L1485" s="2">
        <f>BBDD_fashion_boutique[[#This Row],[original_price]]-BBDD_fashion_boutique[[#This Row],[current_price]]</f>
        <v>0</v>
      </c>
      <c r="M1485" s="1">
        <v>45875</v>
      </c>
      <c r="N1485" s="1" t="str">
        <f>PROPER(TEXT(BBDD_fashion_boutique[[#This Row],[purchase_date]],"dddd"))</f>
        <v>Miércoles</v>
      </c>
      <c r="O1485" s="1" t="str">
        <f>PROPER(TEXT(BBDD_fashion_boutique[[#This Row],[purchase_date]],"mmmm"))</f>
        <v>Agosto</v>
      </c>
      <c r="P1485" s="4">
        <v>24</v>
      </c>
      <c r="Q1485" s="2">
        <v>2.9</v>
      </c>
      <c r="R1485" t="str">
        <f>IF(BBDD_fashion_boutique[[#This Row],[stock_quantity]]&gt;9,"Ok",IF(BBDD_fashion_boutique[[#This Row],[stock_quantity]]=0,"Agotado","Pocas Unidades"))</f>
        <v>Ok</v>
      </c>
      <c r="S1485" s="3">
        <f>IF(BBDD_fashion_boutique[[#This Row],[customer_rating]]="","No valorado",BBDD_fashion_boutique[[#This Row],[customer_rating]])</f>
        <v>2.9</v>
      </c>
      <c r="T1485" t="s">
        <v>24</v>
      </c>
      <c r="V1485">
        <f>IF(BBDD_fashion_boutique[[#This Row],[is_returned]]="False",0,1)</f>
        <v>0</v>
      </c>
      <c r="W1485">
        <f>IF(BBDD_fashion_boutique[[#This Row],[is_returned]]="True",0,BBDD_fashion_boutique[[#This Row],[current_price]])</f>
        <v>72.37</v>
      </c>
      <c r="X1485" t="str">
        <f>IF(BBDD_fashion_boutique[[#This Row],[return_reason]]="","No return",BBDD_fashion_boutique[[#This Row],[return_reason]])</f>
        <v>No return</v>
      </c>
      <c r="Y1485">
        <f>IF(IFERROR(VLOOKUP(BBDD_fashion_boutique[[#This Row],[product_id]],A1486:A3661,1,FALSE),0),1,0)</f>
        <v>0</v>
      </c>
    </row>
    <row r="1486" spans="1:25" x14ac:dyDescent="0.3">
      <c r="A1486" t="s">
        <v>1545</v>
      </c>
      <c r="B1486" t="s">
        <v>48</v>
      </c>
      <c r="C1486" t="s">
        <v>37</v>
      </c>
      <c r="D1486" t="s">
        <v>39</v>
      </c>
      <c r="E1486" t="s">
        <v>22</v>
      </c>
      <c r="F1486" t="str">
        <f>IF(BBDD_fashion_boutique[[#This Row],[category]]="Accessories","Accesorio",IF(BBDD_fashion_boutique[[#This Row],[size]]="","Desconocido",BBDD_fashion_boutique[[#This Row],[size]]))</f>
        <v>XL</v>
      </c>
      <c r="G1486" t="s">
        <v>40</v>
      </c>
      <c r="H1486" s="2">
        <v>133.88</v>
      </c>
      <c r="I1486">
        <v>21.5</v>
      </c>
      <c r="J1486" s="5">
        <f>BBDD_fashion_boutique[[#This Row],[markdown_percentage]]/100</f>
        <v>0.215</v>
      </c>
      <c r="K1486" s="2">
        <v>105.1</v>
      </c>
      <c r="L1486" s="2">
        <f>BBDD_fashion_boutique[[#This Row],[original_price]]-BBDD_fashion_boutique[[#This Row],[current_price]]</f>
        <v>28.78</v>
      </c>
      <c r="M1486" s="1">
        <v>45875</v>
      </c>
      <c r="N1486" s="1" t="str">
        <f>PROPER(TEXT(BBDD_fashion_boutique[[#This Row],[purchase_date]],"dddd"))</f>
        <v>Miércoles</v>
      </c>
      <c r="O1486" s="1" t="str">
        <f>PROPER(TEXT(BBDD_fashion_boutique[[#This Row],[purchase_date]],"mmmm"))</f>
        <v>Agosto</v>
      </c>
      <c r="P1486" s="4">
        <v>42</v>
      </c>
      <c r="Q1486" s="2">
        <v>3.1</v>
      </c>
      <c r="R1486" t="str">
        <f>IF(BBDD_fashion_boutique[[#This Row],[stock_quantity]]&gt;9,"Ok",IF(BBDD_fashion_boutique[[#This Row],[stock_quantity]]=0,"Agotado","Pocas Unidades"))</f>
        <v>Ok</v>
      </c>
      <c r="S1486" s="3">
        <f>IF(BBDD_fashion_boutique[[#This Row],[customer_rating]]="","No valorado",BBDD_fashion_boutique[[#This Row],[customer_rating]])</f>
        <v>3.1</v>
      </c>
      <c r="T1486" t="s">
        <v>24</v>
      </c>
      <c r="V1486">
        <f>IF(BBDD_fashion_boutique[[#This Row],[is_returned]]="False",0,1)</f>
        <v>0</v>
      </c>
      <c r="W1486">
        <f>IF(BBDD_fashion_boutique[[#This Row],[is_returned]]="True",0,BBDD_fashion_boutique[[#This Row],[current_price]])</f>
        <v>105.1</v>
      </c>
      <c r="X1486" t="str">
        <f>IF(BBDD_fashion_boutique[[#This Row],[return_reason]]="","No return",BBDD_fashion_boutique[[#This Row],[return_reason]])</f>
        <v>No return</v>
      </c>
      <c r="Y1486">
        <f>IF(IFERROR(VLOOKUP(BBDD_fashion_boutique[[#This Row],[product_id]],A1487:A3662,1,FALSE),0),1,0)</f>
        <v>0</v>
      </c>
    </row>
    <row r="1487" spans="1:25" x14ac:dyDescent="0.3">
      <c r="A1487" t="s">
        <v>1546</v>
      </c>
      <c r="B1487" t="s">
        <v>26</v>
      </c>
      <c r="C1487" t="s">
        <v>20</v>
      </c>
      <c r="D1487" t="s">
        <v>21</v>
      </c>
      <c r="E1487" t="s">
        <v>55</v>
      </c>
      <c r="F1487" t="str">
        <f>IF(BBDD_fashion_boutique[[#This Row],[category]]="Accessories","Accesorio",IF(BBDD_fashion_boutique[[#This Row],[size]]="","Desconocido",BBDD_fashion_boutique[[#This Row],[size]]))</f>
        <v>XXL</v>
      </c>
      <c r="G1487" t="s">
        <v>72</v>
      </c>
      <c r="H1487" s="2">
        <v>74.3</v>
      </c>
      <c r="I1487">
        <v>0</v>
      </c>
      <c r="J1487" s="5">
        <f>BBDD_fashion_boutique[[#This Row],[markdown_percentage]]/100</f>
        <v>0</v>
      </c>
      <c r="K1487" s="2">
        <v>74.3</v>
      </c>
      <c r="L1487" s="2">
        <f>BBDD_fashion_boutique[[#This Row],[original_price]]-BBDD_fashion_boutique[[#This Row],[current_price]]</f>
        <v>0</v>
      </c>
      <c r="M1487" s="1">
        <v>45633</v>
      </c>
      <c r="N1487" s="1" t="str">
        <f>PROPER(TEXT(BBDD_fashion_boutique[[#This Row],[purchase_date]],"dddd"))</f>
        <v>Sábado</v>
      </c>
      <c r="O1487" s="1" t="str">
        <f>PROPER(TEXT(BBDD_fashion_boutique[[#This Row],[purchase_date]],"mmmm"))</f>
        <v>Diciembre</v>
      </c>
      <c r="P1487" s="4">
        <v>24</v>
      </c>
      <c r="Q1487" s="2">
        <v>4.4000000000000004</v>
      </c>
      <c r="R1487" t="str">
        <f>IF(BBDD_fashion_boutique[[#This Row],[stock_quantity]]&gt;9,"Ok",IF(BBDD_fashion_boutique[[#This Row],[stock_quantity]]=0,"Agotado","Pocas Unidades"))</f>
        <v>Ok</v>
      </c>
      <c r="S1487" s="3">
        <f>IF(BBDD_fashion_boutique[[#This Row],[customer_rating]]="","No valorado",BBDD_fashion_boutique[[#This Row],[customer_rating]])</f>
        <v>4.4000000000000004</v>
      </c>
      <c r="T1487" t="s">
        <v>24</v>
      </c>
      <c r="V1487">
        <f>IF(BBDD_fashion_boutique[[#This Row],[is_returned]]="False",0,1)</f>
        <v>0</v>
      </c>
      <c r="W1487">
        <f>IF(BBDD_fashion_boutique[[#This Row],[is_returned]]="True",0,BBDD_fashion_boutique[[#This Row],[current_price]])</f>
        <v>74.3</v>
      </c>
      <c r="X1487" t="str">
        <f>IF(BBDD_fashion_boutique[[#This Row],[return_reason]]="","No return",BBDD_fashion_boutique[[#This Row],[return_reason]])</f>
        <v>No return</v>
      </c>
      <c r="Y1487">
        <f>IF(IFERROR(VLOOKUP(BBDD_fashion_boutique[[#This Row],[product_id]],A1488:A3663,1,FALSE),0),1,0)</f>
        <v>0</v>
      </c>
    </row>
    <row r="1488" spans="1:25" x14ac:dyDescent="0.3">
      <c r="A1488" t="s">
        <v>1547</v>
      </c>
      <c r="B1488" t="s">
        <v>35</v>
      </c>
      <c r="C1488" t="s">
        <v>37</v>
      </c>
      <c r="D1488" t="s">
        <v>68</v>
      </c>
      <c r="E1488" t="s">
        <v>22</v>
      </c>
      <c r="F1488" t="str">
        <f>IF(BBDD_fashion_boutique[[#This Row],[category]]="Accessories","Accesorio",IF(BBDD_fashion_boutique[[#This Row],[size]]="","Desconocido",BBDD_fashion_boutique[[#This Row],[size]]))</f>
        <v>XL</v>
      </c>
      <c r="G1488" t="s">
        <v>62</v>
      </c>
      <c r="H1488" s="2">
        <v>192.74</v>
      </c>
      <c r="I1488">
        <v>47.5</v>
      </c>
      <c r="J1488" s="5">
        <f>BBDD_fashion_boutique[[#This Row],[markdown_percentage]]/100</f>
        <v>0.47499999999999998</v>
      </c>
      <c r="K1488" s="2">
        <v>101.19</v>
      </c>
      <c r="L1488" s="2">
        <f>BBDD_fashion_boutique[[#This Row],[original_price]]-BBDD_fashion_boutique[[#This Row],[current_price]]</f>
        <v>91.550000000000011</v>
      </c>
      <c r="M1488" s="1">
        <v>45875</v>
      </c>
      <c r="N1488" s="1" t="str">
        <f>PROPER(TEXT(BBDD_fashion_boutique[[#This Row],[purchase_date]],"dddd"))</f>
        <v>Miércoles</v>
      </c>
      <c r="O1488" s="1" t="str">
        <f>PROPER(TEXT(BBDD_fashion_boutique[[#This Row],[purchase_date]],"mmmm"))</f>
        <v>Agosto</v>
      </c>
      <c r="P1488" s="4">
        <v>40</v>
      </c>
      <c r="Q1488" s="2">
        <v>2.8</v>
      </c>
      <c r="R1488" t="str">
        <f>IF(BBDD_fashion_boutique[[#This Row],[stock_quantity]]&gt;9,"Ok",IF(BBDD_fashion_boutique[[#This Row],[stock_quantity]]=0,"Agotado","Pocas Unidades"))</f>
        <v>Ok</v>
      </c>
      <c r="S1488" s="3">
        <f>IF(BBDD_fashion_boutique[[#This Row],[customer_rating]]="","No valorado",BBDD_fashion_boutique[[#This Row],[customer_rating]])</f>
        <v>2.8</v>
      </c>
      <c r="T1488" t="s">
        <v>24</v>
      </c>
      <c r="V1488">
        <f>IF(BBDD_fashion_boutique[[#This Row],[is_returned]]="False",0,1)</f>
        <v>0</v>
      </c>
      <c r="W1488">
        <f>IF(BBDD_fashion_boutique[[#This Row],[is_returned]]="True",0,BBDD_fashion_boutique[[#This Row],[current_price]])</f>
        <v>101.19</v>
      </c>
      <c r="X1488" t="str">
        <f>IF(BBDD_fashion_boutique[[#This Row],[return_reason]]="","No return",BBDD_fashion_boutique[[#This Row],[return_reason]])</f>
        <v>No return</v>
      </c>
      <c r="Y1488">
        <f>IF(IFERROR(VLOOKUP(BBDD_fashion_boutique[[#This Row],[product_id]],A1489:A3664,1,FALSE),0),1,0)</f>
        <v>0</v>
      </c>
    </row>
    <row r="1489" spans="1:25" x14ac:dyDescent="0.3">
      <c r="A1489" t="s">
        <v>1548</v>
      </c>
      <c r="B1489" t="s">
        <v>32</v>
      </c>
      <c r="C1489" t="s">
        <v>27</v>
      </c>
      <c r="D1489" t="s">
        <v>68</v>
      </c>
      <c r="F1489" t="str">
        <f>IF(BBDD_fashion_boutique[[#This Row],[category]]="Accessories","Accesorio",IF(BBDD_fashion_boutique[[#This Row],[size]]="","Desconocido",BBDD_fashion_boutique[[#This Row],[size]]))</f>
        <v>Accesorio</v>
      </c>
      <c r="G1489" t="s">
        <v>23</v>
      </c>
      <c r="H1489" s="2">
        <v>79.02</v>
      </c>
      <c r="I1489">
        <v>2.5</v>
      </c>
      <c r="J1489" s="5">
        <f>BBDD_fashion_boutique[[#This Row],[markdown_percentage]]/100</f>
        <v>2.5000000000000001E-2</v>
      </c>
      <c r="K1489" s="2">
        <v>77.040000000000006</v>
      </c>
      <c r="L1489" s="2">
        <f>BBDD_fashion_boutique[[#This Row],[original_price]]-BBDD_fashion_boutique[[#This Row],[current_price]]</f>
        <v>1.9799999999999898</v>
      </c>
      <c r="M1489" s="1">
        <v>45875</v>
      </c>
      <c r="N1489" s="1" t="str">
        <f>PROPER(TEXT(BBDD_fashion_boutique[[#This Row],[purchase_date]],"dddd"))</f>
        <v>Miércoles</v>
      </c>
      <c r="O1489" s="1" t="str">
        <f>PROPER(TEXT(BBDD_fashion_boutique[[#This Row],[purchase_date]],"mmmm"))</f>
        <v>Agosto</v>
      </c>
      <c r="P1489" s="4">
        <v>16</v>
      </c>
      <c r="Q1489" s="2">
        <v>2.8</v>
      </c>
      <c r="R1489" t="str">
        <f>IF(BBDD_fashion_boutique[[#This Row],[stock_quantity]]&gt;9,"Ok",IF(BBDD_fashion_boutique[[#This Row],[stock_quantity]]=0,"Agotado","Pocas Unidades"))</f>
        <v>Ok</v>
      </c>
      <c r="S1489" s="3">
        <f>IF(BBDD_fashion_boutique[[#This Row],[customer_rating]]="","No valorado",BBDD_fashion_boutique[[#This Row],[customer_rating]])</f>
        <v>2.8</v>
      </c>
      <c r="T1489" t="s">
        <v>24</v>
      </c>
      <c r="V1489">
        <f>IF(BBDD_fashion_boutique[[#This Row],[is_returned]]="False",0,1)</f>
        <v>0</v>
      </c>
      <c r="W1489">
        <f>IF(BBDD_fashion_boutique[[#This Row],[is_returned]]="True",0,BBDD_fashion_boutique[[#This Row],[current_price]])</f>
        <v>77.040000000000006</v>
      </c>
      <c r="X1489" t="str">
        <f>IF(BBDD_fashion_boutique[[#This Row],[return_reason]]="","No return",BBDD_fashion_boutique[[#This Row],[return_reason]])</f>
        <v>No return</v>
      </c>
      <c r="Y1489">
        <f>IF(IFERROR(VLOOKUP(BBDD_fashion_boutique[[#This Row],[product_id]],A1490:A3665,1,FALSE),0),1,0)</f>
        <v>0</v>
      </c>
    </row>
    <row r="1490" spans="1:25" x14ac:dyDescent="0.3">
      <c r="A1490" t="s">
        <v>1549</v>
      </c>
      <c r="B1490" t="s">
        <v>35</v>
      </c>
      <c r="C1490" t="s">
        <v>20</v>
      </c>
      <c r="D1490" t="s">
        <v>28</v>
      </c>
      <c r="E1490" t="s">
        <v>45</v>
      </c>
      <c r="F1490" t="str">
        <f>IF(BBDD_fashion_boutique[[#This Row],[category]]="Accessories","Accesorio",IF(BBDD_fashion_boutique[[#This Row],[size]]="","Desconocido",BBDD_fashion_boutique[[#This Row],[size]]))</f>
        <v>S</v>
      </c>
      <c r="G1490" t="s">
        <v>40</v>
      </c>
      <c r="H1490" s="2">
        <v>158.29</v>
      </c>
      <c r="I1490">
        <v>0</v>
      </c>
      <c r="J1490" s="5">
        <f>BBDD_fashion_boutique[[#This Row],[markdown_percentage]]/100</f>
        <v>0</v>
      </c>
      <c r="K1490" s="2">
        <v>158.29</v>
      </c>
      <c r="L1490" s="2">
        <f>BBDD_fashion_boutique[[#This Row],[original_price]]-BBDD_fashion_boutique[[#This Row],[current_price]]</f>
        <v>0</v>
      </c>
      <c r="M1490" s="1">
        <v>45875</v>
      </c>
      <c r="N1490" s="1" t="str">
        <f>PROPER(TEXT(BBDD_fashion_boutique[[#This Row],[purchase_date]],"dddd"))</f>
        <v>Miércoles</v>
      </c>
      <c r="O1490" s="1" t="str">
        <f>PROPER(TEXT(BBDD_fashion_boutique[[#This Row],[purchase_date]],"mmmm"))</f>
        <v>Agosto</v>
      </c>
      <c r="P1490" s="4">
        <v>5</v>
      </c>
      <c r="Q1490" s="2">
        <v>1.6</v>
      </c>
      <c r="R1490" t="str">
        <f>IF(BBDD_fashion_boutique[[#This Row],[stock_quantity]]&gt;9,"Ok",IF(BBDD_fashion_boutique[[#This Row],[stock_quantity]]=0,"Agotado","Pocas Unidades"))</f>
        <v>Pocas Unidades</v>
      </c>
      <c r="S1490" s="3">
        <f>IF(BBDD_fashion_boutique[[#This Row],[customer_rating]]="","No valorado",BBDD_fashion_boutique[[#This Row],[customer_rating]])</f>
        <v>1.6</v>
      </c>
      <c r="T1490" t="s">
        <v>24</v>
      </c>
      <c r="V1490">
        <f>IF(BBDD_fashion_boutique[[#This Row],[is_returned]]="False",0,1)</f>
        <v>0</v>
      </c>
      <c r="W1490">
        <f>IF(BBDD_fashion_boutique[[#This Row],[is_returned]]="True",0,BBDD_fashion_boutique[[#This Row],[current_price]])</f>
        <v>158.29</v>
      </c>
      <c r="X1490" t="str">
        <f>IF(BBDD_fashion_boutique[[#This Row],[return_reason]]="","No return",BBDD_fashion_boutique[[#This Row],[return_reason]])</f>
        <v>No return</v>
      </c>
      <c r="Y1490">
        <f>IF(IFERROR(VLOOKUP(BBDD_fashion_boutique[[#This Row],[product_id]],A1491:A3666,1,FALSE),0),1,0)</f>
        <v>0</v>
      </c>
    </row>
    <row r="1491" spans="1:25" x14ac:dyDescent="0.3">
      <c r="A1491" t="s">
        <v>1550</v>
      </c>
      <c r="B1491" t="s">
        <v>26</v>
      </c>
      <c r="C1491" t="s">
        <v>59</v>
      </c>
      <c r="D1491" t="s">
        <v>28</v>
      </c>
      <c r="E1491" t="s">
        <v>29</v>
      </c>
      <c r="F1491" t="str">
        <f>IF(BBDD_fashion_boutique[[#This Row],[category]]="Accessories","Accesorio",IF(BBDD_fashion_boutique[[#This Row],[size]]="","Desconocido",BBDD_fashion_boutique[[#This Row],[size]]))</f>
        <v>L</v>
      </c>
      <c r="G1491" t="s">
        <v>40</v>
      </c>
      <c r="H1491" s="2">
        <v>69.33</v>
      </c>
      <c r="I1491">
        <v>0</v>
      </c>
      <c r="J1491" s="5">
        <f>BBDD_fashion_boutique[[#This Row],[markdown_percentage]]/100</f>
        <v>0</v>
      </c>
      <c r="K1491" s="2">
        <v>69.33</v>
      </c>
      <c r="L1491" s="2">
        <f>BBDD_fashion_boutique[[#This Row],[original_price]]-BBDD_fashion_boutique[[#This Row],[current_price]]</f>
        <v>0</v>
      </c>
      <c r="M1491" s="1">
        <v>45875</v>
      </c>
      <c r="N1491" s="1" t="str">
        <f>PROPER(TEXT(BBDD_fashion_boutique[[#This Row],[purchase_date]],"dddd"))</f>
        <v>Miércoles</v>
      </c>
      <c r="O1491" s="1" t="str">
        <f>PROPER(TEXT(BBDD_fashion_boutique[[#This Row],[purchase_date]],"mmmm"))</f>
        <v>Agosto</v>
      </c>
      <c r="P1491" s="4">
        <v>26</v>
      </c>
      <c r="Q1491" s="2">
        <v>4.9000000000000004</v>
      </c>
      <c r="R1491" t="str">
        <f>IF(BBDD_fashion_boutique[[#This Row],[stock_quantity]]&gt;9,"Ok",IF(BBDD_fashion_boutique[[#This Row],[stock_quantity]]=0,"Agotado","Pocas Unidades"))</f>
        <v>Ok</v>
      </c>
      <c r="S1491" s="3">
        <f>IF(BBDD_fashion_boutique[[#This Row],[customer_rating]]="","No valorado",BBDD_fashion_boutique[[#This Row],[customer_rating]])</f>
        <v>4.9000000000000004</v>
      </c>
      <c r="T1491" t="s">
        <v>24</v>
      </c>
      <c r="V1491">
        <f>IF(BBDD_fashion_boutique[[#This Row],[is_returned]]="False",0,1)</f>
        <v>0</v>
      </c>
      <c r="W1491">
        <f>IF(BBDD_fashion_boutique[[#This Row],[is_returned]]="True",0,BBDD_fashion_boutique[[#This Row],[current_price]])</f>
        <v>69.33</v>
      </c>
      <c r="X1491" t="str">
        <f>IF(BBDD_fashion_boutique[[#This Row],[return_reason]]="","No return",BBDD_fashion_boutique[[#This Row],[return_reason]])</f>
        <v>No return</v>
      </c>
      <c r="Y1491">
        <f>IF(IFERROR(VLOOKUP(BBDD_fashion_boutique[[#This Row],[product_id]],A1492:A3667,1,FALSE),0),1,0)</f>
        <v>0</v>
      </c>
    </row>
    <row r="1492" spans="1:25" x14ac:dyDescent="0.3">
      <c r="A1492" t="s">
        <v>1551</v>
      </c>
      <c r="B1492" t="s">
        <v>35</v>
      </c>
      <c r="C1492" t="s">
        <v>67</v>
      </c>
      <c r="D1492" t="s">
        <v>28</v>
      </c>
      <c r="E1492" t="s">
        <v>61</v>
      </c>
      <c r="F1492" t="str">
        <f>IF(BBDD_fashion_boutique[[#This Row],[category]]="Accessories","Accesorio",IF(BBDD_fashion_boutique[[#This Row],[size]]="","Desconocido",BBDD_fashion_boutique[[#This Row],[size]]))</f>
        <v>XS</v>
      </c>
      <c r="G1492" t="s">
        <v>76</v>
      </c>
      <c r="H1492" s="2">
        <v>86.89</v>
      </c>
      <c r="I1492">
        <v>19.5</v>
      </c>
      <c r="J1492" s="5">
        <f>BBDD_fashion_boutique[[#This Row],[markdown_percentage]]/100</f>
        <v>0.19500000000000001</v>
      </c>
      <c r="K1492" s="2">
        <v>69.95</v>
      </c>
      <c r="L1492" s="2">
        <f>BBDD_fashion_boutique[[#This Row],[original_price]]-BBDD_fashion_boutique[[#This Row],[current_price]]</f>
        <v>16.939999999999998</v>
      </c>
      <c r="M1492" s="1">
        <v>45875</v>
      </c>
      <c r="N1492" s="1" t="str">
        <f>PROPER(TEXT(BBDD_fashion_boutique[[#This Row],[purchase_date]],"dddd"))</f>
        <v>Miércoles</v>
      </c>
      <c r="O1492" s="1" t="str">
        <f>PROPER(TEXT(BBDD_fashion_boutique[[#This Row],[purchase_date]],"mmmm"))</f>
        <v>Agosto</v>
      </c>
      <c r="P1492" s="4">
        <v>49</v>
      </c>
      <c r="Q1492" s="2">
        <v>1.3</v>
      </c>
      <c r="R1492" t="str">
        <f>IF(BBDD_fashion_boutique[[#This Row],[stock_quantity]]&gt;9,"Ok",IF(BBDD_fashion_boutique[[#This Row],[stock_quantity]]=0,"Agotado","Pocas Unidades"))</f>
        <v>Ok</v>
      </c>
      <c r="S1492" s="3">
        <f>IF(BBDD_fashion_boutique[[#This Row],[customer_rating]]="","No valorado",BBDD_fashion_boutique[[#This Row],[customer_rating]])</f>
        <v>1.3</v>
      </c>
      <c r="T1492" t="s">
        <v>24</v>
      </c>
      <c r="V1492">
        <f>IF(BBDD_fashion_boutique[[#This Row],[is_returned]]="False",0,1)</f>
        <v>0</v>
      </c>
      <c r="W1492">
        <f>IF(BBDD_fashion_boutique[[#This Row],[is_returned]]="True",0,BBDD_fashion_boutique[[#This Row],[current_price]])</f>
        <v>69.95</v>
      </c>
      <c r="X1492" t="str">
        <f>IF(BBDD_fashion_boutique[[#This Row],[return_reason]]="","No return",BBDD_fashion_boutique[[#This Row],[return_reason]])</f>
        <v>No return</v>
      </c>
      <c r="Y1492">
        <f>IF(IFERROR(VLOOKUP(BBDD_fashion_boutique[[#This Row],[product_id]],A1493:A3668,1,FALSE),0),1,0)</f>
        <v>0</v>
      </c>
    </row>
    <row r="1493" spans="1:25" x14ac:dyDescent="0.3">
      <c r="A1493" t="s">
        <v>1552</v>
      </c>
      <c r="B1493" t="s">
        <v>19</v>
      </c>
      <c r="C1493" t="s">
        <v>27</v>
      </c>
      <c r="D1493" t="s">
        <v>39</v>
      </c>
      <c r="E1493" t="s">
        <v>29</v>
      </c>
      <c r="F1493" t="str">
        <f>IF(BBDD_fashion_boutique[[#This Row],[category]]="Accessories","Accesorio",IF(BBDD_fashion_boutique[[#This Row],[size]]="","Desconocido",BBDD_fashion_boutique[[#This Row],[size]]))</f>
        <v>L</v>
      </c>
      <c r="G1493" t="s">
        <v>52</v>
      </c>
      <c r="H1493" s="2">
        <v>162.75</v>
      </c>
      <c r="I1493">
        <v>0</v>
      </c>
      <c r="J1493" s="5">
        <f>BBDD_fashion_boutique[[#This Row],[markdown_percentage]]/100</f>
        <v>0</v>
      </c>
      <c r="K1493" s="2">
        <v>162.75</v>
      </c>
      <c r="L1493" s="2">
        <f>BBDD_fashion_boutique[[#This Row],[original_price]]-BBDD_fashion_boutique[[#This Row],[current_price]]</f>
        <v>0</v>
      </c>
      <c r="M1493" s="1">
        <v>45875</v>
      </c>
      <c r="N1493" s="1" t="str">
        <f>PROPER(TEXT(BBDD_fashion_boutique[[#This Row],[purchase_date]],"dddd"))</f>
        <v>Miércoles</v>
      </c>
      <c r="O1493" s="1" t="str">
        <f>PROPER(TEXT(BBDD_fashion_boutique[[#This Row],[purchase_date]],"mmmm"))</f>
        <v>Agosto</v>
      </c>
      <c r="P1493" s="4">
        <v>13</v>
      </c>
      <c r="Q1493" s="2">
        <v>4.8</v>
      </c>
      <c r="R1493" t="str">
        <f>IF(BBDD_fashion_boutique[[#This Row],[stock_quantity]]&gt;9,"Ok",IF(BBDD_fashion_boutique[[#This Row],[stock_quantity]]=0,"Agotado","Pocas Unidades"))</f>
        <v>Ok</v>
      </c>
      <c r="S1493" s="3">
        <f>IF(BBDD_fashion_boutique[[#This Row],[customer_rating]]="","No valorado",BBDD_fashion_boutique[[#This Row],[customer_rating]])</f>
        <v>4.8</v>
      </c>
      <c r="T1493" t="s">
        <v>24</v>
      </c>
      <c r="V1493">
        <f>IF(BBDD_fashion_boutique[[#This Row],[is_returned]]="False",0,1)</f>
        <v>0</v>
      </c>
      <c r="W1493">
        <f>IF(BBDD_fashion_boutique[[#This Row],[is_returned]]="True",0,BBDD_fashion_boutique[[#This Row],[current_price]])</f>
        <v>162.75</v>
      </c>
      <c r="X1493" t="str">
        <f>IF(BBDD_fashion_boutique[[#This Row],[return_reason]]="","No return",BBDD_fashion_boutique[[#This Row],[return_reason]])</f>
        <v>No return</v>
      </c>
      <c r="Y1493">
        <f>IF(IFERROR(VLOOKUP(BBDD_fashion_boutique[[#This Row],[product_id]],A1494:A3669,1,FALSE),0),1,0)</f>
        <v>0</v>
      </c>
    </row>
    <row r="1494" spans="1:25" x14ac:dyDescent="0.3">
      <c r="A1494" t="s">
        <v>1553</v>
      </c>
      <c r="B1494" t="s">
        <v>35</v>
      </c>
      <c r="C1494" t="s">
        <v>54</v>
      </c>
      <c r="D1494" t="s">
        <v>68</v>
      </c>
      <c r="E1494" t="s">
        <v>64</v>
      </c>
      <c r="F1494" t="str">
        <f>IF(BBDD_fashion_boutique[[#This Row],[category]]="Accessories","Accesorio",IF(BBDD_fashion_boutique[[#This Row],[size]]="","Desconocido",BBDD_fashion_boutique[[#This Row],[size]]))</f>
        <v>M</v>
      </c>
      <c r="G1494" t="s">
        <v>50</v>
      </c>
      <c r="H1494" s="2">
        <v>70.28</v>
      </c>
      <c r="I1494">
        <v>0</v>
      </c>
      <c r="J1494" s="5">
        <f>BBDD_fashion_boutique[[#This Row],[markdown_percentage]]/100</f>
        <v>0</v>
      </c>
      <c r="K1494" s="2">
        <v>70.28</v>
      </c>
      <c r="L1494" s="2">
        <f>BBDD_fashion_boutique[[#This Row],[original_price]]-BBDD_fashion_boutique[[#This Row],[current_price]]</f>
        <v>0</v>
      </c>
      <c r="M1494" s="1">
        <v>45875</v>
      </c>
      <c r="N1494" s="1" t="str">
        <f>PROPER(TEXT(BBDD_fashion_boutique[[#This Row],[purchase_date]],"dddd"))</f>
        <v>Miércoles</v>
      </c>
      <c r="O1494" s="1" t="str">
        <f>PROPER(TEXT(BBDD_fashion_boutique[[#This Row],[purchase_date]],"mmmm"))</f>
        <v>Agosto</v>
      </c>
      <c r="P1494" s="4">
        <v>27</v>
      </c>
      <c r="Q1494" s="2">
        <v>4.7</v>
      </c>
      <c r="R1494" t="str">
        <f>IF(BBDD_fashion_boutique[[#This Row],[stock_quantity]]&gt;9,"Ok",IF(BBDD_fashion_boutique[[#This Row],[stock_quantity]]=0,"Agotado","Pocas Unidades"))</f>
        <v>Ok</v>
      </c>
      <c r="S1494" s="3">
        <f>IF(BBDD_fashion_boutique[[#This Row],[customer_rating]]="","No valorado",BBDD_fashion_boutique[[#This Row],[customer_rating]])</f>
        <v>4.7</v>
      </c>
      <c r="T1494" t="s">
        <v>24</v>
      </c>
      <c r="V1494">
        <f>IF(BBDD_fashion_boutique[[#This Row],[is_returned]]="False",0,1)</f>
        <v>0</v>
      </c>
      <c r="W1494">
        <f>IF(BBDD_fashion_boutique[[#This Row],[is_returned]]="True",0,BBDD_fashion_boutique[[#This Row],[current_price]])</f>
        <v>70.28</v>
      </c>
      <c r="X1494" t="str">
        <f>IF(BBDD_fashion_boutique[[#This Row],[return_reason]]="","No return",BBDD_fashion_boutique[[#This Row],[return_reason]])</f>
        <v>No return</v>
      </c>
      <c r="Y1494">
        <f>IF(IFERROR(VLOOKUP(BBDD_fashion_boutique[[#This Row],[product_id]],A1495:A3670,1,FALSE),0),1,0)</f>
        <v>0</v>
      </c>
    </row>
    <row r="1495" spans="1:25" x14ac:dyDescent="0.3">
      <c r="A1495" t="s">
        <v>1554</v>
      </c>
      <c r="B1495" t="s">
        <v>44</v>
      </c>
      <c r="C1495" t="s">
        <v>49</v>
      </c>
      <c r="D1495" t="s">
        <v>21</v>
      </c>
      <c r="E1495" t="s">
        <v>45</v>
      </c>
      <c r="F1495" t="str">
        <f>IF(BBDD_fashion_boutique[[#This Row],[category]]="Accessories","Accesorio",IF(BBDD_fashion_boutique[[#This Row],[size]]="","Desconocido",BBDD_fashion_boutique[[#This Row],[size]]))</f>
        <v>S</v>
      </c>
      <c r="G1495" t="s">
        <v>40</v>
      </c>
      <c r="H1495" s="2">
        <v>111.91</v>
      </c>
      <c r="I1495">
        <v>0</v>
      </c>
      <c r="J1495" s="5">
        <f>BBDD_fashion_boutique[[#This Row],[markdown_percentage]]/100</f>
        <v>0</v>
      </c>
      <c r="K1495" s="2">
        <v>111.91</v>
      </c>
      <c r="L1495" s="2">
        <f>BBDD_fashion_boutique[[#This Row],[original_price]]-BBDD_fashion_boutique[[#This Row],[current_price]]</f>
        <v>0</v>
      </c>
      <c r="M1495" s="1">
        <v>45860</v>
      </c>
      <c r="N1495" s="1" t="str">
        <f>PROPER(TEXT(BBDD_fashion_boutique[[#This Row],[purchase_date]],"dddd"))</f>
        <v>Martes</v>
      </c>
      <c r="O1495" s="1" t="str">
        <f>PROPER(TEXT(BBDD_fashion_boutique[[#This Row],[purchase_date]],"mmmm"))</f>
        <v>Julio</v>
      </c>
      <c r="P1495" s="4">
        <v>28</v>
      </c>
      <c r="Q1495" s="2">
        <v>1.8</v>
      </c>
      <c r="R1495" t="str">
        <f>IF(BBDD_fashion_boutique[[#This Row],[stock_quantity]]&gt;9,"Ok",IF(BBDD_fashion_boutique[[#This Row],[stock_quantity]]=0,"Agotado","Pocas Unidades"))</f>
        <v>Ok</v>
      </c>
      <c r="S1495" s="3">
        <f>IF(BBDD_fashion_boutique[[#This Row],[customer_rating]]="","No valorado",BBDD_fashion_boutique[[#This Row],[customer_rating]])</f>
        <v>1.8</v>
      </c>
      <c r="T1495" t="s">
        <v>24</v>
      </c>
      <c r="V1495">
        <f>IF(BBDD_fashion_boutique[[#This Row],[is_returned]]="False",0,1)</f>
        <v>0</v>
      </c>
      <c r="W1495">
        <f>IF(BBDD_fashion_boutique[[#This Row],[is_returned]]="True",0,BBDD_fashion_boutique[[#This Row],[current_price]])</f>
        <v>111.91</v>
      </c>
      <c r="X1495" t="str">
        <f>IF(BBDD_fashion_boutique[[#This Row],[return_reason]]="","No return",BBDD_fashion_boutique[[#This Row],[return_reason]])</f>
        <v>No return</v>
      </c>
      <c r="Y1495">
        <f>IF(IFERROR(VLOOKUP(BBDD_fashion_boutique[[#This Row],[product_id]],A1496:A3671,1,FALSE),0),1,0)</f>
        <v>0</v>
      </c>
    </row>
    <row r="1496" spans="1:25" x14ac:dyDescent="0.3">
      <c r="A1496" t="s">
        <v>1555</v>
      </c>
      <c r="B1496" t="s">
        <v>19</v>
      </c>
      <c r="C1496" t="s">
        <v>59</v>
      </c>
      <c r="D1496" t="s">
        <v>39</v>
      </c>
      <c r="E1496" t="s">
        <v>45</v>
      </c>
      <c r="F1496" t="str">
        <f>IF(BBDD_fashion_boutique[[#This Row],[category]]="Accessories","Accesorio",IF(BBDD_fashion_boutique[[#This Row],[size]]="","Desconocido",BBDD_fashion_boutique[[#This Row],[size]]))</f>
        <v>S</v>
      </c>
      <c r="G1496" t="s">
        <v>72</v>
      </c>
      <c r="H1496" s="2">
        <v>143.76</v>
      </c>
      <c r="I1496">
        <v>0</v>
      </c>
      <c r="J1496" s="5">
        <f>BBDD_fashion_boutique[[#This Row],[markdown_percentage]]/100</f>
        <v>0</v>
      </c>
      <c r="K1496" s="2">
        <v>143.76</v>
      </c>
      <c r="L1496" s="2">
        <f>BBDD_fashion_boutique[[#This Row],[original_price]]-BBDD_fashion_boutique[[#This Row],[current_price]]</f>
        <v>0</v>
      </c>
      <c r="M1496" s="1">
        <v>45875</v>
      </c>
      <c r="N1496" s="1" t="str">
        <f>PROPER(TEXT(BBDD_fashion_boutique[[#This Row],[purchase_date]],"dddd"))</f>
        <v>Miércoles</v>
      </c>
      <c r="O1496" s="1" t="str">
        <f>PROPER(TEXT(BBDD_fashion_boutique[[#This Row],[purchase_date]],"mmmm"))</f>
        <v>Agosto</v>
      </c>
      <c r="P1496" s="4">
        <v>7</v>
      </c>
      <c r="Q1496" s="2">
        <v>2</v>
      </c>
      <c r="R1496" t="str">
        <f>IF(BBDD_fashion_boutique[[#This Row],[stock_quantity]]&gt;9,"Ok",IF(BBDD_fashion_boutique[[#This Row],[stock_quantity]]=0,"Agotado","Pocas Unidades"))</f>
        <v>Pocas Unidades</v>
      </c>
      <c r="S1496" s="3">
        <f>IF(BBDD_fashion_boutique[[#This Row],[customer_rating]]="","No valorado",BBDD_fashion_boutique[[#This Row],[customer_rating]])</f>
        <v>2</v>
      </c>
      <c r="T1496" t="s">
        <v>24</v>
      </c>
      <c r="V1496">
        <f>IF(BBDD_fashion_boutique[[#This Row],[is_returned]]="False",0,1)</f>
        <v>0</v>
      </c>
      <c r="W1496">
        <f>IF(BBDD_fashion_boutique[[#This Row],[is_returned]]="True",0,BBDD_fashion_boutique[[#This Row],[current_price]])</f>
        <v>143.76</v>
      </c>
      <c r="X1496" t="str">
        <f>IF(BBDD_fashion_boutique[[#This Row],[return_reason]]="","No return",BBDD_fashion_boutique[[#This Row],[return_reason]])</f>
        <v>No return</v>
      </c>
      <c r="Y1496">
        <f>IF(IFERROR(VLOOKUP(BBDD_fashion_boutique[[#This Row],[product_id]],A1497:A3672,1,FALSE),0),1,0)</f>
        <v>0</v>
      </c>
    </row>
    <row r="1497" spans="1:25" x14ac:dyDescent="0.3">
      <c r="A1497" t="s">
        <v>1556</v>
      </c>
      <c r="B1497" t="s">
        <v>48</v>
      </c>
      <c r="C1497" t="s">
        <v>54</v>
      </c>
      <c r="D1497" t="s">
        <v>68</v>
      </c>
      <c r="E1497" t="s">
        <v>45</v>
      </c>
      <c r="F1497" t="str">
        <f>IF(BBDD_fashion_boutique[[#This Row],[category]]="Accessories","Accesorio",IF(BBDD_fashion_boutique[[#This Row],[size]]="","Desconocido",BBDD_fashion_boutique[[#This Row],[size]]))</f>
        <v>S</v>
      </c>
      <c r="G1497" t="s">
        <v>72</v>
      </c>
      <c r="H1497" s="2">
        <v>169.89</v>
      </c>
      <c r="I1497">
        <v>0</v>
      </c>
      <c r="J1497" s="5">
        <f>BBDD_fashion_boutique[[#This Row],[markdown_percentage]]/100</f>
        <v>0</v>
      </c>
      <c r="K1497" s="2">
        <v>169.89</v>
      </c>
      <c r="L1497" s="2">
        <f>BBDD_fashion_boutique[[#This Row],[original_price]]-BBDD_fashion_boutique[[#This Row],[current_price]]</f>
        <v>0</v>
      </c>
      <c r="M1497" s="1">
        <v>45875</v>
      </c>
      <c r="N1497" s="1" t="str">
        <f>PROPER(TEXT(BBDD_fashion_boutique[[#This Row],[purchase_date]],"dddd"))</f>
        <v>Miércoles</v>
      </c>
      <c r="O1497" s="1" t="str">
        <f>PROPER(TEXT(BBDD_fashion_boutique[[#This Row],[purchase_date]],"mmmm"))</f>
        <v>Agosto</v>
      </c>
      <c r="P1497" s="4">
        <v>17</v>
      </c>
      <c r="Q1497" s="2">
        <v>1.3</v>
      </c>
      <c r="R1497" t="str">
        <f>IF(BBDD_fashion_boutique[[#This Row],[stock_quantity]]&gt;9,"Ok",IF(BBDD_fashion_boutique[[#This Row],[stock_quantity]]=0,"Agotado","Pocas Unidades"))</f>
        <v>Ok</v>
      </c>
      <c r="S1497" s="3">
        <f>IF(BBDD_fashion_boutique[[#This Row],[customer_rating]]="","No valorado",BBDD_fashion_boutique[[#This Row],[customer_rating]])</f>
        <v>1.3</v>
      </c>
      <c r="T1497" t="s">
        <v>24</v>
      </c>
      <c r="V1497">
        <f>IF(BBDD_fashion_boutique[[#This Row],[is_returned]]="False",0,1)</f>
        <v>0</v>
      </c>
      <c r="W1497">
        <f>IF(BBDD_fashion_boutique[[#This Row],[is_returned]]="True",0,BBDD_fashion_boutique[[#This Row],[current_price]])</f>
        <v>169.89</v>
      </c>
      <c r="X1497" t="str">
        <f>IF(BBDD_fashion_boutique[[#This Row],[return_reason]]="","No return",BBDD_fashion_boutique[[#This Row],[return_reason]])</f>
        <v>No return</v>
      </c>
      <c r="Y1497">
        <f>IF(IFERROR(VLOOKUP(BBDD_fashion_boutique[[#This Row],[product_id]],A1498:A3673,1,FALSE),0),1,0)</f>
        <v>0</v>
      </c>
    </row>
    <row r="1498" spans="1:25" x14ac:dyDescent="0.3">
      <c r="A1498" t="s">
        <v>1557</v>
      </c>
      <c r="B1498" t="s">
        <v>35</v>
      </c>
      <c r="C1498" t="s">
        <v>20</v>
      </c>
      <c r="D1498" t="s">
        <v>28</v>
      </c>
      <c r="E1498" t="s">
        <v>22</v>
      </c>
      <c r="F1498" t="str">
        <f>IF(BBDD_fashion_boutique[[#This Row],[category]]="Accessories","Accesorio",IF(BBDD_fashion_boutique[[#This Row],[size]]="","Desconocido",BBDD_fashion_boutique[[#This Row],[size]]))</f>
        <v>XL</v>
      </c>
      <c r="G1498" t="s">
        <v>40</v>
      </c>
      <c r="H1498" s="2">
        <v>72.290000000000006</v>
      </c>
      <c r="I1498">
        <v>0</v>
      </c>
      <c r="J1498" s="5">
        <f>BBDD_fashion_boutique[[#This Row],[markdown_percentage]]/100</f>
        <v>0</v>
      </c>
      <c r="K1498" s="2">
        <v>72.290000000000006</v>
      </c>
      <c r="L1498" s="2">
        <f>BBDD_fashion_boutique[[#This Row],[original_price]]-BBDD_fashion_boutique[[#This Row],[current_price]]</f>
        <v>0</v>
      </c>
      <c r="M1498" s="1">
        <v>45875</v>
      </c>
      <c r="N1498" s="1" t="str">
        <f>PROPER(TEXT(BBDD_fashion_boutique[[#This Row],[purchase_date]],"dddd"))</f>
        <v>Miércoles</v>
      </c>
      <c r="O1498" s="1" t="str">
        <f>PROPER(TEXT(BBDD_fashion_boutique[[#This Row],[purchase_date]],"mmmm"))</f>
        <v>Agosto</v>
      </c>
      <c r="P1498" s="4">
        <v>0</v>
      </c>
      <c r="R1498" t="str">
        <f>IF(BBDD_fashion_boutique[[#This Row],[stock_quantity]]&gt;9,"Ok",IF(BBDD_fashion_boutique[[#This Row],[stock_quantity]]=0,"Agotado","Pocas Unidades"))</f>
        <v>Agotado</v>
      </c>
      <c r="S1498" s="3" t="str">
        <f>IF(BBDD_fashion_boutique[[#This Row],[customer_rating]]="","No valorado",BBDD_fashion_boutique[[#This Row],[customer_rating]])</f>
        <v>No valorado</v>
      </c>
      <c r="T1498" t="s">
        <v>24</v>
      </c>
      <c r="V1498">
        <f>IF(BBDD_fashion_boutique[[#This Row],[is_returned]]="False",0,1)</f>
        <v>0</v>
      </c>
      <c r="W1498">
        <f>IF(BBDD_fashion_boutique[[#This Row],[is_returned]]="True",0,BBDD_fashion_boutique[[#This Row],[current_price]])</f>
        <v>72.290000000000006</v>
      </c>
      <c r="X1498" t="str">
        <f>IF(BBDD_fashion_boutique[[#This Row],[return_reason]]="","No return",BBDD_fashion_boutique[[#This Row],[return_reason]])</f>
        <v>No return</v>
      </c>
      <c r="Y1498">
        <f>IF(IFERROR(VLOOKUP(BBDD_fashion_boutique[[#This Row],[product_id]],A1499:A3674,1,FALSE),0),1,0)</f>
        <v>0</v>
      </c>
    </row>
    <row r="1499" spans="1:25" x14ac:dyDescent="0.3">
      <c r="A1499" t="s">
        <v>1558</v>
      </c>
      <c r="B1499" t="s">
        <v>19</v>
      </c>
      <c r="C1499" t="s">
        <v>81</v>
      </c>
      <c r="D1499" t="s">
        <v>28</v>
      </c>
      <c r="E1499" t="s">
        <v>61</v>
      </c>
      <c r="F1499" t="str">
        <f>IF(BBDD_fashion_boutique[[#This Row],[category]]="Accessories","Accesorio",IF(BBDD_fashion_boutique[[#This Row],[size]]="","Desconocido",BBDD_fashion_boutique[[#This Row],[size]]))</f>
        <v>XS</v>
      </c>
      <c r="G1499" t="s">
        <v>72</v>
      </c>
      <c r="H1499" s="2">
        <v>136.19999999999999</v>
      </c>
      <c r="I1499">
        <v>10.199999999999999</v>
      </c>
      <c r="J1499" s="5">
        <f>BBDD_fashion_boutique[[#This Row],[markdown_percentage]]/100</f>
        <v>0.10199999999999999</v>
      </c>
      <c r="K1499" s="2">
        <v>122.31</v>
      </c>
      <c r="L1499" s="2">
        <f>BBDD_fashion_boutique[[#This Row],[original_price]]-BBDD_fashion_boutique[[#This Row],[current_price]]</f>
        <v>13.889999999999986</v>
      </c>
      <c r="M1499" s="1">
        <v>45875</v>
      </c>
      <c r="N1499" s="1" t="str">
        <f>PROPER(TEXT(BBDD_fashion_boutique[[#This Row],[purchase_date]],"dddd"))</f>
        <v>Miércoles</v>
      </c>
      <c r="O1499" s="1" t="str">
        <f>PROPER(TEXT(BBDD_fashion_boutique[[#This Row],[purchase_date]],"mmmm"))</f>
        <v>Agosto</v>
      </c>
      <c r="P1499" s="4">
        <v>10</v>
      </c>
      <c r="Q1499" s="2">
        <v>3.6</v>
      </c>
      <c r="R1499" t="str">
        <f>IF(BBDD_fashion_boutique[[#This Row],[stock_quantity]]&gt;9,"Ok",IF(BBDD_fashion_boutique[[#This Row],[stock_quantity]]=0,"Agotado","Pocas Unidades"))</f>
        <v>Ok</v>
      </c>
      <c r="S1499" s="3">
        <f>IF(BBDD_fashion_boutique[[#This Row],[customer_rating]]="","No valorado",BBDD_fashion_boutique[[#This Row],[customer_rating]])</f>
        <v>3.6</v>
      </c>
      <c r="T1499" t="s">
        <v>24</v>
      </c>
      <c r="V1499">
        <f>IF(BBDD_fashion_boutique[[#This Row],[is_returned]]="False",0,1)</f>
        <v>0</v>
      </c>
      <c r="W1499">
        <f>IF(BBDD_fashion_boutique[[#This Row],[is_returned]]="True",0,BBDD_fashion_boutique[[#This Row],[current_price]])</f>
        <v>122.31</v>
      </c>
      <c r="X1499" t="str">
        <f>IF(BBDD_fashion_boutique[[#This Row],[return_reason]]="","No return",BBDD_fashion_boutique[[#This Row],[return_reason]])</f>
        <v>No return</v>
      </c>
      <c r="Y1499">
        <f>IF(IFERROR(VLOOKUP(BBDD_fashion_boutique[[#This Row],[product_id]],A1500:A3675,1,FALSE),0),1,0)</f>
        <v>0</v>
      </c>
    </row>
    <row r="1500" spans="1:25" x14ac:dyDescent="0.3">
      <c r="A1500" t="s">
        <v>1559</v>
      </c>
      <c r="B1500" t="s">
        <v>26</v>
      </c>
      <c r="C1500" t="s">
        <v>81</v>
      </c>
      <c r="D1500" t="s">
        <v>68</v>
      </c>
      <c r="E1500" t="s">
        <v>45</v>
      </c>
      <c r="F1500" t="str">
        <f>IF(BBDD_fashion_boutique[[#This Row],[category]]="Accessories","Accesorio",IF(BBDD_fashion_boutique[[#This Row],[size]]="","Desconocido",BBDD_fashion_boutique[[#This Row],[size]]))</f>
        <v>S</v>
      </c>
      <c r="G1500" t="s">
        <v>23</v>
      </c>
      <c r="H1500" s="2">
        <v>92.5</v>
      </c>
      <c r="I1500">
        <v>0</v>
      </c>
      <c r="J1500" s="5">
        <f>BBDD_fashion_boutique[[#This Row],[markdown_percentage]]/100</f>
        <v>0</v>
      </c>
      <c r="K1500" s="2">
        <v>92.5</v>
      </c>
      <c r="L1500" s="2">
        <f>BBDD_fashion_boutique[[#This Row],[original_price]]-BBDD_fashion_boutique[[#This Row],[current_price]]</f>
        <v>0</v>
      </c>
      <c r="M1500" s="1">
        <v>45875</v>
      </c>
      <c r="N1500" s="1" t="str">
        <f>PROPER(TEXT(BBDD_fashion_boutique[[#This Row],[purchase_date]],"dddd"))</f>
        <v>Miércoles</v>
      </c>
      <c r="O1500" s="1" t="str">
        <f>PROPER(TEXT(BBDD_fashion_boutique[[#This Row],[purchase_date]],"mmmm"))</f>
        <v>Agosto</v>
      </c>
      <c r="P1500" s="4">
        <v>15</v>
      </c>
      <c r="Q1500" s="2">
        <v>2.7</v>
      </c>
      <c r="R1500" t="str">
        <f>IF(BBDD_fashion_boutique[[#This Row],[stock_quantity]]&gt;9,"Ok",IF(BBDD_fashion_boutique[[#This Row],[stock_quantity]]=0,"Agotado","Pocas Unidades"))</f>
        <v>Ok</v>
      </c>
      <c r="S1500" s="3">
        <f>IF(BBDD_fashion_boutique[[#This Row],[customer_rating]]="","No valorado",BBDD_fashion_boutique[[#This Row],[customer_rating]])</f>
        <v>2.7</v>
      </c>
      <c r="T1500" t="s">
        <v>24</v>
      </c>
      <c r="V1500">
        <f>IF(BBDD_fashion_boutique[[#This Row],[is_returned]]="False",0,1)</f>
        <v>0</v>
      </c>
      <c r="W1500">
        <f>IF(BBDD_fashion_boutique[[#This Row],[is_returned]]="True",0,BBDD_fashion_boutique[[#This Row],[current_price]])</f>
        <v>92.5</v>
      </c>
      <c r="X1500" t="str">
        <f>IF(BBDD_fashion_boutique[[#This Row],[return_reason]]="","No return",BBDD_fashion_boutique[[#This Row],[return_reason]])</f>
        <v>No return</v>
      </c>
      <c r="Y1500">
        <f>IF(IFERROR(VLOOKUP(BBDD_fashion_boutique[[#This Row],[product_id]],A1501:A3676,1,FALSE),0),1,0)</f>
        <v>0</v>
      </c>
    </row>
    <row r="1501" spans="1:25" x14ac:dyDescent="0.3">
      <c r="A1501" t="s">
        <v>1560</v>
      </c>
      <c r="B1501" t="s">
        <v>35</v>
      </c>
      <c r="C1501" t="s">
        <v>37</v>
      </c>
      <c r="D1501" t="s">
        <v>28</v>
      </c>
      <c r="E1501" t="s">
        <v>29</v>
      </c>
      <c r="F1501" t="str">
        <f>IF(BBDD_fashion_boutique[[#This Row],[category]]="Accessories","Accesorio",IF(BBDD_fashion_boutique[[#This Row],[size]]="","Desconocido",BBDD_fashion_boutique[[#This Row],[size]]))</f>
        <v>L</v>
      </c>
      <c r="G1501" t="s">
        <v>72</v>
      </c>
      <c r="H1501" s="2">
        <v>89.5</v>
      </c>
      <c r="I1501">
        <v>0</v>
      </c>
      <c r="J1501" s="5">
        <f>BBDD_fashion_boutique[[#This Row],[markdown_percentage]]/100</f>
        <v>0</v>
      </c>
      <c r="K1501" s="2">
        <v>89.5</v>
      </c>
      <c r="L1501" s="2">
        <f>BBDD_fashion_boutique[[#This Row],[original_price]]-BBDD_fashion_boutique[[#This Row],[current_price]]</f>
        <v>0</v>
      </c>
      <c r="M1501" s="1">
        <v>45875</v>
      </c>
      <c r="N1501" s="1" t="str">
        <f>PROPER(TEXT(BBDD_fashion_boutique[[#This Row],[purchase_date]],"dddd"))</f>
        <v>Miércoles</v>
      </c>
      <c r="O1501" s="1" t="str">
        <f>PROPER(TEXT(BBDD_fashion_boutique[[#This Row],[purchase_date]],"mmmm"))</f>
        <v>Agosto</v>
      </c>
      <c r="P1501" s="4">
        <v>5</v>
      </c>
      <c r="Q1501" s="2">
        <v>4.5</v>
      </c>
      <c r="R1501" t="str">
        <f>IF(BBDD_fashion_boutique[[#This Row],[stock_quantity]]&gt;9,"Ok",IF(BBDD_fashion_boutique[[#This Row],[stock_quantity]]=0,"Agotado","Pocas Unidades"))</f>
        <v>Pocas Unidades</v>
      </c>
      <c r="S1501" s="3">
        <f>IF(BBDD_fashion_boutique[[#This Row],[customer_rating]]="","No valorado",BBDD_fashion_boutique[[#This Row],[customer_rating]])</f>
        <v>4.5</v>
      </c>
      <c r="T1501" t="s">
        <v>24</v>
      </c>
      <c r="V1501">
        <f>IF(BBDD_fashion_boutique[[#This Row],[is_returned]]="False",0,1)</f>
        <v>0</v>
      </c>
      <c r="W1501">
        <f>IF(BBDD_fashion_boutique[[#This Row],[is_returned]]="True",0,BBDD_fashion_boutique[[#This Row],[current_price]])</f>
        <v>89.5</v>
      </c>
      <c r="X1501" t="str">
        <f>IF(BBDD_fashion_boutique[[#This Row],[return_reason]]="","No return",BBDD_fashion_boutique[[#This Row],[return_reason]])</f>
        <v>No return</v>
      </c>
      <c r="Y1501">
        <f>IF(IFERROR(VLOOKUP(BBDD_fashion_boutique[[#This Row],[product_id]],A1502:A3677,1,FALSE),0),1,0)</f>
        <v>0</v>
      </c>
    </row>
    <row r="1502" spans="1:25" x14ac:dyDescent="0.3">
      <c r="A1502" t="s">
        <v>1561</v>
      </c>
      <c r="B1502" t="s">
        <v>19</v>
      </c>
      <c r="C1502" t="s">
        <v>54</v>
      </c>
      <c r="D1502" t="s">
        <v>21</v>
      </c>
      <c r="E1502" t="s">
        <v>29</v>
      </c>
      <c r="F1502" t="str">
        <f>IF(BBDD_fashion_boutique[[#This Row],[category]]="Accessories","Accesorio",IF(BBDD_fashion_boutique[[#This Row],[size]]="","Desconocido",BBDD_fashion_boutique[[#This Row],[size]]))</f>
        <v>L</v>
      </c>
      <c r="G1502" t="s">
        <v>62</v>
      </c>
      <c r="H1502" s="2">
        <v>161.51</v>
      </c>
      <c r="I1502">
        <v>0</v>
      </c>
      <c r="J1502" s="5">
        <f>BBDD_fashion_boutique[[#This Row],[markdown_percentage]]/100</f>
        <v>0</v>
      </c>
      <c r="K1502" s="2">
        <v>161.51</v>
      </c>
      <c r="L1502" s="2">
        <f>BBDD_fashion_boutique[[#This Row],[original_price]]-BBDD_fashion_boutique[[#This Row],[current_price]]</f>
        <v>0</v>
      </c>
      <c r="M1502" s="1">
        <v>45598</v>
      </c>
      <c r="N1502" s="1" t="str">
        <f>PROPER(TEXT(BBDD_fashion_boutique[[#This Row],[purchase_date]],"dddd"))</f>
        <v>Sábado</v>
      </c>
      <c r="O1502" s="1" t="str">
        <f>PROPER(TEXT(BBDD_fashion_boutique[[#This Row],[purchase_date]],"mmmm"))</f>
        <v>Noviembre</v>
      </c>
      <c r="P1502" s="4">
        <v>22</v>
      </c>
      <c r="Q1502" s="2">
        <v>4.7</v>
      </c>
      <c r="R1502" t="str">
        <f>IF(BBDD_fashion_boutique[[#This Row],[stock_quantity]]&gt;9,"Ok",IF(BBDD_fashion_boutique[[#This Row],[stock_quantity]]=0,"Agotado","Pocas Unidades"))</f>
        <v>Ok</v>
      </c>
      <c r="S1502" s="3">
        <f>IF(BBDD_fashion_boutique[[#This Row],[customer_rating]]="","No valorado",BBDD_fashion_boutique[[#This Row],[customer_rating]])</f>
        <v>4.7</v>
      </c>
      <c r="T1502" t="s">
        <v>24</v>
      </c>
      <c r="V1502">
        <f>IF(BBDD_fashion_boutique[[#This Row],[is_returned]]="False",0,1)</f>
        <v>0</v>
      </c>
      <c r="W1502">
        <f>IF(BBDD_fashion_boutique[[#This Row],[is_returned]]="True",0,BBDD_fashion_boutique[[#This Row],[current_price]])</f>
        <v>161.51</v>
      </c>
      <c r="X1502" t="str">
        <f>IF(BBDD_fashion_boutique[[#This Row],[return_reason]]="","No return",BBDD_fashion_boutique[[#This Row],[return_reason]])</f>
        <v>No return</v>
      </c>
      <c r="Y1502">
        <f>IF(IFERROR(VLOOKUP(BBDD_fashion_boutique[[#This Row],[product_id]],A1503:A3678,1,FALSE),0),1,0)</f>
        <v>0</v>
      </c>
    </row>
    <row r="1503" spans="1:25" x14ac:dyDescent="0.3">
      <c r="A1503" t="s">
        <v>1562</v>
      </c>
      <c r="B1503" t="s">
        <v>32</v>
      </c>
      <c r="C1503" t="s">
        <v>20</v>
      </c>
      <c r="D1503" t="s">
        <v>28</v>
      </c>
      <c r="F1503" t="str">
        <f>IF(BBDD_fashion_boutique[[#This Row],[category]]="Accessories","Accesorio",IF(BBDD_fashion_boutique[[#This Row],[size]]="","Desconocido",BBDD_fashion_boutique[[#This Row],[size]]))</f>
        <v>Accesorio</v>
      </c>
      <c r="G1503" t="s">
        <v>76</v>
      </c>
      <c r="H1503" s="2">
        <v>38.119999999999997</v>
      </c>
      <c r="I1503">
        <v>0</v>
      </c>
      <c r="J1503" s="5">
        <f>BBDD_fashion_boutique[[#This Row],[markdown_percentage]]/100</f>
        <v>0</v>
      </c>
      <c r="K1503" s="2">
        <v>38.119999999999997</v>
      </c>
      <c r="L1503" s="2">
        <f>BBDD_fashion_boutique[[#This Row],[original_price]]-BBDD_fashion_boutique[[#This Row],[current_price]]</f>
        <v>0</v>
      </c>
      <c r="M1503" s="1">
        <v>45875</v>
      </c>
      <c r="N1503" s="1" t="str">
        <f>PROPER(TEXT(BBDD_fashion_boutique[[#This Row],[purchase_date]],"dddd"))</f>
        <v>Miércoles</v>
      </c>
      <c r="O1503" s="1" t="str">
        <f>PROPER(TEXT(BBDD_fashion_boutique[[#This Row],[purchase_date]],"mmmm"))</f>
        <v>Agosto</v>
      </c>
      <c r="P1503" s="4">
        <v>18</v>
      </c>
      <c r="Q1503" s="2">
        <v>4.4000000000000004</v>
      </c>
      <c r="R1503" t="str">
        <f>IF(BBDD_fashion_boutique[[#This Row],[stock_quantity]]&gt;9,"Ok",IF(BBDD_fashion_boutique[[#This Row],[stock_quantity]]=0,"Agotado","Pocas Unidades"))</f>
        <v>Ok</v>
      </c>
      <c r="S1503" s="3">
        <f>IF(BBDD_fashion_boutique[[#This Row],[customer_rating]]="","No valorado",BBDD_fashion_boutique[[#This Row],[customer_rating]])</f>
        <v>4.4000000000000004</v>
      </c>
      <c r="T1503" t="s">
        <v>41</v>
      </c>
      <c r="U1503" t="s">
        <v>84</v>
      </c>
      <c r="V1503">
        <f>IF(BBDD_fashion_boutique[[#This Row],[is_returned]]="False",0,1)</f>
        <v>1</v>
      </c>
      <c r="W1503">
        <f>IF(BBDD_fashion_boutique[[#This Row],[is_returned]]="True",0,BBDD_fashion_boutique[[#This Row],[current_price]])</f>
        <v>0</v>
      </c>
      <c r="X1503" t="str">
        <f>IF(BBDD_fashion_boutique[[#This Row],[return_reason]]="","No return",BBDD_fashion_boutique[[#This Row],[return_reason]])</f>
        <v>Damaged</v>
      </c>
      <c r="Y1503">
        <f>IF(IFERROR(VLOOKUP(BBDD_fashion_boutique[[#This Row],[product_id]],A1504:A3679,1,FALSE),0),1,0)</f>
        <v>0</v>
      </c>
    </row>
    <row r="1504" spans="1:25" x14ac:dyDescent="0.3">
      <c r="A1504" t="s">
        <v>1563</v>
      </c>
      <c r="B1504" t="s">
        <v>48</v>
      </c>
      <c r="C1504" t="s">
        <v>54</v>
      </c>
      <c r="D1504" t="s">
        <v>68</v>
      </c>
      <c r="E1504" t="s">
        <v>61</v>
      </c>
      <c r="F1504" t="str">
        <f>IF(BBDD_fashion_boutique[[#This Row],[category]]="Accessories","Accesorio",IF(BBDD_fashion_boutique[[#This Row],[size]]="","Desconocido",BBDD_fashion_boutique[[#This Row],[size]]))</f>
        <v>XS</v>
      </c>
      <c r="G1504" t="s">
        <v>72</v>
      </c>
      <c r="H1504" s="2">
        <v>100.08</v>
      </c>
      <c r="I1504">
        <v>0</v>
      </c>
      <c r="J1504" s="5">
        <f>BBDD_fashion_boutique[[#This Row],[markdown_percentage]]/100</f>
        <v>0</v>
      </c>
      <c r="K1504" s="2">
        <v>100.08</v>
      </c>
      <c r="L1504" s="2">
        <f>BBDD_fashion_boutique[[#This Row],[original_price]]-BBDD_fashion_boutique[[#This Row],[current_price]]</f>
        <v>0</v>
      </c>
      <c r="M1504" s="1">
        <v>45875</v>
      </c>
      <c r="N1504" s="1" t="str">
        <f>PROPER(TEXT(BBDD_fashion_boutique[[#This Row],[purchase_date]],"dddd"))</f>
        <v>Miércoles</v>
      </c>
      <c r="O1504" s="1" t="str">
        <f>PROPER(TEXT(BBDD_fashion_boutique[[#This Row],[purchase_date]],"mmmm"))</f>
        <v>Agosto</v>
      </c>
      <c r="P1504" s="4">
        <v>23</v>
      </c>
      <c r="Q1504" s="2">
        <v>4.8</v>
      </c>
      <c r="R1504" t="str">
        <f>IF(BBDD_fashion_boutique[[#This Row],[stock_quantity]]&gt;9,"Ok",IF(BBDD_fashion_boutique[[#This Row],[stock_quantity]]=0,"Agotado","Pocas Unidades"))</f>
        <v>Ok</v>
      </c>
      <c r="S1504" s="3">
        <f>IF(BBDD_fashion_boutique[[#This Row],[customer_rating]]="","No valorado",BBDD_fashion_boutique[[#This Row],[customer_rating]])</f>
        <v>4.8</v>
      </c>
      <c r="T1504" t="s">
        <v>24</v>
      </c>
      <c r="V1504">
        <f>IF(BBDD_fashion_boutique[[#This Row],[is_returned]]="False",0,1)</f>
        <v>0</v>
      </c>
      <c r="W1504">
        <f>IF(BBDD_fashion_boutique[[#This Row],[is_returned]]="True",0,BBDD_fashion_boutique[[#This Row],[current_price]])</f>
        <v>100.08</v>
      </c>
      <c r="X1504" t="str">
        <f>IF(BBDD_fashion_boutique[[#This Row],[return_reason]]="","No return",BBDD_fashion_boutique[[#This Row],[return_reason]])</f>
        <v>No return</v>
      </c>
      <c r="Y1504">
        <f>IF(IFERROR(VLOOKUP(BBDD_fashion_boutique[[#This Row],[product_id]],A1505:A3680,1,FALSE),0),1,0)</f>
        <v>0</v>
      </c>
    </row>
    <row r="1505" spans="1:25" x14ac:dyDescent="0.3">
      <c r="A1505" t="s">
        <v>1564</v>
      </c>
      <c r="B1505" t="s">
        <v>48</v>
      </c>
      <c r="C1505" t="s">
        <v>27</v>
      </c>
      <c r="D1505" t="s">
        <v>39</v>
      </c>
      <c r="E1505" t="s">
        <v>29</v>
      </c>
      <c r="F1505" t="str">
        <f>IF(BBDD_fashion_boutique[[#This Row],[category]]="Accessories","Accesorio",IF(BBDD_fashion_boutique[[#This Row],[size]]="","Desconocido",BBDD_fashion_boutique[[#This Row],[size]]))</f>
        <v>L</v>
      </c>
      <c r="G1505" t="s">
        <v>40</v>
      </c>
      <c r="H1505" s="2">
        <v>161.79</v>
      </c>
      <c r="I1505">
        <v>0</v>
      </c>
      <c r="J1505" s="5">
        <f>BBDD_fashion_boutique[[#This Row],[markdown_percentage]]/100</f>
        <v>0</v>
      </c>
      <c r="K1505" s="2">
        <v>161.79</v>
      </c>
      <c r="L1505" s="2">
        <f>BBDD_fashion_boutique[[#This Row],[original_price]]-BBDD_fashion_boutique[[#This Row],[current_price]]</f>
        <v>0</v>
      </c>
      <c r="M1505" s="1">
        <v>45875</v>
      </c>
      <c r="N1505" s="1" t="str">
        <f>PROPER(TEXT(BBDD_fashion_boutique[[#This Row],[purchase_date]],"dddd"))</f>
        <v>Miércoles</v>
      </c>
      <c r="O1505" s="1" t="str">
        <f>PROPER(TEXT(BBDD_fashion_boutique[[#This Row],[purchase_date]],"mmmm"))</f>
        <v>Agosto</v>
      </c>
      <c r="P1505" s="4">
        <v>44</v>
      </c>
      <c r="Q1505" s="2">
        <v>3.9</v>
      </c>
      <c r="R1505" t="str">
        <f>IF(BBDD_fashion_boutique[[#This Row],[stock_quantity]]&gt;9,"Ok",IF(BBDD_fashion_boutique[[#This Row],[stock_quantity]]=0,"Agotado","Pocas Unidades"))</f>
        <v>Ok</v>
      </c>
      <c r="S1505" s="3">
        <f>IF(BBDD_fashion_boutique[[#This Row],[customer_rating]]="","No valorado",BBDD_fashion_boutique[[#This Row],[customer_rating]])</f>
        <v>3.9</v>
      </c>
      <c r="T1505" t="s">
        <v>24</v>
      </c>
      <c r="V1505">
        <f>IF(BBDD_fashion_boutique[[#This Row],[is_returned]]="False",0,1)</f>
        <v>0</v>
      </c>
      <c r="W1505">
        <f>IF(BBDD_fashion_boutique[[#This Row],[is_returned]]="True",0,BBDD_fashion_boutique[[#This Row],[current_price]])</f>
        <v>161.79</v>
      </c>
      <c r="X1505" t="str">
        <f>IF(BBDD_fashion_boutique[[#This Row],[return_reason]]="","No return",BBDD_fashion_boutique[[#This Row],[return_reason]])</f>
        <v>No return</v>
      </c>
      <c r="Y1505">
        <f>IF(IFERROR(VLOOKUP(BBDD_fashion_boutique[[#This Row],[product_id]],A1506:A3681,1,FALSE),0),1,0)</f>
        <v>0</v>
      </c>
    </row>
    <row r="1506" spans="1:25" x14ac:dyDescent="0.3">
      <c r="A1506" t="s">
        <v>1565</v>
      </c>
      <c r="B1506" t="s">
        <v>44</v>
      </c>
      <c r="C1506" t="s">
        <v>59</v>
      </c>
      <c r="D1506" t="s">
        <v>39</v>
      </c>
      <c r="E1506" t="s">
        <v>22</v>
      </c>
      <c r="F1506" t="str">
        <f>IF(BBDD_fashion_boutique[[#This Row],[category]]="Accessories","Accesorio",IF(BBDD_fashion_boutique[[#This Row],[size]]="","Desconocido",BBDD_fashion_boutique[[#This Row],[size]]))</f>
        <v>XL</v>
      </c>
      <c r="G1506" t="s">
        <v>33</v>
      </c>
      <c r="H1506" s="2">
        <v>46.42</v>
      </c>
      <c r="I1506">
        <v>0</v>
      </c>
      <c r="J1506" s="5">
        <f>BBDD_fashion_boutique[[#This Row],[markdown_percentage]]/100</f>
        <v>0</v>
      </c>
      <c r="K1506" s="2">
        <v>46.42</v>
      </c>
      <c r="L1506" s="2">
        <f>BBDD_fashion_boutique[[#This Row],[original_price]]-BBDD_fashion_boutique[[#This Row],[current_price]]</f>
        <v>0</v>
      </c>
      <c r="M1506" s="1">
        <v>45875</v>
      </c>
      <c r="N1506" s="1" t="str">
        <f>PROPER(TEXT(BBDD_fashion_boutique[[#This Row],[purchase_date]],"dddd"))</f>
        <v>Miércoles</v>
      </c>
      <c r="O1506" s="1" t="str">
        <f>PROPER(TEXT(BBDD_fashion_boutique[[#This Row],[purchase_date]],"mmmm"))</f>
        <v>Agosto</v>
      </c>
      <c r="P1506" s="4">
        <v>2</v>
      </c>
      <c r="Q1506" s="2">
        <v>3.7</v>
      </c>
      <c r="R1506" t="str">
        <f>IF(BBDD_fashion_boutique[[#This Row],[stock_quantity]]&gt;9,"Ok",IF(BBDD_fashion_boutique[[#This Row],[stock_quantity]]=0,"Agotado","Pocas Unidades"))</f>
        <v>Pocas Unidades</v>
      </c>
      <c r="S1506" s="3">
        <f>IF(BBDD_fashion_boutique[[#This Row],[customer_rating]]="","No valorado",BBDD_fashion_boutique[[#This Row],[customer_rating]])</f>
        <v>3.7</v>
      </c>
      <c r="T1506" t="s">
        <v>41</v>
      </c>
      <c r="U1506" t="s">
        <v>121</v>
      </c>
      <c r="V1506">
        <f>IF(BBDD_fashion_boutique[[#This Row],[is_returned]]="False",0,1)</f>
        <v>1</v>
      </c>
      <c r="W1506">
        <f>IF(BBDD_fashion_boutique[[#This Row],[is_returned]]="True",0,BBDD_fashion_boutique[[#This Row],[current_price]])</f>
        <v>0</v>
      </c>
      <c r="X1506" t="str">
        <f>IF(BBDD_fashion_boutique[[#This Row],[return_reason]]="","No return",BBDD_fashion_boutique[[#This Row],[return_reason]])</f>
        <v>Changed Mind</v>
      </c>
      <c r="Y1506">
        <f>IF(IFERROR(VLOOKUP(BBDD_fashion_boutique[[#This Row],[product_id]],A1507:A3682,1,FALSE),0),1,0)</f>
        <v>0</v>
      </c>
    </row>
    <row r="1507" spans="1:25" x14ac:dyDescent="0.3">
      <c r="A1507" t="s">
        <v>1566</v>
      </c>
      <c r="B1507" t="s">
        <v>35</v>
      </c>
      <c r="C1507" t="s">
        <v>27</v>
      </c>
      <c r="D1507" t="s">
        <v>21</v>
      </c>
      <c r="E1507" t="s">
        <v>29</v>
      </c>
      <c r="F1507" t="str">
        <f>IF(BBDD_fashion_boutique[[#This Row],[category]]="Accessories","Accesorio",IF(BBDD_fashion_boutique[[#This Row],[size]]="","Desconocido",BBDD_fashion_boutique[[#This Row],[size]]))</f>
        <v>L</v>
      </c>
      <c r="G1507" t="s">
        <v>76</v>
      </c>
      <c r="H1507" s="2">
        <v>199.33</v>
      </c>
      <c r="I1507">
        <v>44.3</v>
      </c>
      <c r="J1507" s="5">
        <f>BBDD_fashion_boutique[[#This Row],[markdown_percentage]]/100</f>
        <v>0.44299999999999995</v>
      </c>
      <c r="K1507" s="2">
        <v>111.03</v>
      </c>
      <c r="L1507" s="2">
        <f>BBDD_fashion_boutique[[#This Row],[original_price]]-BBDD_fashion_boutique[[#This Row],[current_price]]</f>
        <v>88.300000000000011</v>
      </c>
      <c r="M1507" s="1">
        <v>45616</v>
      </c>
      <c r="N1507" s="1" t="str">
        <f>PROPER(TEXT(BBDD_fashion_boutique[[#This Row],[purchase_date]],"dddd"))</f>
        <v>Miércoles</v>
      </c>
      <c r="O1507" s="1" t="str">
        <f>PROPER(TEXT(BBDD_fashion_boutique[[#This Row],[purchase_date]],"mmmm"))</f>
        <v>Noviembre</v>
      </c>
      <c r="P1507" s="4">
        <v>19</v>
      </c>
      <c r="Q1507" s="2">
        <v>1.8</v>
      </c>
      <c r="R1507" t="str">
        <f>IF(BBDD_fashion_boutique[[#This Row],[stock_quantity]]&gt;9,"Ok",IF(BBDD_fashion_boutique[[#This Row],[stock_quantity]]=0,"Agotado","Pocas Unidades"))</f>
        <v>Ok</v>
      </c>
      <c r="S1507" s="3">
        <f>IF(BBDD_fashion_boutique[[#This Row],[customer_rating]]="","No valorado",BBDD_fashion_boutique[[#This Row],[customer_rating]])</f>
        <v>1.8</v>
      </c>
      <c r="T1507" t="s">
        <v>24</v>
      </c>
      <c r="V1507">
        <f>IF(BBDD_fashion_boutique[[#This Row],[is_returned]]="False",0,1)</f>
        <v>0</v>
      </c>
      <c r="W1507">
        <f>IF(BBDD_fashion_boutique[[#This Row],[is_returned]]="True",0,BBDD_fashion_boutique[[#This Row],[current_price]])</f>
        <v>111.03</v>
      </c>
      <c r="X1507" t="str">
        <f>IF(BBDD_fashion_boutique[[#This Row],[return_reason]]="","No return",BBDD_fashion_boutique[[#This Row],[return_reason]])</f>
        <v>No return</v>
      </c>
      <c r="Y1507">
        <f>IF(IFERROR(VLOOKUP(BBDD_fashion_boutique[[#This Row],[product_id]],A1508:A3683,1,FALSE),0),1,0)</f>
        <v>0</v>
      </c>
    </row>
    <row r="1508" spans="1:25" x14ac:dyDescent="0.3">
      <c r="A1508" t="s">
        <v>1567</v>
      </c>
      <c r="B1508" t="s">
        <v>44</v>
      </c>
      <c r="C1508" t="s">
        <v>81</v>
      </c>
      <c r="D1508" t="s">
        <v>68</v>
      </c>
      <c r="E1508" t="s">
        <v>55</v>
      </c>
      <c r="F1508" t="str">
        <f>IF(BBDD_fashion_boutique[[#This Row],[category]]="Accessories","Accesorio",IF(BBDD_fashion_boutique[[#This Row],[size]]="","Desconocido",BBDD_fashion_boutique[[#This Row],[size]]))</f>
        <v>XXL</v>
      </c>
      <c r="G1508" t="s">
        <v>33</v>
      </c>
      <c r="H1508" s="2">
        <v>25.77</v>
      </c>
      <c r="I1508">
        <v>0</v>
      </c>
      <c r="J1508" s="5">
        <f>BBDD_fashion_boutique[[#This Row],[markdown_percentage]]/100</f>
        <v>0</v>
      </c>
      <c r="K1508" s="2">
        <v>25.77</v>
      </c>
      <c r="L1508" s="2">
        <f>BBDD_fashion_boutique[[#This Row],[original_price]]-BBDD_fashion_boutique[[#This Row],[current_price]]</f>
        <v>0</v>
      </c>
      <c r="M1508" s="1">
        <v>45875</v>
      </c>
      <c r="N1508" s="1" t="str">
        <f>PROPER(TEXT(BBDD_fashion_boutique[[#This Row],[purchase_date]],"dddd"))</f>
        <v>Miércoles</v>
      </c>
      <c r="O1508" s="1" t="str">
        <f>PROPER(TEXT(BBDD_fashion_boutique[[#This Row],[purchase_date]],"mmmm"))</f>
        <v>Agosto</v>
      </c>
      <c r="P1508" s="4">
        <v>5</v>
      </c>
      <c r="Q1508" s="2">
        <v>3.1</v>
      </c>
      <c r="R1508" t="str">
        <f>IF(BBDD_fashion_boutique[[#This Row],[stock_quantity]]&gt;9,"Ok",IF(BBDD_fashion_boutique[[#This Row],[stock_quantity]]=0,"Agotado","Pocas Unidades"))</f>
        <v>Pocas Unidades</v>
      </c>
      <c r="S1508" s="3">
        <f>IF(BBDD_fashion_boutique[[#This Row],[customer_rating]]="","No valorado",BBDD_fashion_boutique[[#This Row],[customer_rating]])</f>
        <v>3.1</v>
      </c>
      <c r="T1508" t="s">
        <v>24</v>
      </c>
      <c r="V1508">
        <f>IF(BBDD_fashion_boutique[[#This Row],[is_returned]]="False",0,1)</f>
        <v>0</v>
      </c>
      <c r="W1508">
        <f>IF(BBDD_fashion_boutique[[#This Row],[is_returned]]="True",0,BBDD_fashion_boutique[[#This Row],[current_price]])</f>
        <v>25.77</v>
      </c>
      <c r="X1508" t="str">
        <f>IF(BBDD_fashion_boutique[[#This Row],[return_reason]]="","No return",BBDD_fashion_boutique[[#This Row],[return_reason]])</f>
        <v>No return</v>
      </c>
      <c r="Y1508">
        <f>IF(IFERROR(VLOOKUP(BBDD_fashion_boutique[[#This Row],[product_id]],A1509:A3684,1,FALSE),0),1,0)</f>
        <v>0</v>
      </c>
    </row>
    <row r="1509" spans="1:25" x14ac:dyDescent="0.3">
      <c r="A1509" t="s">
        <v>1568</v>
      </c>
      <c r="B1509" t="s">
        <v>35</v>
      </c>
      <c r="C1509" t="s">
        <v>81</v>
      </c>
      <c r="D1509" t="s">
        <v>28</v>
      </c>
      <c r="E1509" t="s">
        <v>64</v>
      </c>
      <c r="F1509" t="str">
        <f>IF(BBDD_fashion_boutique[[#This Row],[category]]="Accessories","Accesorio",IF(BBDD_fashion_boutique[[#This Row],[size]]="","Desconocido",BBDD_fashion_boutique[[#This Row],[size]]))</f>
        <v>M</v>
      </c>
      <c r="G1509" t="s">
        <v>70</v>
      </c>
      <c r="H1509" s="2">
        <v>180.67</v>
      </c>
      <c r="I1509">
        <v>0</v>
      </c>
      <c r="J1509" s="5">
        <f>BBDD_fashion_boutique[[#This Row],[markdown_percentage]]/100</f>
        <v>0</v>
      </c>
      <c r="K1509" s="2">
        <v>180.67</v>
      </c>
      <c r="L1509" s="2">
        <f>BBDD_fashion_boutique[[#This Row],[original_price]]-BBDD_fashion_boutique[[#This Row],[current_price]]</f>
        <v>0</v>
      </c>
      <c r="M1509" s="1">
        <v>45875</v>
      </c>
      <c r="N1509" s="1" t="str">
        <f>PROPER(TEXT(BBDD_fashion_boutique[[#This Row],[purchase_date]],"dddd"))</f>
        <v>Miércoles</v>
      </c>
      <c r="O1509" s="1" t="str">
        <f>PROPER(TEXT(BBDD_fashion_boutique[[#This Row],[purchase_date]],"mmmm"))</f>
        <v>Agosto</v>
      </c>
      <c r="P1509" s="4">
        <v>31</v>
      </c>
      <c r="Q1509" s="2">
        <v>4.4000000000000004</v>
      </c>
      <c r="R1509" t="str">
        <f>IF(BBDD_fashion_boutique[[#This Row],[stock_quantity]]&gt;9,"Ok",IF(BBDD_fashion_boutique[[#This Row],[stock_quantity]]=0,"Agotado","Pocas Unidades"))</f>
        <v>Ok</v>
      </c>
      <c r="S1509" s="3">
        <f>IF(BBDD_fashion_boutique[[#This Row],[customer_rating]]="","No valorado",BBDD_fashion_boutique[[#This Row],[customer_rating]])</f>
        <v>4.4000000000000004</v>
      </c>
      <c r="T1509" t="s">
        <v>24</v>
      </c>
      <c r="V1509">
        <f>IF(BBDD_fashion_boutique[[#This Row],[is_returned]]="False",0,1)</f>
        <v>0</v>
      </c>
      <c r="W1509">
        <f>IF(BBDD_fashion_boutique[[#This Row],[is_returned]]="True",0,BBDD_fashion_boutique[[#This Row],[current_price]])</f>
        <v>180.67</v>
      </c>
      <c r="X1509" t="str">
        <f>IF(BBDD_fashion_boutique[[#This Row],[return_reason]]="","No return",BBDD_fashion_boutique[[#This Row],[return_reason]])</f>
        <v>No return</v>
      </c>
      <c r="Y1509">
        <f>IF(IFERROR(VLOOKUP(BBDD_fashion_boutique[[#This Row],[product_id]],A1510:A3685,1,FALSE),0),1,0)</f>
        <v>0</v>
      </c>
    </row>
    <row r="1510" spans="1:25" x14ac:dyDescent="0.3">
      <c r="A1510" t="s">
        <v>1569</v>
      </c>
      <c r="B1510" t="s">
        <v>35</v>
      </c>
      <c r="C1510" t="s">
        <v>81</v>
      </c>
      <c r="D1510" t="s">
        <v>21</v>
      </c>
      <c r="E1510" t="s">
        <v>29</v>
      </c>
      <c r="F1510" t="str">
        <f>IF(BBDD_fashion_boutique[[#This Row],[category]]="Accessories","Accesorio",IF(BBDD_fashion_boutique[[#This Row],[size]]="","Desconocido",BBDD_fashion_boutique[[#This Row],[size]]))</f>
        <v>L</v>
      </c>
      <c r="G1510" t="s">
        <v>52</v>
      </c>
      <c r="H1510" s="2">
        <v>198.13</v>
      </c>
      <c r="I1510">
        <v>46.1</v>
      </c>
      <c r="J1510" s="5">
        <f>BBDD_fashion_boutique[[#This Row],[markdown_percentage]]/100</f>
        <v>0.46100000000000002</v>
      </c>
      <c r="K1510" s="2">
        <v>106.79</v>
      </c>
      <c r="L1510" s="2">
        <f>BBDD_fashion_boutique[[#This Row],[original_price]]-BBDD_fashion_boutique[[#This Row],[current_price]]</f>
        <v>91.339999999999989</v>
      </c>
      <c r="M1510" s="1">
        <v>45796</v>
      </c>
      <c r="N1510" s="1" t="str">
        <f>PROPER(TEXT(BBDD_fashion_boutique[[#This Row],[purchase_date]],"dddd"))</f>
        <v>Lunes</v>
      </c>
      <c r="O1510" s="1" t="str">
        <f>PROPER(TEXT(BBDD_fashion_boutique[[#This Row],[purchase_date]],"mmmm"))</f>
        <v>Mayo</v>
      </c>
      <c r="P1510" s="4">
        <v>8</v>
      </c>
      <c r="Q1510" s="2">
        <v>3.2</v>
      </c>
      <c r="R1510" t="str">
        <f>IF(BBDD_fashion_boutique[[#This Row],[stock_quantity]]&gt;9,"Ok",IF(BBDD_fashion_boutique[[#This Row],[stock_quantity]]=0,"Agotado","Pocas Unidades"))</f>
        <v>Pocas Unidades</v>
      </c>
      <c r="S1510" s="3">
        <f>IF(BBDD_fashion_boutique[[#This Row],[customer_rating]]="","No valorado",BBDD_fashion_boutique[[#This Row],[customer_rating]])</f>
        <v>3.2</v>
      </c>
      <c r="T1510" t="s">
        <v>24</v>
      </c>
      <c r="V1510">
        <f>IF(BBDD_fashion_boutique[[#This Row],[is_returned]]="False",0,1)</f>
        <v>0</v>
      </c>
      <c r="W1510">
        <f>IF(BBDD_fashion_boutique[[#This Row],[is_returned]]="True",0,BBDD_fashion_boutique[[#This Row],[current_price]])</f>
        <v>106.79</v>
      </c>
      <c r="X1510" t="str">
        <f>IF(BBDD_fashion_boutique[[#This Row],[return_reason]]="","No return",BBDD_fashion_boutique[[#This Row],[return_reason]])</f>
        <v>No return</v>
      </c>
      <c r="Y1510">
        <f>IF(IFERROR(VLOOKUP(BBDD_fashion_boutique[[#This Row],[product_id]],A1511:A3686,1,FALSE),0),1,0)</f>
        <v>0</v>
      </c>
    </row>
    <row r="1511" spans="1:25" x14ac:dyDescent="0.3">
      <c r="A1511" t="s">
        <v>1570</v>
      </c>
      <c r="B1511" t="s">
        <v>48</v>
      </c>
      <c r="C1511" t="s">
        <v>27</v>
      </c>
      <c r="D1511" t="s">
        <v>68</v>
      </c>
      <c r="F1511" t="str">
        <f>IF(BBDD_fashion_boutique[[#This Row],[category]]="Accessories","Accesorio",IF(BBDD_fashion_boutique[[#This Row],[size]]="","Desconocido",BBDD_fashion_boutique[[#This Row],[size]]))</f>
        <v>Desconocido</v>
      </c>
      <c r="G1511" t="s">
        <v>70</v>
      </c>
      <c r="H1511" s="2">
        <v>161.53</v>
      </c>
      <c r="I1511">
        <v>5.3</v>
      </c>
      <c r="J1511" s="5">
        <f>BBDD_fashion_boutique[[#This Row],[markdown_percentage]]/100</f>
        <v>5.2999999999999999E-2</v>
      </c>
      <c r="K1511" s="2">
        <v>152.97</v>
      </c>
      <c r="L1511" s="2">
        <f>BBDD_fashion_boutique[[#This Row],[original_price]]-BBDD_fashion_boutique[[#This Row],[current_price]]</f>
        <v>8.5600000000000023</v>
      </c>
      <c r="M1511" s="1">
        <v>45875</v>
      </c>
      <c r="N1511" s="1" t="str">
        <f>PROPER(TEXT(BBDD_fashion_boutique[[#This Row],[purchase_date]],"dddd"))</f>
        <v>Miércoles</v>
      </c>
      <c r="O1511" s="1" t="str">
        <f>PROPER(TEXT(BBDD_fashion_boutique[[#This Row],[purchase_date]],"mmmm"))</f>
        <v>Agosto</v>
      </c>
      <c r="P1511" s="4">
        <v>33</v>
      </c>
      <c r="Q1511" s="2">
        <v>3.7</v>
      </c>
      <c r="R1511" t="str">
        <f>IF(BBDD_fashion_boutique[[#This Row],[stock_quantity]]&gt;9,"Ok",IF(BBDD_fashion_boutique[[#This Row],[stock_quantity]]=0,"Agotado","Pocas Unidades"))</f>
        <v>Ok</v>
      </c>
      <c r="S1511" s="3">
        <f>IF(BBDD_fashion_boutique[[#This Row],[customer_rating]]="","No valorado",BBDD_fashion_boutique[[#This Row],[customer_rating]])</f>
        <v>3.7</v>
      </c>
      <c r="T1511" t="s">
        <v>24</v>
      </c>
      <c r="V1511">
        <f>IF(BBDD_fashion_boutique[[#This Row],[is_returned]]="False",0,1)</f>
        <v>0</v>
      </c>
      <c r="W1511">
        <f>IF(BBDD_fashion_boutique[[#This Row],[is_returned]]="True",0,BBDD_fashion_boutique[[#This Row],[current_price]])</f>
        <v>152.97</v>
      </c>
      <c r="X1511" t="str">
        <f>IF(BBDD_fashion_boutique[[#This Row],[return_reason]]="","No return",BBDD_fashion_boutique[[#This Row],[return_reason]])</f>
        <v>No return</v>
      </c>
      <c r="Y1511">
        <f>IF(IFERROR(VLOOKUP(BBDD_fashion_boutique[[#This Row],[product_id]],A1512:A3687,1,FALSE),0),1,0)</f>
        <v>0</v>
      </c>
    </row>
    <row r="1512" spans="1:25" x14ac:dyDescent="0.3">
      <c r="A1512" t="s">
        <v>1571</v>
      </c>
      <c r="B1512" t="s">
        <v>44</v>
      </c>
      <c r="C1512" t="s">
        <v>20</v>
      </c>
      <c r="D1512" t="s">
        <v>21</v>
      </c>
      <c r="E1512" t="s">
        <v>64</v>
      </c>
      <c r="F1512" t="str">
        <f>IF(BBDD_fashion_boutique[[#This Row],[category]]="Accessories","Accesorio",IF(BBDD_fashion_boutique[[#This Row],[size]]="","Desconocido",BBDD_fashion_boutique[[#This Row],[size]]))</f>
        <v>M</v>
      </c>
      <c r="G1512" t="s">
        <v>46</v>
      </c>
      <c r="H1512" s="2">
        <v>25.97</v>
      </c>
      <c r="I1512">
        <v>0</v>
      </c>
      <c r="J1512" s="5">
        <f>BBDD_fashion_boutique[[#This Row],[markdown_percentage]]/100</f>
        <v>0</v>
      </c>
      <c r="K1512" s="2">
        <v>25.97</v>
      </c>
      <c r="L1512" s="2">
        <f>BBDD_fashion_boutique[[#This Row],[original_price]]-BBDD_fashion_boutique[[#This Row],[current_price]]</f>
        <v>0</v>
      </c>
      <c r="M1512" s="1">
        <v>45624</v>
      </c>
      <c r="N1512" s="1" t="str">
        <f>PROPER(TEXT(BBDD_fashion_boutique[[#This Row],[purchase_date]],"dddd"))</f>
        <v>Jueves</v>
      </c>
      <c r="O1512" s="1" t="str">
        <f>PROPER(TEXT(BBDD_fashion_boutique[[#This Row],[purchase_date]],"mmmm"))</f>
        <v>Noviembre</v>
      </c>
      <c r="P1512" s="4">
        <v>31</v>
      </c>
      <c r="Q1512" s="2">
        <v>1.2</v>
      </c>
      <c r="R1512" t="str">
        <f>IF(BBDD_fashion_boutique[[#This Row],[stock_quantity]]&gt;9,"Ok",IF(BBDD_fashion_boutique[[#This Row],[stock_quantity]]=0,"Agotado","Pocas Unidades"))</f>
        <v>Ok</v>
      </c>
      <c r="S1512" s="3">
        <f>IF(BBDD_fashion_boutique[[#This Row],[customer_rating]]="","No valorado",BBDD_fashion_boutique[[#This Row],[customer_rating]])</f>
        <v>1.2</v>
      </c>
      <c r="T1512" t="s">
        <v>24</v>
      </c>
      <c r="V1512">
        <f>IF(BBDD_fashion_boutique[[#This Row],[is_returned]]="False",0,1)</f>
        <v>0</v>
      </c>
      <c r="W1512">
        <f>IF(BBDD_fashion_boutique[[#This Row],[is_returned]]="True",0,BBDD_fashion_boutique[[#This Row],[current_price]])</f>
        <v>25.97</v>
      </c>
      <c r="X1512" t="str">
        <f>IF(BBDD_fashion_boutique[[#This Row],[return_reason]]="","No return",BBDD_fashion_boutique[[#This Row],[return_reason]])</f>
        <v>No return</v>
      </c>
      <c r="Y1512">
        <f>IF(IFERROR(VLOOKUP(BBDD_fashion_boutique[[#This Row],[product_id]],A1513:A3688,1,FALSE),0),1,0)</f>
        <v>0</v>
      </c>
    </row>
    <row r="1513" spans="1:25" x14ac:dyDescent="0.3">
      <c r="A1513" t="s">
        <v>1572</v>
      </c>
      <c r="B1513" t="s">
        <v>26</v>
      </c>
      <c r="C1513" t="s">
        <v>81</v>
      </c>
      <c r="D1513" t="s">
        <v>68</v>
      </c>
      <c r="E1513" t="s">
        <v>29</v>
      </c>
      <c r="F1513" t="str">
        <f>IF(BBDD_fashion_boutique[[#This Row],[category]]="Accessories","Accesorio",IF(BBDD_fashion_boutique[[#This Row],[size]]="","Desconocido",BBDD_fashion_boutique[[#This Row],[size]]))</f>
        <v>L</v>
      </c>
      <c r="G1513" t="s">
        <v>62</v>
      </c>
      <c r="H1513" s="2">
        <v>85</v>
      </c>
      <c r="I1513">
        <v>39.9</v>
      </c>
      <c r="J1513" s="5">
        <f>BBDD_fashion_boutique[[#This Row],[markdown_percentage]]/100</f>
        <v>0.39899999999999997</v>
      </c>
      <c r="K1513" s="2">
        <v>51.09</v>
      </c>
      <c r="L1513" s="2">
        <f>BBDD_fashion_boutique[[#This Row],[original_price]]-BBDD_fashion_boutique[[#This Row],[current_price]]</f>
        <v>33.909999999999997</v>
      </c>
      <c r="M1513" s="1">
        <v>45875</v>
      </c>
      <c r="N1513" s="1" t="str">
        <f>PROPER(TEXT(BBDD_fashion_boutique[[#This Row],[purchase_date]],"dddd"))</f>
        <v>Miércoles</v>
      </c>
      <c r="O1513" s="1" t="str">
        <f>PROPER(TEXT(BBDD_fashion_boutique[[#This Row],[purchase_date]],"mmmm"))</f>
        <v>Agosto</v>
      </c>
      <c r="P1513" s="4">
        <v>44</v>
      </c>
      <c r="Q1513" s="2">
        <v>3</v>
      </c>
      <c r="R1513" t="str">
        <f>IF(BBDD_fashion_boutique[[#This Row],[stock_quantity]]&gt;9,"Ok",IF(BBDD_fashion_boutique[[#This Row],[stock_quantity]]=0,"Agotado","Pocas Unidades"))</f>
        <v>Ok</v>
      </c>
      <c r="S1513" s="3">
        <f>IF(BBDD_fashion_boutique[[#This Row],[customer_rating]]="","No valorado",BBDD_fashion_boutique[[#This Row],[customer_rating]])</f>
        <v>3</v>
      </c>
      <c r="T1513" t="s">
        <v>24</v>
      </c>
      <c r="V1513">
        <f>IF(BBDD_fashion_boutique[[#This Row],[is_returned]]="False",0,1)</f>
        <v>0</v>
      </c>
      <c r="W1513">
        <f>IF(BBDD_fashion_boutique[[#This Row],[is_returned]]="True",0,BBDD_fashion_boutique[[#This Row],[current_price]])</f>
        <v>51.09</v>
      </c>
      <c r="X1513" t="str">
        <f>IF(BBDD_fashion_boutique[[#This Row],[return_reason]]="","No return",BBDD_fashion_boutique[[#This Row],[return_reason]])</f>
        <v>No return</v>
      </c>
      <c r="Y1513">
        <f>IF(IFERROR(VLOOKUP(BBDD_fashion_boutique[[#This Row],[product_id]],A1514:A3689,1,FALSE),0),1,0)</f>
        <v>0</v>
      </c>
    </row>
    <row r="1514" spans="1:25" x14ac:dyDescent="0.3">
      <c r="A1514" t="s">
        <v>1573</v>
      </c>
      <c r="B1514" t="s">
        <v>32</v>
      </c>
      <c r="C1514" t="s">
        <v>27</v>
      </c>
      <c r="D1514" t="s">
        <v>68</v>
      </c>
      <c r="F1514" t="str">
        <f>IF(BBDD_fashion_boutique[[#This Row],[category]]="Accessories","Accesorio",IF(BBDD_fashion_boutique[[#This Row],[size]]="","Desconocido",BBDD_fashion_boutique[[#This Row],[size]]))</f>
        <v>Accesorio</v>
      </c>
      <c r="G1514" t="s">
        <v>30</v>
      </c>
      <c r="H1514" s="2">
        <v>75.03</v>
      </c>
      <c r="I1514">
        <v>10.9</v>
      </c>
      <c r="J1514" s="5">
        <f>BBDD_fashion_boutique[[#This Row],[markdown_percentage]]/100</f>
        <v>0.109</v>
      </c>
      <c r="K1514" s="2">
        <v>66.849999999999994</v>
      </c>
      <c r="L1514" s="2">
        <f>BBDD_fashion_boutique[[#This Row],[original_price]]-BBDD_fashion_boutique[[#This Row],[current_price]]</f>
        <v>8.1800000000000068</v>
      </c>
      <c r="M1514" s="1">
        <v>45875</v>
      </c>
      <c r="N1514" s="1" t="str">
        <f>PROPER(TEXT(BBDD_fashion_boutique[[#This Row],[purchase_date]],"dddd"))</f>
        <v>Miércoles</v>
      </c>
      <c r="O1514" s="1" t="str">
        <f>PROPER(TEXT(BBDD_fashion_boutique[[#This Row],[purchase_date]],"mmmm"))</f>
        <v>Agosto</v>
      </c>
      <c r="P1514" s="4">
        <v>12</v>
      </c>
      <c r="Q1514" s="2">
        <v>1.2</v>
      </c>
      <c r="R1514" t="str">
        <f>IF(BBDD_fashion_boutique[[#This Row],[stock_quantity]]&gt;9,"Ok",IF(BBDD_fashion_boutique[[#This Row],[stock_quantity]]=0,"Agotado","Pocas Unidades"))</f>
        <v>Ok</v>
      </c>
      <c r="S1514" s="3">
        <f>IF(BBDD_fashion_boutique[[#This Row],[customer_rating]]="","No valorado",BBDD_fashion_boutique[[#This Row],[customer_rating]])</f>
        <v>1.2</v>
      </c>
      <c r="T1514" t="s">
        <v>24</v>
      </c>
      <c r="V1514">
        <f>IF(BBDD_fashion_boutique[[#This Row],[is_returned]]="False",0,1)</f>
        <v>0</v>
      </c>
      <c r="W1514">
        <f>IF(BBDD_fashion_boutique[[#This Row],[is_returned]]="True",0,BBDD_fashion_boutique[[#This Row],[current_price]])</f>
        <v>66.849999999999994</v>
      </c>
      <c r="X1514" t="str">
        <f>IF(BBDD_fashion_boutique[[#This Row],[return_reason]]="","No return",BBDD_fashion_boutique[[#This Row],[return_reason]])</f>
        <v>No return</v>
      </c>
      <c r="Y1514">
        <f>IF(IFERROR(VLOOKUP(BBDD_fashion_boutique[[#This Row],[product_id]],A1515:A3690,1,FALSE),0),1,0)</f>
        <v>0</v>
      </c>
    </row>
    <row r="1515" spans="1:25" x14ac:dyDescent="0.3">
      <c r="A1515" t="s">
        <v>1574</v>
      </c>
      <c r="B1515" t="s">
        <v>32</v>
      </c>
      <c r="C1515" t="s">
        <v>59</v>
      </c>
      <c r="D1515" t="s">
        <v>28</v>
      </c>
      <c r="F1515" t="str">
        <f>IF(BBDD_fashion_boutique[[#This Row],[category]]="Accessories","Accesorio",IF(BBDD_fashion_boutique[[#This Row],[size]]="","Desconocido",BBDD_fashion_boutique[[#This Row],[size]]))</f>
        <v>Accesorio</v>
      </c>
      <c r="G1515" t="s">
        <v>62</v>
      </c>
      <c r="H1515" s="2">
        <v>33.880000000000003</v>
      </c>
      <c r="I1515">
        <v>0</v>
      </c>
      <c r="J1515" s="5">
        <f>BBDD_fashion_boutique[[#This Row],[markdown_percentage]]/100</f>
        <v>0</v>
      </c>
      <c r="K1515" s="2">
        <v>33.880000000000003</v>
      </c>
      <c r="L1515" s="2">
        <f>BBDD_fashion_boutique[[#This Row],[original_price]]-BBDD_fashion_boutique[[#This Row],[current_price]]</f>
        <v>0</v>
      </c>
      <c r="M1515" s="1">
        <v>45875</v>
      </c>
      <c r="N1515" s="1" t="str">
        <f>PROPER(TEXT(BBDD_fashion_boutique[[#This Row],[purchase_date]],"dddd"))</f>
        <v>Miércoles</v>
      </c>
      <c r="O1515" s="1" t="str">
        <f>PROPER(TEXT(BBDD_fashion_boutique[[#This Row],[purchase_date]],"mmmm"))</f>
        <v>Agosto</v>
      </c>
      <c r="P1515" s="4">
        <v>9</v>
      </c>
      <c r="R1515" t="str">
        <f>IF(BBDD_fashion_boutique[[#This Row],[stock_quantity]]&gt;9,"Ok",IF(BBDD_fashion_boutique[[#This Row],[stock_quantity]]=0,"Agotado","Pocas Unidades"))</f>
        <v>Pocas Unidades</v>
      </c>
      <c r="S1515" s="3" t="str">
        <f>IF(BBDD_fashion_boutique[[#This Row],[customer_rating]]="","No valorado",BBDD_fashion_boutique[[#This Row],[customer_rating]])</f>
        <v>No valorado</v>
      </c>
      <c r="T1515" t="s">
        <v>24</v>
      </c>
      <c r="V1515">
        <f>IF(BBDD_fashion_boutique[[#This Row],[is_returned]]="False",0,1)</f>
        <v>0</v>
      </c>
      <c r="W1515">
        <f>IF(BBDD_fashion_boutique[[#This Row],[is_returned]]="True",0,BBDD_fashion_boutique[[#This Row],[current_price]])</f>
        <v>33.880000000000003</v>
      </c>
      <c r="X1515" t="str">
        <f>IF(BBDD_fashion_boutique[[#This Row],[return_reason]]="","No return",BBDD_fashion_boutique[[#This Row],[return_reason]])</f>
        <v>No return</v>
      </c>
      <c r="Y1515">
        <f>IF(IFERROR(VLOOKUP(BBDD_fashion_boutique[[#This Row],[product_id]],A1516:A3691,1,FALSE),0),1,0)</f>
        <v>0</v>
      </c>
    </row>
    <row r="1516" spans="1:25" x14ac:dyDescent="0.3">
      <c r="A1516" t="s">
        <v>1575</v>
      </c>
      <c r="B1516" t="s">
        <v>35</v>
      </c>
      <c r="C1516" t="s">
        <v>37</v>
      </c>
      <c r="D1516" t="s">
        <v>68</v>
      </c>
      <c r="E1516" t="s">
        <v>61</v>
      </c>
      <c r="F1516" t="str">
        <f>IF(BBDD_fashion_boutique[[#This Row],[category]]="Accessories","Accesorio",IF(BBDD_fashion_boutique[[#This Row],[size]]="","Desconocido",BBDD_fashion_boutique[[#This Row],[size]]))</f>
        <v>XS</v>
      </c>
      <c r="G1516" t="s">
        <v>72</v>
      </c>
      <c r="H1516" s="2">
        <v>142</v>
      </c>
      <c r="I1516">
        <v>12.3</v>
      </c>
      <c r="J1516" s="5">
        <f>BBDD_fashion_boutique[[#This Row],[markdown_percentage]]/100</f>
        <v>0.12300000000000001</v>
      </c>
      <c r="K1516" s="2">
        <v>124.53</v>
      </c>
      <c r="L1516" s="2">
        <f>BBDD_fashion_boutique[[#This Row],[original_price]]-BBDD_fashion_boutique[[#This Row],[current_price]]</f>
        <v>17.47</v>
      </c>
      <c r="M1516" s="1">
        <v>45875</v>
      </c>
      <c r="N1516" s="1" t="str">
        <f>PROPER(TEXT(BBDD_fashion_boutique[[#This Row],[purchase_date]],"dddd"))</f>
        <v>Miércoles</v>
      </c>
      <c r="O1516" s="1" t="str">
        <f>PROPER(TEXT(BBDD_fashion_boutique[[#This Row],[purchase_date]],"mmmm"))</f>
        <v>Agosto</v>
      </c>
      <c r="P1516" s="4">
        <v>39</v>
      </c>
      <c r="Q1516" s="2">
        <v>3.3</v>
      </c>
      <c r="R1516" t="str">
        <f>IF(BBDD_fashion_boutique[[#This Row],[stock_quantity]]&gt;9,"Ok",IF(BBDD_fashion_boutique[[#This Row],[stock_quantity]]=0,"Agotado","Pocas Unidades"))</f>
        <v>Ok</v>
      </c>
      <c r="S1516" s="3">
        <f>IF(BBDD_fashion_boutique[[#This Row],[customer_rating]]="","No valorado",BBDD_fashion_boutique[[#This Row],[customer_rating]])</f>
        <v>3.3</v>
      </c>
      <c r="T1516" t="s">
        <v>24</v>
      </c>
      <c r="V1516">
        <f>IF(BBDD_fashion_boutique[[#This Row],[is_returned]]="False",0,1)</f>
        <v>0</v>
      </c>
      <c r="W1516">
        <f>IF(BBDD_fashion_boutique[[#This Row],[is_returned]]="True",0,BBDD_fashion_boutique[[#This Row],[current_price]])</f>
        <v>124.53</v>
      </c>
      <c r="X1516" t="str">
        <f>IF(BBDD_fashion_boutique[[#This Row],[return_reason]]="","No return",BBDD_fashion_boutique[[#This Row],[return_reason]])</f>
        <v>No return</v>
      </c>
      <c r="Y1516">
        <f>IF(IFERROR(VLOOKUP(BBDD_fashion_boutique[[#This Row],[product_id]],A1517:A3692,1,FALSE),0),1,0)</f>
        <v>0</v>
      </c>
    </row>
    <row r="1517" spans="1:25" x14ac:dyDescent="0.3">
      <c r="A1517" t="s">
        <v>1576</v>
      </c>
      <c r="B1517" t="s">
        <v>48</v>
      </c>
      <c r="C1517" t="s">
        <v>54</v>
      </c>
      <c r="D1517" t="s">
        <v>39</v>
      </c>
      <c r="E1517" t="s">
        <v>22</v>
      </c>
      <c r="F1517" t="str">
        <f>IF(BBDD_fashion_boutique[[#This Row],[category]]="Accessories","Accesorio",IF(BBDD_fashion_boutique[[#This Row],[size]]="","Desconocido",BBDD_fashion_boutique[[#This Row],[size]]))</f>
        <v>XL</v>
      </c>
      <c r="G1517" t="s">
        <v>52</v>
      </c>
      <c r="H1517" s="2">
        <v>125.46</v>
      </c>
      <c r="I1517">
        <v>0</v>
      </c>
      <c r="J1517" s="5">
        <f>BBDD_fashion_boutique[[#This Row],[markdown_percentage]]/100</f>
        <v>0</v>
      </c>
      <c r="K1517" s="2">
        <v>125.46</v>
      </c>
      <c r="L1517" s="2">
        <f>BBDD_fashion_boutique[[#This Row],[original_price]]-BBDD_fashion_boutique[[#This Row],[current_price]]</f>
        <v>0</v>
      </c>
      <c r="M1517" s="1">
        <v>45875</v>
      </c>
      <c r="N1517" s="1" t="str">
        <f>PROPER(TEXT(BBDD_fashion_boutique[[#This Row],[purchase_date]],"dddd"))</f>
        <v>Miércoles</v>
      </c>
      <c r="O1517" s="1" t="str">
        <f>PROPER(TEXT(BBDD_fashion_boutique[[#This Row],[purchase_date]],"mmmm"))</f>
        <v>Agosto</v>
      </c>
      <c r="P1517" s="4">
        <v>26</v>
      </c>
      <c r="Q1517" s="2">
        <v>1.1000000000000001</v>
      </c>
      <c r="R1517" t="str">
        <f>IF(BBDD_fashion_boutique[[#This Row],[stock_quantity]]&gt;9,"Ok",IF(BBDD_fashion_boutique[[#This Row],[stock_quantity]]=0,"Agotado","Pocas Unidades"))</f>
        <v>Ok</v>
      </c>
      <c r="S1517" s="3">
        <f>IF(BBDD_fashion_boutique[[#This Row],[customer_rating]]="","No valorado",BBDD_fashion_boutique[[#This Row],[customer_rating]])</f>
        <v>1.1000000000000001</v>
      </c>
      <c r="T1517" t="s">
        <v>24</v>
      </c>
      <c r="V1517">
        <f>IF(BBDD_fashion_boutique[[#This Row],[is_returned]]="False",0,1)</f>
        <v>0</v>
      </c>
      <c r="W1517">
        <f>IF(BBDD_fashion_boutique[[#This Row],[is_returned]]="True",0,BBDD_fashion_boutique[[#This Row],[current_price]])</f>
        <v>125.46</v>
      </c>
      <c r="X1517" t="str">
        <f>IF(BBDD_fashion_boutique[[#This Row],[return_reason]]="","No return",BBDD_fashion_boutique[[#This Row],[return_reason]])</f>
        <v>No return</v>
      </c>
      <c r="Y1517">
        <f>IF(IFERROR(VLOOKUP(BBDD_fashion_boutique[[#This Row],[product_id]],A1518:A3693,1,FALSE),0),1,0)</f>
        <v>0</v>
      </c>
    </row>
    <row r="1518" spans="1:25" x14ac:dyDescent="0.3">
      <c r="A1518" t="s">
        <v>1577</v>
      </c>
      <c r="B1518" t="s">
        <v>35</v>
      </c>
      <c r="C1518" t="s">
        <v>54</v>
      </c>
      <c r="D1518" t="s">
        <v>28</v>
      </c>
      <c r="E1518" t="s">
        <v>29</v>
      </c>
      <c r="F1518" t="str">
        <f>IF(BBDD_fashion_boutique[[#This Row],[category]]="Accessories","Accesorio",IF(BBDD_fashion_boutique[[#This Row],[size]]="","Desconocido",BBDD_fashion_boutique[[#This Row],[size]]))</f>
        <v>L</v>
      </c>
      <c r="G1518" t="s">
        <v>50</v>
      </c>
      <c r="H1518" s="2">
        <v>138.79</v>
      </c>
      <c r="I1518">
        <v>0</v>
      </c>
      <c r="J1518" s="5">
        <f>BBDD_fashion_boutique[[#This Row],[markdown_percentage]]/100</f>
        <v>0</v>
      </c>
      <c r="K1518" s="2">
        <v>138.79</v>
      </c>
      <c r="L1518" s="2">
        <f>BBDD_fashion_boutique[[#This Row],[original_price]]-BBDD_fashion_boutique[[#This Row],[current_price]]</f>
        <v>0</v>
      </c>
      <c r="M1518" s="1">
        <v>45875</v>
      </c>
      <c r="N1518" s="1" t="str">
        <f>PROPER(TEXT(BBDD_fashion_boutique[[#This Row],[purchase_date]],"dddd"))</f>
        <v>Miércoles</v>
      </c>
      <c r="O1518" s="1" t="str">
        <f>PROPER(TEXT(BBDD_fashion_boutique[[#This Row],[purchase_date]],"mmmm"))</f>
        <v>Agosto</v>
      </c>
      <c r="P1518" s="4">
        <v>16</v>
      </c>
      <c r="R1518" t="str">
        <f>IF(BBDD_fashion_boutique[[#This Row],[stock_quantity]]&gt;9,"Ok",IF(BBDD_fashion_boutique[[#This Row],[stock_quantity]]=0,"Agotado","Pocas Unidades"))</f>
        <v>Ok</v>
      </c>
      <c r="S1518" s="3" t="str">
        <f>IF(BBDD_fashion_boutique[[#This Row],[customer_rating]]="","No valorado",BBDD_fashion_boutique[[#This Row],[customer_rating]])</f>
        <v>No valorado</v>
      </c>
      <c r="T1518" t="s">
        <v>41</v>
      </c>
      <c r="U1518" t="s">
        <v>79</v>
      </c>
      <c r="V1518">
        <f>IF(BBDD_fashion_boutique[[#This Row],[is_returned]]="False",0,1)</f>
        <v>1</v>
      </c>
      <c r="W1518">
        <f>IF(BBDD_fashion_boutique[[#This Row],[is_returned]]="True",0,BBDD_fashion_boutique[[#This Row],[current_price]])</f>
        <v>0</v>
      </c>
      <c r="X1518" t="str">
        <f>IF(BBDD_fashion_boutique[[#This Row],[return_reason]]="","No return",BBDD_fashion_boutique[[#This Row],[return_reason]])</f>
        <v>Size Issue</v>
      </c>
      <c r="Y1518">
        <f>IF(IFERROR(VLOOKUP(BBDD_fashion_boutique[[#This Row],[product_id]],A1519:A3694,1,FALSE),0),1,0)</f>
        <v>0</v>
      </c>
    </row>
    <row r="1519" spans="1:25" x14ac:dyDescent="0.3">
      <c r="A1519" t="s">
        <v>1578</v>
      </c>
      <c r="B1519" t="s">
        <v>44</v>
      </c>
      <c r="C1519" t="s">
        <v>59</v>
      </c>
      <c r="D1519" t="s">
        <v>21</v>
      </c>
      <c r="E1519" t="s">
        <v>22</v>
      </c>
      <c r="F1519" t="str">
        <f>IF(BBDD_fashion_boutique[[#This Row],[category]]="Accessories","Accesorio",IF(BBDD_fashion_boutique[[#This Row],[size]]="","Desconocido",BBDD_fashion_boutique[[#This Row],[size]]))</f>
        <v>XL</v>
      </c>
      <c r="G1519" t="s">
        <v>30</v>
      </c>
      <c r="H1519" s="2">
        <v>81.81</v>
      </c>
      <c r="I1519">
        <v>37.9</v>
      </c>
      <c r="J1519" s="5">
        <f>BBDD_fashion_boutique[[#This Row],[markdown_percentage]]/100</f>
        <v>0.379</v>
      </c>
      <c r="K1519" s="2">
        <v>50.8</v>
      </c>
      <c r="L1519" s="2">
        <f>BBDD_fashion_boutique[[#This Row],[original_price]]-BBDD_fashion_boutique[[#This Row],[current_price]]</f>
        <v>31.010000000000005</v>
      </c>
      <c r="M1519" s="1">
        <v>45704</v>
      </c>
      <c r="N1519" s="1" t="str">
        <f>PROPER(TEXT(BBDD_fashion_boutique[[#This Row],[purchase_date]],"dddd"))</f>
        <v>Domingo</v>
      </c>
      <c r="O1519" s="1" t="str">
        <f>PROPER(TEXT(BBDD_fashion_boutique[[#This Row],[purchase_date]],"mmmm"))</f>
        <v>Febrero</v>
      </c>
      <c r="P1519" s="4">
        <v>44</v>
      </c>
      <c r="R1519" t="str">
        <f>IF(BBDD_fashion_boutique[[#This Row],[stock_quantity]]&gt;9,"Ok",IF(BBDD_fashion_boutique[[#This Row],[stock_quantity]]=0,"Agotado","Pocas Unidades"))</f>
        <v>Ok</v>
      </c>
      <c r="S1519" s="3" t="str">
        <f>IF(BBDD_fashion_boutique[[#This Row],[customer_rating]]="","No valorado",BBDD_fashion_boutique[[#This Row],[customer_rating]])</f>
        <v>No valorado</v>
      </c>
      <c r="T1519" t="s">
        <v>24</v>
      </c>
      <c r="V1519">
        <f>IF(BBDD_fashion_boutique[[#This Row],[is_returned]]="False",0,1)</f>
        <v>0</v>
      </c>
      <c r="W1519">
        <f>IF(BBDD_fashion_boutique[[#This Row],[is_returned]]="True",0,BBDD_fashion_boutique[[#This Row],[current_price]])</f>
        <v>50.8</v>
      </c>
      <c r="X1519" t="str">
        <f>IF(BBDD_fashion_boutique[[#This Row],[return_reason]]="","No return",BBDD_fashion_boutique[[#This Row],[return_reason]])</f>
        <v>No return</v>
      </c>
      <c r="Y1519">
        <f>IF(IFERROR(VLOOKUP(BBDD_fashion_boutique[[#This Row],[product_id]],A1520:A3695,1,FALSE),0),1,0)</f>
        <v>0</v>
      </c>
    </row>
    <row r="1520" spans="1:25" x14ac:dyDescent="0.3">
      <c r="A1520" t="s">
        <v>1579</v>
      </c>
      <c r="B1520" t="s">
        <v>32</v>
      </c>
      <c r="C1520" t="s">
        <v>27</v>
      </c>
      <c r="D1520" t="s">
        <v>39</v>
      </c>
      <c r="F1520" t="str">
        <f>IF(BBDD_fashion_boutique[[#This Row],[category]]="Accessories","Accesorio",IF(BBDD_fashion_boutique[[#This Row],[size]]="","Desconocido",BBDD_fashion_boutique[[#This Row],[size]]))</f>
        <v>Accesorio</v>
      </c>
      <c r="G1520" t="s">
        <v>76</v>
      </c>
      <c r="H1520" s="2">
        <v>78.260000000000005</v>
      </c>
      <c r="I1520">
        <v>47.3</v>
      </c>
      <c r="J1520" s="5">
        <f>BBDD_fashion_boutique[[#This Row],[markdown_percentage]]/100</f>
        <v>0.47299999999999998</v>
      </c>
      <c r="K1520" s="2">
        <v>41.24</v>
      </c>
      <c r="L1520" s="2">
        <f>BBDD_fashion_boutique[[#This Row],[original_price]]-BBDD_fashion_boutique[[#This Row],[current_price]]</f>
        <v>37.020000000000003</v>
      </c>
      <c r="M1520" s="1">
        <v>45875</v>
      </c>
      <c r="N1520" s="1" t="str">
        <f>PROPER(TEXT(BBDD_fashion_boutique[[#This Row],[purchase_date]],"dddd"))</f>
        <v>Miércoles</v>
      </c>
      <c r="O1520" s="1" t="str">
        <f>PROPER(TEXT(BBDD_fashion_boutique[[#This Row],[purchase_date]],"mmmm"))</f>
        <v>Agosto</v>
      </c>
      <c r="P1520" s="4">
        <v>20</v>
      </c>
      <c r="Q1520" s="2">
        <v>4</v>
      </c>
      <c r="R1520" t="str">
        <f>IF(BBDD_fashion_boutique[[#This Row],[stock_quantity]]&gt;9,"Ok",IF(BBDD_fashion_boutique[[#This Row],[stock_quantity]]=0,"Agotado","Pocas Unidades"))</f>
        <v>Ok</v>
      </c>
      <c r="S1520" s="3">
        <f>IF(BBDD_fashion_boutique[[#This Row],[customer_rating]]="","No valorado",BBDD_fashion_boutique[[#This Row],[customer_rating]])</f>
        <v>4</v>
      </c>
      <c r="T1520" t="s">
        <v>24</v>
      </c>
      <c r="V1520">
        <f>IF(BBDD_fashion_boutique[[#This Row],[is_returned]]="False",0,1)</f>
        <v>0</v>
      </c>
      <c r="W1520">
        <f>IF(BBDD_fashion_boutique[[#This Row],[is_returned]]="True",0,BBDD_fashion_boutique[[#This Row],[current_price]])</f>
        <v>41.24</v>
      </c>
      <c r="X1520" t="str">
        <f>IF(BBDD_fashion_boutique[[#This Row],[return_reason]]="","No return",BBDD_fashion_boutique[[#This Row],[return_reason]])</f>
        <v>No return</v>
      </c>
      <c r="Y1520">
        <f>IF(IFERROR(VLOOKUP(BBDD_fashion_boutique[[#This Row],[product_id]],A1521:A3696,1,FALSE),0),1,0)</f>
        <v>0</v>
      </c>
    </row>
    <row r="1521" spans="1:25" x14ac:dyDescent="0.3">
      <c r="A1521" t="s">
        <v>1580</v>
      </c>
      <c r="B1521" t="s">
        <v>44</v>
      </c>
      <c r="C1521" t="s">
        <v>37</v>
      </c>
      <c r="D1521" t="s">
        <v>21</v>
      </c>
      <c r="E1521" t="s">
        <v>22</v>
      </c>
      <c r="F1521" t="str">
        <f>IF(BBDD_fashion_boutique[[#This Row],[category]]="Accessories","Accesorio",IF(BBDD_fashion_boutique[[#This Row],[size]]="","Desconocido",BBDD_fashion_boutique[[#This Row],[size]]))</f>
        <v>XL</v>
      </c>
      <c r="G1521" t="s">
        <v>70</v>
      </c>
      <c r="H1521" s="2">
        <v>119.33</v>
      </c>
      <c r="I1521">
        <v>16</v>
      </c>
      <c r="J1521" s="5">
        <f>BBDD_fashion_boutique[[#This Row],[markdown_percentage]]/100</f>
        <v>0.16</v>
      </c>
      <c r="K1521" s="2">
        <v>100.24</v>
      </c>
      <c r="L1521" s="2">
        <f>BBDD_fashion_boutique[[#This Row],[original_price]]-BBDD_fashion_boutique[[#This Row],[current_price]]</f>
        <v>19.090000000000003</v>
      </c>
      <c r="M1521" s="1">
        <v>45520</v>
      </c>
      <c r="N1521" s="1" t="str">
        <f>PROPER(TEXT(BBDD_fashion_boutique[[#This Row],[purchase_date]],"dddd"))</f>
        <v>Viernes</v>
      </c>
      <c r="O1521" s="1" t="str">
        <f>PROPER(TEXT(BBDD_fashion_boutique[[#This Row],[purchase_date]],"mmmm"))</f>
        <v>Agosto</v>
      </c>
      <c r="P1521" s="4">
        <v>35</v>
      </c>
      <c r="R1521" t="str">
        <f>IF(BBDD_fashion_boutique[[#This Row],[stock_quantity]]&gt;9,"Ok",IF(BBDD_fashion_boutique[[#This Row],[stock_quantity]]=0,"Agotado","Pocas Unidades"))</f>
        <v>Ok</v>
      </c>
      <c r="S1521" s="3" t="str">
        <f>IF(BBDD_fashion_boutique[[#This Row],[customer_rating]]="","No valorado",BBDD_fashion_boutique[[#This Row],[customer_rating]])</f>
        <v>No valorado</v>
      </c>
      <c r="T1521" t="s">
        <v>24</v>
      </c>
      <c r="V1521">
        <f>IF(BBDD_fashion_boutique[[#This Row],[is_returned]]="False",0,1)</f>
        <v>0</v>
      </c>
      <c r="W1521">
        <f>IF(BBDD_fashion_boutique[[#This Row],[is_returned]]="True",0,BBDD_fashion_boutique[[#This Row],[current_price]])</f>
        <v>100.24</v>
      </c>
      <c r="X1521" t="str">
        <f>IF(BBDD_fashion_boutique[[#This Row],[return_reason]]="","No return",BBDD_fashion_boutique[[#This Row],[return_reason]])</f>
        <v>No return</v>
      </c>
      <c r="Y1521">
        <f>IF(IFERROR(VLOOKUP(BBDD_fashion_boutique[[#This Row],[product_id]],A1522:A3697,1,FALSE),0),1,0)</f>
        <v>0</v>
      </c>
    </row>
    <row r="1522" spans="1:25" x14ac:dyDescent="0.3">
      <c r="A1522" t="s">
        <v>1581</v>
      </c>
      <c r="B1522" t="s">
        <v>32</v>
      </c>
      <c r="C1522" t="s">
        <v>59</v>
      </c>
      <c r="D1522" t="s">
        <v>21</v>
      </c>
      <c r="F1522" t="str">
        <f>IF(BBDD_fashion_boutique[[#This Row],[category]]="Accessories","Accesorio",IF(BBDD_fashion_boutique[[#This Row],[size]]="","Desconocido",BBDD_fashion_boutique[[#This Row],[size]]))</f>
        <v>Accesorio</v>
      </c>
      <c r="G1522" t="s">
        <v>33</v>
      </c>
      <c r="H1522" s="2">
        <v>52.97</v>
      </c>
      <c r="I1522">
        <v>0</v>
      </c>
      <c r="J1522" s="5">
        <f>BBDD_fashion_boutique[[#This Row],[markdown_percentage]]/100</f>
        <v>0</v>
      </c>
      <c r="K1522" s="2">
        <v>52.97</v>
      </c>
      <c r="L1522" s="2">
        <f>BBDD_fashion_boutique[[#This Row],[original_price]]-BBDD_fashion_boutique[[#This Row],[current_price]]</f>
        <v>0</v>
      </c>
      <c r="M1522" s="1">
        <v>45864</v>
      </c>
      <c r="N1522" s="1" t="str">
        <f>PROPER(TEXT(BBDD_fashion_boutique[[#This Row],[purchase_date]],"dddd"))</f>
        <v>Sábado</v>
      </c>
      <c r="O1522" s="1" t="str">
        <f>PROPER(TEXT(BBDD_fashion_boutique[[#This Row],[purchase_date]],"mmmm"))</f>
        <v>Julio</v>
      </c>
      <c r="P1522" s="4">
        <v>36</v>
      </c>
      <c r="Q1522" s="2">
        <v>4.5999999999999996</v>
      </c>
      <c r="R1522" t="str">
        <f>IF(BBDD_fashion_boutique[[#This Row],[stock_quantity]]&gt;9,"Ok",IF(BBDD_fashion_boutique[[#This Row],[stock_quantity]]=0,"Agotado","Pocas Unidades"))</f>
        <v>Ok</v>
      </c>
      <c r="S1522" s="3">
        <f>IF(BBDD_fashion_boutique[[#This Row],[customer_rating]]="","No valorado",BBDD_fashion_boutique[[#This Row],[customer_rating]])</f>
        <v>4.5999999999999996</v>
      </c>
      <c r="T1522" t="s">
        <v>24</v>
      </c>
      <c r="V1522">
        <f>IF(BBDD_fashion_boutique[[#This Row],[is_returned]]="False",0,1)</f>
        <v>0</v>
      </c>
      <c r="W1522">
        <f>IF(BBDD_fashion_boutique[[#This Row],[is_returned]]="True",0,BBDD_fashion_boutique[[#This Row],[current_price]])</f>
        <v>52.97</v>
      </c>
      <c r="X1522" t="str">
        <f>IF(BBDD_fashion_boutique[[#This Row],[return_reason]]="","No return",BBDD_fashion_boutique[[#This Row],[return_reason]])</f>
        <v>No return</v>
      </c>
      <c r="Y1522">
        <f>IF(IFERROR(VLOOKUP(BBDD_fashion_boutique[[#This Row],[product_id]],A1523:A3698,1,FALSE),0),1,0)</f>
        <v>0</v>
      </c>
    </row>
    <row r="1523" spans="1:25" x14ac:dyDescent="0.3">
      <c r="A1523" t="s">
        <v>1582</v>
      </c>
      <c r="B1523" t="s">
        <v>32</v>
      </c>
      <c r="C1523" t="s">
        <v>49</v>
      </c>
      <c r="D1523" t="s">
        <v>28</v>
      </c>
      <c r="F1523" t="str">
        <f>IF(BBDD_fashion_boutique[[#This Row],[category]]="Accessories","Accesorio",IF(BBDD_fashion_boutique[[#This Row],[size]]="","Desconocido",BBDD_fashion_boutique[[#This Row],[size]]))</f>
        <v>Accesorio</v>
      </c>
      <c r="G1523" t="s">
        <v>50</v>
      </c>
      <c r="H1523" s="2">
        <v>69.48</v>
      </c>
      <c r="I1523">
        <v>0</v>
      </c>
      <c r="J1523" s="5">
        <f>BBDD_fashion_boutique[[#This Row],[markdown_percentage]]/100</f>
        <v>0</v>
      </c>
      <c r="K1523" s="2">
        <v>69.48</v>
      </c>
      <c r="L1523" s="2">
        <f>BBDD_fashion_boutique[[#This Row],[original_price]]-BBDD_fashion_boutique[[#This Row],[current_price]]</f>
        <v>0</v>
      </c>
      <c r="M1523" s="1">
        <v>45875</v>
      </c>
      <c r="N1523" s="1" t="str">
        <f>PROPER(TEXT(BBDD_fashion_boutique[[#This Row],[purchase_date]],"dddd"))</f>
        <v>Miércoles</v>
      </c>
      <c r="O1523" s="1" t="str">
        <f>PROPER(TEXT(BBDD_fashion_boutique[[#This Row],[purchase_date]],"mmmm"))</f>
        <v>Agosto</v>
      </c>
      <c r="P1523" s="4">
        <v>17</v>
      </c>
      <c r="Q1523" s="2">
        <v>3.4</v>
      </c>
      <c r="R1523" t="str">
        <f>IF(BBDD_fashion_boutique[[#This Row],[stock_quantity]]&gt;9,"Ok",IF(BBDD_fashion_boutique[[#This Row],[stock_quantity]]=0,"Agotado","Pocas Unidades"))</f>
        <v>Ok</v>
      </c>
      <c r="S1523" s="3">
        <f>IF(BBDD_fashion_boutique[[#This Row],[customer_rating]]="","No valorado",BBDD_fashion_boutique[[#This Row],[customer_rating]])</f>
        <v>3.4</v>
      </c>
      <c r="T1523" t="s">
        <v>24</v>
      </c>
      <c r="V1523">
        <f>IF(BBDD_fashion_boutique[[#This Row],[is_returned]]="False",0,1)</f>
        <v>0</v>
      </c>
      <c r="W1523">
        <f>IF(BBDD_fashion_boutique[[#This Row],[is_returned]]="True",0,BBDD_fashion_boutique[[#This Row],[current_price]])</f>
        <v>69.48</v>
      </c>
      <c r="X1523" t="str">
        <f>IF(BBDD_fashion_boutique[[#This Row],[return_reason]]="","No return",BBDD_fashion_boutique[[#This Row],[return_reason]])</f>
        <v>No return</v>
      </c>
      <c r="Y1523">
        <f>IF(IFERROR(VLOOKUP(BBDD_fashion_boutique[[#This Row],[product_id]],A1524:A3699,1,FALSE),0),1,0)</f>
        <v>0</v>
      </c>
    </row>
    <row r="1524" spans="1:25" x14ac:dyDescent="0.3">
      <c r="A1524" t="s">
        <v>1583</v>
      </c>
      <c r="B1524" t="s">
        <v>19</v>
      </c>
      <c r="C1524" t="s">
        <v>37</v>
      </c>
      <c r="D1524" t="s">
        <v>68</v>
      </c>
      <c r="E1524" t="s">
        <v>29</v>
      </c>
      <c r="F1524" t="str">
        <f>IF(BBDD_fashion_boutique[[#This Row],[category]]="Accessories","Accesorio",IF(BBDD_fashion_boutique[[#This Row],[size]]="","Desconocido",BBDD_fashion_boutique[[#This Row],[size]]))</f>
        <v>L</v>
      </c>
      <c r="G1524" t="s">
        <v>46</v>
      </c>
      <c r="H1524" s="2">
        <v>177.82</v>
      </c>
      <c r="I1524">
        <v>0</v>
      </c>
      <c r="J1524" s="5">
        <f>BBDD_fashion_boutique[[#This Row],[markdown_percentage]]/100</f>
        <v>0</v>
      </c>
      <c r="K1524" s="2">
        <v>177.82</v>
      </c>
      <c r="L1524" s="2">
        <f>BBDD_fashion_boutique[[#This Row],[original_price]]-BBDD_fashion_boutique[[#This Row],[current_price]]</f>
        <v>0</v>
      </c>
      <c r="M1524" s="1">
        <v>45875</v>
      </c>
      <c r="N1524" s="1" t="str">
        <f>PROPER(TEXT(BBDD_fashion_boutique[[#This Row],[purchase_date]],"dddd"))</f>
        <v>Miércoles</v>
      </c>
      <c r="O1524" s="1" t="str">
        <f>PROPER(TEXT(BBDD_fashion_boutique[[#This Row],[purchase_date]],"mmmm"))</f>
        <v>Agosto</v>
      </c>
      <c r="P1524" s="4">
        <v>9</v>
      </c>
      <c r="Q1524" s="2">
        <v>1.1000000000000001</v>
      </c>
      <c r="R1524" t="str">
        <f>IF(BBDD_fashion_boutique[[#This Row],[stock_quantity]]&gt;9,"Ok",IF(BBDD_fashion_boutique[[#This Row],[stock_quantity]]=0,"Agotado","Pocas Unidades"))</f>
        <v>Pocas Unidades</v>
      </c>
      <c r="S1524" s="3">
        <f>IF(BBDD_fashion_boutique[[#This Row],[customer_rating]]="","No valorado",BBDD_fashion_boutique[[#This Row],[customer_rating]])</f>
        <v>1.1000000000000001</v>
      </c>
      <c r="T1524" t="s">
        <v>24</v>
      </c>
      <c r="V1524">
        <f>IF(BBDD_fashion_boutique[[#This Row],[is_returned]]="False",0,1)</f>
        <v>0</v>
      </c>
      <c r="W1524">
        <f>IF(BBDD_fashion_boutique[[#This Row],[is_returned]]="True",0,BBDD_fashion_boutique[[#This Row],[current_price]])</f>
        <v>177.82</v>
      </c>
      <c r="X1524" t="str">
        <f>IF(BBDD_fashion_boutique[[#This Row],[return_reason]]="","No return",BBDD_fashion_boutique[[#This Row],[return_reason]])</f>
        <v>No return</v>
      </c>
      <c r="Y1524">
        <f>IF(IFERROR(VLOOKUP(BBDD_fashion_boutique[[#This Row],[product_id]],A1525:A3700,1,FALSE),0),1,0)</f>
        <v>0</v>
      </c>
    </row>
    <row r="1525" spans="1:25" x14ac:dyDescent="0.3">
      <c r="A1525" t="s">
        <v>1584</v>
      </c>
      <c r="B1525" t="s">
        <v>35</v>
      </c>
      <c r="C1525" t="s">
        <v>37</v>
      </c>
      <c r="D1525" t="s">
        <v>28</v>
      </c>
      <c r="E1525" t="s">
        <v>29</v>
      </c>
      <c r="F1525" t="str">
        <f>IF(BBDD_fashion_boutique[[#This Row],[category]]="Accessories","Accesorio",IF(BBDD_fashion_boutique[[#This Row],[size]]="","Desconocido",BBDD_fashion_boutique[[#This Row],[size]]))</f>
        <v>L</v>
      </c>
      <c r="G1525" t="s">
        <v>30</v>
      </c>
      <c r="H1525" s="2">
        <v>142.71</v>
      </c>
      <c r="I1525">
        <v>0</v>
      </c>
      <c r="J1525" s="5">
        <f>BBDD_fashion_boutique[[#This Row],[markdown_percentage]]/100</f>
        <v>0</v>
      </c>
      <c r="K1525" s="2">
        <v>142.71</v>
      </c>
      <c r="L1525" s="2">
        <f>BBDD_fashion_boutique[[#This Row],[original_price]]-BBDD_fashion_boutique[[#This Row],[current_price]]</f>
        <v>0</v>
      </c>
      <c r="M1525" s="1">
        <v>45875</v>
      </c>
      <c r="N1525" s="1" t="str">
        <f>PROPER(TEXT(BBDD_fashion_boutique[[#This Row],[purchase_date]],"dddd"))</f>
        <v>Miércoles</v>
      </c>
      <c r="O1525" s="1" t="str">
        <f>PROPER(TEXT(BBDD_fashion_boutique[[#This Row],[purchase_date]],"mmmm"))</f>
        <v>Agosto</v>
      </c>
      <c r="P1525" s="4">
        <v>28</v>
      </c>
      <c r="Q1525" s="2">
        <v>1</v>
      </c>
      <c r="R1525" t="str">
        <f>IF(BBDD_fashion_boutique[[#This Row],[stock_quantity]]&gt;9,"Ok",IF(BBDD_fashion_boutique[[#This Row],[stock_quantity]]=0,"Agotado","Pocas Unidades"))</f>
        <v>Ok</v>
      </c>
      <c r="S1525" s="3">
        <f>IF(BBDD_fashion_boutique[[#This Row],[customer_rating]]="","No valorado",BBDD_fashion_boutique[[#This Row],[customer_rating]])</f>
        <v>1</v>
      </c>
      <c r="T1525" t="s">
        <v>24</v>
      </c>
      <c r="V1525">
        <f>IF(BBDD_fashion_boutique[[#This Row],[is_returned]]="False",0,1)</f>
        <v>0</v>
      </c>
      <c r="W1525">
        <f>IF(BBDD_fashion_boutique[[#This Row],[is_returned]]="True",0,BBDD_fashion_boutique[[#This Row],[current_price]])</f>
        <v>142.71</v>
      </c>
      <c r="X1525" t="str">
        <f>IF(BBDD_fashion_boutique[[#This Row],[return_reason]]="","No return",BBDD_fashion_boutique[[#This Row],[return_reason]])</f>
        <v>No return</v>
      </c>
      <c r="Y1525">
        <f>IF(IFERROR(VLOOKUP(BBDD_fashion_boutique[[#This Row],[product_id]],A1526:A3701,1,FALSE),0),1,0)</f>
        <v>0</v>
      </c>
    </row>
    <row r="1526" spans="1:25" x14ac:dyDescent="0.3">
      <c r="A1526" t="s">
        <v>1585</v>
      </c>
      <c r="B1526" t="s">
        <v>44</v>
      </c>
      <c r="C1526" t="s">
        <v>20</v>
      </c>
      <c r="D1526" t="s">
        <v>21</v>
      </c>
      <c r="E1526" t="s">
        <v>61</v>
      </c>
      <c r="F1526" t="str">
        <f>IF(BBDD_fashion_boutique[[#This Row],[category]]="Accessories","Accesorio",IF(BBDD_fashion_boutique[[#This Row],[size]]="","Desconocido",BBDD_fashion_boutique[[#This Row],[size]]))</f>
        <v>XS</v>
      </c>
      <c r="G1526" t="s">
        <v>50</v>
      </c>
      <c r="H1526" s="2">
        <v>105.21</v>
      </c>
      <c r="I1526">
        <v>0</v>
      </c>
      <c r="J1526" s="5">
        <f>BBDD_fashion_boutique[[#This Row],[markdown_percentage]]/100</f>
        <v>0</v>
      </c>
      <c r="K1526" s="2">
        <v>105.21</v>
      </c>
      <c r="L1526" s="2">
        <f>BBDD_fashion_boutique[[#This Row],[original_price]]-BBDD_fashion_boutique[[#This Row],[current_price]]</f>
        <v>0</v>
      </c>
      <c r="M1526" s="1">
        <v>45598</v>
      </c>
      <c r="N1526" s="1" t="str">
        <f>PROPER(TEXT(BBDD_fashion_boutique[[#This Row],[purchase_date]],"dddd"))</f>
        <v>Sábado</v>
      </c>
      <c r="O1526" s="1" t="str">
        <f>PROPER(TEXT(BBDD_fashion_boutique[[#This Row],[purchase_date]],"mmmm"))</f>
        <v>Noviembre</v>
      </c>
      <c r="P1526" s="4">
        <v>41</v>
      </c>
      <c r="Q1526" s="2">
        <v>4.9000000000000004</v>
      </c>
      <c r="R1526" t="str">
        <f>IF(BBDD_fashion_boutique[[#This Row],[stock_quantity]]&gt;9,"Ok",IF(BBDD_fashion_boutique[[#This Row],[stock_quantity]]=0,"Agotado","Pocas Unidades"))</f>
        <v>Ok</v>
      </c>
      <c r="S1526" s="3">
        <f>IF(BBDD_fashion_boutique[[#This Row],[customer_rating]]="","No valorado",BBDD_fashion_boutique[[#This Row],[customer_rating]])</f>
        <v>4.9000000000000004</v>
      </c>
      <c r="T1526" t="s">
        <v>24</v>
      </c>
      <c r="V1526">
        <f>IF(BBDD_fashion_boutique[[#This Row],[is_returned]]="False",0,1)</f>
        <v>0</v>
      </c>
      <c r="W1526">
        <f>IF(BBDD_fashion_boutique[[#This Row],[is_returned]]="True",0,BBDD_fashion_boutique[[#This Row],[current_price]])</f>
        <v>105.21</v>
      </c>
      <c r="X1526" t="str">
        <f>IF(BBDD_fashion_boutique[[#This Row],[return_reason]]="","No return",BBDD_fashion_boutique[[#This Row],[return_reason]])</f>
        <v>No return</v>
      </c>
      <c r="Y1526">
        <f>IF(IFERROR(VLOOKUP(BBDD_fashion_boutique[[#This Row],[product_id]],A1527:A3702,1,FALSE),0),1,0)</f>
        <v>0</v>
      </c>
    </row>
    <row r="1527" spans="1:25" x14ac:dyDescent="0.3">
      <c r="A1527" t="s">
        <v>1586</v>
      </c>
      <c r="B1527" t="s">
        <v>32</v>
      </c>
      <c r="C1527" t="s">
        <v>81</v>
      </c>
      <c r="D1527" t="s">
        <v>39</v>
      </c>
      <c r="F1527" t="str">
        <f>IF(BBDD_fashion_boutique[[#This Row],[category]]="Accessories","Accesorio",IF(BBDD_fashion_boutique[[#This Row],[size]]="","Desconocido",BBDD_fashion_boutique[[#This Row],[size]]))</f>
        <v>Accesorio</v>
      </c>
      <c r="G1527" t="s">
        <v>46</v>
      </c>
      <c r="H1527" s="2">
        <v>65.09</v>
      </c>
      <c r="I1527">
        <v>49.8</v>
      </c>
      <c r="J1527" s="5">
        <f>BBDD_fashion_boutique[[#This Row],[markdown_percentage]]/100</f>
        <v>0.498</v>
      </c>
      <c r="K1527" s="2">
        <v>32.68</v>
      </c>
      <c r="L1527" s="2">
        <f>BBDD_fashion_boutique[[#This Row],[original_price]]-BBDD_fashion_boutique[[#This Row],[current_price]]</f>
        <v>32.410000000000004</v>
      </c>
      <c r="M1527" s="1">
        <v>45875</v>
      </c>
      <c r="N1527" s="1" t="str">
        <f>PROPER(TEXT(BBDD_fashion_boutique[[#This Row],[purchase_date]],"dddd"))</f>
        <v>Miércoles</v>
      </c>
      <c r="O1527" s="1" t="str">
        <f>PROPER(TEXT(BBDD_fashion_boutique[[#This Row],[purchase_date]],"mmmm"))</f>
        <v>Agosto</v>
      </c>
      <c r="P1527" s="4">
        <v>32</v>
      </c>
      <c r="Q1527" s="2">
        <v>4.9000000000000004</v>
      </c>
      <c r="R1527" t="str">
        <f>IF(BBDD_fashion_boutique[[#This Row],[stock_quantity]]&gt;9,"Ok",IF(BBDD_fashion_boutique[[#This Row],[stock_quantity]]=0,"Agotado","Pocas Unidades"))</f>
        <v>Ok</v>
      </c>
      <c r="S1527" s="3">
        <f>IF(BBDD_fashion_boutique[[#This Row],[customer_rating]]="","No valorado",BBDD_fashion_boutique[[#This Row],[customer_rating]])</f>
        <v>4.9000000000000004</v>
      </c>
      <c r="T1527" t="s">
        <v>24</v>
      </c>
      <c r="V1527">
        <f>IF(BBDD_fashion_boutique[[#This Row],[is_returned]]="False",0,1)</f>
        <v>0</v>
      </c>
      <c r="W1527">
        <f>IF(BBDD_fashion_boutique[[#This Row],[is_returned]]="True",0,BBDD_fashion_boutique[[#This Row],[current_price]])</f>
        <v>32.68</v>
      </c>
      <c r="X1527" t="str">
        <f>IF(BBDD_fashion_boutique[[#This Row],[return_reason]]="","No return",BBDD_fashion_boutique[[#This Row],[return_reason]])</f>
        <v>No return</v>
      </c>
      <c r="Y1527">
        <f>IF(IFERROR(VLOOKUP(BBDD_fashion_boutique[[#This Row],[product_id]],A1528:A3703,1,FALSE),0),1,0)</f>
        <v>0</v>
      </c>
    </row>
    <row r="1528" spans="1:25" x14ac:dyDescent="0.3">
      <c r="A1528" t="s">
        <v>1587</v>
      </c>
      <c r="B1528" t="s">
        <v>19</v>
      </c>
      <c r="C1528" t="s">
        <v>27</v>
      </c>
      <c r="D1528" t="s">
        <v>28</v>
      </c>
      <c r="E1528" t="s">
        <v>64</v>
      </c>
      <c r="F1528" t="str">
        <f>IF(BBDD_fashion_boutique[[#This Row],[category]]="Accessories","Accesorio",IF(BBDD_fashion_boutique[[#This Row],[size]]="","Desconocido",BBDD_fashion_boutique[[#This Row],[size]]))</f>
        <v>M</v>
      </c>
      <c r="G1528" t="s">
        <v>70</v>
      </c>
      <c r="H1528" s="2">
        <v>167.39</v>
      </c>
      <c r="I1528">
        <v>0</v>
      </c>
      <c r="J1528" s="5">
        <f>BBDD_fashion_boutique[[#This Row],[markdown_percentage]]/100</f>
        <v>0</v>
      </c>
      <c r="K1528" s="2">
        <v>167.39</v>
      </c>
      <c r="L1528" s="2">
        <f>BBDD_fashion_boutique[[#This Row],[original_price]]-BBDD_fashion_boutique[[#This Row],[current_price]]</f>
        <v>0</v>
      </c>
      <c r="M1528" s="1">
        <v>45875</v>
      </c>
      <c r="N1528" s="1" t="str">
        <f>PROPER(TEXT(BBDD_fashion_boutique[[#This Row],[purchase_date]],"dddd"))</f>
        <v>Miércoles</v>
      </c>
      <c r="O1528" s="1" t="str">
        <f>PROPER(TEXT(BBDD_fashion_boutique[[#This Row],[purchase_date]],"mmmm"))</f>
        <v>Agosto</v>
      </c>
      <c r="P1528" s="4">
        <v>43</v>
      </c>
      <c r="Q1528" s="2">
        <v>1.8</v>
      </c>
      <c r="R1528" t="str">
        <f>IF(BBDD_fashion_boutique[[#This Row],[stock_quantity]]&gt;9,"Ok",IF(BBDD_fashion_boutique[[#This Row],[stock_quantity]]=0,"Agotado","Pocas Unidades"))</f>
        <v>Ok</v>
      </c>
      <c r="S1528" s="3">
        <f>IF(BBDD_fashion_boutique[[#This Row],[customer_rating]]="","No valorado",BBDD_fashion_boutique[[#This Row],[customer_rating]])</f>
        <v>1.8</v>
      </c>
      <c r="T1528" t="s">
        <v>24</v>
      </c>
      <c r="V1528">
        <f>IF(BBDD_fashion_boutique[[#This Row],[is_returned]]="False",0,1)</f>
        <v>0</v>
      </c>
      <c r="W1528">
        <f>IF(BBDD_fashion_boutique[[#This Row],[is_returned]]="True",0,BBDD_fashion_boutique[[#This Row],[current_price]])</f>
        <v>167.39</v>
      </c>
      <c r="X1528" t="str">
        <f>IF(BBDD_fashion_boutique[[#This Row],[return_reason]]="","No return",BBDD_fashion_boutique[[#This Row],[return_reason]])</f>
        <v>No return</v>
      </c>
      <c r="Y1528">
        <f>IF(IFERROR(VLOOKUP(BBDD_fashion_boutique[[#This Row],[product_id]],A1529:A3704,1,FALSE),0),1,0)</f>
        <v>0</v>
      </c>
    </row>
    <row r="1529" spans="1:25" x14ac:dyDescent="0.3">
      <c r="A1529" t="s">
        <v>1588</v>
      </c>
      <c r="B1529" t="s">
        <v>32</v>
      </c>
      <c r="C1529" t="s">
        <v>27</v>
      </c>
      <c r="D1529" t="s">
        <v>28</v>
      </c>
      <c r="F1529" t="str">
        <f>IF(BBDD_fashion_boutique[[#This Row],[category]]="Accessories","Accesorio",IF(BBDD_fashion_boutique[[#This Row],[size]]="","Desconocido",BBDD_fashion_boutique[[#This Row],[size]]))</f>
        <v>Accesorio</v>
      </c>
      <c r="G1529" t="s">
        <v>23</v>
      </c>
      <c r="H1529" s="2">
        <v>49.89</v>
      </c>
      <c r="I1529">
        <v>0</v>
      </c>
      <c r="J1529" s="5">
        <f>BBDD_fashion_boutique[[#This Row],[markdown_percentage]]/100</f>
        <v>0</v>
      </c>
      <c r="K1529" s="2">
        <v>49.89</v>
      </c>
      <c r="L1529" s="2">
        <f>BBDD_fashion_boutique[[#This Row],[original_price]]-BBDD_fashion_boutique[[#This Row],[current_price]]</f>
        <v>0</v>
      </c>
      <c r="M1529" s="1">
        <v>45875</v>
      </c>
      <c r="N1529" s="1" t="str">
        <f>PROPER(TEXT(BBDD_fashion_boutique[[#This Row],[purchase_date]],"dddd"))</f>
        <v>Miércoles</v>
      </c>
      <c r="O1529" s="1" t="str">
        <f>PROPER(TEXT(BBDD_fashion_boutique[[#This Row],[purchase_date]],"mmmm"))</f>
        <v>Agosto</v>
      </c>
      <c r="P1529" s="4">
        <v>32</v>
      </c>
      <c r="Q1529" s="2">
        <v>2.4</v>
      </c>
      <c r="R1529" t="str">
        <f>IF(BBDD_fashion_boutique[[#This Row],[stock_quantity]]&gt;9,"Ok",IF(BBDD_fashion_boutique[[#This Row],[stock_quantity]]=0,"Agotado","Pocas Unidades"))</f>
        <v>Ok</v>
      </c>
      <c r="S1529" s="3">
        <f>IF(BBDD_fashion_boutique[[#This Row],[customer_rating]]="","No valorado",BBDD_fashion_boutique[[#This Row],[customer_rating]])</f>
        <v>2.4</v>
      </c>
      <c r="T1529" t="s">
        <v>24</v>
      </c>
      <c r="V1529">
        <f>IF(BBDD_fashion_boutique[[#This Row],[is_returned]]="False",0,1)</f>
        <v>0</v>
      </c>
      <c r="W1529">
        <f>IF(BBDD_fashion_boutique[[#This Row],[is_returned]]="True",0,BBDD_fashion_boutique[[#This Row],[current_price]])</f>
        <v>49.89</v>
      </c>
      <c r="X1529" t="str">
        <f>IF(BBDD_fashion_boutique[[#This Row],[return_reason]]="","No return",BBDD_fashion_boutique[[#This Row],[return_reason]])</f>
        <v>No return</v>
      </c>
      <c r="Y1529">
        <f>IF(IFERROR(VLOOKUP(BBDD_fashion_boutique[[#This Row],[product_id]],A1530:A3705,1,FALSE),0),1,0)</f>
        <v>0</v>
      </c>
    </row>
    <row r="1530" spans="1:25" x14ac:dyDescent="0.3">
      <c r="A1530" t="s">
        <v>1589</v>
      </c>
      <c r="B1530" t="s">
        <v>19</v>
      </c>
      <c r="C1530" t="s">
        <v>37</v>
      </c>
      <c r="D1530" t="s">
        <v>39</v>
      </c>
      <c r="E1530" t="s">
        <v>45</v>
      </c>
      <c r="F1530" t="str">
        <f>IF(BBDD_fashion_boutique[[#This Row],[category]]="Accessories","Accesorio",IF(BBDD_fashion_boutique[[#This Row],[size]]="","Desconocido",BBDD_fashion_boutique[[#This Row],[size]]))</f>
        <v>S</v>
      </c>
      <c r="G1530" t="s">
        <v>40</v>
      </c>
      <c r="H1530" s="2">
        <v>218.06</v>
      </c>
      <c r="I1530">
        <v>0</v>
      </c>
      <c r="J1530" s="5">
        <f>BBDD_fashion_boutique[[#This Row],[markdown_percentage]]/100</f>
        <v>0</v>
      </c>
      <c r="K1530" s="2">
        <v>218.06</v>
      </c>
      <c r="L1530" s="2">
        <f>BBDD_fashion_boutique[[#This Row],[original_price]]-BBDD_fashion_boutique[[#This Row],[current_price]]</f>
        <v>0</v>
      </c>
      <c r="M1530" s="1">
        <v>45875</v>
      </c>
      <c r="N1530" s="1" t="str">
        <f>PROPER(TEXT(BBDD_fashion_boutique[[#This Row],[purchase_date]],"dddd"))</f>
        <v>Miércoles</v>
      </c>
      <c r="O1530" s="1" t="str">
        <f>PROPER(TEXT(BBDD_fashion_boutique[[#This Row],[purchase_date]],"mmmm"))</f>
        <v>Agosto</v>
      </c>
      <c r="P1530" s="4">
        <v>32</v>
      </c>
      <c r="Q1530" s="2">
        <v>4</v>
      </c>
      <c r="R1530" t="str">
        <f>IF(BBDD_fashion_boutique[[#This Row],[stock_quantity]]&gt;9,"Ok",IF(BBDD_fashion_boutique[[#This Row],[stock_quantity]]=0,"Agotado","Pocas Unidades"))</f>
        <v>Ok</v>
      </c>
      <c r="S1530" s="3">
        <f>IF(BBDD_fashion_boutique[[#This Row],[customer_rating]]="","No valorado",BBDD_fashion_boutique[[#This Row],[customer_rating]])</f>
        <v>4</v>
      </c>
      <c r="T1530" t="s">
        <v>24</v>
      </c>
      <c r="V1530">
        <f>IF(BBDD_fashion_boutique[[#This Row],[is_returned]]="False",0,1)</f>
        <v>0</v>
      </c>
      <c r="W1530">
        <f>IF(BBDD_fashion_boutique[[#This Row],[is_returned]]="True",0,BBDD_fashion_boutique[[#This Row],[current_price]])</f>
        <v>218.06</v>
      </c>
      <c r="X1530" t="str">
        <f>IF(BBDD_fashion_boutique[[#This Row],[return_reason]]="","No return",BBDD_fashion_boutique[[#This Row],[return_reason]])</f>
        <v>No return</v>
      </c>
      <c r="Y1530">
        <f>IF(IFERROR(VLOOKUP(BBDD_fashion_boutique[[#This Row],[product_id]],A1531:A3706,1,FALSE),0),1,0)</f>
        <v>0</v>
      </c>
    </row>
    <row r="1531" spans="1:25" x14ac:dyDescent="0.3">
      <c r="A1531" t="s">
        <v>1590</v>
      </c>
      <c r="B1531" t="s">
        <v>44</v>
      </c>
      <c r="C1531" t="s">
        <v>67</v>
      </c>
      <c r="D1531" t="s">
        <v>68</v>
      </c>
      <c r="E1531" t="s">
        <v>61</v>
      </c>
      <c r="F1531" t="str">
        <f>IF(BBDD_fashion_boutique[[#This Row],[category]]="Accessories","Accesorio",IF(BBDD_fashion_boutique[[#This Row],[size]]="","Desconocido",BBDD_fashion_boutique[[#This Row],[size]]))</f>
        <v>XS</v>
      </c>
      <c r="G1531" t="s">
        <v>40</v>
      </c>
      <c r="H1531" s="2">
        <v>66.64</v>
      </c>
      <c r="I1531">
        <v>21.8</v>
      </c>
      <c r="J1531" s="5">
        <f>BBDD_fashion_boutique[[#This Row],[markdown_percentage]]/100</f>
        <v>0.218</v>
      </c>
      <c r="K1531" s="2">
        <v>52.11</v>
      </c>
      <c r="L1531" s="2">
        <f>BBDD_fashion_boutique[[#This Row],[original_price]]-BBDD_fashion_boutique[[#This Row],[current_price]]</f>
        <v>14.530000000000001</v>
      </c>
      <c r="M1531" s="1">
        <v>45875</v>
      </c>
      <c r="N1531" s="1" t="str">
        <f>PROPER(TEXT(BBDD_fashion_boutique[[#This Row],[purchase_date]],"dddd"))</f>
        <v>Miércoles</v>
      </c>
      <c r="O1531" s="1" t="str">
        <f>PROPER(TEXT(BBDD_fashion_boutique[[#This Row],[purchase_date]],"mmmm"))</f>
        <v>Agosto</v>
      </c>
      <c r="P1531" s="4">
        <v>25</v>
      </c>
      <c r="Q1531" s="2">
        <v>3.5</v>
      </c>
      <c r="R1531" t="str">
        <f>IF(BBDD_fashion_boutique[[#This Row],[stock_quantity]]&gt;9,"Ok",IF(BBDD_fashion_boutique[[#This Row],[stock_quantity]]=0,"Agotado","Pocas Unidades"))</f>
        <v>Ok</v>
      </c>
      <c r="S1531" s="3">
        <f>IF(BBDD_fashion_boutique[[#This Row],[customer_rating]]="","No valorado",BBDD_fashion_boutique[[#This Row],[customer_rating]])</f>
        <v>3.5</v>
      </c>
      <c r="T1531" t="s">
        <v>41</v>
      </c>
      <c r="U1531" t="s">
        <v>121</v>
      </c>
      <c r="V1531">
        <f>IF(BBDD_fashion_boutique[[#This Row],[is_returned]]="False",0,1)</f>
        <v>1</v>
      </c>
      <c r="W1531">
        <f>IF(BBDD_fashion_boutique[[#This Row],[is_returned]]="True",0,BBDD_fashion_boutique[[#This Row],[current_price]])</f>
        <v>0</v>
      </c>
      <c r="X1531" t="str">
        <f>IF(BBDD_fashion_boutique[[#This Row],[return_reason]]="","No return",BBDD_fashion_boutique[[#This Row],[return_reason]])</f>
        <v>Changed Mind</v>
      </c>
      <c r="Y1531">
        <f>IF(IFERROR(VLOOKUP(BBDD_fashion_boutique[[#This Row],[product_id]],A1532:A3707,1,FALSE),0),1,0)</f>
        <v>0</v>
      </c>
    </row>
    <row r="1532" spans="1:25" x14ac:dyDescent="0.3">
      <c r="A1532" t="s">
        <v>1591</v>
      </c>
      <c r="B1532" t="s">
        <v>19</v>
      </c>
      <c r="C1532" t="s">
        <v>59</v>
      </c>
      <c r="D1532" t="s">
        <v>39</v>
      </c>
      <c r="E1532" t="s">
        <v>45</v>
      </c>
      <c r="F1532" t="str">
        <f>IF(BBDD_fashion_boutique[[#This Row],[category]]="Accessories","Accesorio",IF(BBDD_fashion_boutique[[#This Row],[size]]="","Desconocido",BBDD_fashion_boutique[[#This Row],[size]]))</f>
        <v>S</v>
      </c>
      <c r="G1532" t="s">
        <v>46</v>
      </c>
      <c r="H1532" s="2">
        <v>124.69</v>
      </c>
      <c r="I1532">
        <v>40.9</v>
      </c>
      <c r="J1532" s="5">
        <f>BBDD_fashion_boutique[[#This Row],[markdown_percentage]]/100</f>
        <v>0.40899999999999997</v>
      </c>
      <c r="K1532" s="2">
        <v>73.69</v>
      </c>
      <c r="L1532" s="2">
        <f>BBDD_fashion_boutique[[#This Row],[original_price]]-BBDD_fashion_boutique[[#This Row],[current_price]]</f>
        <v>51</v>
      </c>
      <c r="M1532" s="1">
        <v>45875</v>
      </c>
      <c r="N1532" s="1" t="str">
        <f>PROPER(TEXT(BBDD_fashion_boutique[[#This Row],[purchase_date]],"dddd"))</f>
        <v>Miércoles</v>
      </c>
      <c r="O1532" s="1" t="str">
        <f>PROPER(TEXT(BBDD_fashion_boutique[[#This Row],[purchase_date]],"mmmm"))</f>
        <v>Agosto</v>
      </c>
      <c r="P1532" s="4">
        <v>9</v>
      </c>
      <c r="Q1532" s="2">
        <v>4.0999999999999996</v>
      </c>
      <c r="R1532" t="str">
        <f>IF(BBDD_fashion_boutique[[#This Row],[stock_quantity]]&gt;9,"Ok",IF(BBDD_fashion_boutique[[#This Row],[stock_quantity]]=0,"Agotado","Pocas Unidades"))</f>
        <v>Pocas Unidades</v>
      </c>
      <c r="S1532" s="3">
        <f>IF(BBDD_fashion_boutique[[#This Row],[customer_rating]]="","No valorado",BBDD_fashion_boutique[[#This Row],[customer_rating]])</f>
        <v>4.0999999999999996</v>
      </c>
      <c r="T1532" t="s">
        <v>24</v>
      </c>
      <c r="V1532">
        <f>IF(BBDD_fashion_boutique[[#This Row],[is_returned]]="False",0,1)</f>
        <v>0</v>
      </c>
      <c r="W1532">
        <f>IF(BBDD_fashion_boutique[[#This Row],[is_returned]]="True",0,BBDD_fashion_boutique[[#This Row],[current_price]])</f>
        <v>73.69</v>
      </c>
      <c r="X1532" t="str">
        <f>IF(BBDD_fashion_boutique[[#This Row],[return_reason]]="","No return",BBDD_fashion_boutique[[#This Row],[return_reason]])</f>
        <v>No return</v>
      </c>
      <c r="Y1532">
        <f>IF(IFERROR(VLOOKUP(BBDD_fashion_boutique[[#This Row],[product_id]],A1533:A3708,1,FALSE),0),1,0)</f>
        <v>0</v>
      </c>
    </row>
    <row r="1533" spans="1:25" x14ac:dyDescent="0.3">
      <c r="A1533" t="s">
        <v>1592</v>
      </c>
      <c r="B1533" t="s">
        <v>26</v>
      </c>
      <c r="C1533" t="s">
        <v>49</v>
      </c>
      <c r="D1533" t="s">
        <v>68</v>
      </c>
      <c r="E1533" t="s">
        <v>45</v>
      </c>
      <c r="F1533" t="str">
        <f>IF(BBDD_fashion_boutique[[#This Row],[category]]="Accessories","Accesorio",IF(BBDD_fashion_boutique[[#This Row],[size]]="","Desconocido",BBDD_fashion_boutique[[#This Row],[size]]))</f>
        <v>S</v>
      </c>
      <c r="G1533" t="s">
        <v>30</v>
      </c>
      <c r="H1533" s="2">
        <v>28.24</v>
      </c>
      <c r="I1533">
        <v>48.2</v>
      </c>
      <c r="J1533" s="5">
        <f>BBDD_fashion_boutique[[#This Row],[markdown_percentage]]/100</f>
        <v>0.48200000000000004</v>
      </c>
      <c r="K1533" s="2">
        <v>14.63</v>
      </c>
      <c r="L1533" s="2">
        <f>BBDD_fashion_boutique[[#This Row],[original_price]]-BBDD_fashion_boutique[[#This Row],[current_price]]</f>
        <v>13.609999999999998</v>
      </c>
      <c r="M1533" s="1">
        <v>45875</v>
      </c>
      <c r="N1533" s="1" t="str">
        <f>PROPER(TEXT(BBDD_fashion_boutique[[#This Row],[purchase_date]],"dddd"))</f>
        <v>Miércoles</v>
      </c>
      <c r="O1533" s="1" t="str">
        <f>PROPER(TEXT(BBDD_fashion_boutique[[#This Row],[purchase_date]],"mmmm"))</f>
        <v>Agosto</v>
      </c>
      <c r="P1533" s="4">
        <v>20</v>
      </c>
      <c r="Q1533" s="2">
        <v>4.5</v>
      </c>
      <c r="R1533" t="str">
        <f>IF(BBDD_fashion_boutique[[#This Row],[stock_quantity]]&gt;9,"Ok",IF(BBDD_fashion_boutique[[#This Row],[stock_quantity]]=0,"Agotado","Pocas Unidades"))</f>
        <v>Ok</v>
      </c>
      <c r="S1533" s="3">
        <f>IF(BBDD_fashion_boutique[[#This Row],[customer_rating]]="","No valorado",BBDD_fashion_boutique[[#This Row],[customer_rating]])</f>
        <v>4.5</v>
      </c>
      <c r="T1533" t="s">
        <v>24</v>
      </c>
      <c r="V1533">
        <f>IF(BBDD_fashion_boutique[[#This Row],[is_returned]]="False",0,1)</f>
        <v>0</v>
      </c>
      <c r="W1533">
        <f>IF(BBDD_fashion_boutique[[#This Row],[is_returned]]="True",0,BBDD_fashion_boutique[[#This Row],[current_price]])</f>
        <v>14.63</v>
      </c>
      <c r="X1533" t="str">
        <f>IF(BBDD_fashion_boutique[[#This Row],[return_reason]]="","No return",BBDD_fashion_boutique[[#This Row],[return_reason]])</f>
        <v>No return</v>
      </c>
      <c r="Y1533">
        <f>IF(IFERROR(VLOOKUP(BBDD_fashion_boutique[[#This Row],[product_id]],A1534:A3709,1,FALSE),0),1,0)</f>
        <v>0</v>
      </c>
    </row>
    <row r="1534" spans="1:25" x14ac:dyDescent="0.3">
      <c r="A1534" t="s">
        <v>1593</v>
      </c>
      <c r="B1534" t="s">
        <v>32</v>
      </c>
      <c r="C1534" t="s">
        <v>20</v>
      </c>
      <c r="D1534" t="s">
        <v>68</v>
      </c>
      <c r="F1534" t="str">
        <f>IF(BBDD_fashion_boutique[[#This Row],[category]]="Accessories","Accesorio",IF(BBDD_fashion_boutique[[#This Row],[size]]="","Desconocido",BBDD_fashion_boutique[[#This Row],[size]]))</f>
        <v>Accesorio</v>
      </c>
      <c r="G1534" t="s">
        <v>72</v>
      </c>
      <c r="H1534" s="2">
        <v>76.39</v>
      </c>
      <c r="I1534">
        <v>53.9</v>
      </c>
      <c r="J1534" s="5">
        <f>BBDD_fashion_boutique[[#This Row],[markdown_percentage]]/100</f>
        <v>0.53900000000000003</v>
      </c>
      <c r="K1534" s="2">
        <v>35.22</v>
      </c>
      <c r="L1534" s="2">
        <f>BBDD_fashion_boutique[[#This Row],[original_price]]-BBDD_fashion_boutique[[#This Row],[current_price]]</f>
        <v>41.17</v>
      </c>
      <c r="M1534" s="1">
        <v>45875</v>
      </c>
      <c r="N1534" s="1" t="str">
        <f>PROPER(TEXT(BBDD_fashion_boutique[[#This Row],[purchase_date]],"dddd"))</f>
        <v>Miércoles</v>
      </c>
      <c r="O1534" s="1" t="str">
        <f>PROPER(TEXT(BBDD_fashion_boutique[[#This Row],[purchase_date]],"mmmm"))</f>
        <v>Agosto</v>
      </c>
      <c r="P1534" s="4">
        <v>15</v>
      </c>
      <c r="Q1534" s="2">
        <v>1.5</v>
      </c>
      <c r="R1534" t="str">
        <f>IF(BBDD_fashion_boutique[[#This Row],[stock_quantity]]&gt;9,"Ok",IF(BBDD_fashion_boutique[[#This Row],[stock_quantity]]=0,"Agotado","Pocas Unidades"))</f>
        <v>Ok</v>
      </c>
      <c r="S1534" s="3">
        <f>IF(BBDD_fashion_boutique[[#This Row],[customer_rating]]="","No valorado",BBDD_fashion_boutique[[#This Row],[customer_rating]])</f>
        <v>1.5</v>
      </c>
      <c r="T1534" t="s">
        <v>24</v>
      </c>
      <c r="V1534">
        <f>IF(BBDD_fashion_boutique[[#This Row],[is_returned]]="False",0,1)</f>
        <v>0</v>
      </c>
      <c r="W1534">
        <f>IF(BBDD_fashion_boutique[[#This Row],[is_returned]]="True",0,BBDD_fashion_boutique[[#This Row],[current_price]])</f>
        <v>35.22</v>
      </c>
      <c r="X1534" t="str">
        <f>IF(BBDD_fashion_boutique[[#This Row],[return_reason]]="","No return",BBDD_fashion_boutique[[#This Row],[return_reason]])</f>
        <v>No return</v>
      </c>
      <c r="Y1534">
        <f>IF(IFERROR(VLOOKUP(BBDD_fashion_boutique[[#This Row],[product_id]],A1535:A3710,1,FALSE),0),1,0)</f>
        <v>0</v>
      </c>
    </row>
    <row r="1535" spans="1:25" x14ac:dyDescent="0.3">
      <c r="A1535" t="s">
        <v>1594</v>
      </c>
      <c r="B1535" t="s">
        <v>44</v>
      </c>
      <c r="C1535" t="s">
        <v>20</v>
      </c>
      <c r="D1535" t="s">
        <v>28</v>
      </c>
      <c r="E1535" t="s">
        <v>64</v>
      </c>
      <c r="F1535" t="str">
        <f>IF(BBDD_fashion_boutique[[#This Row],[category]]="Accessories","Accesorio",IF(BBDD_fashion_boutique[[#This Row],[size]]="","Desconocido",BBDD_fashion_boutique[[#This Row],[size]]))</f>
        <v>M</v>
      </c>
      <c r="G1535" t="s">
        <v>50</v>
      </c>
      <c r="H1535" s="2">
        <v>96.82</v>
      </c>
      <c r="I1535">
        <v>0</v>
      </c>
      <c r="J1535" s="5">
        <f>BBDD_fashion_boutique[[#This Row],[markdown_percentage]]/100</f>
        <v>0</v>
      </c>
      <c r="K1535" s="2">
        <v>96.82</v>
      </c>
      <c r="L1535" s="2">
        <f>BBDD_fashion_boutique[[#This Row],[original_price]]-BBDD_fashion_boutique[[#This Row],[current_price]]</f>
        <v>0</v>
      </c>
      <c r="M1535" s="1">
        <v>45875</v>
      </c>
      <c r="N1535" s="1" t="str">
        <f>PROPER(TEXT(BBDD_fashion_boutique[[#This Row],[purchase_date]],"dddd"))</f>
        <v>Miércoles</v>
      </c>
      <c r="O1535" s="1" t="str">
        <f>PROPER(TEXT(BBDD_fashion_boutique[[#This Row],[purchase_date]],"mmmm"))</f>
        <v>Agosto</v>
      </c>
      <c r="P1535" s="4">
        <v>0</v>
      </c>
      <c r="Q1535" s="2">
        <v>1.1000000000000001</v>
      </c>
      <c r="R1535" t="str">
        <f>IF(BBDD_fashion_boutique[[#This Row],[stock_quantity]]&gt;9,"Ok",IF(BBDD_fashion_boutique[[#This Row],[stock_quantity]]=0,"Agotado","Pocas Unidades"))</f>
        <v>Agotado</v>
      </c>
      <c r="S1535" s="3">
        <f>IF(BBDD_fashion_boutique[[#This Row],[customer_rating]]="","No valorado",BBDD_fashion_boutique[[#This Row],[customer_rating]])</f>
        <v>1.1000000000000001</v>
      </c>
      <c r="T1535" t="s">
        <v>24</v>
      </c>
      <c r="V1535">
        <f>IF(BBDD_fashion_boutique[[#This Row],[is_returned]]="False",0,1)</f>
        <v>0</v>
      </c>
      <c r="W1535">
        <f>IF(BBDD_fashion_boutique[[#This Row],[is_returned]]="True",0,BBDD_fashion_boutique[[#This Row],[current_price]])</f>
        <v>96.82</v>
      </c>
      <c r="X1535" t="str">
        <f>IF(BBDD_fashion_boutique[[#This Row],[return_reason]]="","No return",BBDD_fashion_boutique[[#This Row],[return_reason]])</f>
        <v>No return</v>
      </c>
      <c r="Y1535">
        <f>IF(IFERROR(VLOOKUP(BBDD_fashion_boutique[[#This Row],[product_id]],A1536:A3711,1,FALSE),0),1,0)</f>
        <v>0</v>
      </c>
    </row>
    <row r="1536" spans="1:25" x14ac:dyDescent="0.3">
      <c r="A1536" t="s">
        <v>1595</v>
      </c>
      <c r="B1536" t="s">
        <v>35</v>
      </c>
      <c r="C1536" t="s">
        <v>37</v>
      </c>
      <c r="D1536" t="s">
        <v>39</v>
      </c>
      <c r="E1536" t="s">
        <v>61</v>
      </c>
      <c r="F1536" t="str">
        <f>IF(BBDD_fashion_boutique[[#This Row],[category]]="Accessories","Accesorio",IF(BBDD_fashion_boutique[[#This Row],[size]]="","Desconocido",BBDD_fashion_boutique[[#This Row],[size]]))</f>
        <v>XS</v>
      </c>
      <c r="G1536" t="s">
        <v>70</v>
      </c>
      <c r="H1536" s="2">
        <v>159.25</v>
      </c>
      <c r="I1536">
        <v>28.2</v>
      </c>
      <c r="J1536" s="5">
        <f>BBDD_fashion_boutique[[#This Row],[markdown_percentage]]/100</f>
        <v>0.28199999999999997</v>
      </c>
      <c r="K1536" s="2">
        <v>114.34</v>
      </c>
      <c r="L1536" s="2">
        <f>BBDD_fashion_boutique[[#This Row],[original_price]]-BBDD_fashion_boutique[[#This Row],[current_price]]</f>
        <v>44.91</v>
      </c>
      <c r="M1536" s="1">
        <v>45875</v>
      </c>
      <c r="N1536" s="1" t="str">
        <f>PROPER(TEXT(BBDD_fashion_boutique[[#This Row],[purchase_date]],"dddd"))</f>
        <v>Miércoles</v>
      </c>
      <c r="O1536" s="1" t="str">
        <f>PROPER(TEXT(BBDD_fashion_boutique[[#This Row],[purchase_date]],"mmmm"))</f>
        <v>Agosto</v>
      </c>
      <c r="P1536" s="4">
        <v>1</v>
      </c>
      <c r="R1536" t="str">
        <f>IF(BBDD_fashion_boutique[[#This Row],[stock_quantity]]&gt;9,"Ok",IF(BBDD_fashion_boutique[[#This Row],[stock_quantity]]=0,"Agotado","Pocas Unidades"))</f>
        <v>Pocas Unidades</v>
      </c>
      <c r="S1536" s="3" t="str">
        <f>IF(BBDD_fashion_boutique[[#This Row],[customer_rating]]="","No valorado",BBDD_fashion_boutique[[#This Row],[customer_rating]])</f>
        <v>No valorado</v>
      </c>
      <c r="T1536" t="s">
        <v>41</v>
      </c>
      <c r="U1536" t="s">
        <v>131</v>
      </c>
      <c r="V1536">
        <f>IF(BBDD_fashion_boutique[[#This Row],[is_returned]]="False",0,1)</f>
        <v>1</v>
      </c>
      <c r="W1536">
        <f>IF(BBDD_fashion_boutique[[#This Row],[is_returned]]="True",0,BBDD_fashion_boutique[[#This Row],[current_price]])</f>
        <v>0</v>
      </c>
      <c r="X1536" t="str">
        <f>IF(BBDD_fashion_boutique[[#This Row],[return_reason]]="","No return",BBDD_fashion_boutique[[#This Row],[return_reason]])</f>
        <v>Wrong Item</v>
      </c>
      <c r="Y1536">
        <f>IF(IFERROR(VLOOKUP(BBDD_fashion_boutique[[#This Row],[product_id]],A1537:A3712,1,FALSE),0),1,0)</f>
        <v>0</v>
      </c>
    </row>
    <row r="1537" spans="1:25" x14ac:dyDescent="0.3">
      <c r="A1537" t="s">
        <v>1596</v>
      </c>
      <c r="B1537" t="s">
        <v>48</v>
      </c>
      <c r="C1537" t="s">
        <v>20</v>
      </c>
      <c r="D1537" t="s">
        <v>68</v>
      </c>
      <c r="E1537" t="s">
        <v>55</v>
      </c>
      <c r="F1537" t="str">
        <f>IF(BBDD_fashion_boutique[[#This Row],[category]]="Accessories","Accesorio",IF(BBDD_fashion_boutique[[#This Row],[size]]="","Desconocido",BBDD_fashion_boutique[[#This Row],[size]]))</f>
        <v>XXL</v>
      </c>
      <c r="G1537" t="s">
        <v>70</v>
      </c>
      <c r="H1537" s="2">
        <v>171.93</v>
      </c>
      <c r="I1537">
        <v>52.3</v>
      </c>
      <c r="J1537" s="5">
        <f>BBDD_fashion_boutique[[#This Row],[markdown_percentage]]/100</f>
        <v>0.52300000000000002</v>
      </c>
      <c r="K1537" s="2">
        <v>82.01</v>
      </c>
      <c r="L1537" s="2">
        <f>BBDD_fashion_boutique[[#This Row],[original_price]]-BBDD_fashion_boutique[[#This Row],[current_price]]</f>
        <v>89.92</v>
      </c>
      <c r="M1537" s="1">
        <v>45875</v>
      </c>
      <c r="N1537" s="1" t="str">
        <f>PROPER(TEXT(BBDD_fashion_boutique[[#This Row],[purchase_date]],"dddd"))</f>
        <v>Miércoles</v>
      </c>
      <c r="O1537" s="1" t="str">
        <f>PROPER(TEXT(BBDD_fashion_boutique[[#This Row],[purchase_date]],"mmmm"))</f>
        <v>Agosto</v>
      </c>
      <c r="P1537" s="4">
        <v>28</v>
      </c>
      <c r="Q1537" s="2">
        <v>2.2000000000000002</v>
      </c>
      <c r="R1537" t="str">
        <f>IF(BBDD_fashion_boutique[[#This Row],[stock_quantity]]&gt;9,"Ok",IF(BBDD_fashion_boutique[[#This Row],[stock_quantity]]=0,"Agotado","Pocas Unidades"))</f>
        <v>Ok</v>
      </c>
      <c r="S1537" s="3">
        <f>IF(BBDD_fashion_boutique[[#This Row],[customer_rating]]="","No valorado",BBDD_fashion_boutique[[#This Row],[customer_rating]])</f>
        <v>2.2000000000000002</v>
      </c>
      <c r="T1537" t="s">
        <v>24</v>
      </c>
      <c r="V1537">
        <f>IF(BBDD_fashion_boutique[[#This Row],[is_returned]]="False",0,1)</f>
        <v>0</v>
      </c>
      <c r="W1537">
        <f>IF(BBDD_fashion_boutique[[#This Row],[is_returned]]="True",0,BBDD_fashion_boutique[[#This Row],[current_price]])</f>
        <v>82.01</v>
      </c>
      <c r="X1537" t="str">
        <f>IF(BBDD_fashion_boutique[[#This Row],[return_reason]]="","No return",BBDD_fashion_boutique[[#This Row],[return_reason]])</f>
        <v>No return</v>
      </c>
      <c r="Y1537">
        <f>IF(IFERROR(VLOOKUP(BBDD_fashion_boutique[[#This Row],[product_id]],A1538:A3713,1,FALSE),0),1,0)</f>
        <v>0</v>
      </c>
    </row>
    <row r="1538" spans="1:25" x14ac:dyDescent="0.3">
      <c r="A1538" t="s">
        <v>1597</v>
      </c>
      <c r="B1538" t="s">
        <v>26</v>
      </c>
      <c r="C1538" t="s">
        <v>20</v>
      </c>
      <c r="D1538" t="s">
        <v>68</v>
      </c>
      <c r="E1538" t="s">
        <v>61</v>
      </c>
      <c r="F1538" t="str">
        <f>IF(BBDD_fashion_boutique[[#This Row],[category]]="Accessories","Accesorio",IF(BBDD_fashion_boutique[[#This Row],[size]]="","Desconocido",BBDD_fashion_boutique[[#This Row],[size]]))</f>
        <v>XS</v>
      </c>
      <c r="G1538" t="s">
        <v>76</v>
      </c>
      <c r="H1538" s="2">
        <v>85.25</v>
      </c>
      <c r="I1538">
        <v>0</v>
      </c>
      <c r="J1538" s="5">
        <f>BBDD_fashion_boutique[[#This Row],[markdown_percentage]]/100</f>
        <v>0</v>
      </c>
      <c r="K1538" s="2">
        <v>85.25</v>
      </c>
      <c r="L1538" s="2">
        <f>BBDD_fashion_boutique[[#This Row],[original_price]]-BBDD_fashion_boutique[[#This Row],[current_price]]</f>
        <v>0</v>
      </c>
      <c r="M1538" s="1">
        <v>45875</v>
      </c>
      <c r="N1538" s="1" t="str">
        <f>PROPER(TEXT(BBDD_fashion_boutique[[#This Row],[purchase_date]],"dddd"))</f>
        <v>Miércoles</v>
      </c>
      <c r="O1538" s="1" t="str">
        <f>PROPER(TEXT(BBDD_fashion_boutique[[#This Row],[purchase_date]],"mmmm"))</f>
        <v>Agosto</v>
      </c>
      <c r="P1538" s="4">
        <v>11</v>
      </c>
      <c r="R1538" t="str">
        <f>IF(BBDD_fashion_boutique[[#This Row],[stock_quantity]]&gt;9,"Ok",IF(BBDD_fashion_boutique[[#This Row],[stock_quantity]]=0,"Agotado","Pocas Unidades"))</f>
        <v>Ok</v>
      </c>
      <c r="S1538" s="3" t="str">
        <f>IF(BBDD_fashion_boutique[[#This Row],[customer_rating]]="","No valorado",BBDD_fashion_boutique[[#This Row],[customer_rating]])</f>
        <v>No valorado</v>
      </c>
      <c r="T1538" t="s">
        <v>24</v>
      </c>
      <c r="V1538">
        <f>IF(BBDD_fashion_boutique[[#This Row],[is_returned]]="False",0,1)</f>
        <v>0</v>
      </c>
      <c r="W1538">
        <f>IF(BBDD_fashion_boutique[[#This Row],[is_returned]]="True",0,BBDD_fashion_boutique[[#This Row],[current_price]])</f>
        <v>85.25</v>
      </c>
      <c r="X1538" t="str">
        <f>IF(BBDD_fashion_boutique[[#This Row],[return_reason]]="","No return",BBDD_fashion_boutique[[#This Row],[return_reason]])</f>
        <v>No return</v>
      </c>
      <c r="Y1538">
        <f>IF(IFERROR(VLOOKUP(BBDD_fashion_boutique[[#This Row],[product_id]],A1539:A3714,1,FALSE),0),1,0)</f>
        <v>0</v>
      </c>
    </row>
    <row r="1539" spans="1:25" x14ac:dyDescent="0.3">
      <c r="A1539" t="s">
        <v>1598</v>
      </c>
      <c r="B1539" t="s">
        <v>26</v>
      </c>
      <c r="C1539" t="s">
        <v>37</v>
      </c>
      <c r="D1539" t="s">
        <v>21</v>
      </c>
      <c r="E1539" t="s">
        <v>55</v>
      </c>
      <c r="F1539" t="str">
        <f>IF(BBDD_fashion_boutique[[#This Row],[category]]="Accessories","Accesorio",IF(BBDD_fashion_boutique[[#This Row],[size]]="","Desconocido",BBDD_fashion_boutique[[#This Row],[size]]))</f>
        <v>XXL</v>
      </c>
      <c r="G1539" t="s">
        <v>30</v>
      </c>
      <c r="H1539" s="2">
        <v>70.48</v>
      </c>
      <c r="I1539">
        <v>0</v>
      </c>
      <c r="J1539" s="5">
        <f>BBDD_fashion_boutique[[#This Row],[markdown_percentage]]/100</f>
        <v>0</v>
      </c>
      <c r="K1539" s="2">
        <v>70.48</v>
      </c>
      <c r="L1539" s="2">
        <f>BBDD_fashion_boutique[[#This Row],[original_price]]-BBDD_fashion_boutique[[#This Row],[current_price]]</f>
        <v>0</v>
      </c>
      <c r="M1539" s="1">
        <v>45623</v>
      </c>
      <c r="N1539" s="1" t="str">
        <f>PROPER(TEXT(BBDD_fashion_boutique[[#This Row],[purchase_date]],"dddd"))</f>
        <v>Miércoles</v>
      </c>
      <c r="O1539" s="1" t="str">
        <f>PROPER(TEXT(BBDD_fashion_boutique[[#This Row],[purchase_date]],"mmmm"))</f>
        <v>Noviembre</v>
      </c>
      <c r="P1539" s="4">
        <v>22</v>
      </c>
      <c r="Q1539" s="2">
        <v>1.2</v>
      </c>
      <c r="R1539" t="str">
        <f>IF(BBDD_fashion_boutique[[#This Row],[stock_quantity]]&gt;9,"Ok",IF(BBDD_fashion_boutique[[#This Row],[stock_quantity]]=0,"Agotado","Pocas Unidades"))</f>
        <v>Ok</v>
      </c>
      <c r="S1539" s="3">
        <f>IF(BBDD_fashion_boutique[[#This Row],[customer_rating]]="","No valorado",BBDD_fashion_boutique[[#This Row],[customer_rating]])</f>
        <v>1.2</v>
      </c>
      <c r="T1539" t="s">
        <v>24</v>
      </c>
      <c r="V1539">
        <f>IF(BBDD_fashion_boutique[[#This Row],[is_returned]]="False",0,1)</f>
        <v>0</v>
      </c>
      <c r="W1539">
        <f>IF(BBDD_fashion_boutique[[#This Row],[is_returned]]="True",0,BBDD_fashion_boutique[[#This Row],[current_price]])</f>
        <v>70.48</v>
      </c>
      <c r="X1539" t="str">
        <f>IF(BBDD_fashion_boutique[[#This Row],[return_reason]]="","No return",BBDD_fashion_boutique[[#This Row],[return_reason]])</f>
        <v>No return</v>
      </c>
      <c r="Y1539">
        <f>IF(IFERROR(VLOOKUP(BBDD_fashion_boutique[[#This Row],[product_id]],A1540:A3715,1,FALSE),0),1,0)</f>
        <v>0</v>
      </c>
    </row>
    <row r="1540" spans="1:25" x14ac:dyDescent="0.3">
      <c r="A1540" t="s">
        <v>1599</v>
      </c>
      <c r="B1540" t="s">
        <v>19</v>
      </c>
      <c r="C1540" t="s">
        <v>37</v>
      </c>
      <c r="D1540" t="s">
        <v>21</v>
      </c>
      <c r="E1540" t="s">
        <v>45</v>
      </c>
      <c r="F1540" t="str">
        <f>IF(BBDD_fashion_boutique[[#This Row],[category]]="Accessories","Accesorio",IF(BBDD_fashion_boutique[[#This Row],[size]]="","Desconocido",BBDD_fashion_boutique[[#This Row],[size]]))</f>
        <v>S</v>
      </c>
      <c r="G1540" t="s">
        <v>76</v>
      </c>
      <c r="H1540" s="2">
        <v>203.02</v>
      </c>
      <c r="I1540">
        <v>0</v>
      </c>
      <c r="J1540" s="5">
        <f>BBDD_fashion_boutique[[#This Row],[markdown_percentage]]/100</f>
        <v>0</v>
      </c>
      <c r="K1540" s="2">
        <v>203.02</v>
      </c>
      <c r="L1540" s="2">
        <f>BBDD_fashion_boutique[[#This Row],[original_price]]-BBDD_fashion_boutique[[#This Row],[current_price]]</f>
        <v>0</v>
      </c>
      <c r="M1540" s="1">
        <v>45794</v>
      </c>
      <c r="N1540" s="1" t="str">
        <f>PROPER(TEXT(BBDD_fashion_boutique[[#This Row],[purchase_date]],"dddd"))</f>
        <v>Sábado</v>
      </c>
      <c r="O1540" s="1" t="str">
        <f>PROPER(TEXT(BBDD_fashion_boutique[[#This Row],[purchase_date]],"mmmm"))</f>
        <v>Mayo</v>
      </c>
      <c r="P1540" s="4">
        <v>23</v>
      </c>
      <c r="Q1540" s="2">
        <v>3.5</v>
      </c>
      <c r="R1540" t="str">
        <f>IF(BBDD_fashion_boutique[[#This Row],[stock_quantity]]&gt;9,"Ok",IF(BBDD_fashion_boutique[[#This Row],[stock_quantity]]=0,"Agotado","Pocas Unidades"))</f>
        <v>Ok</v>
      </c>
      <c r="S1540" s="3">
        <f>IF(BBDD_fashion_boutique[[#This Row],[customer_rating]]="","No valorado",BBDD_fashion_boutique[[#This Row],[customer_rating]])</f>
        <v>3.5</v>
      </c>
      <c r="T1540" t="s">
        <v>41</v>
      </c>
      <c r="U1540" t="s">
        <v>89</v>
      </c>
      <c r="V1540">
        <f>IF(BBDD_fashion_boutique[[#This Row],[is_returned]]="False",0,1)</f>
        <v>1</v>
      </c>
      <c r="W1540">
        <f>IF(BBDD_fashion_boutique[[#This Row],[is_returned]]="True",0,BBDD_fashion_boutique[[#This Row],[current_price]])</f>
        <v>0</v>
      </c>
      <c r="X1540" t="str">
        <f>IF(BBDD_fashion_boutique[[#This Row],[return_reason]]="","No return",BBDD_fashion_boutique[[#This Row],[return_reason]])</f>
        <v>Quality Issue</v>
      </c>
      <c r="Y1540">
        <f>IF(IFERROR(VLOOKUP(BBDD_fashion_boutique[[#This Row],[product_id]],A1541:A3716,1,FALSE),0),1,0)</f>
        <v>0</v>
      </c>
    </row>
    <row r="1541" spans="1:25" x14ac:dyDescent="0.3">
      <c r="A1541" t="s">
        <v>1600</v>
      </c>
      <c r="B1541" t="s">
        <v>48</v>
      </c>
      <c r="C1541" t="s">
        <v>59</v>
      </c>
      <c r="D1541" t="s">
        <v>39</v>
      </c>
      <c r="E1541" t="s">
        <v>55</v>
      </c>
      <c r="F1541" t="str">
        <f>IF(BBDD_fashion_boutique[[#This Row],[category]]="Accessories","Accesorio",IF(BBDD_fashion_boutique[[#This Row],[size]]="","Desconocido",BBDD_fashion_boutique[[#This Row],[size]]))</f>
        <v>XXL</v>
      </c>
      <c r="G1541" t="s">
        <v>30</v>
      </c>
      <c r="H1541" s="2">
        <v>115.39</v>
      </c>
      <c r="I1541">
        <v>11.2</v>
      </c>
      <c r="J1541" s="5">
        <f>BBDD_fashion_boutique[[#This Row],[markdown_percentage]]/100</f>
        <v>0.11199999999999999</v>
      </c>
      <c r="K1541" s="2">
        <v>102.47</v>
      </c>
      <c r="L1541" s="2">
        <f>BBDD_fashion_boutique[[#This Row],[original_price]]-BBDD_fashion_boutique[[#This Row],[current_price]]</f>
        <v>12.920000000000002</v>
      </c>
      <c r="M1541" s="1">
        <v>45875</v>
      </c>
      <c r="N1541" s="1" t="str">
        <f>PROPER(TEXT(BBDD_fashion_boutique[[#This Row],[purchase_date]],"dddd"))</f>
        <v>Miércoles</v>
      </c>
      <c r="O1541" s="1" t="str">
        <f>PROPER(TEXT(BBDD_fashion_boutique[[#This Row],[purchase_date]],"mmmm"))</f>
        <v>Agosto</v>
      </c>
      <c r="P1541" s="4">
        <v>4</v>
      </c>
      <c r="Q1541" s="2">
        <v>3.8</v>
      </c>
      <c r="R1541" t="str">
        <f>IF(BBDD_fashion_boutique[[#This Row],[stock_quantity]]&gt;9,"Ok",IF(BBDD_fashion_boutique[[#This Row],[stock_quantity]]=0,"Agotado","Pocas Unidades"))</f>
        <v>Pocas Unidades</v>
      </c>
      <c r="S1541" s="3">
        <f>IF(BBDD_fashion_boutique[[#This Row],[customer_rating]]="","No valorado",BBDD_fashion_boutique[[#This Row],[customer_rating]])</f>
        <v>3.8</v>
      </c>
      <c r="T1541" t="s">
        <v>24</v>
      </c>
      <c r="V1541">
        <f>IF(BBDD_fashion_boutique[[#This Row],[is_returned]]="False",0,1)</f>
        <v>0</v>
      </c>
      <c r="W1541">
        <f>IF(BBDD_fashion_boutique[[#This Row],[is_returned]]="True",0,BBDD_fashion_boutique[[#This Row],[current_price]])</f>
        <v>102.47</v>
      </c>
      <c r="X1541" t="str">
        <f>IF(BBDD_fashion_boutique[[#This Row],[return_reason]]="","No return",BBDD_fashion_boutique[[#This Row],[return_reason]])</f>
        <v>No return</v>
      </c>
      <c r="Y1541">
        <f>IF(IFERROR(VLOOKUP(BBDD_fashion_boutique[[#This Row],[product_id]],A1542:A3717,1,FALSE),0),1,0)</f>
        <v>0</v>
      </c>
    </row>
    <row r="1542" spans="1:25" x14ac:dyDescent="0.3">
      <c r="A1542" t="s">
        <v>1601</v>
      </c>
      <c r="B1542" t="s">
        <v>32</v>
      </c>
      <c r="C1542" t="s">
        <v>49</v>
      </c>
      <c r="D1542" t="s">
        <v>21</v>
      </c>
      <c r="F1542" t="str">
        <f>IF(BBDD_fashion_boutique[[#This Row],[category]]="Accessories","Accesorio",IF(BBDD_fashion_boutique[[#This Row],[size]]="","Desconocido",BBDD_fashion_boutique[[#This Row],[size]]))</f>
        <v>Accesorio</v>
      </c>
      <c r="G1542" t="s">
        <v>30</v>
      </c>
      <c r="H1542" s="2">
        <v>27.91</v>
      </c>
      <c r="I1542">
        <v>49.8</v>
      </c>
      <c r="J1542" s="5">
        <f>BBDD_fashion_boutique[[#This Row],[markdown_percentage]]/100</f>
        <v>0.498</v>
      </c>
      <c r="K1542" s="2">
        <v>14.01</v>
      </c>
      <c r="L1542" s="2">
        <f>BBDD_fashion_boutique[[#This Row],[original_price]]-BBDD_fashion_boutique[[#This Row],[current_price]]</f>
        <v>13.9</v>
      </c>
      <c r="M1542" s="1">
        <v>45701</v>
      </c>
      <c r="N1542" s="1" t="str">
        <f>PROPER(TEXT(BBDD_fashion_boutique[[#This Row],[purchase_date]],"dddd"))</f>
        <v>Jueves</v>
      </c>
      <c r="O1542" s="1" t="str">
        <f>PROPER(TEXT(BBDD_fashion_boutique[[#This Row],[purchase_date]],"mmmm"))</f>
        <v>Febrero</v>
      </c>
      <c r="P1542" s="4">
        <v>12</v>
      </c>
      <c r="Q1542" s="2">
        <v>2.6</v>
      </c>
      <c r="R1542" t="str">
        <f>IF(BBDD_fashion_boutique[[#This Row],[stock_quantity]]&gt;9,"Ok",IF(BBDD_fashion_boutique[[#This Row],[stock_quantity]]=0,"Agotado","Pocas Unidades"))</f>
        <v>Ok</v>
      </c>
      <c r="S1542" s="3">
        <f>IF(BBDD_fashion_boutique[[#This Row],[customer_rating]]="","No valorado",BBDD_fashion_boutique[[#This Row],[customer_rating]])</f>
        <v>2.6</v>
      </c>
      <c r="T1542" t="s">
        <v>24</v>
      </c>
      <c r="V1542">
        <f>IF(BBDD_fashion_boutique[[#This Row],[is_returned]]="False",0,1)</f>
        <v>0</v>
      </c>
      <c r="W1542">
        <f>IF(BBDD_fashion_boutique[[#This Row],[is_returned]]="True",0,BBDD_fashion_boutique[[#This Row],[current_price]])</f>
        <v>14.01</v>
      </c>
      <c r="X1542" t="str">
        <f>IF(BBDD_fashion_boutique[[#This Row],[return_reason]]="","No return",BBDD_fashion_boutique[[#This Row],[return_reason]])</f>
        <v>No return</v>
      </c>
      <c r="Y1542">
        <f>IF(IFERROR(VLOOKUP(BBDD_fashion_boutique[[#This Row],[product_id]],A1543:A3718,1,FALSE),0),1,0)</f>
        <v>0</v>
      </c>
    </row>
    <row r="1543" spans="1:25" x14ac:dyDescent="0.3">
      <c r="A1543" t="s">
        <v>1602</v>
      </c>
      <c r="B1543" t="s">
        <v>32</v>
      </c>
      <c r="C1543" t="s">
        <v>54</v>
      </c>
      <c r="D1543" t="s">
        <v>28</v>
      </c>
      <c r="F1543" t="str">
        <f>IF(BBDD_fashion_boutique[[#This Row],[category]]="Accessories","Accesorio",IF(BBDD_fashion_boutique[[#This Row],[size]]="","Desconocido",BBDD_fashion_boutique[[#This Row],[size]]))</f>
        <v>Accesorio</v>
      </c>
      <c r="G1543" t="s">
        <v>70</v>
      </c>
      <c r="H1543" s="2">
        <v>79.69</v>
      </c>
      <c r="I1543">
        <v>0</v>
      </c>
      <c r="J1543" s="5">
        <f>BBDD_fashion_boutique[[#This Row],[markdown_percentage]]/100</f>
        <v>0</v>
      </c>
      <c r="K1543" s="2">
        <v>79.69</v>
      </c>
      <c r="L1543" s="2">
        <f>BBDD_fashion_boutique[[#This Row],[original_price]]-BBDD_fashion_boutique[[#This Row],[current_price]]</f>
        <v>0</v>
      </c>
      <c r="M1543" s="1">
        <v>45875</v>
      </c>
      <c r="N1543" s="1" t="str">
        <f>PROPER(TEXT(BBDD_fashion_boutique[[#This Row],[purchase_date]],"dddd"))</f>
        <v>Miércoles</v>
      </c>
      <c r="O1543" s="1" t="str">
        <f>PROPER(TEXT(BBDD_fashion_boutique[[#This Row],[purchase_date]],"mmmm"))</f>
        <v>Agosto</v>
      </c>
      <c r="P1543" s="4">
        <v>44</v>
      </c>
      <c r="Q1543" s="2">
        <v>1.6</v>
      </c>
      <c r="R1543" t="str">
        <f>IF(BBDD_fashion_boutique[[#This Row],[stock_quantity]]&gt;9,"Ok",IF(BBDD_fashion_boutique[[#This Row],[stock_quantity]]=0,"Agotado","Pocas Unidades"))</f>
        <v>Ok</v>
      </c>
      <c r="S1543" s="3">
        <f>IF(BBDD_fashion_boutique[[#This Row],[customer_rating]]="","No valorado",BBDD_fashion_boutique[[#This Row],[customer_rating]])</f>
        <v>1.6</v>
      </c>
      <c r="T1543" t="s">
        <v>24</v>
      </c>
      <c r="V1543">
        <f>IF(BBDD_fashion_boutique[[#This Row],[is_returned]]="False",0,1)</f>
        <v>0</v>
      </c>
      <c r="W1543">
        <f>IF(BBDD_fashion_boutique[[#This Row],[is_returned]]="True",0,BBDD_fashion_boutique[[#This Row],[current_price]])</f>
        <v>79.69</v>
      </c>
      <c r="X1543" t="str">
        <f>IF(BBDD_fashion_boutique[[#This Row],[return_reason]]="","No return",BBDD_fashion_boutique[[#This Row],[return_reason]])</f>
        <v>No return</v>
      </c>
      <c r="Y1543">
        <f>IF(IFERROR(VLOOKUP(BBDD_fashion_boutique[[#This Row],[product_id]],A1544:A3719,1,FALSE),0),1,0)</f>
        <v>0</v>
      </c>
    </row>
    <row r="1544" spans="1:25" x14ac:dyDescent="0.3">
      <c r="A1544" t="s">
        <v>1603</v>
      </c>
      <c r="B1544" t="s">
        <v>44</v>
      </c>
      <c r="C1544" t="s">
        <v>81</v>
      </c>
      <c r="D1544" t="s">
        <v>39</v>
      </c>
      <c r="E1544" t="s">
        <v>45</v>
      </c>
      <c r="F1544" t="str">
        <f>IF(BBDD_fashion_boutique[[#This Row],[category]]="Accessories","Accesorio",IF(BBDD_fashion_boutique[[#This Row],[size]]="","Desconocido",BBDD_fashion_boutique[[#This Row],[size]]))</f>
        <v>S</v>
      </c>
      <c r="G1544" t="s">
        <v>76</v>
      </c>
      <c r="H1544" s="2">
        <v>47.22</v>
      </c>
      <c r="I1544">
        <v>0</v>
      </c>
      <c r="J1544" s="5">
        <f>BBDD_fashion_boutique[[#This Row],[markdown_percentage]]/100</f>
        <v>0</v>
      </c>
      <c r="K1544" s="2">
        <v>47.22</v>
      </c>
      <c r="L1544" s="2">
        <f>BBDD_fashion_boutique[[#This Row],[original_price]]-BBDD_fashion_boutique[[#This Row],[current_price]]</f>
        <v>0</v>
      </c>
      <c r="M1544" s="1">
        <v>45875</v>
      </c>
      <c r="N1544" s="1" t="str">
        <f>PROPER(TEXT(BBDD_fashion_boutique[[#This Row],[purchase_date]],"dddd"))</f>
        <v>Miércoles</v>
      </c>
      <c r="O1544" s="1" t="str">
        <f>PROPER(TEXT(BBDD_fashion_boutique[[#This Row],[purchase_date]],"mmmm"))</f>
        <v>Agosto</v>
      </c>
      <c r="P1544" s="4">
        <v>19</v>
      </c>
      <c r="Q1544" s="2">
        <v>1.9</v>
      </c>
      <c r="R1544" t="str">
        <f>IF(BBDD_fashion_boutique[[#This Row],[stock_quantity]]&gt;9,"Ok",IF(BBDD_fashion_boutique[[#This Row],[stock_quantity]]=0,"Agotado","Pocas Unidades"))</f>
        <v>Ok</v>
      </c>
      <c r="S1544" s="3">
        <f>IF(BBDD_fashion_boutique[[#This Row],[customer_rating]]="","No valorado",BBDD_fashion_boutique[[#This Row],[customer_rating]])</f>
        <v>1.9</v>
      </c>
      <c r="T1544" t="s">
        <v>24</v>
      </c>
      <c r="V1544">
        <f>IF(BBDD_fashion_boutique[[#This Row],[is_returned]]="False",0,1)</f>
        <v>0</v>
      </c>
      <c r="W1544">
        <f>IF(BBDD_fashion_boutique[[#This Row],[is_returned]]="True",0,BBDD_fashion_boutique[[#This Row],[current_price]])</f>
        <v>47.22</v>
      </c>
      <c r="X1544" t="str">
        <f>IF(BBDD_fashion_boutique[[#This Row],[return_reason]]="","No return",BBDD_fashion_boutique[[#This Row],[return_reason]])</f>
        <v>No return</v>
      </c>
      <c r="Y1544">
        <f>IF(IFERROR(VLOOKUP(BBDD_fashion_boutique[[#This Row],[product_id]],A1545:A3720,1,FALSE),0),1,0)</f>
        <v>0</v>
      </c>
    </row>
    <row r="1545" spans="1:25" x14ac:dyDescent="0.3">
      <c r="A1545" t="s">
        <v>1604</v>
      </c>
      <c r="B1545" t="s">
        <v>35</v>
      </c>
      <c r="C1545" t="s">
        <v>54</v>
      </c>
      <c r="D1545" t="s">
        <v>39</v>
      </c>
      <c r="F1545" t="str">
        <f>IF(BBDD_fashion_boutique[[#This Row],[category]]="Accessories","Accesorio",IF(BBDD_fashion_boutique[[#This Row],[size]]="","Desconocido",BBDD_fashion_boutique[[#This Row],[size]]))</f>
        <v>Desconocido</v>
      </c>
      <c r="G1545" t="s">
        <v>76</v>
      </c>
      <c r="H1545" s="2">
        <v>172.27</v>
      </c>
      <c r="I1545">
        <v>14.9</v>
      </c>
      <c r="J1545" s="5">
        <f>BBDD_fashion_boutique[[#This Row],[markdown_percentage]]/100</f>
        <v>0.14899999999999999</v>
      </c>
      <c r="K1545" s="2">
        <v>146.6</v>
      </c>
      <c r="L1545" s="2">
        <f>BBDD_fashion_boutique[[#This Row],[original_price]]-BBDD_fashion_boutique[[#This Row],[current_price]]</f>
        <v>25.670000000000016</v>
      </c>
      <c r="M1545" s="1">
        <v>45875</v>
      </c>
      <c r="N1545" s="1" t="str">
        <f>PROPER(TEXT(BBDD_fashion_boutique[[#This Row],[purchase_date]],"dddd"))</f>
        <v>Miércoles</v>
      </c>
      <c r="O1545" s="1" t="str">
        <f>PROPER(TEXT(BBDD_fashion_boutique[[#This Row],[purchase_date]],"mmmm"))</f>
        <v>Agosto</v>
      </c>
      <c r="P1545" s="4">
        <v>8</v>
      </c>
      <c r="Q1545" s="2">
        <v>3.7</v>
      </c>
      <c r="R1545" t="str">
        <f>IF(BBDD_fashion_boutique[[#This Row],[stock_quantity]]&gt;9,"Ok",IF(BBDD_fashion_boutique[[#This Row],[stock_quantity]]=0,"Agotado","Pocas Unidades"))</f>
        <v>Pocas Unidades</v>
      </c>
      <c r="S1545" s="3">
        <f>IF(BBDD_fashion_boutique[[#This Row],[customer_rating]]="","No valorado",BBDD_fashion_boutique[[#This Row],[customer_rating]])</f>
        <v>3.7</v>
      </c>
      <c r="T1545" t="s">
        <v>24</v>
      </c>
      <c r="V1545">
        <f>IF(BBDD_fashion_boutique[[#This Row],[is_returned]]="False",0,1)</f>
        <v>0</v>
      </c>
      <c r="W1545">
        <f>IF(BBDD_fashion_boutique[[#This Row],[is_returned]]="True",0,BBDD_fashion_boutique[[#This Row],[current_price]])</f>
        <v>146.6</v>
      </c>
      <c r="X1545" t="str">
        <f>IF(BBDD_fashion_boutique[[#This Row],[return_reason]]="","No return",BBDD_fashion_boutique[[#This Row],[return_reason]])</f>
        <v>No return</v>
      </c>
      <c r="Y1545">
        <f>IF(IFERROR(VLOOKUP(BBDD_fashion_boutique[[#This Row],[product_id]],A1546:A3721,1,FALSE),0),1,0)</f>
        <v>0</v>
      </c>
    </row>
    <row r="1546" spans="1:25" x14ac:dyDescent="0.3">
      <c r="A1546" t="s">
        <v>1605</v>
      </c>
      <c r="B1546" t="s">
        <v>32</v>
      </c>
      <c r="C1546" t="s">
        <v>20</v>
      </c>
      <c r="D1546" t="s">
        <v>28</v>
      </c>
      <c r="F1546" t="str">
        <f>IF(BBDD_fashion_boutique[[#This Row],[category]]="Accessories","Accesorio",IF(BBDD_fashion_boutique[[#This Row],[size]]="","Desconocido",BBDD_fashion_boutique[[#This Row],[size]]))</f>
        <v>Accesorio</v>
      </c>
      <c r="G1546" t="s">
        <v>33</v>
      </c>
      <c r="H1546" s="2">
        <v>27.9</v>
      </c>
      <c r="I1546">
        <v>0</v>
      </c>
      <c r="J1546" s="5">
        <f>BBDD_fashion_boutique[[#This Row],[markdown_percentage]]/100</f>
        <v>0</v>
      </c>
      <c r="K1546" s="2">
        <v>27.9</v>
      </c>
      <c r="L1546" s="2">
        <f>BBDD_fashion_boutique[[#This Row],[original_price]]-BBDD_fashion_boutique[[#This Row],[current_price]]</f>
        <v>0</v>
      </c>
      <c r="M1546" s="1">
        <v>45875</v>
      </c>
      <c r="N1546" s="1" t="str">
        <f>PROPER(TEXT(BBDD_fashion_boutique[[#This Row],[purchase_date]],"dddd"))</f>
        <v>Miércoles</v>
      </c>
      <c r="O1546" s="1" t="str">
        <f>PROPER(TEXT(BBDD_fashion_boutique[[#This Row],[purchase_date]],"mmmm"))</f>
        <v>Agosto</v>
      </c>
      <c r="P1546" s="4">
        <v>27</v>
      </c>
      <c r="Q1546" s="2">
        <v>3</v>
      </c>
      <c r="R1546" t="str">
        <f>IF(BBDD_fashion_boutique[[#This Row],[stock_quantity]]&gt;9,"Ok",IF(BBDD_fashion_boutique[[#This Row],[stock_quantity]]=0,"Agotado","Pocas Unidades"))</f>
        <v>Ok</v>
      </c>
      <c r="S1546" s="3">
        <f>IF(BBDD_fashion_boutique[[#This Row],[customer_rating]]="","No valorado",BBDD_fashion_boutique[[#This Row],[customer_rating]])</f>
        <v>3</v>
      </c>
      <c r="T1546" t="s">
        <v>41</v>
      </c>
      <c r="U1546" t="s">
        <v>121</v>
      </c>
      <c r="V1546">
        <f>IF(BBDD_fashion_boutique[[#This Row],[is_returned]]="False",0,1)</f>
        <v>1</v>
      </c>
      <c r="W1546">
        <f>IF(BBDD_fashion_boutique[[#This Row],[is_returned]]="True",0,BBDD_fashion_boutique[[#This Row],[current_price]])</f>
        <v>0</v>
      </c>
      <c r="X1546" t="str">
        <f>IF(BBDD_fashion_boutique[[#This Row],[return_reason]]="","No return",BBDD_fashion_boutique[[#This Row],[return_reason]])</f>
        <v>Changed Mind</v>
      </c>
      <c r="Y1546">
        <f>IF(IFERROR(VLOOKUP(BBDD_fashion_boutique[[#This Row],[product_id]],A1547:A3722,1,FALSE),0),1,0)</f>
        <v>0</v>
      </c>
    </row>
    <row r="1547" spans="1:25" x14ac:dyDescent="0.3">
      <c r="A1547" t="s">
        <v>1606</v>
      </c>
      <c r="B1547" t="s">
        <v>48</v>
      </c>
      <c r="C1547" t="s">
        <v>20</v>
      </c>
      <c r="D1547" t="s">
        <v>21</v>
      </c>
      <c r="E1547" t="s">
        <v>45</v>
      </c>
      <c r="F1547" t="str">
        <f>IF(BBDD_fashion_boutique[[#This Row],[category]]="Accessories","Accesorio",IF(BBDD_fashion_boutique[[#This Row],[size]]="","Desconocido",BBDD_fashion_boutique[[#This Row],[size]]))</f>
        <v>S</v>
      </c>
      <c r="G1547" t="s">
        <v>62</v>
      </c>
      <c r="H1547" s="2">
        <v>139.26</v>
      </c>
      <c r="I1547">
        <v>0</v>
      </c>
      <c r="J1547" s="5">
        <f>BBDD_fashion_boutique[[#This Row],[markdown_percentage]]/100</f>
        <v>0</v>
      </c>
      <c r="K1547" s="2">
        <v>139.26</v>
      </c>
      <c r="L1547" s="2">
        <f>BBDD_fashion_boutique[[#This Row],[original_price]]-BBDD_fashion_boutique[[#This Row],[current_price]]</f>
        <v>0</v>
      </c>
      <c r="M1547" s="1">
        <v>45659</v>
      </c>
      <c r="N1547" s="1" t="str">
        <f>PROPER(TEXT(BBDD_fashion_boutique[[#This Row],[purchase_date]],"dddd"))</f>
        <v>Jueves</v>
      </c>
      <c r="O1547" s="1" t="str">
        <f>PROPER(TEXT(BBDD_fashion_boutique[[#This Row],[purchase_date]],"mmmm"))</f>
        <v>Enero</v>
      </c>
      <c r="P1547" s="4">
        <v>32</v>
      </c>
      <c r="Q1547" s="2">
        <v>3.4</v>
      </c>
      <c r="R1547" t="str">
        <f>IF(BBDD_fashion_boutique[[#This Row],[stock_quantity]]&gt;9,"Ok",IF(BBDD_fashion_boutique[[#This Row],[stock_quantity]]=0,"Agotado","Pocas Unidades"))</f>
        <v>Ok</v>
      </c>
      <c r="S1547" s="3">
        <f>IF(BBDD_fashion_boutique[[#This Row],[customer_rating]]="","No valorado",BBDD_fashion_boutique[[#This Row],[customer_rating]])</f>
        <v>3.4</v>
      </c>
      <c r="T1547" t="s">
        <v>24</v>
      </c>
      <c r="V1547">
        <f>IF(BBDD_fashion_boutique[[#This Row],[is_returned]]="False",0,1)</f>
        <v>0</v>
      </c>
      <c r="W1547">
        <f>IF(BBDD_fashion_boutique[[#This Row],[is_returned]]="True",0,BBDD_fashion_boutique[[#This Row],[current_price]])</f>
        <v>139.26</v>
      </c>
      <c r="X1547" t="str">
        <f>IF(BBDD_fashion_boutique[[#This Row],[return_reason]]="","No return",BBDD_fashion_boutique[[#This Row],[return_reason]])</f>
        <v>No return</v>
      </c>
      <c r="Y1547">
        <f>IF(IFERROR(VLOOKUP(BBDD_fashion_boutique[[#This Row],[product_id]],A1548:A3723,1,FALSE),0),1,0)</f>
        <v>0</v>
      </c>
    </row>
    <row r="1548" spans="1:25" x14ac:dyDescent="0.3">
      <c r="A1548" t="s">
        <v>1607</v>
      </c>
      <c r="B1548" t="s">
        <v>32</v>
      </c>
      <c r="C1548" t="s">
        <v>59</v>
      </c>
      <c r="D1548" t="s">
        <v>68</v>
      </c>
      <c r="F1548" t="str">
        <f>IF(BBDD_fashion_boutique[[#This Row],[category]]="Accessories","Accesorio",IF(BBDD_fashion_boutique[[#This Row],[size]]="","Desconocido",BBDD_fashion_boutique[[#This Row],[size]]))</f>
        <v>Accesorio</v>
      </c>
      <c r="G1548" t="s">
        <v>46</v>
      </c>
      <c r="H1548" s="2">
        <v>30.47</v>
      </c>
      <c r="I1548">
        <v>0</v>
      </c>
      <c r="J1548" s="5">
        <f>BBDD_fashion_boutique[[#This Row],[markdown_percentage]]/100</f>
        <v>0</v>
      </c>
      <c r="K1548" s="2">
        <v>30.47</v>
      </c>
      <c r="L1548" s="2">
        <f>BBDD_fashion_boutique[[#This Row],[original_price]]-BBDD_fashion_boutique[[#This Row],[current_price]]</f>
        <v>0</v>
      </c>
      <c r="M1548" s="1">
        <v>45875</v>
      </c>
      <c r="N1548" s="1" t="str">
        <f>PROPER(TEXT(BBDD_fashion_boutique[[#This Row],[purchase_date]],"dddd"))</f>
        <v>Miércoles</v>
      </c>
      <c r="O1548" s="1" t="str">
        <f>PROPER(TEXT(BBDD_fashion_boutique[[#This Row],[purchase_date]],"mmmm"))</f>
        <v>Agosto</v>
      </c>
      <c r="P1548" s="4">
        <v>34</v>
      </c>
      <c r="Q1548" s="2">
        <v>4.2</v>
      </c>
      <c r="R1548" t="str">
        <f>IF(BBDD_fashion_boutique[[#This Row],[stock_quantity]]&gt;9,"Ok",IF(BBDD_fashion_boutique[[#This Row],[stock_quantity]]=0,"Agotado","Pocas Unidades"))</f>
        <v>Ok</v>
      </c>
      <c r="S1548" s="3">
        <f>IF(BBDD_fashion_boutique[[#This Row],[customer_rating]]="","No valorado",BBDD_fashion_boutique[[#This Row],[customer_rating]])</f>
        <v>4.2</v>
      </c>
      <c r="T1548" t="s">
        <v>24</v>
      </c>
      <c r="V1548">
        <f>IF(BBDD_fashion_boutique[[#This Row],[is_returned]]="False",0,1)</f>
        <v>0</v>
      </c>
      <c r="W1548">
        <f>IF(BBDD_fashion_boutique[[#This Row],[is_returned]]="True",0,BBDD_fashion_boutique[[#This Row],[current_price]])</f>
        <v>30.47</v>
      </c>
      <c r="X1548" t="str">
        <f>IF(BBDD_fashion_boutique[[#This Row],[return_reason]]="","No return",BBDD_fashion_boutique[[#This Row],[return_reason]])</f>
        <v>No return</v>
      </c>
      <c r="Y1548">
        <f>IF(IFERROR(VLOOKUP(BBDD_fashion_boutique[[#This Row],[product_id]],A1549:A3724,1,FALSE),0),1,0)</f>
        <v>0</v>
      </c>
    </row>
    <row r="1549" spans="1:25" x14ac:dyDescent="0.3">
      <c r="A1549" t="s">
        <v>1608</v>
      </c>
      <c r="B1549" t="s">
        <v>19</v>
      </c>
      <c r="C1549" t="s">
        <v>67</v>
      </c>
      <c r="D1549" t="s">
        <v>39</v>
      </c>
      <c r="E1549" t="s">
        <v>64</v>
      </c>
      <c r="F1549" t="str">
        <f>IF(BBDD_fashion_boutique[[#This Row],[category]]="Accessories","Accesorio",IF(BBDD_fashion_boutique[[#This Row],[size]]="","Desconocido",BBDD_fashion_boutique[[#This Row],[size]]))</f>
        <v>M</v>
      </c>
      <c r="G1549" t="s">
        <v>72</v>
      </c>
      <c r="H1549" s="2">
        <v>141.53</v>
      </c>
      <c r="I1549">
        <v>39.799999999999997</v>
      </c>
      <c r="J1549" s="5">
        <f>BBDD_fashion_boutique[[#This Row],[markdown_percentage]]/100</f>
        <v>0.39799999999999996</v>
      </c>
      <c r="K1549" s="2">
        <v>85.2</v>
      </c>
      <c r="L1549" s="2">
        <f>BBDD_fashion_boutique[[#This Row],[original_price]]-BBDD_fashion_boutique[[#This Row],[current_price]]</f>
        <v>56.33</v>
      </c>
      <c r="M1549" s="1">
        <v>45875</v>
      </c>
      <c r="N1549" s="1" t="str">
        <f>PROPER(TEXT(BBDD_fashion_boutique[[#This Row],[purchase_date]],"dddd"))</f>
        <v>Miércoles</v>
      </c>
      <c r="O1549" s="1" t="str">
        <f>PROPER(TEXT(BBDD_fashion_boutique[[#This Row],[purchase_date]],"mmmm"))</f>
        <v>Agosto</v>
      </c>
      <c r="P1549" s="4">
        <v>47</v>
      </c>
      <c r="Q1549" s="2">
        <v>3.5</v>
      </c>
      <c r="R1549" t="str">
        <f>IF(BBDD_fashion_boutique[[#This Row],[stock_quantity]]&gt;9,"Ok",IF(BBDD_fashion_boutique[[#This Row],[stock_quantity]]=0,"Agotado","Pocas Unidades"))</f>
        <v>Ok</v>
      </c>
      <c r="S1549" s="3">
        <f>IF(BBDD_fashion_boutique[[#This Row],[customer_rating]]="","No valorado",BBDD_fashion_boutique[[#This Row],[customer_rating]])</f>
        <v>3.5</v>
      </c>
      <c r="T1549" t="s">
        <v>24</v>
      </c>
      <c r="V1549">
        <f>IF(BBDD_fashion_boutique[[#This Row],[is_returned]]="False",0,1)</f>
        <v>0</v>
      </c>
      <c r="W1549">
        <f>IF(BBDD_fashion_boutique[[#This Row],[is_returned]]="True",0,BBDD_fashion_boutique[[#This Row],[current_price]])</f>
        <v>85.2</v>
      </c>
      <c r="X1549" t="str">
        <f>IF(BBDD_fashion_boutique[[#This Row],[return_reason]]="","No return",BBDD_fashion_boutique[[#This Row],[return_reason]])</f>
        <v>No return</v>
      </c>
      <c r="Y1549">
        <f>IF(IFERROR(VLOOKUP(BBDD_fashion_boutique[[#This Row],[product_id]],A1550:A3725,1,FALSE),0),1,0)</f>
        <v>0</v>
      </c>
    </row>
    <row r="1550" spans="1:25" x14ac:dyDescent="0.3">
      <c r="A1550" t="s">
        <v>1609</v>
      </c>
      <c r="B1550" t="s">
        <v>48</v>
      </c>
      <c r="C1550" t="s">
        <v>67</v>
      </c>
      <c r="D1550" t="s">
        <v>21</v>
      </c>
      <c r="E1550" t="s">
        <v>22</v>
      </c>
      <c r="F1550" t="str">
        <f>IF(BBDD_fashion_boutique[[#This Row],[category]]="Accessories","Accesorio",IF(BBDD_fashion_boutique[[#This Row],[size]]="","Desconocido",BBDD_fashion_boutique[[#This Row],[size]]))</f>
        <v>XL</v>
      </c>
      <c r="G1550" t="s">
        <v>46</v>
      </c>
      <c r="H1550" s="2">
        <v>47.45</v>
      </c>
      <c r="I1550">
        <v>24.4</v>
      </c>
      <c r="J1550" s="5">
        <f>BBDD_fashion_boutique[[#This Row],[markdown_percentage]]/100</f>
        <v>0.24399999999999999</v>
      </c>
      <c r="K1550" s="2">
        <v>35.869999999999997</v>
      </c>
      <c r="L1550" s="2">
        <f>BBDD_fashion_boutique[[#This Row],[original_price]]-BBDD_fashion_boutique[[#This Row],[current_price]]</f>
        <v>11.580000000000005</v>
      </c>
      <c r="M1550" s="1">
        <v>45823</v>
      </c>
      <c r="N1550" s="1" t="str">
        <f>PROPER(TEXT(BBDD_fashion_boutique[[#This Row],[purchase_date]],"dddd"))</f>
        <v>Domingo</v>
      </c>
      <c r="O1550" s="1" t="str">
        <f>PROPER(TEXT(BBDD_fashion_boutique[[#This Row],[purchase_date]],"mmmm"))</f>
        <v>Junio</v>
      </c>
      <c r="P1550" s="4">
        <v>42</v>
      </c>
      <c r="Q1550" s="2">
        <v>2.8</v>
      </c>
      <c r="R1550" t="str">
        <f>IF(BBDD_fashion_boutique[[#This Row],[stock_quantity]]&gt;9,"Ok",IF(BBDD_fashion_boutique[[#This Row],[stock_quantity]]=0,"Agotado","Pocas Unidades"))</f>
        <v>Ok</v>
      </c>
      <c r="S1550" s="3">
        <f>IF(BBDD_fashion_boutique[[#This Row],[customer_rating]]="","No valorado",BBDD_fashion_boutique[[#This Row],[customer_rating]])</f>
        <v>2.8</v>
      </c>
      <c r="T1550" t="s">
        <v>24</v>
      </c>
      <c r="V1550">
        <f>IF(BBDD_fashion_boutique[[#This Row],[is_returned]]="False",0,1)</f>
        <v>0</v>
      </c>
      <c r="W1550">
        <f>IF(BBDD_fashion_boutique[[#This Row],[is_returned]]="True",0,BBDD_fashion_boutique[[#This Row],[current_price]])</f>
        <v>35.869999999999997</v>
      </c>
      <c r="X1550" t="str">
        <f>IF(BBDD_fashion_boutique[[#This Row],[return_reason]]="","No return",BBDD_fashion_boutique[[#This Row],[return_reason]])</f>
        <v>No return</v>
      </c>
      <c r="Y1550">
        <f>IF(IFERROR(VLOOKUP(BBDD_fashion_boutique[[#This Row],[product_id]],A1551:A3726,1,FALSE),0),1,0)</f>
        <v>0</v>
      </c>
    </row>
    <row r="1551" spans="1:25" x14ac:dyDescent="0.3">
      <c r="A1551" t="s">
        <v>1610</v>
      </c>
      <c r="B1551" t="s">
        <v>44</v>
      </c>
      <c r="C1551" t="s">
        <v>67</v>
      </c>
      <c r="D1551" t="s">
        <v>28</v>
      </c>
      <c r="E1551" t="s">
        <v>61</v>
      </c>
      <c r="F1551" t="str">
        <f>IF(BBDD_fashion_boutique[[#This Row],[category]]="Accessories","Accesorio",IF(BBDD_fashion_boutique[[#This Row],[size]]="","Desconocido",BBDD_fashion_boutique[[#This Row],[size]]))</f>
        <v>XS</v>
      </c>
      <c r="G1551" t="s">
        <v>70</v>
      </c>
      <c r="H1551" s="2">
        <v>51.39</v>
      </c>
      <c r="I1551">
        <v>6.3</v>
      </c>
      <c r="J1551" s="5">
        <f>BBDD_fashion_boutique[[#This Row],[markdown_percentage]]/100</f>
        <v>6.3E-2</v>
      </c>
      <c r="K1551" s="2">
        <v>48.15</v>
      </c>
      <c r="L1551" s="2">
        <f>BBDD_fashion_boutique[[#This Row],[original_price]]-BBDD_fashion_boutique[[#This Row],[current_price]]</f>
        <v>3.240000000000002</v>
      </c>
      <c r="M1551" s="1">
        <v>45875</v>
      </c>
      <c r="N1551" s="1" t="str">
        <f>PROPER(TEXT(BBDD_fashion_boutique[[#This Row],[purchase_date]],"dddd"))</f>
        <v>Miércoles</v>
      </c>
      <c r="O1551" s="1" t="str">
        <f>PROPER(TEXT(BBDD_fashion_boutique[[#This Row],[purchase_date]],"mmmm"))</f>
        <v>Agosto</v>
      </c>
      <c r="P1551" s="4">
        <v>46</v>
      </c>
      <c r="R1551" t="str">
        <f>IF(BBDD_fashion_boutique[[#This Row],[stock_quantity]]&gt;9,"Ok",IF(BBDD_fashion_boutique[[#This Row],[stock_quantity]]=0,"Agotado","Pocas Unidades"))</f>
        <v>Ok</v>
      </c>
      <c r="S1551" s="3" t="str">
        <f>IF(BBDD_fashion_boutique[[#This Row],[customer_rating]]="","No valorado",BBDD_fashion_boutique[[#This Row],[customer_rating]])</f>
        <v>No valorado</v>
      </c>
      <c r="T1551" t="s">
        <v>24</v>
      </c>
      <c r="V1551">
        <f>IF(BBDD_fashion_boutique[[#This Row],[is_returned]]="False",0,1)</f>
        <v>0</v>
      </c>
      <c r="W1551">
        <f>IF(BBDD_fashion_boutique[[#This Row],[is_returned]]="True",0,BBDD_fashion_boutique[[#This Row],[current_price]])</f>
        <v>48.15</v>
      </c>
      <c r="X1551" t="str">
        <f>IF(BBDD_fashion_boutique[[#This Row],[return_reason]]="","No return",BBDD_fashion_boutique[[#This Row],[return_reason]])</f>
        <v>No return</v>
      </c>
      <c r="Y1551">
        <f>IF(IFERROR(VLOOKUP(BBDD_fashion_boutique[[#This Row],[product_id]],A1552:A3727,1,FALSE),0),1,0)</f>
        <v>0</v>
      </c>
    </row>
    <row r="1552" spans="1:25" x14ac:dyDescent="0.3">
      <c r="A1552" t="s">
        <v>1611</v>
      </c>
      <c r="B1552" t="s">
        <v>26</v>
      </c>
      <c r="C1552" t="s">
        <v>67</v>
      </c>
      <c r="D1552" t="s">
        <v>21</v>
      </c>
      <c r="F1552" t="str">
        <f>IF(BBDD_fashion_boutique[[#This Row],[category]]="Accessories","Accesorio",IF(BBDD_fashion_boutique[[#This Row],[size]]="","Desconocido",BBDD_fashion_boutique[[#This Row],[size]]))</f>
        <v>Desconocido</v>
      </c>
      <c r="G1552" t="s">
        <v>40</v>
      </c>
      <c r="H1552" s="2">
        <v>74.13</v>
      </c>
      <c r="I1552">
        <v>0</v>
      </c>
      <c r="J1552" s="5">
        <f>BBDD_fashion_boutique[[#This Row],[markdown_percentage]]/100</f>
        <v>0</v>
      </c>
      <c r="K1552" s="2">
        <v>74.13</v>
      </c>
      <c r="L1552" s="2">
        <f>BBDD_fashion_boutique[[#This Row],[original_price]]-BBDD_fashion_boutique[[#This Row],[current_price]]</f>
        <v>0</v>
      </c>
      <c r="M1552" s="1">
        <v>45609</v>
      </c>
      <c r="N1552" s="1" t="str">
        <f>PROPER(TEXT(BBDD_fashion_boutique[[#This Row],[purchase_date]],"dddd"))</f>
        <v>Miércoles</v>
      </c>
      <c r="O1552" s="1" t="str">
        <f>PROPER(TEXT(BBDD_fashion_boutique[[#This Row],[purchase_date]],"mmmm"))</f>
        <v>Noviembre</v>
      </c>
      <c r="P1552" s="4">
        <v>23</v>
      </c>
      <c r="R1552" t="str">
        <f>IF(BBDD_fashion_boutique[[#This Row],[stock_quantity]]&gt;9,"Ok",IF(BBDD_fashion_boutique[[#This Row],[stock_quantity]]=0,"Agotado","Pocas Unidades"))</f>
        <v>Ok</v>
      </c>
      <c r="S1552" s="3" t="str">
        <f>IF(BBDD_fashion_boutique[[#This Row],[customer_rating]]="","No valorado",BBDD_fashion_boutique[[#This Row],[customer_rating]])</f>
        <v>No valorado</v>
      </c>
      <c r="T1552" t="s">
        <v>24</v>
      </c>
      <c r="V1552">
        <f>IF(BBDD_fashion_boutique[[#This Row],[is_returned]]="False",0,1)</f>
        <v>0</v>
      </c>
      <c r="W1552">
        <f>IF(BBDD_fashion_boutique[[#This Row],[is_returned]]="True",0,BBDD_fashion_boutique[[#This Row],[current_price]])</f>
        <v>74.13</v>
      </c>
      <c r="X1552" t="str">
        <f>IF(BBDD_fashion_boutique[[#This Row],[return_reason]]="","No return",BBDD_fashion_boutique[[#This Row],[return_reason]])</f>
        <v>No return</v>
      </c>
      <c r="Y1552">
        <f>IF(IFERROR(VLOOKUP(BBDD_fashion_boutique[[#This Row],[product_id]],A1553:A3728,1,FALSE),0),1,0)</f>
        <v>0</v>
      </c>
    </row>
    <row r="1553" spans="1:25" x14ac:dyDescent="0.3">
      <c r="A1553" t="s">
        <v>1612</v>
      </c>
      <c r="B1553" t="s">
        <v>48</v>
      </c>
      <c r="C1553" t="s">
        <v>20</v>
      </c>
      <c r="D1553" t="s">
        <v>39</v>
      </c>
      <c r="E1553" t="s">
        <v>22</v>
      </c>
      <c r="F1553" t="str">
        <f>IF(BBDD_fashion_boutique[[#This Row],[category]]="Accessories","Accesorio",IF(BBDD_fashion_boutique[[#This Row],[size]]="","Desconocido",BBDD_fashion_boutique[[#This Row],[size]]))</f>
        <v>XL</v>
      </c>
      <c r="G1553" t="s">
        <v>72</v>
      </c>
      <c r="H1553" s="2">
        <v>156.13999999999999</v>
      </c>
      <c r="I1553">
        <v>5</v>
      </c>
      <c r="J1553" s="5">
        <f>BBDD_fashion_boutique[[#This Row],[markdown_percentage]]/100</f>
        <v>0.05</v>
      </c>
      <c r="K1553" s="2">
        <v>148.33000000000001</v>
      </c>
      <c r="L1553" s="2">
        <f>BBDD_fashion_boutique[[#This Row],[original_price]]-BBDD_fashion_boutique[[#This Row],[current_price]]</f>
        <v>7.8099999999999739</v>
      </c>
      <c r="M1553" s="1">
        <v>45875</v>
      </c>
      <c r="N1553" s="1" t="str">
        <f>PROPER(TEXT(BBDD_fashion_boutique[[#This Row],[purchase_date]],"dddd"))</f>
        <v>Miércoles</v>
      </c>
      <c r="O1553" s="1" t="str">
        <f>PROPER(TEXT(BBDD_fashion_boutique[[#This Row],[purchase_date]],"mmmm"))</f>
        <v>Agosto</v>
      </c>
      <c r="P1553" s="4">
        <v>39</v>
      </c>
      <c r="R1553" t="str">
        <f>IF(BBDD_fashion_boutique[[#This Row],[stock_quantity]]&gt;9,"Ok",IF(BBDD_fashion_boutique[[#This Row],[stock_quantity]]=0,"Agotado","Pocas Unidades"))</f>
        <v>Ok</v>
      </c>
      <c r="S1553" s="3" t="str">
        <f>IF(BBDD_fashion_boutique[[#This Row],[customer_rating]]="","No valorado",BBDD_fashion_boutique[[#This Row],[customer_rating]])</f>
        <v>No valorado</v>
      </c>
      <c r="T1553" t="s">
        <v>24</v>
      </c>
      <c r="V1553">
        <f>IF(BBDD_fashion_boutique[[#This Row],[is_returned]]="False",0,1)</f>
        <v>0</v>
      </c>
      <c r="W1553">
        <f>IF(BBDD_fashion_boutique[[#This Row],[is_returned]]="True",0,BBDD_fashion_boutique[[#This Row],[current_price]])</f>
        <v>148.33000000000001</v>
      </c>
      <c r="X1553" t="str">
        <f>IF(BBDD_fashion_boutique[[#This Row],[return_reason]]="","No return",BBDD_fashion_boutique[[#This Row],[return_reason]])</f>
        <v>No return</v>
      </c>
      <c r="Y1553">
        <f>IF(IFERROR(VLOOKUP(BBDD_fashion_boutique[[#This Row],[product_id]],A1554:A3729,1,FALSE),0),1,0)</f>
        <v>0</v>
      </c>
    </row>
    <row r="1554" spans="1:25" x14ac:dyDescent="0.3">
      <c r="A1554" t="s">
        <v>1613</v>
      </c>
      <c r="B1554" t="s">
        <v>19</v>
      </c>
      <c r="C1554" t="s">
        <v>37</v>
      </c>
      <c r="D1554" t="s">
        <v>68</v>
      </c>
      <c r="E1554" t="s">
        <v>61</v>
      </c>
      <c r="F1554" t="str">
        <f>IF(BBDD_fashion_boutique[[#This Row],[category]]="Accessories","Accesorio",IF(BBDD_fashion_boutique[[#This Row],[size]]="","Desconocido",BBDD_fashion_boutique[[#This Row],[size]]))</f>
        <v>XS</v>
      </c>
      <c r="G1554" t="s">
        <v>52</v>
      </c>
      <c r="H1554" s="2">
        <v>105.3</v>
      </c>
      <c r="I1554">
        <v>0</v>
      </c>
      <c r="J1554" s="5">
        <f>BBDD_fashion_boutique[[#This Row],[markdown_percentage]]/100</f>
        <v>0</v>
      </c>
      <c r="K1554" s="2">
        <v>105.3</v>
      </c>
      <c r="L1554" s="2">
        <f>BBDD_fashion_boutique[[#This Row],[original_price]]-BBDD_fashion_boutique[[#This Row],[current_price]]</f>
        <v>0</v>
      </c>
      <c r="M1554" s="1">
        <v>45875</v>
      </c>
      <c r="N1554" s="1" t="str">
        <f>PROPER(TEXT(BBDD_fashion_boutique[[#This Row],[purchase_date]],"dddd"))</f>
        <v>Miércoles</v>
      </c>
      <c r="O1554" s="1" t="str">
        <f>PROPER(TEXT(BBDD_fashion_boutique[[#This Row],[purchase_date]],"mmmm"))</f>
        <v>Agosto</v>
      </c>
      <c r="P1554" s="4">
        <v>1</v>
      </c>
      <c r="Q1554" s="2">
        <v>3</v>
      </c>
      <c r="R1554" t="str">
        <f>IF(BBDD_fashion_boutique[[#This Row],[stock_quantity]]&gt;9,"Ok",IF(BBDD_fashion_boutique[[#This Row],[stock_quantity]]=0,"Agotado","Pocas Unidades"))</f>
        <v>Pocas Unidades</v>
      </c>
      <c r="S1554" s="3">
        <f>IF(BBDD_fashion_boutique[[#This Row],[customer_rating]]="","No valorado",BBDD_fashion_boutique[[#This Row],[customer_rating]])</f>
        <v>3</v>
      </c>
      <c r="T1554" t="s">
        <v>24</v>
      </c>
      <c r="V1554">
        <f>IF(BBDD_fashion_boutique[[#This Row],[is_returned]]="False",0,1)</f>
        <v>0</v>
      </c>
      <c r="W1554">
        <f>IF(BBDD_fashion_boutique[[#This Row],[is_returned]]="True",0,BBDD_fashion_boutique[[#This Row],[current_price]])</f>
        <v>105.3</v>
      </c>
      <c r="X1554" t="str">
        <f>IF(BBDD_fashion_boutique[[#This Row],[return_reason]]="","No return",BBDD_fashion_boutique[[#This Row],[return_reason]])</f>
        <v>No return</v>
      </c>
      <c r="Y1554">
        <f>IF(IFERROR(VLOOKUP(BBDD_fashion_boutique[[#This Row],[product_id]],A1555:A3730,1,FALSE),0),1,0)</f>
        <v>0</v>
      </c>
    </row>
    <row r="1555" spans="1:25" x14ac:dyDescent="0.3">
      <c r="A1555" t="s">
        <v>1614</v>
      </c>
      <c r="B1555" t="s">
        <v>48</v>
      </c>
      <c r="C1555" t="s">
        <v>54</v>
      </c>
      <c r="D1555" t="s">
        <v>28</v>
      </c>
      <c r="E1555" t="s">
        <v>45</v>
      </c>
      <c r="F1555" t="str">
        <f>IF(BBDD_fashion_boutique[[#This Row],[category]]="Accessories","Accesorio",IF(BBDD_fashion_boutique[[#This Row],[size]]="","Desconocido",BBDD_fashion_boutique[[#This Row],[size]]))</f>
        <v>S</v>
      </c>
      <c r="G1555" t="s">
        <v>70</v>
      </c>
      <c r="H1555" s="2">
        <v>126.76</v>
      </c>
      <c r="I1555">
        <v>0</v>
      </c>
      <c r="J1555" s="5">
        <f>BBDD_fashion_boutique[[#This Row],[markdown_percentage]]/100</f>
        <v>0</v>
      </c>
      <c r="K1555" s="2">
        <v>126.76</v>
      </c>
      <c r="L1555" s="2">
        <f>BBDD_fashion_boutique[[#This Row],[original_price]]-BBDD_fashion_boutique[[#This Row],[current_price]]</f>
        <v>0</v>
      </c>
      <c r="M1555" s="1">
        <v>45875</v>
      </c>
      <c r="N1555" s="1" t="str">
        <f>PROPER(TEXT(BBDD_fashion_boutique[[#This Row],[purchase_date]],"dddd"))</f>
        <v>Miércoles</v>
      </c>
      <c r="O1555" s="1" t="str">
        <f>PROPER(TEXT(BBDD_fashion_boutique[[#This Row],[purchase_date]],"mmmm"))</f>
        <v>Agosto</v>
      </c>
      <c r="P1555" s="4">
        <v>24</v>
      </c>
      <c r="Q1555" s="2">
        <v>2.2000000000000002</v>
      </c>
      <c r="R1555" t="str">
        <f>IF(BBDD_fashion_boutique[[#This Row],[stock_quantity]]&gt;9,"Ok",IF(BBDD_fashion_boutique[[#This Row],[stock_quantity]]=0,"Agotado","Pocas Unidades"))</f>
        <v>Ok</v>
      </c>
      <c r="S1555" s="3">
        <f>IF(BBDD_fashion_boutique[[#This Row],[customer_rating]]="","No valorado",BBDD_fashion_boutique[[#This Row],[customer_rating]])</f>
        <v>2.2000000000000002</v>
      </c>
      <c r="T1555" t="s">
        <v>24</v>
      </c>
      <c r="V1555">
        <f>IF(BBDD_fashion_boutique[[#This Row],[is_returned]]="False",0,1)</f>
        <v>0</v>
      </c>
      <c r="W1555">
        <f>IF(BBDD_fashion_boutique[[#This Row],[is_returned]]="True",0,BBDD_fashion_boutique[[#This Row],[current_price]])</f>
        <v>126.76</v>
      </c>
      <c r="X1555" t="str">
        <f>IF(BBDD_fashion_boutique[[#This Row],[return_reason]]="","No return",BBDD_fashion_boutique[[#This Row],[return_reason]])</f>
        <v>No return</v>
      </c>
      <c r="Y1555">
        <f>IF(IFERROR(VLOOKUP(BBDD_fashion_boutique[[#This Row],[product_id]],A1556:A3731,1,FALSE),0),1,0)</f>
        <v>0</v>
      </c>
    </row>
    <row r="1556" spans="1:25" x14ac:dyDescent="0.3">
      <c r="A1556" t="s">
        <v>1615</v>
      </c>
      <c r="B1556" t="s">
        <v>26</v>
      </c>
      <c r="C1556" t="s">
        <v>67</v>
      </c>
      <c r="D1556" t="s">
        <v>28</v>
      </c>
      <c r="E1556" t="s">
        <v>29</v>
      </c>
      <c r="F1556" t="str">
        <f>IF(BBDD_fashion_boutique[[#This Row],[category]]="Accessories","Accesorio",IF(BBDD_fashion_boutique[[#This Row],[size]]="","Desconocido",BBDD_fashion_boutique[[#This Row],[size]]))</f>
        <v>L</v>
      </c>
      <c r="G1556" t="s">
        <v>70</v>
      </c>
      <c r="H1556" s="2">
        <v>35.409999999999997</v>
      </c>
      <c r="I1556">
        <v>0</v>
      </c>
      <c r="J1556" s="5">
        <f>BBDD_fashion_boutique[[#This Row],[markdown_percentage]]/100</f>
        <v>0</v>
      </c>
      <c r="K1556" s="2">
        <v>35.409999999999997</v>
      </c>
      <c r="L1556" s="2">
        <f>BBDD_fashion_boutique[[#This Row],[original_price]]-BBDD_fashion_boutique[[#This Row],[current_price]]</f>
        <v>0</v>
      </c>
      <c r="M1556" s="1">
        <v>45875</v>
      </c>
      <c r="N1556" s="1" t="str">
        <f>PROPER(TEXT(BBDD_fashion_boutique[[#This Row],[purchase_date]],"dddd"))</f>
        <v>Miércoles</v>
      </c>
      <c r="O1556" s="1" t="str">
        <f>PROPER(TEXT(BBDD_fashion_boutique[[#This Row],[purchase_date]],"mmmm"))</f>
        <v>Agosto</v>
      </c>
      <c r="P1556" s="4">
        <v>48</v>
      </c>
      <c r="Q1556" s="2">
        <v>4.3</v>
      </c>
      <c r="R1556" t="str">
        <f>IF(BBDD_fashion_boutique[[#This Row],[stock_quantity]]&gt;9,"Ok",IF(BBDD_fashion_boutique[[#This Row],[stock_quantity]]=0,"Agotado","Pocas Unidades"))</f>
        <v>Ok</v>
      </c>
      <c r="S1556" s="3">
        <f>IF(BBDD_fashion_boutique[[#This Row],[customer_rating]]="","No valorado",BBDD_fashion_boutique[[#This Row],[customer_rating]])</f>
        <v>4.3</v>
      </c>
      <c r="T1556" t="s">
        <v>41</v>
      </c>
      <c r="U1556" t="s">
        <v>84</v>
      </c>
      <c r="V1556">
        <f>IF(BBDD_fashion_boutique[[#This Row],[is_returned]]="False",0,1)</f>
        <v>1</v>
      </c>
      <c r="W1556">
        <f>IF(BBDD_fashion_boutique[[#This Row],[is_returned]]="True",0,BBDD_fashion_boutique[[#This Row],[current_price]])</f>
        <v>0</v>
      </c>
      <c r="X1556" t="str">
        <f>IF(BBDD_fashion_boutique[[#This Row],[return_reason]]="","No return",BBDD_fashion_boutique[[#This Row],[return_reason]])</f>
        <v>Damaged</v>
      </c>
      <c r="Y1556">
        <f>IF(IFERROR(VLOOKUP(BBDD_fashion_boutique[[#This Row],[product_id]],A1557:A3732,1,FALSE),0),1,0)</f>
        <v>0</v>
      </c>
    </row>
    <row r="1557" spans="1:25" x14ac:dyDescent="0.3">
      <c r="A1557" t="s">
        <v>1616</v>
      </c>
      <c r="B1557" t="s">
        <v>19</v>
      </c>
      <c r="C1557" t="s">
        <v>59</v>
      </c>
      <c r="D1557" t="s">
        <v>28</v>
      </c>
      <c r="E1557" t="s">
        <v>64</v>
      </c>
      <c r="F1557" t="str">
        <f>IF(BBDD_fashion_boutique[[#This Row],[category]]="Accessories","Accesorio",IF(BBDD_fashion_boutique[[#This Row],[size]]="","Desconocido",BBDD_fashion_boutique[[#This Row],[size]]))</f>
        <v>M</v>
      </c>
      <c r="G1557" t="s">
        <v>40</v>
      </c>
      <c r="H1557" s="2">
        <v>80.040000000000006</v>
      </c>
      <c r="I1557">
        <v>0</v>
      </c>
      <c r="J1557" s="5">
        <f>BBDD_fashion_boutique[[#This Row],[markdown_percentage]]/100</f>
        <v>0</v>
      </c>
      <c r="K1557" s="2">
        <v>80.040000000000006</v>
      </c>
      <c r="L1557" s="2">
        <f>BBDD_fashion_boutique[[#This Row],[original_price]]-BBDD_fashion_boutique[[#This Row],[current_price]]</f>
        <v>0</v>
      </c>
      <c r="M1557" s="1">
        <v>45875</v>
      </c>
      <c r="N1557" s="1" t="str">
        <f>PROPER(TEXT(BBDD_fashion_boutique[[#This Row],[purchase_date]],"dddd"))</f>
        <v>Miércoles</v>
      </c>
      <c r="O1557" s="1" t="str">
        <f>PROPER(TEXT(BBDD_fashion_boutique[[#This Row],[purchase_date]],"mmmm"))</f>
        <v>Agosto</v>
      </c>
      <c r="P1557" s="4">
        <v>13</v>
      </c>
      <c r="Q1557" s="2">
        <v>2.2999999999999998</v>
      </c>
      <c r="R1557" t="str">
        <f>IF(BBDD_fashion_boutique[[#This Row],[stock_quantity]]&gt;9,"Ok",IF(BBDD_fashion_boutique[[#This Row],[stock_quantity]]=0,"Agotado","Pocas Unidades"))</f>
        <v>Ok</v>
      </c>
      <c r="S1557" s="3">
        <f>IF(BBDD_fashion_boutique[[#This Row],[customer_rating]]="","No valorado",BBDD_fashion_boutique[[#This Row],[customer_rating]])</f>
        <v>2.2999999999999998</v>
      </c>
      <c r="T1557" t="s">
        <v>24</v>
      </c>
      <c r="V1557">
        <f>IF(BBDD_fashion_boutique[[#This Row],[is_returned]]="False",0,1)</f>
        <v>0</v>
      </c>
      <c r="W1557">
        <f>IF(BBDD_fashion_boutique[[#This Row],[is_returned]]="True",0,BBDD_fashion_boutique[[#This Row],[current_price]])</f>
        <v>80.040000000000006</v>
      </c>
      <c r="X1557" t="str">
        <f>IF(BBDD_fashion_boutique[[#This Row],[return_reason]]="","No return",BBDD_fashion_boutique[[#This Row],[return_reason]])</f>
        <v>No return</v>
      </c>
      <c r="Y1557">
        <f>IF(IFERROR(VLOOKUP(BBDD_fashion_boutique[[#This Row],[product_id]],A1558:A3733,1,FALSE),0),1,0)</f>
        <v>0</v>
      </c>
    </row>
    <row r="1558" spans="1:25" x14ac:dyDescent="0.3">
      <c r="A1558" t="s">
        <v>1617</v>
      </c>
      <c r="B1558" t="s">
        <v>44</v>
      </c>
      <c r="C1558" t="s">
        <v>67</v>
      </c>
      <c r="D1558" t="s">
        <v>39</v>
      </c>
      <c r="F1558" t="str">
        <f>IF(BBDD_fashion_boutique[[#This Row],[category]]="Accessories","Accesorio",IF(BBDD_fashion_boutique[[#This Row],[size]]="","Desconocido",BBDD_fashion_boutique[[#This Row],[size]]))</f>
        <v>Desconocido</v>
      </c>
      <c r="G1558" t="s">
        <v>70</v>
      </c>
      <c r="H1558" s="2">
        <v>68.16</v>
      </c>
      <c r="I1558">
        <v>0</v>
      </c>
      <c r="J1558" s="5">
        <f>BBDD_fashion_boutique[[#This Row],[markdown_percentage]]/100</f>
        <v>0</v>
      </c>
      <c r="K1558" s="2">
        <v>68.16</v>
      </c>
      <c r="L1558" s="2">
        <f>BBDD_fashion_boutique[[#This Row],[original_price]]-BBDD_fashion_boutique[[#This Row],[current_price]]</f>
        <v>0</v>
      </c>
      <c r="M1558" s="1">
        <v>45875</v>
      </c>
      <c r="N1558" s="1" t="str">
        <f>PROPER(TEXT(BBDD_fashion_boutique[[#This Row],[purchase_date]],"dddd"))</f>
        <v>Miércoles</v>
      </c>
      <c r="O1558" s="1" t="str">
        <f>PROPER(TEXT(BBDD_fashion_boutique[[#This Row],[purchase_date]],"mmmm"))</f>
        <v>Agosto</v>
      </c>
      <c r="P1558" s="4">
        <v>34</v>
      </c>
      <c r="Q1558" s="2">
        <v>2.7</v>
      </c>
      <c r="R1558" t="str">
        <f>IF(BBDD_fashion_boutique[[#This Row],[stock_quantity]]&gt;9,"Ok",IF(BBDD_fashion_boutique[[#This Row],[stock_quantity]]=0,"Agotado","Pocas Unidades"))</f>
        <v>Ok</v>
      </c>
      <c r="S1558" s="3">
        <f>IF(BBDD_fashion_boutique[[#This Row],[customer_rating]]="","No valorado",BBDD_fashion_boutique[[#This Row],[customer_rating]])</f>
        <v>2.7</v>
      </c>
      <c r="T1558" t="s">
        <v>24</v>
      </c>
      <c r="V1558">
        <f>IF(BBDD_fashion_boutique[[#This Row],[is_returned]]="False",0,1)</f>
        <v>0</v>
      </c>
      <c r="W1558">
        <f>IF(BBDD_fashion_boutique[[#This Row],[is_returned]]="True",0,BBDD_fashion_boutique[[#This Row],[current_price]])</f>
        <v>68.16</v>
      </c>
      <c r="X1558" t="str">
        <f>IF(BBDD_fashion_boutique[[#This Row],[return_reason]]="","No return",BBDD_fashion_boutique[[#This Row],[return_reason]])</f>
        <v>No return</v>
      </c>
      <c r="Y1558">
        <f>IF(IFERROR(VLOOKUP(BBDD_fashion_boutique[[#This Row],[product_id]],A1559:A3734,1,FALSE),0),1,0)</f>
        <v>0</v>
      </c>
    </row>
    <row r="1559" spans="1:25" x14ac:dyDescent="0.3">
      <c r="A1559" t="s">
        <v>1618</v>
      </c>
      <c r="B1559" t="s">
        <v>48</v>
      </c>
      <c r="C1559" t="s">
        <v>59</v>
      </c>
      <c r="D1559" t="s">
        <v>39</v>
      </c>
      <c r="E1559" t="s">
        <v>22</v>
      </c>
      <c r="F1559" t="str">
        <f>IF(BBDD_fashion_boutique[[#This Row],[category]]="Accessories","Accesorio",IF(BBDD_fashion_boutique[[#This Row],[size]]="","Desconocido",BBDD_fashion_boutique[[#This Row],[size]]))</f>
        <v>XL</v>
      </c>
      <c r="G1559" t="s">
        <v>40</v>
      </c>
      <c r="H1559" s="2">
        <v>60.87</v>
      </c>
      <c r="I1559">
        <v>0</v>
      </c>
      <c r="J1559" s="5">
        <f>BBDD_fashion_boutique[[#This Row],[markdown_percentage]]/100</f>
        <v>0</v>
      </c>
      <c r="K1559" s="2">
        <v>60.87</v>
      </c>
      <c r="L1559" s="2">
        <f>BBDD_fashion_boutique[[#This Row],[original_price]]-BBDD_fashion_boutique[[#This Row],[current_price]]</f>
        <v>0</v>
      </c>
      <c r="M1559" s="1">
        <v>45875</v>
      </c>
      <c r="N1559" s="1" t="str">
        <f>PROPER(TEXT(BBDD_fashion_boutique[[#This Row],[purchase_date]],"dddd"))</f>
        <v>Miércoles</v>
      </c>
      <c r="O1559" s="1" t="str">
        <f>PROPER(TEXT(BBDD_fashion_boutique[[#This Row],[purchase_date]],"mmmm"))</f>
        <v>Agosto</v>
      </c>
      <c r="P1559" s="4">
        <v>35</v>
      </c>
      <c r="R1559" t="str">
        <f>IF(BBDD_fashion_boutique[[#This Row],[stock_quantity]]&gt;9,"Ok",IF(BBDD_fashion_boutique[[#This Row],[stock_quantity]]=0,"Agotado","Pocas Unidades"))</f>
        <v>Ok</v>
      </c>
      <c r="S1559" s="3" t="str">
        <f>IF(BBDD_fashion_boutique[[#This Row],[customer_rating]]="","No valorado",BBDD_fashion_boutique[[#This Row],[customer_rating]])</f>
        <v>No valorado</v>
      </c>
      <c r="T1559" t="s">
        <v>24</v>
      </c>
      <c r="V1559">
        <f>IF(BBDD_fashion_boutique[[#This Row],[is_returned]]="False",0,1)</f>
        <v>0</v>
      </c>
      <c r="W1559">
        <f>IF(BBDD_fashion_boutique[[#This Row],[is_returned]]="True",0,BBDD_fashion_boutique[[#This Row],[current_price]])</f>
        <v>60.87</v>
      </c>
      <c r="X1559" t="str">
        <f>IF(BBDD_fashion_boutique[[#This Row],[return_reason]]="","No return",BBDD_fashion_boutique[[#This Row],[return_reason]])</f>
        <v>No return</v>
      </c>
      <c r="Y1559">
        <f>IF(IFERROR(VLOOKUP(BBDD_fashion_boutique[[#This Row],[product_id]],A1560:A3735,1,FALSE),0),1,0)</f>
        <v>0</v>
      </c>
    </row>
    <row r="1560" spans="1:25" x14ac:dyDescent="0.3">
      <c r="A1560" t="s">
        <v>1619</v>
      </c>
      <c r="B1560" t="s">
        <v>26</v>
      </c>
      <c r="C1560" t="s">
        <v>54</v>
      </c>
      <c r="D1560" t="s">
        <v>21</v>
      </c>
      <c r="E1560" t="s">
        <v>29</v>
      </c>
      <c r="F1560" t="str">
        <f>IF(BBDD_fashion_boutique[[#This Row],[category]]="Accessories","Accesorio",IF(BBDD_fashion_boutique[[#This Row],[size]]="","Desconocido",BBDD_fashion_boutique[[#This Row],[size]]))</f>
        <v>L</v>
      </c>
      <c r="G1560" t="s">
        <v>76</v>
      </c>
      <c r="H1560" s="2">
        <v>59.8</v>
      </c>
      <c r="I1560">
        <v>0</v>
      </c>
      <c r="J1560" s="5">
        <f>BBDD_fashion_boutique[[#This Row],[markdown_percentage]]/100</f>
        <v>0</v>
      </c>
      <c r="K1560" s="2">
        <v>59.8</v>
      </c>
      <c r="L1560" s="2">
        <f>BBDD_fashion_boutique[[#This Row],[original_price]]-BBDD_fashion_boutique[[#This Row],[current_price]]</f>
        <v>0</v>
      </c>
      <c r="M1560" s="1">
        <v>45753</v>
      </c>
      <c r="N1560" s="1" t="str">
        <f>PROPER(TEXT(BBDD_fashion_boutique[[#This Row],[purchase_date]],"dddd"))</f>
        <v>Domingo</v>
      </c>
      <c r="O1560" s="1" t="str">
        <f>PROPER(TEXT(BBDD_fashion_boutique[[#This Row],[purchase_date]],"mmmm"))</f>
        <v>Abril</v>
      </c>
      <c r="P1560" s="4">
        <v>50</v>
      </c>
      <c r="Q1560" s="2">
        <v>2.2000000000000002</v>
      </c>
      <c r="R1560" t="str">
        <f>IF(BBDD_fashion_boutique[[#This Row],[stock_quantity]]&gt;9,"Ok",IF(BBDD_fashion_boutique[[#This Row],[stock_quantity]]=0,"Agotado","Pocas Unidades"))</f>
        <v>Ok</v>
      </c>
      <c r="S1560" s="3">
        <f>IF(BBDD_fashion_boutique[[#This Row],[customer_rating]]="","No valorado",BBDD_fashion_boutique[[#This Row],[customer_rating]])</f>
        <v>2.2000000000000002</v>
      </c>
      <c r="T1560" t="s">
        <v>41</v>
      </c>
      <c r="U1560" t="s">
        <v>79</v>
      </c>
      <c r="V1560">
        <f>IF(BBDD_fashion_boutique[[#This Row],[is_returned]]="False",0,1)</f>
        <v>1</v>
      </c>
      <c r="W1560">
        <f>IF(BBDD_fashion_boutique[[#This Row],[is_returned]]="True",0,BBDD_fashion_boutique[[#This Row],[current_price]])</f>
        <v>0</v>
      </c>
      <c r="X1560" t="str">
        <f>IF(BBDD_fashion_boutique[[#This Row],[return_reason]]="","No return",BBDD_fashion_boutique[[#This Row],[return_reason]])</f>
        <v>Size Issue</v>
      </c>
      <c r="Y1560">
        <f>IF(IFERROR(VLOOKUP(BBDD_fashion_boutique[[#This Row],[product_id]],A1561:A3736,1,FALSE),0),1,0)</f>
        <v>0</v>
      </c>
    </row>
    <row r="1561" spans="1:25" x14ac:dyDescent="0.3">
      <c r="A1561" t="s">
        <v>1620</v>
      </c>
      <c r="B1561" t="s">
        <v>32</v>
      </c>
      <c r="C1561" t="s">
        <v>67</v>
      </c>
      <c r="D1561" t="s">
        <v>39</v>
      </c>
      <c r="F1561" t="str">
        <f>IF(BBDD_fashion_boutique[[#This Row],[category]]="Accessories","Accesorio",IF(BBDD_fashion_boutique[[#This Row],[size]]="","Desconocido",BBDD_fashion_boutique[[#This Row],[size]]))</f>
        <v>Accesorio</v>
      </c>
      <c r="G1561" t="s">
        <v>33</v>
      </c>
      <c r="H1561" s="2">
        <v>75.83</v>
      </c>
      <c r="I1561">
        <v>0</v>
      </c>
      <c r="J1561" s="5">
        <f>BBDD_fashion_boutique[[#This Row],[markdown_percentage]]/100</f>
        <v>0</v>
      </c>
      <c r="K1561" s="2">
        <v>75.83</v>
      </c>
      <c r="L1561" s="2">
        <f>BBDD_fashion_boutique[[#This Row],[original_price]]-BBDD_fashion_boutique[[#This Row],[current_price]]</f>
        <v>0</v>
      </c>
      <c r="M1561" s="1">
        <v>45875</v>
      </c>
      <c r="N1561" s="1" t="str">
        <f>PROPER(TEXT(BBDD_fashion_boutique[[#This Row],[purchase_date]],"dddd"))</f>
        <v>Miércoles</v>
      </c>
      <c r="O1561" s="1" t="str">
        <f>PROPER(TEXT(BBDD_fashion_boutique[[#This Row],[purchase_date]],"mmmm"))</f>
        <v>Agosto</v>
      </c>
      <c r="P1561" s="4">
        <v>8</v>
      </c>
      <c r="Q1561" s="2">
        <v>2</v>
      </c>
      <c r="R1561" t="str">
        <f>IF(BBDD_fashion_boutique[[#This Row],[stock_quantity]]&gt;9,"Ok",IF(BBDD_fashion_boutique[[#This Row],[stock_quantity]]=0,"Agotado","Pocas Unidades"))</f>
        <v>Pocas Unidades</v>
      </c>
      <c r="S1561" s="3">
        <f>IF(BBDD_fashion_boutique[[#This Row],[customer_rating]]="","No valorado",BBDD_fashion_boutique[[#This Row],[customer_rating]])</f>
        <v>2</v>
      </c>
      <c r="T1561" t="s">
        <v>24</v>
      </c>
      <c r="V1561">
        <f>IF(BBDD_fashion_boutique[[#This Row],[is_returned]]="False",0,1)</f>
        <v>0</v>
      </c>
      <c r="W1561">
        <f>IF(BBDD_fashion_boutique[[#This Row],[is_returned]]="True",0,BBDD_fashion_boutique[[#This Row],[current_price]])</f>
        <v>75.83</v>
      </c>
      <c r="X1561" t="str">
        <f>IF(BBDD_fashion_boutique[[#This Row],[return_reason]]="","No return",BBDD_fashion_boutique[[#This Row],[return_reason]])</f>
        <v>No return</v>
      </c>
      <c r="Y1561">
        <f>IF(IFERROR(VLOOKUP(BBDD_fashion_boutique[[#This Row],[product_id]],A1562:A3737,1,FALSE),0),1,0)</f>
        <v>0</v>
      </c>
    </row>
    <row r="1562" spans="1:25" x14ac:dyDescent="0.3">
      <c r="A1562" t="s">
        <v>1621</v>
      </c>
      <c r="B1562" t="s">
        <v>26</v>
      </c>
      <c r="C1562" t="s">
        <v>54</v>
      </c>
      <c r="D1562" t="s">
        <v>68</v>
      </c>
      <c r="E1562" t="s">
        <v>29</v>
      </c>
      <c r="F1562" t="str">
        <f>IF(BBDD_fashion_boutique[[#This Row],[category]]="Accessories","Accesorio",IF(BBDD_fashion_boutique[[#This Row],[size]]="","Desconocido",BBDD_fashion_boutique[[#This Row],[size]]))</f>
        <v>L</v>
      </c>
      <c r="G1562" t="s">
        <v>62</v>
      </c>
      <c r="H1562" s="2">
        <v>55.97</v>
      </c>
      <c r="I1562">
        <v>0</v>
      </c>
      <c r="J1562" s="5">
        <f>BBDD_fashion_boutique[[#This Row],[markdown_percentage]]/100</f>
        <v>0</v>
      </c>
      <c r="K1562" s="2">
        <v>55.97</v>
      </c>
      <c r="L1562" s="2">
        <f>BBDD_fashion_boutique[[#This Row],[original_price]]-BBDD_fashion_boutique[[#This Row],[current_price]]</f>
        <v>0</v>
      </c>
      <c r="M1562" s="1">
        <v>45875</v>
      </c>
      <c r="N1562" s="1" t="str">
        <f>PROPER(TEXT(BBDD_fashion_boutique[[#This Row],[purchase_date]],"dddd"))</f>
        <v>Miércoles</v>
      </c>
      <c r="O1562" s="1" t="str">
        <f>PROPER(TEXT(BBDD_fashion_boutique[[#This Row],[purchase_date]],"mmmm"))</f>
        <v>Agosto</v>
      </c>
      <c r="P1562" s="4">
        <v>30</v>
      </c>
      <c r="R1562" t="str">
        <f>IF(BBDD_fashion_boutique[[#This Row],[stock_quantity]]&gt;9,"Ok",IF(BBDD_fashion_boutique[[#This Row],[stock_quantity]]=0,"Agotado","Pocas Unidades"))</f>
        <v>Ok</v>
      </c>
      <c r="S1562" s="3" t="str">
        <f>IF(BBDD_fashion_boutique[[#This Row],[customer_rating]]="","No valorado",BBDD_fashion_boutique[[#This Row],[customer_rating]])</f>
        <v>No valorado</v>
      </c>
      <c r="T1562" t="s">
        <v>24</v>
      </c>
      <c r="V1562">
        <f>IF(BBDD_fashion_boutique[[#This Row],[is_returned]]="False",0,1)</f>
        <v>0</v>
      </c>
      <c r="W1562">
        <f>IF(BBDD_fashion_boutique[[#This Row],[is_returned]]="True",0,BBDD_fashion_boutique[[#This Row],[current_price]])</f>
        <v>55.97</v>
      </c>
      <c r="X1562" t="str">
        <f>IF(BBDD_fashion_boutique[[#This Row],[return_reason]]="","No return",BBDD_fashion_boutique[[#This Row],[return_reason]])</f>
        <v>No return</v>
      </c>
      <c r="Y1562">
        <f>IF(IFERROR(VLOOKUP(BBDD_fashion_boutique[[#This Row],[product_id]],A1563:A3738,1,FALSE),0),1,0)</f>
        <v>0</v>
      </c>
    </row>
    <row r="1563" spans="1:25" x14ac:dyDescent="0.3">
      <c r="A1563" t="s">
        <v>1622</v>
      </c>
      <c r="B1563" t="s">
        <v>35</v>
      </c>
      <c r="C1563" t="s">
        <v>67</v>
      </c>
      <c r="D1563" t="s">
        <v>28</v>
      </c>
      <c r="E1563" t="s">
        <v>22</v>
      </c>
      <c r="F1563" t="str">
        <f>IF(BBDD_fashion_boutique[[#This Row],[category]]="Accessories","Accesorio",IF(BBDD_fashion_boutique[[#This Row],[size]]="","Desconocido",BBDD_fashion_boutique[[#This Row],[size]]))</f>
        <v>XL</v>
      </c>
      <c r="G1563" t="s">
        <v>62</v>
      </c>
      <c r="H1563" s="2">
        <v>190.52</v>
      </c>
      <c r="I1563">
        <v>45.2</v>
      </c>
      <c r="J1563" s="5">
        <f>BBDD_fashion_boutique[[#This Row],[markdown_percentage]]/100</f>
        <v>0.45200000000000001</v>
      </c>
      <c r="K1563" s="2">
        <v>104.4</v>
      </c>
      <c r="L1563" s="2">
        <f>BBDD_fashion_boutique[[#This Row],[original_price]]-BBDD_fashion_boutique[[#This Row],[current_price]]</f>
        <v>86.12</v>
      </c>
      <c r="M1563" s="1">
        <v>45875</v>
      </c>
      <c r="N1563" s="1" t="str">
        <f>PROPER(TEXT(BBDD_fashion_boutique[[#This Row],[purchase_date]],"dddd"))</f>
        <v>Miércoles</v>
      </c>
      <c r="O1563" s="1" t="str">
        <f>PROPER(TEXT(BBDD_fashion_boutique[[#This Row],[purchase_date]],"mmmm"))</f>
        <v>Agosto</v>
      </c>
      <c r="P1563" s="4">
        <v>2</v>
      </c>
      <c r="Q1563" s="2">
        <v>1.1000000000000001</v>
      </c>
      <c r="R1563" t="str">
        <f>IF(BBDD_fashion_boutique[[#This Row],[stock_quantity]]&gt;9,"Ok",IF(BBDD_fashion_boutique[[#This Row],[stock_quantity]]=0,"Agotado","Pocas Unidades"))</f>
        <v>Pocas Unidades</v>
      </c>
      <c r="S1563" s="3">
        <f>IF(BBDD_fashion_boutique[[#This Row],[customer_rating]]="","No valorado",BBDD_fashion_boutique[[#This Row],[customer_rating]])</f>
        <v>1.1000000000000001</v>
      </c>
      <c r="T1563" t="s">
        <v>24</v>
      </c>
      <c r="V1563">
        <f>IF(BBDD_fashion_boutique[[#This Row],[is_returned]]="False",0,1)</f>
        <v>0</v>
      </c>
      <c r="W1563">
        <f>IF(BBDD_fashion_boutique[[#This Row],[is_returned]]="True",0,BBDD_fashion_boutique[[#This Row],[current_price]])</f>
        <v>104.4</v>
      </c>
      <c r="X1563" t="str">
        <f>IF(BBDD_fashion_boutique[[#This Row],[return_reason]]="","No return",BBDD_fashion_boutique[[#This Row],[return_reason]])</f>
        <v>No return</v>
      </c>
      <c r="Y1563">
        <f>IF(IFERROR(VLOOKUP(BBDD_fashion_boutique[[#This Row],[product_id]],A1564:A3739,1,FALSE),0),1,0)</f>
        <v>0</v>
      </c>
    </row>
    <row r="1564" spans="1:25" x14ac:dyDescent="0.3">
      <c r="A1564" t="s">
        <v>1623</v>
      </c>
      <c r="B1564" t="s">
        <v>44</v>
      </c>
      <c r="C1564" t="s">
        <v>20</v>
      </c>
      <c r="D1564" t="s">
        <v>68</v>
      </c>
      <c r="E1564" t="s">
        <v>64</v>
      </c>
      <c r="F1564" t="str">
        <f>IF(BBDD_fashion_boutique[[#This Row],[category]]="Accessories","Accesorio",IF(BBDD_fashion_boutique[[#This Row],[size]]="","Desconocido",BBDD_fashion_boutique[[#This Row],[size]]))</f>
        <v>M</v>
      </c>
      <c r="G1564" t="s">
        <v>30</v>
      </c>
      <c r="H1564" s="2">
        <v>89.19</v>
      </c>
      <c r="I1564">
        <v>10.3</v>
      </c>
      <c r="J1564" s="5">
        <f>BBDD_fashion_boutique[[#This Row],[markdown_percentage]]/100</f>
        <v>0.10300000000000001</v>
      </c>
      <c r="K1564" s="2">
        <v>80</v>
      </c>
      <c r="L1564" s="2">
        <f>BBDD_fashion_boutique[[#This Row],[original_price]]-BBDD_fashion_boutique[[#This Row],[current_price]]</f>
        <v>9.1899999999999977</v>
      </c>
      <c r="M1564" s="1">
        <v>45875</v>
      </c>
      <c r="N1564" s="1" t="str">
        <f>PROPER(TEXT(BBDD_fashion_boutique[[#This Row],[purchase_date]],"dddd"))</f>
        <v>Miércoles</v>
      </c>
      <c r="O1564" s="1" t="str">
        <f>PROPER(TEXT(BBDD_fashion_boutique[[#This Row],[purchase_date]],"mmmm"))</f>
        <v>Agosto</v>
      </c>
      <c r="P1564" s="4">
        <v>4</v>
      </c>
      <c r="R1564" t="str">
        <f>IF(BBDD_fashion_boutique[[#This Row],[stock_quantity]]&gt;9,"Ok",IF(BBDD_fashion_boutique[[#This Row],[stock_quantity]]=0,"Agotado","Pocas Unidades"))</f>
        <v>Pocas Unidades</v>
      </c>
      <c r="S1564" s="3" t="str">
        <f>IF(BBDD_fashion_boutique[[#This Row],[customer_rating]]="","No valorado",BBDD_fashion_boutique[[#This Row],[customer_rating]])</f>
        <v>No valorado</v>
      </c>
      <c r="T1564" t="s">
        <v>24</v>
      </c>
      <c r="V1564">
        <f>IF(BBDD_fashion_boutique[[#This Row],[is_returned]]="False",0,1)</f>
        <v>0</v>
      </c>
      <c r="W1564">
        <f>IF(BBDD_fashion_boutique[[#This Row],[is_returned]]="True",0,BBDD_fashion_boutique[[#This Row],[current_price]])</f>
        <v>80</v>
      </c>
      <c r="X1564" t="str">
        <f>IF(BBDD_fashion_boutique[[#This Row],[return_reason]]="","No return",BBDD_fashion_boutique[[#This Row],[return_reason]])</f>
        <v>No return</v>
      </c>
      <c r="Y1564">
        <f>IF(IFERROR(VLOOKUP(BBDD_fashion_boutique[[#This Row],[product_id]],A1565:A3740,1,FALSE),0),1,0)</f>
        <v>0</v>
      </c>
    </row>
    <row r="1565" spans="1:25" x14ac:dyDescent="0.3">
      <c r="A1565" t="s">
        <v>1624</v>
      </c>
      <c r="B1565" t="s">
        <v>35</v>
      </c>
      <c r="C1565" t="s">
        <v>37</v>
      </c>
      <c r="D1565" t="s">
        <v>68</v>
      </c>
      <c r="F1565" t="str">
        <f>IF(BBDD_fashion_boutique[[#This Row],[category]]="Accessories","Accesorio",IF(BBDD_fashion_boutique[[#This Row],[size]]="","Desconocido",BBDD_fashion_boutique[[#This Row],[size]]))</f>
        <v>Desconocido</v>
      </c>
      <c r="G1565" t="s">
        <v>40</v>
      </c>
      <c r="H1565" s="2">
        <v>79.59</v>
      </c>
      <c r="I1565">
        <v>8.9</v>
      </c>
      <c r="J1565" s="5">
        <f>BBDD_fashion_boutique[[#This Row],[markdown_percentage]]/100</f>
        <v>8.900000000000001E-2</v>
      </c>
      <c r="K1565" s="2">
        <v>72.510000000000005</v>
      </c>
      <c r="L1565" s="2">
        <f>BBDD_fashion_boutique[[#This Row],[original_price]]-BBDD_fashion_boutique[[#This Row],[current_price]]</f>
        <v>7.0799999999999983</v>
      </c>
      <c r="M1565" s="1">
        <v>45875</v>
      </c>
      <c r="N1565" s="1" t="str">
        <f>PROPER(TEXT(BBDD_fashion_boutique[[#This Row],[purchase_date]],"dddd"))</f>
        <v>Miércoles</v>
      </c>
      <c r="O1565" s="1" t="str">
        <f>PROPER(TEXT(BBDD_fashion_boutique[[#This Row],[purchase_date]],"mmmm"))</f>
        <v>Agosto</v>
      </c>
      <c r="P1565" s="4">
        <v>16</v>
      </c>
      <c r="Q1565" s="2">
        <v>4.5999999999999996</v>
      </c>
      <c r="R1565" t="str">
        <f>IF(BBDD_fashion_boutique[[#This Row],[stock_quantity]]&gt;9,"Ok",IF(BBDD_fashion_boutique[[#This Row],[stock_quantity]]=0,"Agotado","Pocas Unidades"))</f>
        <v>Ok</v>
      </c>
      <c r="S1565" s="3">
        <f>IF(BBDD_fashion_boutique[[#This Row],[customer_rating]]="","No valorado",BBDD_fashion_boutique[[#This Row],[customer_rating]])</f>
        <v>4.5999999999999996</v>
      </c>
      <c r="T1565" t="s">
        <v>41</v>
      </c>
      <c r="U1565" t="s">
        <v>131</v>
      </c>
      <c r="V1565">
        <f>IF(BBDD_fashion_boutique[[#This Row],[is_returned]]="False",0,1)</f>
        <v>1</v>
      </c>
      <c r="W1565">
        <f>IF(BBDD_fashion_boutique[[#This Row],[is_returned]]="True",0,BBDD_fashion_boutique[[#This Row],[current_price]])</f>
        <v>0</v>
      </c>
      <c r="X1565" t="str">
        <f>IF(BBDD_fashion_boutique[[#This Row],[return_reason]]="","No return",BBDD_fashion_boutique[[#This Row],[return_reason]])</f>
        <v>Wrong Item</v>
      </c>
      <c r="Y1565">
        <f>IF(IFERROR(VLOOKUP(BBDD_fashion_boutique[[#This Row],[product_id]],A1566:A3741,1,FALSE),0),1,0)</f>
        <v>0</v>
      </c>
    </row>
    <row r="1566" spans="1:25" x14ac:dyDescent="0.3">
      <c r="A1566" t="s">
        <v>1625</v>
      </c>
      <c r="B1566" t="s">
        <v>44</v>
      </c>
      <c r="C1566" t="s">
        <v>49</v>
      </c>
      <c r="D1566" t="s">
        <v>21</v>
      </c>
      <c r="E1566" t="s">
        <v>55</v>
      </c>
      <c r="F1566" t="str">
        <f>IF(BBDD_fashion_boutique[[#This Row],[category]]="Accessories","Accesorio",IF(BBDD_fashion_boutique[[#This Row],[size]]="","Desconocido",BBDD_fashion_boutique[[#This Row],[size]]))</f>
        <v>XXL</v>
      </c>
      <c r="G1566" t="s">
        <v>46</v>
      </c>
      <c r="H1566" s="2">
        <v>84.8</v>
      </c>
      <c r="I1566">
        <v>0</v>
      </c>
      <c r="J1566" s="5">
        <f>BBDD_fashion_boutique[[#This Row],[markdown_percentage]]/100</f>
        <v>0</v>
      </c>
      <c r="K1566" s="2">
        <v>84.8</v>
      </c>
      <c r="L1566" s="2">
        <f>BBDD_fashion_boutique[[#This Row],[original_price]]-BBDD_fashion_boutique[[#This Row],[current_price]]</f>
        <v>0</v>
      </c>
      <c r="M1566" s="1">
        <v>45846</v>
      </c>
      <c r="N1566" s="1" t="str">
        <f>PROPER(TEXT(BBDD_fashion_boutique[[#This Row],[purchase_date]],"dddd"))</f>
        <v>Martes</v>
      </c>
      <c r="O1566" s="1" t="str">
        <f>PROPER(TEXT(BBDD_fashion_boutique[[#This Row],[purchase_date]],"mmmm"))</f>
        <v>Julio</v>
      </c>
      <c r="P1566" s="4">
        <v>46</v>
      </c>
      <c r="Q1566" s="2">
        <v>4.5999999999999996</v>
      </c>
      <c r="R1566" t="str">
        <f>IF(BBDD_fashion_boutique[[#This Row],[stock_quantity]]&gt;9,"Ok",IF(BBDD_fashion_boutique[[#This Row],[stock_quantity]]=0,"Agotado","Pocas Unidades"))</f>
        <v>Ok</v>
      </c>
      <c r="S1566" s="3">
        <f>IF(BBDD_fashion_boutique[[#This Row],[customer_rating]]="","No valorado",BBDD_fashion_boutique[[#This Row],[customer_rating]])</f>
        <v>4.5999999999999996</v>
      </c>
      <c r="T1566" t="s">
        <v>24</v>
      </c>
      <c r="V1566">
        <f>IF(BBDD_fashion_boutique[[#This Row],[is_returned]]="False",0,1)</f>
        <v>0</v>
      </c>
      <c r="W1566">
        <f>IF(BBDD_fashion_boutique[[#This Row],[is_returned]]="True",0,BBDD_fashion_boutique[[#This Row],[current_price]])</f>
        <v>84.8</v>
      </c>
      <c r="X1566" t="str">
        <f>IF(BBDD_fashion_boutique[[#This Row],[return_reason]]="","No return",BBDD_fashion_boutique[[#This Row],[return_reason]])</f>
        <v>No return</v>
      </c>
      <c r="Y1566">
        <f>IF(IFERROR(VLOOKUP(BBDD_fashion_boutique[[#This Row],[product_id]],A1567:A3742,1,FALSE),0),1,0)</f>
        <v>0</v>
      </c>
    </row>
    <row r="1567" spans="1:25" x14ac:dyDescent="0.3">
      <c r="A1567" t="s">
        <v>1626</v>
      </c>
      <c r="B1567" t="s">
        <v>44</v>
      </c>
      <c r="C1567" t="s">
        <v>81</v>
      </c>
      <c r="D1567" t="s">
        <v>39</v>
      </c>
      <c r="E1567" t="s">
        <v>64</v>
      </c>
      <c r="F1567" t="str">
        <f>IF(BBDD_fashion_boutique[[#This Row],[category]]="Accessories","Accesorio",IF(BBDD_fashion_boutique[[#This Row],[size]]="","Desconocido",BBDD_fashion_boutique[[#This Row],[size]]))</f>
        <v>M</v>
      </c>
      <c r="G1567" t="s">
        <v>33</v>
      </c>
      <c r="H1567" s="2">
        <v>69.209999999999994</v>
      </c>
      <c r="I1567">
        <v>0</v>
      </c>
      <c r="J1567" s="5">
        <f>BBDD_fashion_boutique[[#This Row],[markdown_percentage]]/100</f>
        <v>0</v>
      </c>
      <c r="K1567" s="2">
        <v>69.209999999999994</v>
      </c>
      <c r="L1567" s="2">
        <f>BBDD_fashion_boutique[[#This Row],[original_price]]-BBDD_fashion_boutique[[#This Row],[current_price]]</f>
        <v>0</v>
      </c>
      <c r="M1567" s="1">
        <v>45875</v>
      </c>
      <c r="N1567" s="1" t="str">
        <f>PROPER(TEXT(BBDD_fashion_boutique[[#This Row],[purchase_date]],"dddd"))</f>
        <v>Miércoles</v>
      </c>
      <c r="O1567" s="1" t="str">
        <f>PROPER(TEXT(BBDD_fashion_boutique[[#This Row],[purchase_date]],"mmmm"))</f>
        <v>Agosto</v>
      </c>
      <c r="P1567" s="4">
        <v>41</v>
      </c>
      <c r="R1567" t="str">
        <f>IF(BBDD_fashion_boutique[[#This Row],[stock_quantity]]&gt;9,"Ok",IF(BBDD_fashion_boutique[[#This Row],[stock_quantity]]=0,"Agotado","Pocas Unidades"))</f>
        <v>Ok</v>
      </c>
      <c r="S1567" s="3" t="str">
        <f>IF(BBDD_fashion_boutique[[#This Row],[customer_rating]]="","No valorado",BBDD_fashion_boutique[[#This Row],[customer_rating]])</f>
        <v>No valorado</v>
      </c>
      <c r="T1567" t="s">
        <v>24</v>
      </c>
      <c r="V1567">
        <f>IF(BBDD_fashion_boutique[[#This Row],[is_returned]]="False",0,1)</f>
        <v>0</v>
      </c>
      <c r="W1567">
        <f>IF(BBDD_fashion_boutique[[#This Row],[is_returned]]="True",0,BBDD_fashion_boutique[[#This Row],[current_price]])</f>
        <v>69.209999999999994</v>
      </c>
      <c r="X1567" t="str">
        <f>IF(BBDD_fashion_boutique[[#This Row],[return_reason]]="","No return",BBDD_fashion_boutique[[#This Row],[return_reason]])</f>
        <v>No return</v>
      </c>
      <c r="Y1567">
        <f>IF(IFERROR(VLOOKUP(BBDD_fashion_boutique[[#This Row],[product_id]],A1568:A3743,1,FALSE),0),1,0)</f>
        <v>0</v>
      </c>
    </row>
    <row r="1568" spans="1:25" x14ac:dyDescent="0.3">
      <c r="A1568" t="s">
        <v>1627</v>
      </c>
      <c r="B1568" t="s">
        <v>19</v>
      </c>
      <c r="C1568" t="s">
        <v>37</v>
      </c>
      <c r="D1568" t="s">
        <v>21</v>
      </c>
      <c r="E1568" t="s">
        <v>61</v>
      </c>
      <c r="F1568" t="str">
        <f>IF(BBDD_fashion_boutique[[#This Row],[category]]="Accessories","Accesorio",IF(BBDD_fashion_boutique[[#This Row],[size]]="","Desconocido",BBDD_fashion_boutique[[#This Row],[size]]))</f>
        <v>XS</v>
      </c>
      <c r="G1568" t="s">
        <v>70</v>
      </c>
      <c r="H1568" s="2">
        <v>229.17</v>
      </c>
      <c r="I1568">
        <v>0</v>
      </c>
      <c r="J1568" s="5">
        <f>BBDD_fashion_boutique[[#This Row],[markdown_percentage]]/100</f>
        <v>0</v>
      </c>
      <c r="K1568" s="2">
        <v>229.17</v>
      </c>
      <c r="L1568" s="2">
        <f>BBDD_fashion_boutique[[#This Row],[original_price]]-BBDD_fashion_boutique[[#This Row],[current_price]]</f>
        <v>0</v>
      </c>
      <c r="M1568" s="1">
        <v>45855</v>
      </c>
      <c r="N1568" s="1" t="str">
        <f>PROPER(TEXT(BBDD_fashion_boutique[[#This Row],[purchase_date]],"dddd"))</f>
        <v>Jueves</v>
      </c>
      <c r="O1568" s="1" t="str">
        <f>PROPER(TEXT(BBDD_fashion_boutique[[#This Row],[purchase_date]],"mmmm"))</f>
        <v>Julio</v>
      </c>
      <c r="P1568" s="4">
        <v>37</v>
      </c>
      <c r="Q1568" s="2">
        <v>2</v>
      </c>
      <c r="R1568" t="str">
        <f>IF(BBDD_fashion_boutique[[#This Row],[stock_quantity]]&gt;9,"Ok",IF(BBDD_fashion_boutique[[#This Row],[stock_quantity]]=0,"Agotado","Pocas Unidades"))</f>
        <v>Ok</v>
      </c>
      <c r="S1568" s="3">
        <f>IF(BBDD_fashion_boutique[[#This Row],[customer_rating]]="","No valorado",BBDD_fashion_boutique[[#This Row],[customer_rating]])</f>
        <v>2</v>
      </c>
      <c r="T1568" t="s">
        <v>24</v>
      </c>
      <c r="V1568">
        <f>IF(BBDD_fashion_boutique[[#This Row],[is_returned]]="False",0,1)</f>
        <v>0</v>
      </c>
      <c r="W1568">
        <f>IF(BBDD_fashion_boutique[[#This Row],[is_returned]]="True",0,BBDD_fashion_boutique[[#This Row],[current_price]])</f>
        <v>229.17</v>
      </c>
      <c r="X1568" t="str">
        <f>IF(BBDD_fashion_boutique[[#This Row],[return_reason]]="","No return",BBDD_fashion_boutique[[#This Row],[return_reason]])</f>
        <v>No return</v>
      </c>
      <c r="Y1568">
        <f>IF(IFERROR(VLOOKUP(BBDD_fashion_boutique[[#This Row],[product_id]],A1569:A3744,1,FALSE),0),1,0)</f>
        <v>0</v>
      </c>
    </row>
    <row r="1569" spans="1:25" x14ac:dyDescent="0.3">
      <c r="A1569" t="s">
        <v>1628</v>
      </c>
      <c r="B1569" t="s">
        <v>48</v>
      </c>
      <c r="C1569" t="s">
        <v>37</v>
      </c>
      <c r="D1569" t="s">
        <v>28</v>
      </c>
      <c r="E1569" t="s">
        <v>29</v>
      </c>
      <c r="F1569" t="str">
        <f>IF(BBDD_fashion_boutique[[#This Row],[category]]="Accessories","Accesorio",IF(BBDD_fashion_boutique[[#This Row],[size]]="","Desconocido",BBDD_fashion_boutique[[#This Row],[size]]))</f>
        <v>L</v>
      </c>
      <c r="G1569" t="s">
        <v>40</v>
      </c>
      <c r="H1569" s="2">
        <v>103.9</v>
      </c>
      <c r="I1569">
        <v>0</v>
      </c>
      <c r="J1569" s="5">
        <f>BBDD_fashion_boutique[[#This Row],[markdown_percentage]]/100</f>
        <v>0</v>
      </c>
      <c r="K1569" s="2">
        <v>103.9</v>
      </c>
      <c r="L1569" s="2">
        <f>BBDD_fashion_boutique[[#This Row],[original_price]]-BBDD_fashion_boutique[[#This Row],[current_price]]</f>
        <v>0</v>
      </c>
      <c r="M1569" s="1">
        <v>45875</v>
      </c>
      <c r="N1569" s="1" t="str">
        <f>PROPER(TEXT(BBDD_fashion_boutique[[#This Row],[purchase_date]],"dddd"))</f>
        <v>Miércoles</v>
      </c>
      <c r="O1569" s="1" t="str">
        <f>PROPER(TEXT(BBDD_fashion_boutique[[#This Row],[purchase_date]],"mmmm"))</f>
        <v>Agosto</v>
      </c>
      <c r="P1569" s="4">
        <v>40</v>
      </c>
      <c r="Q1569" s="2">
        <v>4.4000000000000004</v>
      </c>
      <c r="R1569" t="str">
        <f>IF(BBDD_fashion_boutique[[#This Row],[stock_quantity]]&gt;9,"Ok",IF(BBDD_fashion_boutique[[#This Row],[stock_quantity]]=0,"Agotado","Pocas Unidades"))</f>
        <v>Ok</v>
      </c>
      <c r="S1569" s="3">
        <f>IF(BBDD_fashion_boutique[[#This Row],[customer_rating]]="","No valorado",BBDD_fashion_boutique[[#This Row],[customer_rating]])</f>
        <v>4.4000000000000004</v>
      </c>
      <c r="T1569" t="s">
        <v>24</v>
      </c>
      <c r="V1569">
        <f>IF(BBDD_fashion_boutique[[#This Row],[is_returned]]="False",0,1)</f>
        <v>0</v>
      </c>
      <c r="W1569">
        <f>IF(BBDD_fashion_boutique[[#This Row],[is_returned]]="True",0,BBDD_fashion_boutique[[#This Row],[current_price]])</f>
        <v>103.9</v>
      </c>
      <c r="X1569" t="str">
        <f>IF(BBDD_fashion_boutique[[#This Row],[return_reason]]="","No return",BBDD_fashion_boutique[[#This Row],[return_reason]])</f>
        <v>No return</v>
      </c>
      <c r="Y1569">
        <f>IF(IFERROR(VLOOKUP(BBDD_fashion_boutique[[#This Row],[product_id]],A1570:A3745,1,FALSE),0),1,0)</f>
        <v>0</v>
      </c>
    </row>
    <row r="1570" spans="1:25" x14ac:dyDescent="0.3">
      <c r="A1570" t="s">
        <v>1629</v>
      </c>
      <c r="B1570" t="s">
        <v>19</v>
      </c>
      <c r="C1570" t="s">
        <v>20</v>
      </c>
      <c r="D1570" t="s">
        <v>21</v>
      </c>
      <c r="E1570" t="s">
        <v>61</v>
      </c>
      <c r="F1570" t="str">
        <f>IF(BBDD_fashion_boutique[[#This Row],[category]]="Accessories","Accesorio",IF(BBDD_fashion_boutique[[#This Row],[size]]="","Desconocido",BBDD_fashion_boutique[[#This Row],[size]]))</f>
        <v>XS</v>
      </c>
      <c r="G1570" t="s">
        <v>62</v>
      </c>
      <c r="H1570" s="2">
        <v>228.46</v>
      </c>
      <c r="I1570">
        <v>0</v>
      </c>
      <c r="J1570" s="5">
        <f>BBDD_fashion_boutique[[#This Row],[markdown_percentage]]/100</f>
        <v>0</v>
      </c>
      <c r="K1570" s="2">
        <v>228.46</v>
      </c>
      <c r="L1570" s="2">
        <f>BBDD_fashion_boutique[[#This Row],[original_price]]-BBDD_fashion_boutique[[#This Row],[current_price]]</f>
        <v>0</v>
      </c>
      <c r="M1570" s="1">
        <v>45695</v>
      </c>
      <c r="N1570" s="1" t="str">
        <f>PROPER(TEXT(BBDD_fashion_boutique[[#This Row],[purchase_date]],"dddd"))</f>
        <v>Viernes</v>
      </c>
      <c r="O1570" s="1" t="str">
        <f>PROPER(TEXT(BBDD_fashion_boutique[[#This Row],[purchase_date]],"mmmm"))</f>
        <v>Febrero</v>
      </c>
      <c r="P1570" s="4">
        <v>7</v>
      </c>
      <c r="Q1570" s="2">
        <v>2.5</v>
      </c>
      <c r="R1570" t="str">
        <f>IF(BBDD_fashion_boutique[[#This Row],[stock_quantity]]&gt;9,"Ok",IF(BBDD_fashion_boutique[[#This Row],[stock_quantity]]=0,"Agotado","Pocas Unidades"))</f>
        <v>Pocas Unidades</v>
      </c>
      <c r="S1570" s="3">
        <f>IF(BBDD_fashion_boutique[[#This Row],[customer_rating]]="","No valorado",BBDD_fashion_boutique[[#This Row],[customer_rating]])</f>
        <v>2.5</v>
      </c>
      <c r="T1570" t="s">
        <v>41</v>
      </c>
      <c r="U1570" t="s">
        <v>89</v>
      </c>
      <c r="V1570">
        <f>IF(BBDD_fashion_boutique[[#This Row],[is_returned]]="False",0,1)</f>
        <v>1</v>
      </c>
      <c r="W1570">
        <f>IF(BBDD_fashion_boutique[[#This Row],[is_returned]]="True",0,BBDD_fashion_boutique[[#This Row],[current_price]])</f>
        <v>0</v>
      </c>
      <c r="X1570" t="str">
        <f>IF(BBDD_fashion_boutique[[#This Row],[return_reason]]="","No return",BBDD_fashion_boutique[[#This Row],[return_reason]])</f>
        <v>Quality Issue</v>
      </c>
      <c r="Y1570">
        <f>IF(IFERROR(VLOOKUP(BBDD_fashion_boutique[[#This Row],[product_id]],A1571:A3746,1,FALSE),0),1,0)</f>
        <v>0</v>
      </c>
    </row>
    <row r="1571" spans="1:25" x14ac:dyDescent="0.3">
      <c r="A1571" t="s">
        <v>1630</v>
      </c>
      <c r="B1571" t="s">
        <v>32</v>
      </c>
      <c r="C1571" t="s">
        <v>20</v>
      </c>
      <c r="D1571" t="s">
        <v>68</v>
      </c>
      <c r="F1571" t="str">
        <f>IF(BBDD_fashion_boutique[[#This Row],[category]]="Accessories","Accesorio",IF(BBDD_fashion_boutique[[#This Row],[size]]="","Desconocido",BBDD_fashion_boutique[[#This Row],[size]]))</f>
        <v>Accesorio</v>
      </c>
      <c r="G1571" t="s">
        <v>40</v>
      </c>
      <c r="H1571" s="2">
        <v>44.35</v>
      </c>
      <c r="I1571">
        <v>29.2</v>
      </c>
      <c r="J1571" s="5">
        <f>BBDD_fashion_boutique[[#This Row],[markdown_percentage]]/100</f>
        <v>0.29199999999999998</v>
      </c>
      <c r="K1571" s="2">
        <v>31.4</v>
      </c>
      <c r="L1571" s="2">
        <f>BBDD_fashion_boutique[[#This Row],[original_price]]-BBDD_fashion_boutique[[#This Row],[current_price]]</f>
        <v>12.950000000000003</v>
      </c>
      <c r="M1571" s="1">
        <v>45875</v>
      </c>
      <c r="N1571" s="1" t="str">
        <f>PROPER(TEXT(BBDD_fashion_boutique[[#This Row],[purchase_date]],"dddd"))</f>
        <v>Miércoles</v>
      </c>
      <c r="O1571" s="1" t="str">
        <f>PROPER(TEXT(BBDD_fashion_boutique[[#This Row],[purchase_date]],"mmmm"))</f>
        <v>Agosto</v>
      </c>
      <c r="P1571" s="4">
        <v>20</v>
      </c>
      <c r="Q1571" s="2">
        <v>4.9000000000000004</v>
      </c>
      <c r="R1571" t="str">
        <f>IF(BBDD_fashion_boutique[[#This Row],[stock_quantity]]&gt;9,"Ok",IF(BBDD_fashion_boutique[[#This Row],[stock_quantity]]=0,"Agotado","Pocas Unidades"))</f>
        <v>Ok</v>
      </c>
      <c r="S1571" s="3">
        <f>IF(BBDD_fashion_boutique[[#This Row],[customer_rating]]="","No valorado",BBDD_fashion_boutique[[#This Row],[customer_rating]])</f>
        <v>4.9000000000000004</v>
      </c>
      <c r="T1571" t="s">
        <v>24</v>
      </c>
      <c r="V1571">
        <f>IF(BBDD_fashion_boutique[[#This Row],[is_returned]]="False",0,1)</f>
        <v>0</v>
      </c>
      <c r="W1571">
        <f>IF(BBDD_fashion_boutique[[#This Row],[is_returned]]="True",0,BBDD_fashion_boutique[[#This Row],[current_price]])</f>
        <v>31.4</v>
      </c>
      <c r="X1571" t="str">
        <f>IF(BBDD_fashion_boutique[[#This Row],[return_reason]]="","No return",BBDD_fashion_boutique[[#This Row],[return_reason]])</f>
        <v>No return</v>
      </c>
      <c r="Y1571">
        <f>IF(IFERROR(VLOOKUP(BBDD_fashion_boutique[[#This Row],[product_id]],A1572:A3747,1,FALSE),0),1,0)</f>
        <v>0</v>
      </c>
    </row>
    <row r="1572" spans="1:25" x14ac:dyDescent="0.3">
      <c r="A1572" t="s">
        <v>1631</v>
      </c>
      <c r="B1572" t="s">
        <v>44</v>
      </c>
      <c r="C1572" t="s">
        <v>27</v>
      </c>
      <c r="D1572" t="s">
        <v>21</v>
      </c>
      <c r="F1572" t="str">
        <f>IF(BBDD_fashion_boutique[[#This Row],[category]]="Accessories","Accesorio",IF(BBDD_fashion_boutique[[#This Row],[size]]="","Desconocido",BBDD_fashion_boutique[[#This Row],[size]]))</f>
        <v>Desconocido</v>
      </c>
      <c r="G1572" t="s">
        <v>46</v>
      </c>
      <c r="H1572" s="2">
        <v>28.76</v>
      </c>
      <c r="I1572">
        <v>54.7</v>
      </c>
      <c r="J1572" s="5">
        <f>BBDD_fashion_boutique[[#This Row],[markdown_percentage]]/100</f>
        <v>0.54700000000000004</v>
      </c>
      <c r="K1572" s="2">
        <v>13.03</v>
      </c>
      <c r="L1572" s="2">
        <f>BBDD_fashion_boutique[[#This Row],[original_price]]-BBDD_fashion_boutique[[#This Row],[current_price]]</f>
        <v>15.730000000000002</v>
      </c>
      <c r="M1572" s="1">
        <v>45791</v>
      </c>
      <c r="N1572" s="1" t="str">
        <f>PROPER(TEXT(BBDD_fashion_boutique[[#This Row],[purchase_date]],"dddd"))</f>
        <v>Miércoles</v>
      </c>
      <c r="O1572" s="1" t="str">
        <f>PROPER(TEXT(BBDD_fashion_boutique[[#This Row],[purchase_date]],"mmmm"))</f>
        <v>Mayo</v>
      </c>
      <c r="P1572" s="4">
        <v>2</v>
      </c>
      <c r="Q1572" s="2">
        <v>4.4000000000000004</v>
      </c>
      <c r="R1572" t="str">
        <f>IF(BBDD_fashion_boutique[[#This Row],[stock_quantity]]&gt;9,"Ok",IF(BBDD_fashion_boutique[[#This Row],[stock_quantity]]=0,"Agotado","Pocas Unidades"))</f>
        <v>Pocas Unidades</v>
      </c>
      <c r="S1572" s="3">
        <f>IF(BBDD_fashion_boutique[[#This Row],[customer_rating]]="","No valorado",BBDD_fashion_boutique[[#This Row],[customer_rating]])</f>
        <v>4.4000000000000004</v>
      </c>
      <c r="T1572" t="s">
        <v>41</v>
      </c>
      <c r="U1572" t="s">
        <v>42</v>
      </c>
      <c r="V1572">
        <f>IF(BBDD_fashion_boutique[[#This Row],[is_returned]]="False",0,1)</f>
        <v>1</v>
      </c>
      <c r="W1572">
        <f>IF(BBDD_fashion_boutique[[#This Row],[is_returned]]="True",0,BBDD_fashion_boutique[[#This Row],[current_price]])</f>
        <v>0</v>
      </c>
      <c r="X1572" t="str">
        <f>IF(BBDD_fashion_boutique[[#This Row],[return_reason]]="","No return",BBDD_fashion_boutique[[#This Row],[return_reason]])</f>
        <v>Color Mismatch</v>
      </c>
      <c r="Y1572">
        <f>IF(IFERROR(VLOOKUP(BBDD_fashion_boutique[[#This Row],[product_id]],A1573:A3748,1,FALSE),0),1,0)</f>
        <v>0</v>
      </c>
    </row>
    <row r="1573" spans="1:25" x14ac:dyDescent="0.3">
      <c r="A1573" t="s">
        <v>1632</v>
      </c>
      <c r="B1573" t="s">
        <v>19</v>
      </c>
      <c r="C1573" t="s">
        <v>49</v>
      </c>
      <c r="D1573" t="s">
        <v>21</v>
      </c>
      <c r="E1573" t="s">
        <v>55</v>
      </c>
      <c r="F1573" t="str">
        <f>IF(BBDD_fashion_boutique[[#This Row],[category]]="Accessories","Accesorio",IF(BBDD_fashion_boutique[[#This Row],[size]]="","Desconocido",BBDD_fashion_boutique[[#This Row],[size]]))</f>
        <v>XXL</v>
      </c>
      <c r="G1573" t="s">
        <v>23</v>
      </c>
      <c r="H1573" s="2">
        <v>158.34</v>
      </c>
      <c r="I1573">
        <v>36.6</v>
      </c>
      <c r="J1573" s="5">
        <f>BBDD_fashion_boutique[[#This Row],[markdown_percentage]]/100</f>
        <v>0.36599999999999999</v>
      </c>
      <c r="K1573" s="2">
        <v>100.39</v>
      </c>
      <c r="L1573" s="2">
        <f>BBDD_fashion_boutique[[#This Row],[original_price]]-BBDD_fashion_boutique[[#This Row],[current_price]]</f>
        <v>57.95</v>
      </c>
      <c r="M1573" s="1">
        <v>45684</v>
      </c>
      <c r="N1573" s="1" t="str">
        <f>PROPER(TEXT(BBDD_fashion_boutique[[#This Row],[purchase_date]],"dddd"))</f>
        <v>Lunes</v>
      </c>
      <c r="O1573" s="1" t="str">
        <f>PROPER(TEXT(BBDD_fashion_boutique[[#This Row],[purchase_date]],"mmmm"))</f>
        <v>Enero</v>
      </c>
      <c r="P1573" s="4">
        <v>11</v>
      </c>
      <c r="Q1573" s="2">
        <v>4.5</v>
      </c>
      <c r="R1573" t="str">
        <f>IF(BBDD_fashion_boutique[[#This Row],[stock_quantity]]&gt;9,"Ok",IF(BBDD_fashion_boutique[[#This Row],[stock_quantity]]=0,"Agotado","Pocas Unidades"))</f>
        <v>Ok</v>
      </c>
      <c r="S1573" s="3">
        <f>IF(BBDD_fashion_boutique[[#This Row],[customer_rating]]="","No valorado",BBDD_fashion_boutique[[#This Row],[customer_rating]])</f>
        <v>4.5</v>
      </c>
      <c r="T1573" t="s">
        <v>24</v>
      </c>
      <c r="V1573">
        <f>IF(BBDD_fashion_boutique[[#This Row],[is_returned]]="False",0,1)</f>
        <v>0</v>
      </c>
      <c r="W1573">
        <f>IF(BBDD_fashion_boutique[[#This Row],[is_returned]]="True",0,BBDD_fashion_boutique[[#This Row],[current_price]])</f>
        <v>100.39</v>
      </c>
      <c r="X1573" t="str">
        <f>IF(BBDD_fashion_boutique[[#This Row],[return_reason]]="","No return",BBDD_fashion_boutique[[#This Row],[return_reason]])</f>
        <v>No return</v>
      </c>
      <c r="Y1573">
        <f>IF(IFERROR(VLOOKUP(BBDD_fashion_boutique[[#This Row],[product_id]],A1574:A3749,1,FALSE),0),1,0)</f>
        <v>0</v>
      </c>
    </row>
    <row r="1574" spans="1:25" x14ac:dyDescent="0.3">
      <c r="A1574" t="s">
        <v>1633</v>
      </c>
      <c r="B1574" t="s">
        <v>32</v>
      </c>
      <c r="C1574" t="s">
        <v>20</v>
      </c>
      <c r="D1574" t="s">
        <v>21</v>
      </c>
      <c r="F1574" t="str">
        <f>IF(BBDD_fashion_boutique[[#This Row],[category]]="Accessories","Accesorio",IF(BBDD_fashion_boutique[[#This Row],[size]]="","Desconocido",BBDD_fashion_boutique[[#This Row],[size]]))</f>
        <v>Accesorio</v>
      </c>
      <c r="G1574" t="s">
        <v>76</v>
      </c>
      <c r="H1574" s="2">
        <v>39.049999999999997</v>
      </c>
      <c r="I1574">
        <v>12</v>
      </c>
      <c r="J1574" s="5">
        <f>BBDD_fashion_boutique[[#This Row],[markdown_percentage]]/100</f>
        <v>0.12</v>
      </c>
      <c r="K1574" s="2">
        <v>34.36</v>
      </c>
      <c r="L1574" s="2">
        <f>BBDD_fashion_boutique[[#This Row],[original_price]]-BBDD_fashion_boutique[[#This Row],[current_price]]</f>
        <v>4.6899999999999977</v>
      </c>
      <c r="M1574" s="1">
        <v>45565</v>
      </c>
      <c r="N1574" s="1" t="str">
        <f>PROPER(TEXT(BBDD_fashion_boutique[[#This Row],[purchase_date]],"dddd"))</f>
        <v>Lunes</v>
      </c>
      <c r="O1574" s="1" t="str">
        <f>PROPER(TEXT(BBDD_fashion_boutique[[#This Row],[purchase_date]],"mmmm"))</f>
        <v>Septiembre</v>
      </c>
      <c r="P1574" s="4">
        <v>0</v>
      </c>
      <c r="Q1574" s="2">
        <v>3.1</v>
      </c>
      <c r="R1574" t="str">
        <f>IF(BBDD_fashion_boutique[[#This Row],[stock_quantity]]&gt;9,"Ok",IF(BBDD_fashion_boutique[[#This Row],[stock_quantity]]=0,"Agotado","Pocas Unidades"))</f>
        <v>Agotado</v>
      </c>
      <c r="S1574" s="3">
        <f>IF(BBDD_fashion_boutique[[#This Row],[customer_rating]]="","No valorado",BBDD_fashion_boutique[[#This Row],[customer_rating]])</f>
        <v>3.1</v>
      </c>
      <c r="T1574" t="s">
        <v>24</v>
      </c>
      <c r="V1574">
        <f>IF(BBDD_fashion_boutique[[#This Row],[is_returned]]="False",0,1)</f>
        <v>0</v>
      </c>
      <c r="W1574">
        <f>IF(BBDD_fashion_boutique[[#This Row],[is_returned]]="True",0,BBDD_fashion_boutique[[#This Row],[current_price]])</f>
        <v>34.36</v>
      </c>
      <c r="X1574" t="str">
        <f>IF(BBDD_fashion_boutique[[#This Row],[return_reason]]="","No return",BBDD_fashion_boutique[[#This Row],[return_reason]])</f>
        <v>No return</v>
      </c>
      <c r="Y1574">
        <f>IF(IFERROR(VLOOKUP(BBDD_fashion_boutique[[#This Row],[product_id]],A1575:A3750,1,FALSE),0),1,0)</f>
        <v>0</v>
      </c>
    </row>
    <row r="1575" spans="1:25" x14ac:dyDescent="0.3">
      <c r="A1575" t="s">
        <v>1634</v>
      </c>
      <c r="B1575" t="s">
        <v>26</v>
      </c>
      <c r="C1575" t="s">
        <v>59</v>
      </c>
      <c r="D1575" t="s">
        <v>21</v>
      </c>
      <c r="E1575" t="s">
        <v>45</v>
      </c>
      <c r="F1575" t="str">
        <f>IF(BBDD_fashion_boutique[[#This Row],[category]]="Accessories","Accesorio",IF(BBDD_fashion_boutique[[#This Row],[size]]="","Desconocido",BBDD_fashion_boutique[[#This Row],[size]]))</f>
        <v>S</v>
      </c>
      <c r="G1575" t="s">
        <v>50</v>
      </c>
      <c r="H1575" s="2">
        <v>52.46</v>
      </c>
      <c r="I1575">
        <v>12.2</v>
      </c>
      <c r="J1575" s="5">
        <f>BBDD_fashion_boutique[[#This Row],[markdown_percentage]]/100</f>
        <v>0.122</v>
      </c>
      <c r="K1575" s="2">
        <v>46.06</v>
      </c>
      <c r="L1575" s="2">
        <f>BBDD_fashion_boutique[[#This Row],[original_price]]-BBDD_fashion_boutique[[#This Row],[current_price]]</f>
        <v>6.3999999999999986</v>
      </c>
      <c r="M1575" s="1">
        <v>45645</v>
      </c>
      <c r="N1575" s="1" t="str">
        <f>PROPER(TEXT(BBDD_fashion_boutique[[#This Row],[purchase_date]],"dddd"))</f>
        <v>Jueves</v>
      </c>
      <c r="O1575" s="1" t="str">
        <f>PROPER(TEXT(BBDD_fashion_boutique[[#This Row],[purchase_date]],"mmmm"))</f>
        <v>Diciembre</v>
      </c>
      <c r="P1575" s="4">
        <v>39</v>
      </c>
      <c r="Q1575" s="2">
        <v>2.2999999999999998</v>
      </c>
      <c r="R1575" t="str">
        <f>IF(BBDD_fashion_boutique[[#This Row],[stock_quantity]]&gt;9,"Ok",IF(BBDD_fashion_boutique[[#This Row],[stock_quantity]]=0,"Agotado","Pocas Unidades"))</f>
        <v>Ok</v>
      </c>
      <c r="S1575" s="3">
        <f>IF(BBDD_fashion_boutique[[#This Row],[customer_rating]]="","No valorado",BBDD_fashion_boutique[[#This Row],[customer_rating]])</f>
        <v>2.2999999999999998</v>
      </c>
      <c r="T1575" t="s">
        <v>24</v>
      </c>
      <c r="V1575">
        <f>IF(BBDD_fashion_boutique[[#This Row],[is_returned]]="False",0,1)</f>
        <v>0</v>
      </c>
      <c r="W1575">
        <f>IF(BBDD_fashion_boutique[[#This Row],[is_returned]]="True",0,BBDD_fashion_boutique[[#This Row],[current_price]])</f>
        <v>46.06</v>
      </c>
      <c r="X1575" t="str">
        <f>IF(BBDD_fashion_boutique[[#This Row],[return_reason]]="","No return",BBDD_fashion_boutique[[#This Row],[return_reason]])</f>
        <v>No return</v>
      </c>
      <c r="Y1575">
        <f>IF(IFERROR(VLOOKUP(BBDD_fashion_boutique[[#This Row],[product_id]],A1576:A3751,1,FALSE),0),1,0)</f>
        <v>0</v>
      </c>
    </row>
    <row r="1576" spans="1:25" x14ac:dyDescent="0.3">
      <c r="A1576" t="s">
        <v>1635</v>
      </c>
      <c r="B1576" t="s">
        <v>44</v>
      </c>
      <c r="C1576" t="s">
        <v>67</v>
      </c>
      <c r="D1576" t="s">
        <v>21</v>
      </c>
      <c r="E1576" t="s">
        <v>45</v>
      </c>
      <c r="F1576" t="str">
        <f>IF(BBDD_fashion_boutique[[#This Row],[category]]="Accessories","Accesorio",IF(BBDD_fashion_boutique[[#This Row],[size]]="","Desconocido",BBDD_fashion_boutique[[#This Row],[size]]))</f>
        <v>S</v>
      </c>
      <c r="G1576" t="s">
        <v>23</v>
      </c>
      <c r="H1576" s="2">
        <v>70.31</v>
      </c>
      <c r="I1576">
        <v>34.4</v>
      </c>
      <c r="J1576" s="5">
        <f>BBDD_fashion_boutique[[#This Row],[markdown_percentage]]/100</f>
        <v>0.34399999999999997</v>
      </c>
      <c r="K1576" s="2">
        <v>46.12</v>
      </c>
      <c r="L1576" s="2">
        <f>BBDD_fashion_boutique[[#This Row],[original_price]]-BBDD_fashion_boutique[[#This Row],[current_price]]</f>
        <v>24.190000000000005</v>
      </c>
      <c r="M1576" s="1">
        <v>45681</v>
      </c>
      <c r="N1576" s="1" t="str">
        <f>PROPER(TEXT(BBDD_fashion_boutique[[#This Row],[purchase_date]],"dddd"))</f>
        <v>Viernes</v>
      </c>
      <c r="O1576" s="1" t="str">
        <f>PROPER(TEXT(BBDD_fashion_boutique[[#This Row],[purchase_date]],"mmmm"))</f>
        <v>Enero</v>
      </c>
      <c r="P1576" s="4">
        <v>28</v>
      </c>
      <c r="Q1576" s="2">
        <v>3.1</v>
      </c>
      <c r="R1576" t="str">
        <f>IF(BBDD_fashion_boutique[[#This Row],[stock_quantity]]&gt;9,"Ok",IF(BBDD_fashion_boutique[[#This Row],[stock_quantity]]=0,"Agotado","Pocas Unidades"))</f>
        <v>Ok</v>
      </c>
      <c r="S1576" s="3">
        <f>IF(BBDD_fashion_boutique[[#This Row],[customer_rating]]="","No valorado",BBDD_fashion_boutique[[#This Row],[customer_rating]])</f>
        <v>3.1</v>
      </c>
      <c r="T1576" t="s">
        <v>24</v>
      </c>
      <c r="V1576">
        <f>IF(BBDD_fashion_boutique[[#This Row],[is_returned]]="False",0,1)</f>
        <v>0</v>
      </c>
      <c r="W1576">
        <f>IF(BBDD_fashion_boutique[[#This Row],[is_returned]]="True",0,BBDD_fashion_boutique[[#This Row],[current_price]])</f>
        <v>46.12</v>
      </c>
      <c r="X1576" t="str">
        <f>IF(BBDD_fashion_boutique[[#This Row],[return_reason]]="","No return",BBDD_fashion_boutique[[#This Row],[return_reason]])</f>
        <v>No return</v>
      </c>
      <c r="Y1576">
        <f>IF(IFERROR(VLOOKUP(BBDD_fashion_boutique[[#This Row],[product_id]],A1577:A3752,1,FALSE),0),1,0)</f>
        <v>0</v>
      </c>
    </row>
    <row r="1577" spans="1:25" x14ac:dyDescent="0.3">
      <c r="A1577" t="s">
        <v>1636</v>
      </c>
      <c r="B1577" t="s">
        <v>19</v>
      </c>
      <c r="C1577" t="s">
        <v>81</v>
      </c>
      <c r="D1577" t="s">
        <v>68</v>
      </c>
      <c r="E1577" t="s">
        <v>45</v>
      </c>
      <c r="F1577" t="str">
        <f>IF(BBDD_fashion_boutique[[#This Row],[category]]="Accessories","Accesorio",IF(BBDD_fashion_boutique[[#This Row],[size]]="","Desconocido",BBDD_fashion_boutique[[#This Row],[size]]))</f>
        <v>S</v>
      </c>
      <c r="G1577" t="s">
        <v>62</v>
      </c>
      <c r="H1577" s="2">
        <v>123.27</v>
      </c>
      <c r="I1577">
        <v>0</v>
      </c>
      <c r="J1577" s="5">
        <f>BBDD_fashion_boutique[[#This Row],[markdown_percentage]]/100</f>
        <v>0</v>
      </c>
      <c r="K1577" s="2">
        <v>123.27</v>
      </c>
      <c r="L1577" s="2">
        <f>BBDD_fashion_boutique[[#This Row],[original_price]]-BBDD_fashion_boutique[[#This Row],[current_price]]</f>
        <v>0</v>
      </c>
      <c r="M1577" s="1">
        <v>45875</v>
      </c>
      <c r="N1577" s="1" t="str">
        <f>PROPER(TEXT(BBDD_fashion_boutique[[#This Row],[purchase_date]],"dddd"))</f>
        <v>Miércoles</v>
      </c>
      <c r="O1577" s="1" t="str">
        <f>PROPER(TEXT(BBDD_fashion_boutique[[#This Row],[purchase_date]],"mmmm"))</f>
        <v>Agosto</v>
      </c>
      <c r="P1577" s="4">
        <v>13</v>
      </c>
      <c r="Q1577" s="2">
        <v>2.8</v>
      </c>
      <c r="R1577" t="str">
        <f>IF(BBDD_fashion_boutique[[#This Row],[stock_quantity]]&gt;9,"Ok",IF(BBDD_fashion_boutique[[#This Row],[stock_quantity]]=0,"Agotado","Pocas Unidades"))</f>
        <v>Ok</v>
      </c>
      <c r="S1577" s="3">
        <f>IF(BBDD_fashion_boutique[[#This Row],[customer_rating]]="","No valorado",BBDD_fashion_boutique[[#This Row],[customer_rating]])</f>
        <v>2.8</v>
      </c>
      <c r="T1577" t="s">
        <v>24</v>
      </c>
      <c r="V1577">
        <f>IF(BBDD_fashion_boutique[[#This Row],[is_returned]]="False",0,1)</f>
        <v>0</v>
      </c>
      <c r="W1577">
        <f>IF(BBDD_fashion_boutique[[#This Row],[is_returned]]="True",0,BBDD_fashion_boutique[[#This Row],[current_price]])</f>
        <v>123.27</v>
      </c>
      <c r="X1577" t="str">
        <f>IF(BBDD_fashion_boutique[[#This Row],[return_reason]]="","No return",BBDD_fashion_boutique[[#This Row],[return_reason]])</f>
        <v>No return</v>
      </c>
      <c r="Y1577">
        <f>IF(IFERROR(VLOOKUP(BBDD_fashion_boutique[[#This Row],[product_id]],A1578:A3753,1,FALSE),0),1,0)</f>
        <v>0</v>
      </c>
    </row>
    <row r="1578" spans="1:25" x14ac:dyDescent="0.3">
      <c r="A1578" t="s">
        <v>1637</v>
      </c>
      <c r="B1578" t="s">
        <v>19</v>
      </c>
      <c r="C1578" t="s">
        <v>49</v>
      </c>
      <c r="D1578" t="s">
        <v>68</v>
      </c>
      <c r="E1578" t="s">
        <v>29</v>
      </c>
      <c r="F1578" t="str">
        <f>IF(BBDD_fashion_boutique[[#This Row],[category]]="Accessories","Accesorio",IF(BBDD_fashion_boutique[[#This Row],[size]]="","Desconocido",BBDD_fashion_boutique[[#This Row],[size]]))</f>
        <v>L</v>
      </c>
      <c r="G1578" t="s">
        <v>70</v>
      </c>
      <c r="H1578" s="2">
        <v>215.82</v>
      </c>
      <c r="I1578">
        <v>16.5</v>
      </c>
      <c r="J1578" s="5">
        <f>BBDD_fashion_boutique[[#This Row],[markdown_percentage]]/100</f>
        <v>0.16500000000000001</v>
      </c>
      <c r="K1578" s="2">
        <v>180.21</v>
      </c>
      <c r="L1578" s="2">
        <f>BBDD_fashion_boutique[[#This Row],[original_price]]-BBDD_fashion_boutique[[#This Row],[current_price]]</f>
        <v>35.609999999999985</v>
      </c>
      <c r="M1578" s="1">
        <v>45875</v>
      </c>
      <c r="N1578" s="1" t="str">
        <f>PROPER(TEXT(BBDD_fashion_boutique[[#This Row],[purchase_date]],"dddd"))</f>
        <v>Miércoles</v>
      </c>
      <c r="O1578" s="1" t="str">
        <f>PROPER(TEXT(BBDD_fashion_boutique[[#This Row],[purchase_date]],"mmmm"))</f>
        <v>Agosto</v>
      </c>
      <c r="P1578" s="4">
        <v>9</v>
      </c>
      <c r="Q1578" s="2">
        <v>2.4</v>
      </c>
      <c r="R1578" t="str">
        <f>IF(BBDD_fashion_boutique[[#This Row],[stock_quantity]]&gt;9,"Ok",IF(BBDD_fashion_boutique[[#This Row],[stock_quantity]]=0,"Agotado","Pocas Unidades"))</f>
        <v>Pocas Unidades</v>
      </c>
      <c r="S1578" s="3">
        <f>IF(BBDD_fashion_boutique[[#This Row],[customer_rating]]="","No valorado",BBDD_fashion_boutique[[#This Row],[customer_rating]])</f>
        <v>2.4</v>
      </c>
      <c r="T1578" t="s">
        <v>24</v>
      </c>
      <c r="V1578">
        <f>IF(BBDD_fashion_boutique[[#This Row],[is_returned]]="False",0,1)</f>
        <v>0</v>
      </c>
      <c r="W1578">
        <f>IF(BBDD_fashion_boutique[[#This Row],[is_returned]]="True",0,BBDD_fashion_boutique[[#This Row],[current_price]])</f>
        <v>180.21</v>
      </c>
      <c r="X1578" t="str">
        <f>IF(BBDD_fashion_boutique[[#This Row],[return_reason]]="","No return",BBDD_fashion_boutique[[#This Row],[return_reason]])</f>
        <v>No return</v>
      </c>
      <c r="Y1578">
        <f>IF(IFERROR(VLOOKUP(BBDD_fashion_boutique[[#This Row],[product_id]],A1579:A3754,1,FALSE),0),1,0)</f>
        <v>0</v>
      </c>
    </row>
    <row r="1579" spans="1:25" x14ac:dyDescent="0.3">
      <c r="A1579" t="s">
        <v>1638</v>
      </c>
      <c r="B1579" t="s">
        <v>19</v>
      </c>
      <c r="C1579" t="s">
        <v>67</v>
      </c>
      <c r="D1579" t="s">
        <v>68</v>
      </c>
      <c r="E1579" t="s">
        <v>61</v>
      </c>
      <c r="F1579" t="str">
        <f>IF(BBDD_fashion_boutique[[#This Row],[category]]="Accessories","Accesorio",IF(BBDD_fashion_boutique[[#This Row],[size]]="","Desconocido",BBDD_fashion_boutique[[#This Row],[size]]))</f>
        <v>XS</v>
      </c>
      <c r="G1579" t="s">
        <v>50</v>
      </c>
      <c r="H1579" s="2">
        <v>82.91</v>
      </c>
      <c r="I1579">
        <v>0.7</v>
      </c>
      <c r="J1579" s="5">
        <f>BBDD_fashion_boutique[[#This Row],[markdown_percentage]]/100</f>
        <v>6.9999999999999993E-3</v>
      </c>
      <c r="K1579" s="2">
        <v>82.33</v>
      </c>
      <c r="L1579" s="2">
        <f>BBDD_fashion_boutique[[#This Row],[original_price]]-BBDD_fashion_boutique[[#This Row],[current_price]]</f>
        <v>0.57999999999999829</v>
      </c>
      <c r="M1579" s="1">
        <v>45875</v>
      </c>
      <c r="N1579" s="1" t="str">
        <f>PROPER(TEXT(BBDD_fashion_boutique[[#This Row],[purchase_date]],"dddd"))</f>
        <v>Miércoles</v>
      </c>
      <c r="O1579" s="1" t="str">
        <f>PROPER(TEXT(BBDD_fashion_boutique[[#This Row],[purchase_date]],"mmmm"))</f>
        <v>Agosto</v>
      </c>
      <c r="P1579" s="4">
        <v>24</v>
      </c>
      <c r="R1579" t="str">
        <f>IF(BBDD_fashion_boutique[[#This Row],[stock_quantity]]&gt;9,"Ok",IF(BBDD_fashion_boutique[[#This Row],[stock_quantity]]=0,"Agotado","Pocas Unidades"))</f>
        <v>Ok</v>
      </c>
      <c r="S1579" s="3" t="str">
        <f>IF(BBDD_fashion_boutique[[#This Row],[customer_rating]]="","No valorado",BBDD_fashion_boutique[[#This Row],[customer_rating]])</f>
        <v>No valorado</v>
      </c>
      <c r="T1579" t="s">
        <v>41</v>
      </c>
      <c r="U1579" t="s">
        <v>84</v>
      </c>
      <c r="V1579">
        <f>IF(BBDD_fashion_boutique[[#This Row],[is_returned]]="False",0,1)</f>
        <v>1</v>
      </c>
      <c r="W1579">
        <f>IF(BBDD_fashion_boutique[[#This Row],[is_returned]]="True",0,BBDD_fashion_boutique[[#This Row],[current_price]])</f>
        <v>0</v>
      </c>
      <c r="X1579" t="str">
        <f>IF(BBDD_fashion_boutique[[#This Row],[return_reason]]="","No return",BBDD_fashion_boutique[[#This Row],[return_reason]])</f>
        <v>Damaged</v>
      </c>
      <c r="Y1579">
        <f>IF(IFERROR(VLOOKUP(BBDD_fashion_boutique[[#This Row],[product_id]],A1580:A3755,1,FALSE),0),1,0)</f>
        <v>0</v>
      </c>
    </row>
    <row r="1580" spans="1:25" x14ac:dyDescent="0.3">
      <c r="A1580" t="s">
        <v>1639</v>
      </c>
      <c r="B1580" t="s">
        <v>26</v>
      </c>
      <c r="C1580" t="s">
        <v>67</v>
      </c>
      <c r="D1580" t="s">
        <v>28</v>
      </c>
      <c r="E1580" t="s">
        <v>22</v>
      </c>
      <c r="F1580" t="str">
        <f>IF(BBDD_fashion_boutique[[#This Row],[category]]="Accessories","Accesorio",IF(BBDD_fashion_boutique[[#This Row],[size]]="","Desconocido",BBDD_fashion_boutique[[#This Row],[size]]))</f>
        <v>XL</v>
      </c>
      <c r="G1580" t="s">
        <v>72</v>
      </c>
      <c r="H1580" s="2">
        <v>33.46</v>
      </c>
      <c r="I1580">
        <v>0</v>
      </c>
      <c r="J1580" s="5">
        <f>BBDD_fashion_boutique[[#This Row],[markdown_percentage]]/100</f>
        <v>0</v>
      </c>
      <c r="K1580" s="2">
        <v>33.46</v>
      </c>
      <c r="L1580" s="2">
        <f>BBDD_fashion_boutique[[#This Row],[original_price]]-BBDD_fashion_boutique[[#This Row],[current_price]]</f>
        <v>0</v>
      </c>
      <c r="M1580" s="1">
        <v>45875</v>
      </c>
      <c r="N1580" s="1" t="str">
        <f>PROPER(TEXT(BBDD_fashion_boutique[[#This Row],[purchase_date]],"dddd"))</f>
        <v>Miércoles</v>
      </c>
      <c r="O1580" s="1" t="str">
        <f>PROPER(TEXT(BBDD_fashion_boutique[[#This Row],[purchase_date]],"mmmm"))</f>
        <v>Agosto</v>
      </c>
      <c r="P1580" s="4">
        <v>36</v>
      </c>
      <c r="Q1580" s="2">
        <v>3.6</v>
      </c>
      <c r="R1580" t="str">
        <f>IF(BBDD_fashion_boutique[[#This Row],[stock_quantity]]&gt;9,"Ok",IF(BBDD_fashion_boutique[[#This Row],[stock_quantity]]=0,"Agotado","Pocas Unidades"))</f>
        <v>Ok</v>
      </c>
      <c r="S1580" s="3">
        <f>IF(BBDD_fashion_boutique[[#This Row],[customer_rating]]="","No valorado",BBDD_fashion_boutique[[#This Row],[customer_rating]])</f>
        <v>3.6</v>
      </c>
      <c r="T1580" t="s">
        <v>24</v>
      </c>
      <c r="V1580">
        <f>IF(BBDD_fashion_boutique[[#This Row],[is_returned]]="False",0,1)</f>
        <v>0</v>
      </c>
      <c r="W1580">
        <f>IF(BBDD_fashion_boutique[[#This Row],[is_returned]]="True",0,BBDD_fashion_boutique[[#This Row],[current_price]])</f>
        <v>33.46</v>
      </c>
      <c r="X1580" t="str">
        <f>IF(BBDD_fashion_boutique[[#This Row],[return_reason]]="","No return",BBDD_fashion_boutique[[#This Row],[return_reason]])</f>
        <v>No return</v>
      </c>
      <c r="Y1580">
        <f>IF(IFERROR(VLOOKUP(BBDD_fashion_boutique[[#This Row],[product_id]],A1581:A3756,1,FALSE),0),1,0)</f>
        <v>0</v>
      </c>
    </row>
    <row r="1581" spans="1:25" x14ac:dyDescent="0.3">
      <c r="A1581" t="s">
        <v>1640</v>
      </c>
      <c r="B1581" t="s">
        <v>44</v>
      </c>
      <c r="C1581" t="s">
        <v>37</v>
      </c>
      <c r="D1581" t="s">
        <v>21</v>
      </c>
      <c r="E1581" t="s">
        <v>29</v>
      </c>
      <c r="F1581" t="str">
        <f>IF(BBDD_fashion_boutique[[#This Row],[category]]="Accessories","Accesorio",IF(BBDD_fashion_boutique[[#This Row],[size]]="","Desconocido",BBDD_fashion_boutique[[#This Row],[size]]))</f>
        <v>L</v>
      </c>
      <c r="G1581" t="s">
        <v>46</v>
      </c>
      <c r="H1581" s="2">
        <v>37.21</v>
      </c>
      <c r="I1581">
        <v>53.9</v>
      </c>
      <c r="J1581" s="5">
        <f>BBDD_fashion_boutique[[#This Row],[markdown_percentage]]/100</f>
        <v>0.53900000000000003</v>
      </c>
      <c r="K1581" s="2">
        <v>17.149999999999999</v>
      </c>
      <c r="L1581" s="2">
        <f>BBDD_fashion_boutique[[#This Row],[original_price]]-BBDD_fashion_boutique[[#This Row],[current_price]]</f>
        <v>20.060000000000002</v>
      </c>
      <c r="M1581" s="1">
        <v>45835</v>
      </c>
      <c r="N1581" s="1" t="str">
        <f>PROPER(TEXT(BBDD_fashion_boutique[[#This Row],[purchase_date]],"dddd"))</f>
        <v>Viernes</v>
      </c>
      <c r="O1581" s="1" t="str">
        <f>PROPER(TEXT(BBDD_fashion_boutique[[#This Row],[purchase_date]],"mmmm"))</f>
        <v>Junio</v>
      </c>
      <c r="P1581" s="4">
        <v>48</v>
      </c>
      <c r="Q1581" s="2">
        <v>3.8</v>
      </c>
      <c r="R1581" t="str">
        <f>IF(BBDD_fashion_boutique[[#This Row],[stock_quantity]]&gt;9,"Ok",IF(BBDD_fashion_boutique[[#This Row],[stock_quantity]]=0,"Agotado","Pocas Unidades"))</f>
        <v>Ok</v>
      </c>
      <c r="S1581" s="3">
        <f>IF(BBDD_fashion_boutique[[#This Row],[customer_rating]]="","No valorado",BBDD_fashion_boutique[[#This Row],[customer_rating]])</f>
        <v>3.8</v>
      </c>
      <c r="T1581" t="s">
        <v>24</v>
      </c>
      <c r="V1581">
        <f>IF(BBDD_fashion_boutique[[#This Row],[is_returned]]="False",0,1)</f>
        <v>0</v>
      </c>
      <c r="W1581">
        <f>IF(BBDD_fashion_boutique[[#This Row],[is_returned]]="True",0,BBDD_fashion_boutique[[#This Row],[current_price]])</f>
        <v>17.149999999999999</v>
      </c>
      <c r="X1581" t="str">
        <f>IF(BBDD_fashion_boutique[[#This Row],[return_reason]]="","No return",BBDD_fashion_boutique[[#This Row],[return_reason]])</f>
        <v>No return</v>
      </c>
      <c r="Y1581">
        <f>IF(IFERROR(VLOOKUP(BBDD_fashion_boutique[[#This Row],[product_id]],A1582:A3757,1,FALSE),0),1,0)</f>
        <v>0</v>
      </c>
    </row>
    <row r="1582" spans="1:25" x14ac:dyDescent="0.3">
      <c r="A1582" t="s">
        <v>1641</v>
      </c>
      <c r="B1582" t="s">
        <v>44</v>
      </c>
      <c r="C1582" t="s">
        <v>49</v>
      </c>
      <c r="D1582" t="s">
        <v>28</v>
      </c>
      <c r="F1582" t="str">
        <f>IF(BBDD_fashion_boutique[[#This Row],[category]]="Accessories","Accesorio",IF(BBDD_fashion_boutique[[#This Row],[size]]="","Desconocido",BBDD_fashion_boutique[[#This Row],[size]]))</f>
        <v>Desconocido</v>
      </c>
      <c r="G1582" t="s">
        <v>23</v>
      </c>
      <c r="H1582" s="2">
        <v>76.86</v>
      </c>
      <c r="I1582">
        <v>48.9</v>
      </c>
      <c r="J1582" s="5">
        <f>BBDD_fashion_boutique[[#This Row],[markdown_percentage]]/100</f>
        <v>0.48899999999999999</v>
      </c>
      <c r="K1582" s="2">
        <v>39.28</v>
      </c>
      <c r="L1582" s="2">
        <f>BBDD_fashion_boutique[[#This Row],[original_price]]-BBDD_fashion_boutique[[#This Row],[current_price]]</f>
        <v>37.58</v>
      </c>
      <c r="M1582" s="1">
        <v>45875</v>
      </c>
      <c r="N1582" s="1" t="str">
        <f>PROPER(TEXT(BBDD_fashion_boutique[[#This Row],[purchase_date]],"dddd"))</f>
        <v>Miércoles</v>
      </c>
      <c r="O1582" s="1" t="str">
        <f>PROPER(TEXT(BBDD_fashion_boutique[[#This Row],[purchase_date]],"mmmm"))</f>
        <v>Agosto</v>
      </c>
      <c r="P1582" s="4">
        <v>5</v>
      </c>
      <c r="Q1582" s="2">
        <v>1.2</v>
      </c>
      <c r="R1582" t="str">
        <f>IF(BBDD_fashion_boutique[[#This Row],[stock_quantity]]&gt;9,"Ok",IF(BBDD_fashion_boutique[[#This Row],[stock_quantity]]=0,"Agotado","Pocas Unidades"))</f>
        <v>Pocas Unidades</v>
      </c>
      <c r="S1582" s="3">
        <f>IF(BBDD_fashion_boutique[[#This Row],[customer_rating]]="","No valorado",BBDD_fashion_boutique[[#This Row],[customer_rating]])</f>
        <v>1.2</v>
      </c>
      <c r="T1582" t="s">
        <v>24</v>
      </c>
      <c r="V1582">
        <f>IF(BBDD_fashion_boutique[[#This Row],[is_returned]]="False",0,1)</f>
        <v>0</v>
      </c>
      <c r="W1582">
        <f>IF(BBDD_fashion_boutique[[#This Row],[is_returned]]="True",0,BBDD_fashion_boutique[[#This Row],[current_price]])</f>
        <v>39.28</v>
      </c>
      <c r="X1582" t="str">
        <f>IF(BBDD_fashion_boutique[[#This Row],[return_reason]]="","No return",BBDD_fashion_boutique[[#This Row],[return_reason]])</f>
        <v>No return</v>
      </c>
      <c r="Y1582">
        <f>IF(IFERROR(VLOOKUP(BBDD_fashion_boutique[[#This Row],[product_id]],A1583:A3758,1,FALSE),0),1,0)</f>
        <v>0</v>
      </c>
    </row>
    <row r="1583" spans="1:25" x14ac:dyDescent="0.3">
      <c r="A1583" t="s">
        <v>1642</v>
      </c>
      <c r="B1583" t="s">
        <v>19</v>
      </c>
      <c r="C1583" t="s">
        <v>54</v>
      </c>
      <c r="D1583" t="s">
        <v>28</v>
      </c>
      <c r="E1583" t="s">
        <v>45</v>
      </c>
      <c r="F1583" t="str">
        <f>IF(BBDD_fashion_boutique[[#This Row],[category]]="Accessories","Accesorio",IF(BBDD_fashion_boutique[[#This Row],[size]]="","Desconocido",BBDD_fashion_boutique[[#This Row],[size]]))</f>
        <v>S</v>
      </c>
      <c r="G1583" t="s">
        <v>62</v>
      </c>
      <c r="H1583" s="2">
        <v>208.57</v>
      </c>
      <c r="I1583">
        <v>0</v>
      </c>
      <c r="J1583" s="5">
        <f>BBDD_fashion_boutique[[#This Row],[markdown_percentage]]/100</f>
        <v>0</v>
      </c>
      <c r="K1583" s="2">
        <v>208.57</v>
      </c>
      <c r="L1583" s="2">
        <f>BBDD_fashion_boutique[[#This Row],[original_price]]-BBDD_fashion_boutique[[#This Row],[current_price]]</f>
        <v>0</v>
      </c>
      <c r="M1583" s="1">
        <v>45875</v>
      </c>
      <c r="N1583" s="1" t="str">
        <f>PROPER(TEXT(BBDD_fashion_boutique[[#This Row],[purchase_date]],"dddd"))</f>
        <v>Miércoles</v>
      </c>
      <c r="O1583" s="1" t="str">
        <f>PROPER(TEXT(BBDD_fashion_boutique[[#This Row],[purchase_date]],"mmmm"))</f>
        <v>Agosto</v>
      </c>
      <c r="P1583" s="4">
        <v>24</v>
      </c>
      <c r="Q1583" s="2">
        <v>3.6</v>
      </c>
      <c r="R1583" t="str">
        <f>IF(BBDD_fashion_boutique[[#This Row],[stock_quantity]]&gt;9,"Ok",IF(BBDD_fashion_boutique[[#This Row],[stock_quantity]]=0,"Agotado","Pocas Unidades"))</f>
        <v>Ok</v>
      </c>
      <c r="S1583" s="3">
        <f>IF(BBDD_fashion_boutique[[#This Row],[customer_rating]]="","No valorado",BBDD_fashion_boutique[[#This Row],[customer_rating]])</f>
        <v>3.6</v>
      </c>
      <c r="T1583" t="s">
        <v>24</v>
      </c>
      <c r="V1583">
        <f>IF(BBDD_fashion_boutique[[#This Row],[is_returned]]="False",0,1)</f>
        <v>0</v>
      </c>
      <c r="W1583">
        <f>IF(BBDD_fashion_boutique[[#This Row],[is_returned]]="True",0,BBDD_fashion_boutique[[#This Row],[current_price]])</f>
        <v>208.57</v>
      </c>
      <c r="X1583" t="str">
        <f>IF(BBDD_fashion_boutique[[#This Row],[return_reason]]="","No return",BBDD_fashion_boutique[[#This Row],[return_reason]])</f>
        <v>No return</v>
      </c>
      <c r="Y1583">
        <f>IF(IFERROR(VLOOKUP(BBDD_fashion_boutique[[#This Row],[product_id]],A1584:A3759,1,FALSE),0),1,0)</f>
        <v>0</v>
      </c>
    </row>
    <row r="1584" spans="1:25" x14ac:dyDescent="0.3">
      <c r="A1584" t="s">
        <v>1643</v>
      </c>
      <c r="B1584" t="s">
        <v>48</v>
      </c>
      <c r="C1584" t="s">
        <v>67</v>
      </c>
      <c r="D1584" t="s">
        <v>21</v>
      </c>
      <c r="E1584" t="s">
        <v>22</v>
      </c>
      <c r="F1584" t="str">
        <f>IF(BBDD_fashion_boutique[[#This Row],[category]]="Accessories","Accesorio",IF(BBDD_fashion_boutique[[#This Row],[size]]="","Desconocido",BBDD_fashion_boutique[[#This Row],[size]]))</f>
        <v>XL</v>
      </c>
      <c r="G1584" t="s">
        <v>23</v>
      </c>
      <c r="H1584" s="2">
        <v>131.69999999999999</v>
      </c>
      <c r="I1584">
        <v>15.8</v>
      </c>
      <c r="J1584" s="5">
        <f>BBDD_fashion_boutique[[#This Row],[markdown_percentage]]/100</f>
        <v>0.158</v>
      </c>
      <c r="K1584" s="2">
        <v>110.89</v>
      </c>
      <c r="L1584" s="2">
        <f>BBDD_fashion_boutique[[#This Row],[original_price]]-BBDD_fashion_boutique[[#This Row],[current_price]]</f>
        <v>20.809999999999988</v>
      </c>
      <c r="M1584" s="1">
        <v>45516</v>
      </c>
      <c r="N1584" s="1" t="str">
        <f>PROPER(TEXT(BBDD_fashion_boutique[[#This Row],[purchase_date]],"dddd"))</f>
        <v>Lunes</v>
      </c>
      <c r="O1584" s="1" t="str">
        <f>PROPER(TEXT(BBDD_fashion_boutique[[#This Row],[purchase_date]],"mmmm"))</f>
        <v>Agosto</v>
      </c>
      <c r="P1584" s="4">
        <v>49</v>
      </c>
      <c r="Q1584" s="2">
        <v>1.4</v>
      </c>
      <c r="R1584" t="str">
        <f>IF(BBDD_fashion_boutique[[#This Row],[stock_quantity]]&gt;9,"Ok",IF(BBDD_fashion_boutique[[#This Row],[stock_quantity]]=0,"Agotado","Pocas Unidades"))</f>
        <v>Ok</v>
      </c>
      <c r="S1584" s="3">
        <f>IF(BBDD_fashion_boutique[[#This Row],[customer_rating]]="","No valorado",BBDD_fashion_boutique[[#This Row],[customer_rating]])</f>
        <v>1.4</v>
      </c>
      <c r="T1584" t="s">
        <v>41</v>
      </c>
      <c r="U1584" t="s">
        <v>84</v>
      </c>
      <c r="V1584">
        <f>IF(BBDD_fashion_boutique[[#This Row],[is_returned]]="False",0,1)</f>
        <v>1</v>
      </c>
      <c r="W1584">
        <f>IF(BBDD_fashion_boutique[[#This Row],[is_returned]]="True",0,BBDD_fashion_boutique[[#This Row],[current_price]])</f>
        <v>0</v>
      </c>
      <c r="X1584" t="str">
        <f>IF(BBDD_fashion_boutique[[#This Row],[return_reason]]="","No return",BBDD_fashion_boutique[[#This Row],[return_reason]])</f>
        <v>Damaged</v>
      </c>
      <c r="Y1584">
        <f>IF(IFERROR(VLOOKUP(BBDD_fashion_boutique[[#This Row],[product_id]],A1585:A3760,1,FALSE),0),1,0)</f>
        <v>0</v>
      </c>
    </row>
    <row r="1585" spans="1:25" x14ac:dyDescent="0.3">
      <c r="A1585" t="s">
        <v>1644</v>
      </c>
      <c r="B1585" t="s">
        <v>44</v>
      </c>
      <c r="C1585" t="s">
        <v>49</v>
      </c>
      <c r="D1585" t="s">
        <v>68</v>
      </c>
      <c r="E1585" t="s">
        <v>55</v>
      </c>
      <c r="F1585" t="str">
        <f>IF(BBDD_fashion_boutique[[#This Row],[category]]="Accessories","Accesorio",IF(BBDD_fashion_boutique[[#This Row],[size]]="","Desconocido",BBDD_fashion_boutique[[#This Row],[size]]))</f>
        <v>XXL</v>
      </c>
      <c r="G1585" t="s">
        <v>50</v>
      </c>
      <c r="H1585" s="2">
        <v>117.21</v>
      </c>
      <c r="I1585">
        <v>0</v>
      </c>
      <c r="J1585" s="5">
        <f>BBDD_fashion_boutique[[#This Row],[markdown_percentage]]/100</f>
        <v>0</v>
      </c>
      <c r="K1585" s="2">
        <v>117.21</v>
      </c>
      <c r="L1585" s="2">
        <f>BBDD_fashion_boutique[[#This Row],[original_price]]-BBDD_fashion_boutique[[#This Row],[current_price]]</f>
        <v>0</v>
      </c>
      <c r="M1585" s="1">
        <v>45875</v>
      </c>
      <c r="N1585" s="1" t="str">
        <f>PROPER(TEXT(BBDD_fashion_boutique[[#This Row],[purchase_date]],"dddd"))</f>
        <v>Miércoles</v>
      </c>
      <c r="O1585" s="1" t="str">
        <f>PROPER(TEXT(BBDD_fashion_boutique[[#This Row],[purchase_date]],"mmmm"))</f>
        <v>Agosto</v>
      </c>
      <c r="P1585" s="4">
        <v>14</v>
      </c>
      <c r="Q1585" s="2">
        <v>3.2</v>
      </c>
      <c r="R1585" t="str">
        <f>IF(BBDD_fashion_boutique[[#This Row],[stock_quantity]]&gt;9,"Ok",IF(BBDD_fashion_boutique[[#This Row],[stock_quantity]]=0,"Agotado","Pocas Unidades"))</f>
        <v>Ok</v>
      </c>
      <c r="S1585" s="3">
        <f>IF(BBDD_fashion_boutique[[#This Row],[customer_rating]]="","No valorado",BBDD_fashion_boutique[[#This Row],[customer_rating]])</f>
        <v>3.2</v>
      </c>
      <c r="T1585" t="s">
        <v>24</v>
      </c>
      <c r="V1585">
        <f>IF(BBDD_fashion_boutique[[#This Row],[is_returned]]="False",0,1)</f>
        <v>0</v>
      </c>
      <c r="W1585">
        <f>IF(BBDD_fashion_boutique[[#This Row],[is_returned]]="True",0,BBDD_fashion_boutique[[#This Row],[current_price]])</f>
        <v>117.21</v>
      </c>
      <c r="X1585" t="str">
        <f>IF(BBDD_fashion_boutique[[#This Row],[return_reason]]="","No return",BBDD_fashion_boutique[[#This Row],[return_reason]])</f>
        <v>No return</v>
      </c>
      <c r="Y1585">
        <f>IF(IFERROR(VLOOKUP(BBDD_fashion_boutique[[#This Row],[product_id]],A1586:A3761,1,FALSE),0),1,0)</f>
        <v>0</v>
      </c>
    </row>
    <row r="1586" spans="1:25" x14ac:dyDescent="0.3">
      <c r="A1586" t="s">
        <v>1645</v>
      </c>
      <c r="B1586" t="s">
        <v>32</v>
      </c>
      <c r="C1586" t="s">
        <v>49</v>
      </c>
      <c r="D1586" t="s">
        <v>68</v>
      </c>
      <c r="F1586" t="str">
        <f>IF(BBDD_fashion_boutique[[#This Row],[category]]="Accessories","Accesorio",IF(BBDD_fashion_boutique[[#This Row],[size]]="","Desconocido",BBDD_fashion_boutique[[#This Row],[size]]))</f>
        <v>Accesorio</v>
      </c>
      <c r="G1586" t="s">
        <v>52</v>
      </c>
      <c r="H1586" s="2">
        <v>23.01</v>
      </c>
      <c r="I1586">
        <v>48.8</v>
      </c>
      <c r="J1586" s="5">
        <f>BBDD_fashion_boutique[[#This Row],[markdown_percentage]]/100</f>
        <v>0.48799999999999999</v>
      </c>
      <c r="K1586" s="2">
        <v>11.78</v>
      </c>
      <c r="L1586" s="2">
        <f>BBDD_fashion_boutique[[#This Row],[original_price]]-BBDD_fashion_boutique[[#This Row],[current_price]]</f>
        <v>11.230000000000002</v>
      </c>
      <c r="M1586" s="1">
        <v>45875</v>
      </c>
      <c r="N1586" s="1" t="str">
        <f>PROPER(TEXT(BBDD_fashion_boutique[[#This Row],[purchase_date]],"dddd"))</f>
        <v>Miércoles</v>
      </c>
      <c r="O1586" s="1" t="str">
        <f>PROPER(TEXT(BBDD_fashion_boutique[[#This Row],[purchase_date]],"mmmm"))</f>
        <v>Agosto</v>
      </c>
      <c r="P1586" s="4">
        <v>13</v>
      </c>
      <c r="Q1586" s="2">
        <v>3.6</v>
      </c>
      <c r="R1586" t="str">
        <f>IF(BBDD_fashion_boutique[[#This Row],[stock_quantity]]&gt;9,"Ok",IF(BBDD_fashion_boutique[[#This Row],[stock_quantity]]=0,"Agotado","Pocas Unidades"))</f>
        <v>Ok</v>
      </c>
      <c r="S1586" s="3">
        <f>IF(BBDD_fashion_boutique[[#This Row],[customer_rating]]="","No valorado",BBDD_fashion_boutique[[#This Row],[customer_rating]])</f>
        <v>3.6</v>
      </c>
      <c r="T1586" t="s">
        <v>24</v>
      </c>
      <c r="V1586">
        <f>IF(BBDD_fashion_boutique[[#This Row],[is_returned]]="False",0,1)</f>
        <v>0</v>
      </c>
      <c r="W1586">
        <f>IF(BBDD_fashion_boutique[[#This Row],[is_returned]]="True",0,BBDD_fashion_boutique[[#This Row],[current_price]])</f>
        <v>11.78</v>
      </c>
      <c r="X1586" t="str">
        <f>IF(BBDD_fashion_boutique[[#This Row],[return_reason]]="","No return",BBDD_fashion_boutique[[#This Row],[return_reason]])</f>
        <v>No return</v>
      </c>
      <c r="Y1586">
        <f>IF(IFERROR(VLOOKUP(BBDD_fashion_boutique[[#This Row],[product_id]],A1587:A3762,1,FALSE),0),1,0)</f>
        <v>0</v>
      </c>
    </row>
    <row r="1587" spans="1:25" x14ac:dyDescent="0.3">
      <c r="A1587" t="s">
        <v>1646</v>
      </c>
      <c r="B1587" t="s">
        <v>32</v>
      </c>
      <c r="C1587" t="s">
        <v>81</v>
      </c>
      <c r="D1587" t="s">
        <v>68</v>
      </c>
      <c r="F1587" t="str">
        <f>IF(BBDD_fashion_boutique[[#This Row],[category]]="Accessories","Accesorio",IF(BBDD_fashion_boutique[[#This Row],[size]]="","Desconocido",BBDD_fashion_boutique[[#This Row],[size]]))</f>
        <v>Accesorio</v>
      </c>
      <c r="G1587" t="s">
        <v>23</v>
      </c>
      <c r="H1587" s="2">
        <v>47.6</v>
      </c>
      <c r="I1587">
        <v>0</v>
      </c>
      <c r="J1587" s="5">
        <f>BBDD_fashion_boutique[[#This Row],[markdown_percentage]]/100</f>
        <v>0</v>
      </c>
      <c r="K1587" s="2">
        <v>47.6</v>
      </c>
      <c r="L1587" s="2">
        <f>BBDD_fashion_boutique[[#This Row],[original_price]]-BBDD_fashion_boutique[[#This Row],[current_price]]</f>
        <v>0</v>
      </c>
      <c r="M1587" s="1">
        <v>45875</v>
      </c>
      <c r="N1587" s="1" t="str">
        <f>PROPER(TEXT(BBDD_fashion_boutique[[#This Row],[purchase_date]],"dddd"))</f>
        <v>Miércoles</v>
      </c>
      <c r="O1587" s="1" t="str">
        <f>PROPER(TEXT(BBDD_fashion_boutique[[#This Row],[purchase_date]],"mmmm"))</f>
        <v>Agosto</v>
      </c>
      <c r="P1587" s="4">
        <v>24</v>
      </c>
      <c r="Q1587" s="2">
        <v>4.4000000000000004</v>
      </c>
      <c r="R1587" t="str">
        <f>IF(BBDD_fashion_boutique[[#This Row],[stock_quantity]]&gt;9,"Ok",IF(BBDD_fashion_boutique[[#This Row],[stock_quantity]]=0,"Agotado","Pocas Unidades"))</f>
        <v>Ok</v>
      </c>
      <c r="S1587" s="3">
        <f>IF(BBDD_fashion_boutique[[#This Row],[customer_rating]]="","No valorado",BBDD_fashion_boutique[[#This Row],[customer_rating]])</f>
        <v>4.4000000000000004</v>
      </c>
      <c r="T1587" t="s">
        <v>41</v>
      </c>
      <c r="U1587" t="s">
        <v>131</v>
      </c>
      <c r="V1587">
        <f>IF(BBDD_fashion_boutique[[#This Row],[is_returned]]="False",0,1)</f>
        <v>1</v>
      </c>
      <c r="W1587">
        <f>IF(BBDD_fashion_boutique[[#This Row],[is_returned]]="True",0,BBDD_fashion_boutique[[#This Row],[current_price]])</f>
        <v>0</v>
      </c>
      <c r="X1587" t="str">
        <f>IF(BBDD_fashion_boutique[[#This Row],[return_reason]]="","No return",BBDD_fashion_boutique[[#This Row],[return_reason]])</f>
        <v>Wrong Item</v>
      </c>
      <c r="Y1587">
        <f>IF(IFERROR(VLOOKUP(BBDD_fashion_boutique[[#This Row],[product_id]],A1588:A3763,1,FALSE),0),1,0)</f>
        <v>0</v>
      </c>
    </row>
    <row r="1588" spans="1:25" x14ac:dyDescent="0.3">
      <c r="A1588" t="s">
        <v>1647</v>
      </c>
      <c r="B1588" t="s">
        <v>44</v>
      </c>
      <c r="C1588" t="s">
        <v>20</v>
      </c>
      <c r="D1588" t="s">
        <v>39</v>
      </c>
      <c r="E1588" t="s">
        <v>29</v>
      </c>
      <c r="F1588" t="str">
        <f>IF(BBDD_fashion_boutique[[#This Row],[category]]="Accessories","Accesorio",IF(BBDD_fashion_boutique[[#This Row],[size]]="","Desconocido",BBDD_fashion_boutique[[#This Row],[size]]))</f>
        <v>L</v>
      </c>
      <c r="G1588" t="s">
        <v>30</v>
      </c>
      <c r="H1588" s="2">
        <v>33.22</v>
      </c>
      <c r="I1588">
        <v>38.4</v>
      </c>
      <c r="J1588" s="5">
        <f>BBDD_fashion_boutique[[#This Row],[markdown_percentage]]/100</f>
        <v>0.38400000000000001</v>
      </c>
      <c r="K1588" s="2">
        <v>20.46</v>
      </c>
      <c r="L1588" s="2">
        <f>BBDD_fashion_boutique[[#This Row],[original_price]]-BBDD_fashion_boutique[[#This Row],[current_price]]</f>
        <v>12.759999999999998</v>
      </c>
      <c r="M1588" s="1">
        <v>45875</v>
      </c>
      <c r="N1588" s="1" t="str">
        <f>PROPER(TEXT(BBDD_fashion_boutique[[#This Row],[purchase_date]],"dddd"))</f>
        <v>Miércoles</v>
      </c>
      <c r="O1588" s="1" t="str">
        <f>PROPER(TEXT(BBDD_fashion_boutique[[#This Row],[purchase_date]],"mmmm"))</f>
        <v>Agosto</v>
      </c>
      <c r="P1588" s="4">
        <v>11</v>
      </c>
      <c r="Q1588" s="2">
        <v>2.9</v>
      </c>
      <c r="R1588" t="str">
        <f>IF(BBDD_fashion_boutique[[#This Row],[stock_quantity]]&gt;9,"Ok",IF(BBDD_fashion_boutique[[#This Row],[stock_quantity]]=0,"Agotado","Pocas Unidades"))</f>
        <v>Ok</v>
      </c>
      <c r="S1588" s="3">
        <f>IF(BBDD_fashion_boutique[[#This Row],[customer_rating]]="","No valorado",BBDD_fashion_boutique[[#This Row],[customer_rating]])</f>
        <v>2.9</v>
      </c>
      <c r="T1588" t="s">
        <v>24</v>
      </c>
      <c r="V1588">
        <f>IF(BBDD_fashion_boutique[[#This Row],[is_returned]]="False",0,1)</f>
        <v>0</v>
      </c>
      <c r="W1588">
        <f>IF(BBDD_fashion_boutique[[#This Row],[is_returned]]="True",0,BBDD_fashion_boutique[[#This Row],[current_price]])</f>
        <v>20.46</v>
      </c>
      <c r="X1588" t="str">
        <f>IF(BBDD_fashion_boutique[[#This Row],[return_reason]]="","No return",BBDD_fashion_boutique[[#This Row],[return_reason]])</f>
        <v>No return</v>
      </c>
      <c r="Y1588">
        <f>IF(IFERROR(VLOOKUP(BBDD_fashion_boutique[[#This Row],[product_id]],A1589:A3764,1,FALSE),0),1,0)</f>
        <v>0</v>
      </c>
    </row>
    <row r="1589" spans="1:25" x14ac:dyDescent="0.3">
      <c r="A1589" t="s">
        <v>1648</v>
      </c>
      <c r="B1589" t="s">
        <v>32</v>
      </c>
      <c r="C1589" t="s">
        <v>27</v>
      </c>
      <c r="D1589" t="s">
        <v>28</v>
      </c>
      <c r="F1589" t="str">
        <f>IF(BBDD_fashion_boutique[[#This Row],[category]]="Accessories","Accesorio",IF(BBDD_fashion_boutique[[#This Row],[size]]="","Desconocido",BBDD_fashion_boutique[[#This Row],[size]]))</f>
        <v>Accesorio</v>
      </c>
      <c r="G1589" t="s">
        <v>70</v>
      </c>
      <c r="H1589" s="2">
        <v>65.97</v>
      </c>
      <c r="I1589">
        <v>6.8</v>
      </c>
      <c r="J1589" s="5">
        <f>BBDD_fashion_boutique[[#This Row],[markdown_percentage]]/100</f>
        <v>6.8000000000000005E-2</v>
      </c>
      <c r="K1589" s="2">
        <v>61.48</v>
      </c>
      <c r="L1589" s="2">
        <f>BBDD_fashion_boutique[[#This Row],[original_price]]-BBDD_fashion_boutique[[#This Row],[current_price]]</f>
        <v>4.490000000000002</v>
      </c>
      <c r="M1589" s="1">
        <v>45875</v>
      </c>
      <c r="N1589" s="1" t="str">
        <f>PROPER(TEXT(BBDD_fashion_boutique[[#This Row],[purchase_date]],"dddd"))</f>
        <v>Miércoles</v>
      </c>
      <c r="O1589" s="1" t="str">
        <f>PROPER(TEXT(BBDD_fashion_boutique[[#This Row],[purchase_date]],"mmmm"))</f>
        <v>Agosto</v>
      </c>
      <c r="P1589" s="4">
        <v>41</v>
      </c>
      <c r="Q1589" s="2">
        <v>4.3</v>
      </c>
      <c r="R1589" t="str">
        <f>IF(BBDD_fashion_boutique[[#This Row],[stock_quantity]]&gt;9,"Ok",IF(BBDD_fashion_boutique[[#This Row],[stock_quantity]]=0,"Agotado","Pocas Unidades"))</f>
        <v>Ok</v>
      </c>
      <c r="S1589" s="3">
        <f>IF(BBDD_fashion_boutique[[#This Row],[customer_rating]]="","No valorado",BBDD_fashion_boutique[[#This Row],[customer_rating]])</f>
        <v>4.3</v>
      </c>
      <c r="T1589" t="s">
        <v>24</v>
      </c>
      <c r="V1589">
        <f>IF(BBDD_fashion_boutique[[#This Row],[is_returned]]="False",0,1)</f>
        <v>0</v>
      </c>
      <c r="W1589">
        <f>IF(BBDD_fashion_boutique[[#This Row],[is_returned]]="True",0,BBDD_fashion_boutique[[#This Row],[current_price]])</f>
        <v>61.48</v>
      </c>
      <c r="X1589" t="str">
        <f>IF(BBDD_fashion_boutique[[#This Row],[return_reason]]="","No return",BBDD_fashion_boutique[[#This Row],[return_reason]])</f>
        <v>No return</v>
      </c>
      <c r="Y1589">
        <f>IF(IFERROR(VLOOKUP(BBDD_fashion_boutique[[#This Row],[product_id]],A1590:A3765,1,FALSE),0),1,0)</f>
        <v>0</v>
      </c>
    </row>
    <row r="1590" spans="1:25" x14ac:dyDescent="0.3">
      <c r="A1590" t="s">
        <v>1649</v>
      </c>
      <c r="B1590" t="s">
        <v>26</v>
      </c>
      <c r="C1590" t="s">
        <v>54</v>
      </c>
      <c r="D1590" t="s">
        <v>21</v>
      </c>
      <c r="E1590" t="s">
        <v>29</v>
      </c>
      <c r="F1590" t="str">
        <f>IF(BBDD_fashion_boutique[[#This Row],[category]]="Accessories","Accesorio",IF(BBDD_fashion_boutique[[#This Row],[size]]="","Desconocido",BBDD_fashion_boutique[[#This Row],[size]]))</f>
        <v>L</v>
      </c>
      <c r="G1590" t="s">
        <v>52</v>
      </c>
      <c r="H1590" s="2">
        <v>47.25</v>
      </c>
      <c r="I1590">
        <v>29</v>
      </c>
      <c r="J1590" s="5">
        <f>BBDD_fashion_boutique[[#This Row],[markdown_percentage]]/100</f>
        <v>0.28999999999999998</v>
      </c>
      <c r="K1590" s="2">
        <v>33.549999999999997</v>
      </c>
      <c r="L1590" s="2">
        <f>BBDD_fashion_boutique[[#This Row],[original_price]]-BBDD_fashion_boutique[[#This Row],[current_price]]</f>
        <v>13.700000000000003</v>
      </c>
      <c r="M1590" s="1">
        <v>45828</v>
      </c>
      <c r="N1590" s="1" t="str">
        <f>PROPER(TEXT(BBDD_fashion_boutique[[#This Row],[purchase_date]],"dddd"))</f>
        <v>Viernes</v>
      </c>
      <c r="O1590" s="1" t="str">
        <f>PROPER(TEXT(BBDD_fashion_boutique[[#This Row],[purchase_date]],"mmmm"))</f>
        <v>Junio</v>
      </c>
      <c r="P1590" s="4">
        <v>38</v>
      </c>
      <c r="Q1590" s="2">
        <v>5</v>
      </c>
      <c r="R1590" t="str">
        <f>IF(BBDD_fashion_boutique[[#This Row],[stock_quantity]]&gt;9,"Ok",IF(BBDD_fashion_boutique[[#This Row],[stock_quantity]]=0,"Agotado","Pocas Unidades"))</f>
        <v>Ok</v>
      </c>
      <c r="S1590" s="3">
        <f>IF(BBDD_fashion_boutique[[#This Row],[customer_rating]]="","No valorado",BBDD_fashion_boutique[[#This Row],[customer_rating]])</f>
        <v>5</v>
      </c>
      <c r="T1590" t="s">
        <v>24</v>
      </c>
      <c r="V1590">
        <f>IF(BBDD_fashion_boutique[[#This Row],[is_returned]]="False",0,1)</f>
        <v>0</v>
      </c>
      <c r="W1590">
        <f>IF(BBDD_fashion_boutique[[#This Row],[is_returned]]="True",0,BBDD_fashion_boutique[[#This Row],[current_price]])</f>
        <v>33.549999999999997</v>
      </c>
      <c r="X1590" t="str">
        <f>IF(BBDD_fashion_boutique[[#This Row],[return_reason]]="","No return",BBDD_fashion_boutique[[#This Row],[return_reason]])</f>
        <v>No return</v>
      </c>
      <c r="Y1590">
        <f>IF(IFERROR(VLOOKUP(BBDD_fashion_boutique[[#This Row],[product_id]],A1591:A3766,1,FALSE),0),1,0)</f>
        <v>0</v>
      </c>
    </row>
    <row r="1591" spans="1:25" x14ac:dyDescent="0.3">
      <c r="A1591" t="s">
        <v>1650</v>
      </c>
      <c r="B1591" t="s">
        <v>26</v>
      </c>
      <c r="C1591" t="s">
        <v>81</v>
      </c>
      <c r="D1591" t="s">
        <v>21</v>
      </c>
      <c r="E1591" t="s">
        <v>61</v>
      </c>
      <c r="F1591" t="str">
        <f>IF(BBDD_fashion_boutique[[#This Row],[category]]="Accessories","Accesorio",IF(BBDD_fashion_boutique[[#This Row],[size]]="","Desconocido",BBDD_fashion_boutique[[#This Row],[size]]))</f>
        <v>XS</v>
      </c>
      <c r="G1591" t="s">
        <v>52</v>
      </c>
      <c r="H1591" s="2">
        <v>93.74</v>
      </c>
      <c r="I1591">
        <v>0</v>
      </c>
      <c r="J1591" s="5">
        <f>BBDD_fashion_boutique[[#This Row],[markdown_percentage]]/100</f>
        <v>0</v>
      </c>
      <c r="K1591" s="2">
        <v>93.74</v>
      </c>
      <c r="L1591" s="2">
        <f>BBDD_fashion_boutique[[#This Row],[original_price]]-BBDD_fashion_boutique[[#This Row],[current_price]]</f>
        <v>0</v>
      </c>
      <c r="M1591" s="1">
        <v>45653</v>
      </c>
      <c r="N1591" s="1" t="str">
        <f>PROPER(TEXT(BBDD_fashion_boutique[[#This Row],[purchase_date]],"dddd"))</f>
        <v>Viernes</v>
      </c>
      <c r="O1591" s="1" t="str">
        <f>PROPER(TEXT(BBDD_fashion_boutique[[#This Row],[purchase_date]],"mmmm"))</f>
        <v>Diciembre</v>
      </c>
      <c r="P1591" s="4">
        <v>39</v>
      </c>
      <c r="Q1591" s="2">
        <v>4</v>
      </c>
      <c r="R1591" t="str">
        <f>IF(BBDD_fashion_boutique[[#This Row],[stock_quantity]]&gt;9,"Ok",IF(BBDD_fashion_boutique[[#This Row],[stock_quantity]]=0,"Agotado","Pocas Unidades"))</f>
        <v>Ok</v>
      </c>
      <c r="S1591" s="3">
        <f>IF(BBDD_fashion_boutique[[#This Row],[customer_rating]]="","No valorado",BBDD_fashion_boutique[[#This Row],[customer_rating]])</f>
        <v>4</v>
      </c>
      <c r="T1591" t="s">
        <v>24</v>
      </c>
      <c r="V1591">
        <f>IF(BBDD_fashion_boutique[[#This Row],[is_returned]]="False",0,1)</f>
        <v>0</v>
      </c>
      <c r="W1591">
        <f>IF(BBDD_fashion_boutique[[#This Row],[is_returned]]="True",0,BBDD_fashion_boutique[[#This Row],[current_price]])</f>
        <v>93.74</v>
      </c>
      <c r="X1591" t="str">
        <f>IF(BBDD_fashion_boutique[[#This Row],[return_reason]]="","No return",BBDD_fashion_boutique[[#This Row],[return_reason]])</f>
        <v>No return</v>
      </c>
      <c r="Y1591">
        <f>IF(IFERROR(VLOOKUP(BBDD_fashion_boutique[[#This Row],[product_id]],A1592:A3767,1,FALSE),0),1,0)</f>
        <v>0</v>
      </c>
    </row>
    <row r="1592" spans="1:25" x14ac:dyDescent="0.3">
      <c r="A1592" t="s">
        <v>1651</v>
      </c>
      <c r="B1592" t="s">
        <v>44</v>
      </c>
      <c r="C1592" t="s">
        <v>81</v>
      </c>
      <c r="D1592" t="s">
        <v>68</v>
      </c>
      <c r="E1592" t="s">
        <v>55</v>
      </c>
      <c r="F1592" t="str">
        <f>IF(BBDD_fashion_boutique[[#This Row],[category]]="Accessories","Accesorio",IF(BBDD_fashion_boutique[[#This Row],[size]]="","Desconocido",BBDD_fashion_boutique[[#This Row],[size]]))</f>
        <v>XXL</v>
      </c>
      <c r="G1592" t="s">
        <v>40</v>
      </c>
      <c r="H1592" s="2">
        <v>31.57</v>
      </c>
      <c r="I1592">
        <v>0</v>
      </c>
      <c r="J1592" s="5">
        <f>BBDD_fashion_boutique[[#This Row],[markdown_percentage]]/100</f>
        <v>0</v>
      </c>
      <c r="K1592" s="2">
        <v>31.57</v>
      </c>
      <c r="L1592" s="2">
        <f>BBDD_fashion_boutique[[#This Row],[original_price]]-BBDD_fashion_boutique[[#This Row],[current_price]]</f>
        <v>0</v>
      </c>
      <c r="M1592" s="1">
        <v>45875</v>
      </c>
      <c r="N1592" s="1" t="str">
        <f>PROPER(TEXT(BBDD_fashion_boutique[[#This Row],[purchase_date]],"dddd"))</f>
        <v>Miércoles</v>
      </c>
      <c r="O1592" s="1" t="str">
        <f>PROPER(TEXT(BBDD_fashion_boutique[[#This Row],[purchase_date]],"mmmm"))</f>
        <v>Agosto</v>
      </c>
      <c r="P1592" s="4">
        <v>2</v>
      </c>
      <c r="R1592" t="str">
        <f>IF(BBDD_fashion_boutique[[#This Row],[stock_quantity]]&gt;9,"Ok",IF(BBDD_fashion_boutique[[#This Row],[stock_quantity]]=0,"Agotado","Pocas Unidades"))</f>
        <v>Pocas Unidades</v>
      </c>
      <c r="S1592" s="3" t="str">
        <f>IF(BBDD_fashion_boutique[[#This Row],[customer_rating]]="","No valorado",BBDD_fashion_boutique[[#This Row],[customer_rating]])</f>
        <v>No valorado</v>
      </c>
      <c r="T1592" t="s">
        <v>24</v>
      </c>
      <c r="V1592">
        <f>IF(BBDD_fashion_boutique[[#This Row],[is_returned]]="False",0,1)</f>
        <v>0</v>
      </c>
      <c r="W1592">
        <f>IF(BBDD_fashion_boutique[[#This Row],[is_returned]]="True",0,BBDD_fashion_boutique[[#This Row],[current_price]])</f>
        <v>31.57</v>
      </c>
      <c r="X1592" t="str">
        <f>IF(BBDD_fashion_boutique[[#This Row],[return_reason]]="","No return",BBDD_fashion_boutique[[#This Row],[return_reason]])</f>
        <v>No return</v>
      </c>
      <c r="Y1592">
        <f>IF(IFERROR(VLOOKUP(BBDD_fashion_boutique[[#This Row],[product_id]],A1593:A3768,1,FALSE),0),1,0)</f>
        <v>0</v>
      </c>
    </row>
    <row r="1593" spans="1:25" x14ac:dyDescent="0.3">
      <c r="A1593" t="s">
        <v>1652</v>
      </c>
      <c r="B1593" t="s">
        <v>44</v>
      </c>
      <c r="C1593" t="s">
        <v>37</v>
      </c>
      <c r="D1593" t="s">
        <v>28</v>
      </c>
      <c r="E1593" t="s">
        <v>55</v>
      </c>
      <c r="F1593" t="str">
        <f>IF(BBDD_fashion_boutique[[#This Row],[category]]="Accessories","Accesorio",IF(BBDD_fashion_boutique[[#This Row],[size]]="","Desconocido",BBDD_fashion_boutique[[#This Row],[size]]))</f>
        <v>XXL</v>
      </c>
      <c r="G1593" t="s">
        <v>76</v>
      </c>
      <c r="H1593" s="2">
        <v>64.209999999999994</v>
      </c>
      <c r="I1593">
        <v>0</v>
      </c>
      <c r="J1593" s="5">
        <f>BBDD_fashion_boutique[[#This Row],[markdown_percentage]]/100</f>
        <v>0</v>
      </c>
      <c r="K1593" s="2">
        <v>64.209999999999994</v>
      </c>
      <c r="L1593" s="2">
        <f>BBDD_fashion_boutique[[#This Row],[original_price]]-BBDD_fashion_boutique[[#This Row],[current_price]]</f>
        <v>0</v>
      </c>
      <c r="M1593" s="1">
        <v>45875</v>
      </c>
      <c r="N1593" s="1" t="str">
        <f>PROPER(TEXT(BBDD_fashion_boutique[[#This Row],[purchase_date]],"dddd"))</f>
        <v>Miércoles</v>
      </c>
      <c r="O1593" s="1" t="str">
        <f>PROPER(TEXT(BBDD_fashion_boutique[[#This Row],[purchase_date]],"mmmm"))</f>
        <v>Agosto</v>
      </c>
      <c r="P1593" s="4">
        <v>3</v>
      </c>
      <c r="Q1593" s="2">
        <v>2.8</v>
      </c>
      <c r="R1593" t="str">
        <f>IF(BBDD_fashion_boutique[[#This Row],[stock_quantity]]&gt;9,"Ok",IF(BBDD_fashion_boutique[[#This Row],[stock_quantity]]=0,"Agotado","Pocas Unidades"))</f>
        <v>Pocas Unidades</v>
      </c>
      <c r="S1593" s="3">
        <f>IF(BBDD_fashion_boutique[[#This Row],[customer_rating]]="","No valorado",BBDD_fashion_boutique[[#This Row],[customer_rating]])</f>
        <v>2.8</v>
      </c>
      <c r="T1593" t="s">
        <v>24</v>
      </c>
      <c r="V1593">
        <f>IF(BBDD_fashion_boutique[[#This Row],[is_returned]]="False",0,1)</f>
        <v>0</v>
      </c>
      <c r="W1593">
        <f>IF(BBDD_fashion_boutique[[#This Row],[is_returned]]="True",0,BBDD_fashion_boutique[[#This Row],[current_price]])</f>
        <v>64.209999999999994</v>
      </c>
      <c r="X1593" t="str">
        <f>IF(BBDD_fashion_boutique[[#This Row],[return_reason]]="","No return",BBDD_fashion_boutique[[#This Row],[return_reason]])</f>
        <v>No return</v>
      </c>
      <c r="Y1593">
        <f>IF(IFERROR(VLOOKUP(BBDD_fashion_boutique[[#This Row],[product_id]],A1594:A3769,1,FALSE),0),1,0)</f>
        <v>0</v>
      </c>
    </row>
    <row r="1594" spans="1:25" x14ac:dyDescent="0.3">
      <c r="A1594" t="s">
        <v>1653</v>
      </c>
      <c r="B1594" t="s">
        <v>32</v>
      </c>
      <c r="C1594" t="s">
        <v>37</v>
      </c>
      <c r="D1594" t="s">
        <v>28</v>
      </c>
      <c r="F1594" t="str">
        <f>IF(BBDD_fashion_boutique[[#This Row],[category]]="Accessories","Accesorio",IF(BBDD_fashion_boutique[[#This Row],[size]]="","Desconocido",BBDD_fashion_boutique[[#This Row],[size]]))</f>
        <v>Accesorio</v>
      </c>
      <c r="G1594" t="s">
        <v>52</v>
      </c>
      <c r="H1594" s="2">
        <v>56.13</v>
      </c>
      <c r="I1594">
        <v>8.1</v>
      </c>
      <c r="J1594" s="5">
        <f>BBDD_fashion_boutique[[#This Row],[markdown_percentage]]/100</f>
        <v>8.1000000000000003E-2</v>
      </c>
      <c r="K1594" s="2">
        <v>51.58</v>
      </c>
      <c r="L1594" s="2">
        <f>BBDD_fashion_boutique[[#This Row],[original_price]]-BBDD_fashion_boutique[[#This Row],[current_price]]</f>
        <v>4.5500000000000043</v>
      </c>
      <c r="M1594" s="1">
        <v>45875</v>
      </c>
      <c r="N1594" s="1" t="str">
        <f>PROPER(TEXT(BBDD_fashion_boutique[[#This Row],[purchase_date]],"dddd"))</f>
        <v>Miércoles</v>
      </c>
      <c r="O1594" s="1" t="str">
        <f>PROPER(TEXT(BBDD_fashion_boutique[[#This Row],[purchase_date]],"mmmm"))</f>
        <v>Agosto</v>
      </c>
      <c r="P1594" s="4">
        <v>12</v>
      </c>
      <c r="Q1594" s="2">
        <v>3.8</v>
      </c>
      <c r="R1594" t="str">
        <f>IF(BBDD_fashion_boutique[[#This Row],[stock_quantity]]&gt;9,"Ok",IF(BBDD_fashion_boutique[[#This Row],[stock_quantity]]=0,"Agotado","Pocas Unidades"))</f>
        <v>Ok</v>
      </c>
      <c r="S1594" s="3">
        <f>IF(BBDD_fashion_boutique[[#This Row],[customer_rating]]="","No valorado",BBDD_fashion_boutique[[#This Row],[customer_rating]])</f>
        <v>3.8</v>
      </c>
      <c r="T1594" t="s">
        <v>24</v>
      </c>
      <c r="V1594">
        <f>IF(BBDD_fashion_boutique[[#This Row],[is_returned]]="False",0,1)</f>
        <v>0</v>
      </c>
      <c r="W1594">
        <f>IF(BBDD_fashion_boutique[[#This Row],[is_returned]]="True",0,BBDD_fashion_boutique[[#This Row],[current_price]])</f>
        <v>51.58</v>
      </c>
      <c r="X1594" t="str">
        <f>IF(BBDD_fashion_boutique[[#This Row],[return_reason]]="","No return",BBDD_fashion_boutique[[#This Row],[return_reason]])</f>
        <v>No return</v>
      </c>
      <c r="Y1594">
        <f>IF(IFERROR(VLOOKUP(BBDD_fashion_boutique[[#This Row],[product_id]],A1595:A3770,1,FALSE),0),1,0)</f>
        <v>0</v>
      </c>
    </row>
    <row r="1595" spans="1:25" x14ac:dyDescent="0.3">
      <c r="A1595" t="s">
        <v>1654</v>
      </c>
      <c r="B1595" t="s">
        <v>26</v>
      </c>
      <c r="C1595" t="s">
        <v>27</v>
      </c>
      <c r="D1595" t="s">
        <v>68</v>
      </c>
      <c r="E1595" t="s">
        <v>55</v>
      </c>
      <c r="F1595" t="str">
        <f>IF(BBDD_fashion_boutique[[#This Row],[category]]="Accessories","Accesorio",IF(BBDD_fashion_boutique[[#This Row],[size]]="","Desconocido",BBDD_fashion_boutique[[#This Row],[size]]))</f>
        <v>XXL</v>
      </c>
      <c r="G1595" t="s">
        <v>62</v>
      </c>
      <c r="H1595" s="2">
        <v>70.89</v>
      </c>
      <c r="I1595">
        <v>0</v>
      </c>
      <c r="J1595" s="5">
        <f>BBDD_fashion_boutique[[#This Row],[markdown_percentage]]/100</f>
        <v>0</v>
      </c>
      <c r="K1595" s="2">
        <v>70.89</v>
      </c>
      <c r="L1595" s="2">
        <f>BBDD_fashion_boutique[[#This Row],[original_price]]-BBDD_fashion_boutique[[#This Row],[current_price]]</f>
        <v>0</v>
      </c>
      <c r="M1595" s="1">
        <v>45875</v>
      </c>
      <c r="N1595" s="1" t="str">
        <f>PROPER(TEXT(BBDD_fashion_boutique[[#This Row],[purchase_date]],"dddd"))</f>
        <v>Miércoles</v>
      </c>
      <c r="O1595" s="1" t="str">
        <f>PROPER(TEXT(BBDD_fashion_boutique[[#This Row],[purchase_date]],"mmmm"))</f>
        <v>Agosto</v>
      </c>
      <c r="P1595" s="4">
        <v>14</v>
      </c>
      <c r="Q1595" s="2">
        <v>4.7</v>
      </c>
      <c r="R1595" t="str">
        <f>IF(BBDD_fashion_boutique[[#This Row],[stock_quantity]]&gt;9,"Ok",IF(BBDD_fashion_boutique[[#This Row],[stock_quantity]]=0,"Agotado","Pocas Unidades"))</f>
        <v>Ok</v>
      </c>
      <c r="S1595" s="3">
        <f>IF(BBDD_fashion_boutique[[#This Row],[customer_rating]]="","No valorado",BBDD_fashion_boutique[[#This Row],[customer_rating]])</f>
        <v>4.7</v>
      </c>
      <c r="T1595" t="s">
        <v>41</v>
      </c>
      <c r="U1595" t="s">
        <v>79</v>
      </c>
      <c r="V1595">
        <f>IF(BBDD_fashion_boutique[[#This Row],[is_returned]]="False",0,1)</f>
        <v>1</v>
      </c>
      <c r="W1595">
        <f>IF(BBDD_fashion_boutique[[#This Row],[is_returned]]="True",0,BBDD_fashion_boutique[[#This Row],[current_price]])</f>
        <v>0</v>
      </c>
      <c r="X1595" t="str">
        <f>IF(BBDD_fashion_boutique[[#This Row],[return_reason]]="","No return",BBDD_fashion_boutique[[#This Row],[return_reason]])</f>
        <v>Size Issue</v>
      </c>
      <c r="Y1595">
        <f>IF(IFERROR(VLOOKUP(BBDD_fashion_boutique[[#This Row],[product_id]],A1596:A3771,1,FALSE),0),1,0)</f>
        <v>0</v>
      </c>
    </row>
    <row r="1596" spans="1:25" x14ac:dyDescent="0.3">
      <c r="A1596" t="s">
        <v>1655</v>
      </c>
      <c r="B1596" t="s">
        <v>35</v>
      </c>
      <c r="C1596" t="s">
        <v>37</v>
      </c>
      <c r="D1596" t="s">
        <v>28</v>
      </c>
      <c r="E1596" t="s">
        <v>64</v>
      </c>
      <c r="F1596" t="str">
        <f>IF(BBDD_fashion_boutique[[#This Row],[category]]="Accessories","Accesorio",IF(BBDD_fashion_boutique[[#This Row],[size]]="","Desconocido",BBDD_fashion_boutique[[#This Row],[size]]))</f>
        <v>M</v>
      </c>
      <c r="G1596" t="s">
        <v>72</v>
      </c>
      <c r="H1596" s="2">
        <v>149.65</v>
      </c>
      <c r="I1596">
        <v>0</v>
      </c>
      <c r="J1596" s="5">
        <f>BBDD_fashion_boutique[[#This Row],[markdown_percentage]]/100</f>
        <v>0</v>
      </c>
      <c r="K1596" s="2">
        <v>149.65</v>
      </c>
      <c r="L1596" s="2">
        <f>BBDD_fashion_boutique[[#This Row],[original_price]]-BBDD_fashion_boutique[[#This Row],[current_price]]</f>
        <v>0</v>
      </c>
      <c r="M1596" s="1">
        <v>45875</v>
      </c>
      <c r="N1596" s="1" t="str">
        <f>PROPER(TEXT(BBDD_fashion_boutique[[#This Row],[purchase_date]],"dddd"))</f>
        <v>Miércoles</v>
      </c>
      <c r="O1596" s="1" t="str">
        <f>PROPER(TEXT(BBDD_fashion_boutique[[#This Row],[purchase_date]],"mmmm"))</f>
        <v>Agosto</v>
      </c>
      <c r="P1596" s="4">
        <v>26</v>
      </c>
      <c r="Q1596" s="2">
        <v>3.8</v>
      </c>
      <c r="R1596" t="str">
        <f>IF(BBDD_fashion_boutique[[#This Row],[stock_quantity]]&gt;9,"Ok",IF(BBDD_fashion_boutique[[#This Row],[stock_quantity]]=0,"Agotado","Pocas Unidades"))</f>
        <v>Ok</v>
      </c>
      <c r="S1596" s="3">
        <f>IF(BBDD_fashion_boutique[[#This Row],[customer_rating]]="","No valorado",BBDD_fashion_boutique[[#This Row],[customer_rating]])</f>
        <v>3.8</v>
      </c>
      <c r="T1596" t="s">
        <v>24</v>
      </c>
      <c r="V1596">
        <f>IF(BBDD_fashion_boutique[[#This Row],[is_returned]]="False",0,1)</f>
        <v>0</v>
      </c>
      <c r="W1596">
        <f>IF(BBDD_fashion_boutique[[#This Row],[is_returned]]="True",0,BBDD_fashion_boutique[[#This Row],[current_price]])</f>
        <v>149.65</v>
      </c>
      <c r="X1596" t="str">
        <f>IF(BBDD_fashion_boutique[[#This Row],[return_reason]]="","No return",BBDD_fashion_boutique[[#This Row],[return_reason]])</f>
        <v>No return</v>
      </c>
      <c r="Y1596">
        <f>IF(IFERROR(VLOOKUP(BBDD_fashion_boutique[[#This Row],[product_id]],A1597:A3772,1,FALSE),0),1,0)</f>
        <v>0</v>
      </c>
    </row>
    <row r="1597" spans="1:25" x14ac:dyDescent="0.3">
      <c r="A1597" t="s">
        <v>1656</v>
      </c>
      <c r="B1597" t="s">
        <v>35</v>
      </c>
      <c r="C1597" t="s">
        <v>20</v>
      </c>
      <c r="D1597" t="s">
        <v>21</v>
      </c>
      <c r="E1597" t="s">
        <v>45</v>
      </c>
      <c r="F1597" t="str">
        <f>IF(BBDD_fashion_boutique[[#This Row],[category]]="Accessories","Accesorio",IF(BBDD_fashion_boutique[[#This Row],[size]]="","Desconocido",BBDD_fashion_boutique[[#This Row],[size]]))</f>
        <v>S</v>
      </c>
      <c r="G1597" t="s">
        <v>40</v>
      </c>
      <c r="H1597" s="2">
        <v>83.17</v>
      </c>
      <c r="I1597">
        <v>0</v>
      </c>
      <c r="J1597" s="5">
        <f>BBDD_fashion_boutique[[#This Row],[markdown_percentage]]/100</f>
        <v>0</v>
      </c>
      <c r="K1597" s="2">
        <v>83.17</v>
      </c>
      <c r="L1597" s="2">
        <f>BBDD_fashion_boutique[[#This Row],[original_price]]-BBDD_fashion_boutique[[#This Row],[current_price]]</f>
        <v>0</v>
      </c>
      <c r="M1597" s="1">
        <v>45538</v>
      </c>
      <c r="N1597" s="1" t="str">
        <f>PROPER(TEXT(BBDD_fashion_boutique[[#This Row],[purchase_date]],"dddd"))</f>
        <v>Martes</v>
      </c>
      <c r="O1597" s="1" t="str">
        <f>PROPER(TEXT(BBDD_fashion_boutique[[#This Row],[purchase_date]],"mmmm"))</f>
        <v>Septiembre</v>
      </c>
      <c r="P1597" s="4">
        <v>48</v>
      </c>
      <c r="Q1597" s="2">
        <v>3.2</v>
      </c>
      <c r="R1597" t="str">
        <f>IF(BBDD_fashion_boutique[[#This Row],[stock_quantity]]&gt;9,"Ok",IF(BBDD_fashion_boutique[[#This Row],[stock_quantity]]=0,"Agotado","Pocas Unidades"))</f>
        <v>Ok</v>
      </c>
      <c r="S1597" s="3">
        <f>IF(BBDD_fashion_boutique[[#This Row],[customer_rating]]="","No valorado",BBDD_fashion_boutique[[#This Row],[customer_rating]])</f>
        <v>3.2</v>
      </c>
      <c r="T1597" t="s">
        <v>24</v>
      </c>
      <c r="V1597">
        <f>IF(BBDD_fashion_boutique[[#This Row],[is_returned]]="False",0,1)</f>
        <v>0</v>
      </c>
      <c r="W1597">
        <f>IF(BBDD_fashion_boutique[[#This Row],[is_returned]]="True",0,BBDD_fashion_boutique[[#This Row],[current_price]])</f>
        <v>83.17</v>
      </c>
      <c r="X1597" t="str">
        <f>IF(BBDD_fashion_boutique[[#This Row],[return_reason]]="","No return",BBDD_fashion_boutique[[#This Row],[return_reason]])</f>
        <v>No return</v>
      </c>
      <c r="Y1597">
        <f>IF(IFERROR(VLOOKUP(BBDD_fashion_boutique[[#This Row],[product_id]],A1598:A3773,1,FALSE),0),1,0)</f>
        <v>0</v>
      </c>
    </row>
    <row r="1598" spans="1:25" x14ac:dyDescent="0.3">
      <c r="A1598" t="s">
        <v>1657</v>
      </c>
      <c r="B1598" t="s">
        <v>19</v>
      </c>
      <c r="C1598" t="s">
        <v>54</v>
      </c>
      <c r="D1598" t="s">
        <v>39</v>
      </c>
      <c r="E1598" t="s">
        <v>22</v>
      </c>
      <c r="F1598" t="str">
        <f>IF(BBDD_fashion_boutique[[#This Row],[category]]="Accessories","Accesorio",IF(BBDD_fashion_boutique[[#This Row],[size]]="","Desconocido",BBDD_fashion_boutique[[#This Row],[size]]))</f>
        <v>XL</v>
      </c>
      <c r="G1598" t="s">
        <v>50</v>
      </c>
      <c r="H1598" s="2">
        <v>121.56</v>
      </c>
      <c r="I1598">
        <v>0</v>
      </c>
      <c r="J1598" s="5">
        <f>BBDD_fashion_boutique[[#This Row],[markdown_percentage]]/100</f>
        <v>0</v>
      </c>
      <c r="K1598" s="2">
        <v>121.56</v>
      </c>
      <c r="L1598" s="2">
        <f>BBDD_fashion_boutique[[#This Row],[original_price]]-BBDD_fashion_boutique[[#This Row],[current_price]]</f>
        <v>0</v>
      </c>
      <c r="M1598" s="1">
        <v>45875</v>
      </c>
      <c r="N1598" s="1" t="str">
        <f>PROPER(TEXT(BBDD_fashion_boutique[[#This Row],[purchase_date]],"dddd"))</f>
        <v>Miércoles</v>
      </c>
      <c r="O1598" s="1" t="str">
        <f>PROPER(TEXT(BBDD_fashion_boutique[[#This Row],[purchase_date]],"mmmm"))</f>
        <v>Agosto</v>
      </c>
      <c r="P1598" s="4">
        <v>18</v>
      </c>
      <c r="Q1598" s="2">
        <v>3.3</v>
      </c>
      <c r="R1598" t="str">
        <f>IF(BBDD_fashion_boutique[[#This Row],[stock_quantity]]&gt;9,"Ok",IF(BBDD_fashion_boutique[[#This Row],[stock_quantity]]=0,"Agotado","Pocas Unidades"))</f>
        <v>Ok</v>
      </c>
      <c r="S1598" s="3">
        <f>IF(BBDD_fashion_boutique[[#This Row],[customer_rating]]="","No valorado",BBDD_fashion_boutique[[#This Row],[customer_rating]])</f>
        <v>3.3</v>
      </c>
      <c r="T1598" t="s">
        <v>24</v>
      </c>
      <c r="V1598">
        <f>IF(BBDD_fashion_boutique[[#This Row],[is_returned]]="False",0,1)</f>
        <v>0</v>
      </c>
      <c r="W1598">
        <f>IF(BBDD_fashion_boutique[[#This Row],[is_returned]]="True",0,BBDD_fashion_boutique[[#This Row],[current_price]])</f>
        <v>121.56</v>
      </c>
      <c r="X1598" t="str">
        <f>IF(BBDD_fashion_boutique[[#This Row],[return_reason]]="","No return",BBDD_fashion_boutique[[#This Row],[return_reason]])</f>
        <v>No return</v>
      </c>
      <c r="Y1598">
        <f>IF(IFERROR(VLOOKUP(BBDD_fashion_boutique[[#This Row],[product_id]],A1599:A3774,1,FALSE),0),1,0)</f>
        <v>0</v>
      </c>
    </row>
    <row r="1599" spans="1:25" x14ac:dyDescent="0.3">
      <c r="A1599" t="s">
        <v>1658</v>
      </c>
      <c r="B1599" t="s">
        <v>44</v>
      </c>
      <c r="C1599" t="s">
        <v>20</v>
      </c>
      <c r="D1599" t="s">
        <v>28</v>
      </c>
      <c r="E1599" t="s">
        <v>64</v>
      </c>
      <c r="F1599" t="str">
        <f>IF(BBDD_fashion_boutique[[#This Row],[category]]="Accessories","Accesorio",IF(BBDD_fashion_boutique[[#This Row],[size]]="","Desconocido",BBDD_fashion_boutique[[#This Row],[size]]))</f>
        <v>M</v>
      </c>
      <c r="G1599" t="s">
        <v>72</v>
      </c>
      <c r="H1599" s="2">
        <v>48.62</v>
      </c>
      <c r="I1599">
        <v>0</v>
      </c>
      <c r="J1599" s="5">
        <f>BBDD_fashion_boutique[[#This Row],[markdown_percentage]]/100</f>
        <v>0</v>
      </c>
      <c r="K1599" s="2">
        <v>48.62</v>
      </c>
      <c r="L1599" s="2">
        <f>BBDD_fashion_boutique[[#This Row],[original_price]]-BBDD_fashion_boutique[[#This Row],[current_price]]</f>
        <v>0</v>
      </c>
      <c r="M1599" s="1">
        <v>45875</v>
      </c>
      <c r="N1599" s="1" t="str">
        <f>PROPER(TEXT(BBDD_fashion_boutique[[#This Row],[purchase_date]],"dddd"))</f>
        <v>Miércoles</v>
      </c>
      <c r="O1599" s="1" t="str">
        <f>PROPER(TEXT(BBDD_fashion_boutique[[#This Row],[purchase_date]],"mmmm"))</f>
        <v>Agosto</v>
      </c>
      <c r="P1599" s="4">
        <v>3</v>
      </c>
      <c r="R1599" t="str">
        <f>IF(BBDD_fashion_boutique[[#This Row],[stock_quantity]]&gt;9,"Ok",IF(BBDD_fashion_boutique[[#This Row],[stock_quantity]]=0,"Agotado","Pocas Unidades"))</f>
        <v>Pocas Unidades</v>
      </c>
      <c r="S1599" s="3" t="str">
        <f>IF(BBDD_fashion_boutique[[#This Row],[customer_rating]]="","No valorado",BBDD_fashion_boutique[[#This Row],[customer_rating]])</f>
        <v>No valorado</v>
      </c>
      <c r="T1599" t="s">
        <v>41</v>
      </c>
      <c r="U1599" t="s">
        <v>84</v>
      </c>
      <c r="V1599">
        <f>IF(BBDD_fashion_boutique[[#This Row],[is_returned]]="False",0,1)</f>
        <v>1</v>
      </c>
      <c r="W1599">
        <f>IF(BBDD_fashion_boutique[[#This Row],[is_returned]]="True",0,BBDD_fashion_boutique[[#This Row],[current_price]])</f>
        <v>0</v>
      </c>
      <c r="X1599" t="str">
        <f>IF(BBDD_fashion_boutique[[#This Row],[return_reason]]="","No return",BBDD_fashion_boutique[[#This Row],[return_reason]])</f>
        <v>Damaged</v>
      </c>
      <c r="Y1599">
        <f>IF(IFERROR(VLOOKUP(BBDD_fashion_boutique[[#This Row],[product_id]],A1600:A3775,1,FALSE),0),1,0)</f>
        <v>0</v>
      </c>
    </row>
    <row r="1600" spans="1:25" x14ac:dyDescent="0.3">
      <c r="A1600" t="s">
        <v>1659</v>
      </c>
      <c r="B1600" t="s">
        <v>48</v>
      </c>
      <c r="C1600" t="s">
        <v>59</v>
      </c>
      <c r="D1600" t="s">
        <v>28</v>
      </c>
      <c r="E1600" t="s">
        <v>64</v>
      </c>
      <c r="F1600" t="str">
        <f>IF(BBDD_fashion_boutique[[#This Row],[category]]="Accessories","Accesorio",IF(BBDD_fashion_boutique[[#This Row],[size]]="","Desconocido",BBDD_fashion_boutique[[#This Row],[size]]))</f>
        <v>M</v>
      </c>
      <c r="G1600" t="s">
        <v>50</v>
      </c>
      <c r="H1600" s="2">
        <v>79.040000000000006</v>
      </c>
      <c r="I1600">
        <v>0</v>
      </c>
      <c r="J1600" s="5">
        <f>BBDD_fashion_boutique[[#This Row],[markdown_percentage]]/100</f>
        <v>0</v>
      </c>
      <c r="K1600" s="2">
        <v>79.040000000000006</v>
      </c>
      <c r="L1600" s="2">
        <f>BBDD_fashion_boutique[[#This Row],[original_price]]-BBDD_fashion_boutique[[#This Row],[current_price]]</f>
        <v>0</v>
      </c>
      <c r="M1600" s="1">
        <v>45875</v>
      </c>
      <c r="N1600" s="1" t="str">
        <f>PROPER(TEXT(BBDD_fashion_boutique[[#This Row],[purchase_date]],"dddd"))</f>
        <v>Miércoles</v>
      </c>
      <c r="O1600" s="1" t="str">
        <f>PROPER(TEXT(BBDD_fashion_boutique[[#This Row],[purchase_date]],"mmmm"))</f>
        <v>Agosto</v>
      </c>
      <c r="P1600" s="4">
        <v>4</v>
      </c>
      <c r="Q1600" s="2">
        <v>4.0999999999999996</v>
      </c>
      <c r="R1600" t="str">
        <f>IF(BBDD_fashion_boutique[[#This Row],[stock_quantity]]&gt;9,"Ok",IF(BBDD_fashion_boutique[[#This Row],[stock_quantity]]=0,"Agotado","Pocas Unidades"))</f>
        <v>Pocas Unidades</v>
      </c>
      <c r="S1600" s="3">
        <f>IF(BBDD_fashion_boutique[[#This Row],[customer_rating]]="","No valorado",BBDD_fashion_boutique[[#This Row],[customer_rating]])</f>
        <v>4.0999999999999996</v>
      </c>
      <c r="T1600" t="s">
        <v>24</v>
      </c>
      <c r="V1600">
        <f>IF(BBDD_fashion_boutique[[#This Row],[is_returned]]="False",0,1)</f>
        <v>0</v>
      </c>
      <c r="W1600">
        <f>IF(BBDD_fashion_boutique[[#This Row],[is_returned]]="True",0,BBDD_fashion_boutique[[#This Row],[current_price]])</f>
        <v>79.040000000000006</v>
      </c>
      <c r="X1600" t="str">
        <f>IF(BBDD_fashion_boutique[[#This Row],[return_reason]]="","No return",BBDD_fashion_boutique[[#This Row],[return_reason]])</f>
        <v>No return</v>
      </c>
      <c r="Y1600">
        <f>IF(IFERROR(VLOOKUP(BBDD_fashion_boutique[[#This Row],[product_id]],A1601:A3776,1,FALSE),0),1,0)</f>
        <v>0</v>
      </c>
    </row>
    <row r="1601" spans="1:25" x14ac:dyDescent="0.3">
      <c r="A1601" t="s">
        <v>1660</v>
      </c>
      <c r="B1601" t="s">
        <v>19</v>
      </c>
      <c r="C1601" t="s">
        <v>49</v>
      </c>
      <c r="D1601" t="s">
        <v>21</v>
      </c>
      <c r="E1601" t="s">
        <v>61</v>
      </c>
      <c r="F1601" t="str">
        <f>IF(BBDD_fashion_boutique[[#This Row],[category]]="Accessories","Accesorio",IF(BBDD_fashion_boutique[[#This Row],[size]]="","Desconocido",BBDD_fashion_boutique[[#This Row],[size]]))</f>
        <v>XS</v>
      </c>
      <c r="G1601" t="s">
        <v>46</v>
      </c>
      <c r="H1601" s="2">
        <v>198.58</v>
      </c>
      <c r="I1601">
        <v>0</v>
      </c>
      <c r="J1601" s="5">
        <f>BBDD_fashion_boutique[[#This Row],[markdown_percentage]]/100</f>
        <v>0</v>
      </c>
      <c r="K1601" s="2">
        <v>198.58</v>
      </c>
      <c r="L1601" s="2">
        <f>BBDD_fashion_boutique[[#This Row],[original_price]]-BBDD_fashion_boutique[[#This Row],[current_price]]</f>
        <v>0</v>
      </c>
      <c r="M1601" s="1">
        <v>45681</v>
      </c>
      <c r="N1601" s="1" t="str">
        <f>PROPER(TEXT(BBDD_fashion_boutique[[#This Row],[purchase_date]],"dddd"))</f>
        <v>Viernes</v>
      </c>
      <c r="O1601" s="1" t="str">
        <f>PROPER(TEXT(BBDD_fashion_boutique[[#This Row],[purchase_date]],"mmmm"))</f>
        <v>Enero</v>
      </c>
      <c r="P1601" s="4">
        <v>46</v>
      </c>
      <c r="R1601" t="str">
        <f>IF(BBDD_fashion_boutique[[#This Row],[stock_quantity]]&gt;9,"Ok",IF(BBDD_fashion_boutique[[#This Row],[stock_quantity]]=0,"Agotado","Pocas Unidades"))</f>
        <v>Ok</v>
      </c>
      <c r="S1601" s="3" t="str">
        <f>IF(BBDD_fashion_boutique[[#This Row],[customer_rating]]="","No valorado",BBDD_fashion_boutique[[#This Row],[customer_rating]])</f>
        <v>No valorado</v>
      </c>
      <c r="T1601" t="s">
        <v>24</v>
      </c>
      <c r="V1601">
        <f>IF(BBDD_fashion_boutique[[#This Row],[is_returned]]="False",0,1)</f>
        <v>0</v>
      </c>
      <c r="W1601">
        <f>IF(BBDD_fashion_boutique[[#This Row],[is_returned]]="True",0,BBDD_fashion_boutique[[#This Row],[current_price]])</f>
        <v>198.58</v>
      </c>
      <c r="X1601" t="str">
        <f>IF(BBDD_fashion_boutique[[#This Row],[return_reason]]="","No return",BBDD_fashion_boutique[[#This Row],[return_reason]])</f>
        <v>No return</v>
      </c>
      <c r="Y1601">
        <f>IF(IFERROR(VLOOKUP(BBDD_fashion_boutique[[#This Row],[product_id]],A1602:A3777,1,FALSE),0),1,0)</f>
        <v>0</v>
      </c>
    </row>
    <row r="1602" spans="1:25" x14ac:dyDescent="0.3">
      <c r="A1602" t="s">
        <v>1661</v>
      </c>
      <c r="B1602" t="s">
        <v>19</v>
      </c>
      <c r="C1602" t="s">
        <v>37</v>
      </c>
      <c r="D1602" t="s">
        <v>68</v>
      </c>
      <c r="E1602" t="s">
        <v>64</v>
      </c>
      <c r="F1602" t="str">
        <f>IF(BBDD_fashion_boutique[[#This Row],[category]]="Accessories","Accesorio",IF(BBDD_fashion_boutique[[#This Row],[size]]="","Desconocido",BBDD_fashion_boutique[[#This Row],[size]]))</f>
        <v>M</v>
      </c>
      <c r="G1602" t="s">
        <v>52</v>
      </c>
      <c r="H1602" s="2">
        <v>109.82</v>
      </c>
      <c r="I1602">
        <v>0</v>
      </c>
      <c r="J1602" s="5">
        <f>BBDD_fashion_boutique[[#This Row],[markdown_percentage]]/100</f>
        <v>0</v>
      </c>
      <c r="K1602" s="2">
        <v>109.82</v>
      </c>
      <c r="L1602" s="2">
        <f>BBDD_fashion_boutique[[#This Row],[original_price]]-BBDD_fashion_boutique[[#This Row],[current_price]]</f>
        <v>0</v>
      </c>
      <c r="M1602" s="1">
        <v>45875</v>
      </c>
      <c r="N1602" s="1" t="str">
        <f>PROPER(TEXT(BBDD_fashion_boutique[[#This Row],[purchase_date]],"dddd"))</f>
        <v>Miércoles</v>
      </c>
      <c r="O1602" s="1" t="str">
        <f>PROPER(TEXT(BBDD_fashion_boutique[[#This Row],[purchase_date]],"mmmm"))</f>
        <v>Agosto</v>
      </c>
      <c r="P1602" s="4">
        <v>32</v>
      </c>
      <c r="Q1602" s="2">
        <v>2.2999999999999998</v>
      </c>
      <c r="R1602" t="str">
        <f>IF(BBDD_fashion_boutique[[#This Row],[stock_quantity]]&gt;9,"Ok",IF(BBDD_fashion_boutique[[#This Row],[stock_quantity]]=0,"Agotado","Pocas Unidades"))</f>
        <v>Ok</v>
      </c>
      <c r="S1602" s="3">
        <f>IF(BBDD_fashion_boutique[[#This Row],[customer_rating]]="","No valorado",BBDD_fashion_boutique[[#This Row],[customer_rating]])</f>
        <v>2.2999999999999998</v>
      </c>
      <c r="T1602" t="s">
        <v>24</v>
      </c>
      <c r="V1602">
        <f>IF(BBDD_fashion_boutique[[#This Row],[is_returned]]="False",0,1)</f>
        <v>0</v>
      </c>
      <c r="W1602">
        <f>IF(BBDD_fashion_boutique[[#This Row],[is_returned]]="True",0,BBDD_fashion_boutique[[#This Row],[current_price]])</f>
        <v>109.82</v>
      </c>
      <c r="X1602" t="str">
        <f>IF(BBDD_fashion_boutique[[#This Row],[return_reason]]="","No return",BBDD_fashion_boutique[[#This Row],[return_reason]])</f>
        <v>No return</v>
      </c>
      <c r="Y1602">
        <f>IF(IFERROR(VLOOKUP(BBDD_fashion_boutique[[#This Row],[product_id]],A1603:A3778,1,FALSE),0),1,0)</f>
        <v>0</v>
      </c>
    </row>
    <row r="1603" spans="1:25" x14ac:dyDescent="0.3">
      <c r="A1603" t="s">
        <v>1662</v>
      </c>
      <c r="B1603" t="s">
        <v>32</v>
      </c>
      <c r="C1603" t="s">
        <v>37</v>
      </c>
      <c r="D1603" t="s">
        <v>68</v>
      </c>
      <c r="F1603" t="str">
        <f>IF(BBDD_fashion_boutique[[#This Row],[category]]="Accessories","Accesorio",IF(BBDD_fashion_boutique[[#This Row],[size]]="","Desconocido",BBDD_fashion_boutique[[#This Row],[size]]))</f>
        <v>Accesorio</v>
      </c>
      <c r="G1603" t="s">
        <v>23</v>
      </c>
      <c r="H1603" s="2">
        <v>34.42</v>
      </c>
      <c r="I1603">
        <v>49.5</v>
      </c>
      <c r="J1603" s="5">
        <f>BBDD_fashion_boutique[[#This Row],[markdown_percentage]]/100</f>
        <v>0.495</v>
      </c>
      <c r="K1603" s="2">
        <v>17.38</v>
      </c>
      <c r="L1603" s="2">
        <f>BBDD_fashion_boutique[[#This Row],[original_price]]-BBDD_fashion_boutique[[#This Row],[current_price]]</f>
        <v>17.040000000000003</v>
      </c>
      <c r="M1603" s="1">
        <v>45875</v>
      </c>
      <c r="N1603" s="1" t="str">
        <f>PROPER(TEXT(BBDD_fashion_boutique[[#This Row],[purchase_date]],"dddd"))</f>
        <v>Miércoles</v>
      </c>
      <c r="O1603" s="1" t="str">
        <f>PROPER(TEXT(BBDD_fashion_boutique[[#This Row],[purchase_date]],"mmmm"))</f>
        <v>Agosto</v>
      </c>
      <c r="P1603" s="4">
        <v>26</v>
      </c>
      <c r="Q1603" s="2">
        <v>2.2000000000000002</v>
      </c>
      <c r="R1603" t="str">
        <f>IF(BBDD_fashion_boutique[[#This Row],[stock_quantity]]&gt;9,"Ok",IF(BBDD_fashion_boutique[[#This Row],[stock_quantity]]=0,"Agotado","Pocas Unidades"))</f>
        <v>Ok</v>
      </c>
      <c r="S1603" s="3">
        <f>IF(BBDD_fashion_boutique[[#This Row],[customer_rating]]="","No valorado",BBDD_fashion_boutique[[#This Row],[customer_rating]])</f>
        <v>2.2000000000000002</v>
      </c>
      <c r="T1603" t="s">
        <v>24</v>
      </c>
      <c r="V1603">
        <f>IF(BBDD_fashion_boutique[[#This Row],[is_returned]]="False",0,1)</f>
        <v>0</v>
      </c>
      <c r="W1603">
        <f>IF(BBDD_fashion_boutique[[#This Row],[is_returned]]="True",0,BBDD_fashion_boutique[[#This Row],[current_price]])</f>
        <v>17.38</v>
      </c>
      <c r="X1603" t="str">
        <f>IF(BBDD_fashion_boutique[[#This Row],[return_reason]]="","No return",BBDD_fashion_boutique[[#This Row],[return_reason]])</f>
        <v>No return</v>
      </c>
      <c r="Y1603">
        <f>IF(IFERROR(VLOOKUP(BBDD_fashion_boutique[[#This Row],[product_id]],A1604:A3779,1,FALSE),0),1,0)</f>
        <v>0</v>
      </c>
    </row>
    <row r="1604" spans="1:25" x14ac:dyDescent="0.3">
      <c r="A1604" t="s">
        <v>1663</v>
      </c>
      <c r="B1604" t="s">
        <v>35</v>
      </c>
      <c r="C1604" t="s">
        <v>20</v>
      </c>
      <c r="D1604" t="s">
        <v>28</v>
      </c>
      <c r="F1604" t="str">
        <f>IF(BBDD_fashion_boutique[[#This Row],[category]]="Accessories","Accesorio",IF(BBDD_fashion_boutique[[#This Row],[size]]="","Desconocido",BBDD_fashion_boutique[[#This Row],[size]]))</f>
        <v>Desconocido</v>
      </c>
      <c r="G1604" t="s">
        <v>46</v>
      </c>
      <c r="H1604" s="2">
        <v>112.1</v>
      </c>
      <c r="I1604">
        <v>0</v>
      </c>
      <c r="J1604" s="5">
        <f>BBDD_fashion_boutique[[#This Row],[markdown_percentage]]/100</f>
        <v>0</v>
      </c>
      <c r="K1604" s="2">
        <v>112.1</v>
      </c>
      <c r="L1604" s="2">
        <f>BBDD_fashion_boutique[[#This Row],[original_price]]-BBDD_fashion_boutique[[#This Row],[current_price]]</f>
        <v>0</v>
      </c>
      <c r="M1604" s="1">
        <v>45875</v>
      </c>
      <c r="N1604" s="1" t="str">
        <f>PROPER(TEXT(BBDD_fashion_boutique[[#This Row],[purchase_date]],"dddd"))</f>
        <v>Miércoles</v>
      </c>
      <c r="O1604" s="1" t="str">
        <f>PROPER(TEXT(BBDD_fashion_boutique[[#This Row],[purchase_date]],"mmmm"))</f>
        <v>Agosto</v>
      </c>
      <c r="P1604" s="4">
        <v>5</v>
      </c>
      <c r="Q1604" s="2">
        <v>2</v>
      </c>
      <c r="R1604" t="str">
        <f>IF(BBDD_fashion_boutique[[#This Row],[stock_quantity]]&gt;9,"Ok",IF(BBDD_fashion_boutique[[#This Row],[stock_quantity]]=0,"Agotado","Pocas Unidades"))</f>
        <v>Pocas Unidades</v>
      </c>
      <c r="S1604" s="3">
        <f>IF(BBDD_fashion_boutique[[#This Row],[customer_rating]]="","No valorado",BBDD_fashion_boutique[[#This Row],[customer_rating]])</f>
        <v>2</v>
      </c>
      <c r="T1604" t="s">
        <v>41</v>
      </c>
      <c r="U1604" t="s">
        <v>42</v>
      </c>
      <c r="V1604">
        <f>IF(BBDD_fashion_boutique[[#This Row],[is_returned]]="False",0,1)</f>
        <v>1</v>
      </c>
      <c r="W1604">
        <f>IF(BBDD_fashion_boutique[[#This Row],[is_returned]]="True",0,BBDD_fashion_boutique[[#This Row],[current_price]])</f>
        <v>0</v>
      </c>
      <c r="X1604" t="str">
        <f>IF(BBDD_fashion_boutique[[#This Row],[return_reason]]="","No return",BBDD_fashion_boutique[[#This Row],[return_reason]])</f>
        <v>Color Mismatch</v>
      </c>
      <c r="Y1604">
        <f>IF(IFERROR(VLOOKUP(BBDD_fashion_boutique[[#This Row],[product_id]],A1605:A3780,1,FALSE),0),1,0)</f>
        <v>0</v>
      </c>
    </row>
    <row r="1605" spans="1:25" x14ac:dyDescent="0.3">
      <c r="A1605" t="s">
        <v>1664</v>
      </c>
      <c r="B1605" t="s">
        <v>44</v>
      </c>
      <c r="C1605" t="s">
        <v>67</v>
      </c>
      <c r="D1605" t="s">
        <v>39</v>
      </c>
      <c r="E1605" t="s">
        <v>61</v>
      </c>
      <c r="F1605" t="str">
        <f>IF(BBDD_fashion_boutique[[#This Row],[category]]="Accessories","Accesorio",IF(BBDD_fashion_boutique[[#This Row],[size]]="","Desconocido",BBDD_fashion_boutique[[#This Row],[size]]))</f>
        <v>XS</v>
      </c>
      <c r="G1605" t="s">
        <v>40</v>
      </c>
      <c r="H1605" s="2">
        <v>25.07</v>
      </c>
      <c r="I1605">
        <v>0</v>
      </c>
      <c r="J1605" s="5">
        <f>BBDD_fashion_boutique[[#This Row],[markdown_percentage]]/100</f>
        <v>0</v>
      </c>
      <c r="K1605" s="2">
        <v>25.07</v>
      </c>
      <c r="L1605" s="2">
        <f>BBDD_fashion_boutique[[#This Row],[original_price]]-BBDD_fashion_boutique[[#This Row],[current_price]]</f>
        <v>0</v>
      </c>
      <c r="M1605" s="1">
        <v>45875</v>
      </c>
      <c r="N1605" s="1" t="str">
        <f>PROPER(TEXT(BBDD_fashion_boutique[[#This Row],[purchase_date]],"dddd"))</f>
        <v>Miércoles</v>
      </c>
      <c r="O1605" s="1" t="str">
        <f>PROPER(TEXT(BBDD_fashion_boutique[[#This Row],[purchase_date]],"mmmm"))</f>
        <v>Agosto</v>
      </c>
      <c r="P1605" s="4">
        <v>9</v>
      </c>
      <c r="Q1605" s="2">
        <v>2.5</v>
      </c>
      <c r="R1605" t="str">
        <f>IF(BBDD_fashion_boutique[[#This Row],[stock_quantity]]&gt;9,"Ok",IF(BBDD_fashion_boutique[[#This Row],[stock_quantity]]=0,"Agotado","Pocas Unidades"))</f>
        <v>Pocas Unidades</v>
      </c>
      <c r="S1605" s="3">
        <f>IF(BBDD_fashion_boutique[[#This Row],[customer_rating]]="","No valorado",BBDD_fashion_boutique[[#This Row],[customer_rating]])</f>
        <v>2.5</v>
      </c>
      <c r="T1605" t="s">
        <v>24</v>
      </c>
      <c r="V1605">
        <f>IF(BBDD_fashion_boutique[[#This Row],[is_returned]]="False",0,1)</f>
        <v>0</v>
      </c>
      <c r="W1605">
        <f>IF(BBDD_fashion_boutique[[#This Row],[is_returned]]="True",0,BBDD_fashion_boutique[[#This Row],[current_price]])</f>
        <v>25.07</v>
      </c>
      <c r="X1605" t="str">
        <f>IF(BBDD_fashion_boutique[[#This Row],[return_reason]]="","No return",BBDD_fashion_boutique[[#This Row],[return_reason]])</f>
        <v>No return</v>
      </c>
      <c r="Y1605">
        <f>IF(IFERROR(VLOOKUP(BBDD_fashion_boutique[[#This Row],[product_id]],A1606:A3781,1,FALSE),0),1,0)</f>
        <v>0</v>
      </c>
    </row>
    <row r="1606" spans="1:25" x14ac:dyDescent="0.3">
      <c r="A1606" t="s">
        <v>1665</v>
      </c>
      <c r="B1606" t="s">
        <v>48</v>
      </c>
      <c r="C1606" t="s">
        <v>27</v>
      </c>
      <c r="D1606" t="s">
        <v>21</v>
      </c>
      <c r="E1606" t="s">
        <v>22</v>
      </c>
      <c r="F1606" t="str">
        <f>IF(BBDD_fashion_boutique[[#This Row],[category]]="Accessories","Accesorio",IF(BBDD_fashion_boutique[[#This Row],[size]]="","Desconocido",BBDD_fashion_boutique[[#This Row],[size]]))</f>
        <v>XL</v>
      </c>
      <c r="G1606" t="s">
        <v>52</v>
      </c>
      <c r="H1606" s="2">
        <v>170.38</v>
      </c>
      <c r="I1606">
        <v>0</v>
      </c>
      <c r="J1606" s="5">
        <f>BBDD_fashion_boutique[[#This Row],[markdown_percentage]]/100</f>
        <v>0</v>
      </c>
      <c r="K1606" s="2">
        <v>170.38</v>
      </c>
      <c r="L1606" s="2">
        <f>BBDD_fashion_boutique[[#This Row],[original_price]]-BBDD_fashion_boutique[[#This Row],[current_price]]</f>
        <v>0</v>
      </c>
      <c r="M1606" s="1">
        <v>45540</v>
      </c>
      <c r="N1606" s="1" t="str">
        <f>PROPER(TEXT(BBDD_fashion_boutique[[#This Row],[purchase_date]],"dddd"))</f>
        <v>Jueves</v>
      </c>
      <c r="O1606" s="1" t="str">
        <f>PROPER(TEXT(BBDD_fashion_boutique[[#This Row],[purchase_date]],"mmmm"))</f>
        <v>Septiembre</v>
      </c>
      <c r="P1606" s="4">
        <v>23</v>
      </c>
      <c r="Q1606" s="2">
        <v>4.3</v>
      </c>
      <c r="R1606" t="str">
        <f>IF(BBDD_fashion_boutique[[#This Row],[stock_quantity]]&gt;9,"Ok",IF(BBDD_fashion_boutique[[#This Row],[stock_quantity]]=0,"Agotado","Pocas Unidades"))</f>
        <v>Ok</v>
      </c>
      <c r="S1606" s="3">
        <f>IF(BBDD_fashion_boutique[[#This Row],[customer_rating]]="","No valorado",BBDD_fashion_boutique[[#This Row],[customer_rating]])</f>
        <v>4.3</v>
      </c>
      <c r="T1606" t="s">
        <v>24</v>
      </c>
      <c r="V1606">
        <f>IF(BBDD_fashion_boutique[[#This Row],[is_returned]]="False",0,1)</f>
        <v>0</v>
      </c>
      <c r="W1606">
        <f>IF(BBDD_fashion_boutique[[#This Row],[is_returned]]="True",0,BBDD_fashion_boutique[[#This Row],[current_price]])</f>
        <v>170.38</v>
      </c>
      <c r="X1606" t="str">
        <f>IF(BBDD_fashion_boutique[[#This Row],[return_reason]]="","No return",BBDD_fashion_boutique[[#This Row],[return_reason]])</f>
        <v>No return</v>
      </c>
      <c r="Y1606">
        <f>IF(IFERROR(VLOOKUP(BBDD_fashion_boutique[[#This Row],[product_id]],A1607:A3782,1,FALSE),0),1,0)</f>
        <v>0</v>
      </c>
    </row>
    <row r="1607" spans="1:25" x14ac:dyDescent="0.3">
      <c r="A1607" t="s">
        <v>1666</v>
      </c>
      <c r="B1607" t="s">
        <v>48</v>
      </c>
      <c r="C1607" t="s">
        <v>49</v>
      </c>
      <c r="D1607" t="s">
        <v>28</v>
      </c>
      <c r="E1607" t="s">
        <v>55</v>
      </c>
      <c r="F1607" t="str">
        <f>IF(BBDD_fashion_boutique[[#This Row],[category]]="Accessories","Accesorio",IF(BBDD_fashion_boutique[[#This Row],[size]]="","Desconocido",BBDD_fashion_boutique[[#This Row],[size]]))</f>
        <v>XXL</v>
      </c>
      <c r="G1607" t="s">
        <v>52</v>
      </c>
      <c r="H1607" s="2">
        <v>77.319999999999993</v>
      </c>
      <c r="I1607">
        <v>0</v>
      </c>
      <c r="J1607" s="5">
        <f>BBDD_fashion_boutique[[#This Row],[markdown_percentage]]/100</f>
        <v>0</v>
      </c>
      <c r="K1607" s="2">
        <v>77.319999999999993</v>
      </c>
      <c r="L1607" s="2">
        <f>BBDD_fashion_boutique[[#This Row],[original_price]]-BBDD_fashion_boutique[[#This Row],[current_price]]</f>
        <v>0</v>
      </c>
      <c r="M1607" s="1">
        <v>45875</v>
      </c>
      <c r="N1607" s="1" t="str">
        <f>PROPER(TEXT(BBDD_fashion_boutique[[#This Row],[purchase_date]],"dddd"))</f>
        <v>Miércoles</v>
      </c>
      <c r="O1607" s="1" t="str">
        <f>PROPER(TEXT(BBDD_fashion_boutique[[#This Row],[purchase_date]],"mmmm"))</f>
        <v>Agosto</v>
      </c>
      <c r="P1607" s="4">
        <v>30</v>
      </c>
      <c r="Q1607" s="2">
        <v>2.2000000000000002</v>
      </c>
      <c r="R1607" t="str">
        <f>IF(BBDD_fashion_boutique[[#This Row],[stock_quantity]]&gt;9,"Ok",IF(BBDD_fashion_boutique[[#This Row],[stock_quantity]]=0,"Agotado","Pocas Unidades"))</f>
        <v>Ok</v>
      </c>
      <c r="S1607" s="3">
        <f>IF(BBDD_fashion_boutique[[#This Row],[customer_rating]]="","No valorado",BBDD_fashion_boutique[[#This Row],[customer_rating]])</f>
        <v>2.2000000000000002</v>
      </c>
      <c r="T1607" t="s">
        <v>41</v>
      </c>
      <c r="U1607" t="s">
        <v>42</v>
      </c>
      <c r="V1607">
        <f>IF(BBDD_fashion_boutique[[#This Row],[is_returned]]="False",0,1)</f>
        <v>1</v>
      </c>
      <c r="W1607">
        <f>IF(BBDD_fashion_boutique[[#This Row],[is_returned]]="True",0,BBDD_fashion_boutique[[#This Row],[current_price]])</f>
        <v>0</v>
      </c>
      <c r="X1607" t="str">
        <f>IF(BBDD_fashion_boutique[[#This Row],[return_reason]]="","No return",BBDD_fashion_boutique[[#This Row],[return_reason]])</f>
        <v>Color Mismatch</v>
      </c>
      <c r="Y1607">
        <f>IF(IFERROR(VLOOKUP(BBDD_fashion_boutique[[#This Row],[product_id]],A1608:A3783,1,FALSE),0),1,0)</f>
        <v>0</v>
      </c>
    </row>
    <row r="1608" spans="1:25" x14ac:dyDescent="0.3">
      <c r="A1608" t="s">
        <v>1667</v>
      </c>
      <c r="B1608" t="s">
        <v>35</v>
      </c>
      <c r="C1608" t="s">
        <v>49</v>
      </c>
      <c r="D1608" t="s">
        <v>28</v>
      </c>
      <c r="E1608" t="s">
        <v>61</v>
      </c>
      <c r="F1608" t="str">
        <f>IF(BBDD_fashion_boutique[[#This Row],[category]]="Accessories","Accesorio",IF(BBDD_fashion_boutique[[#This Row],[size]]="","Desconocido",BBDD_fashion_boutique[[#This Row],[size]]))</f>
        <v>XS</v>
      </c>
      <c r="G1608" t="s">
        <v>33</v>
      </c>
      <c r="H1608" s="2">
        <v>111.88</v>
      </c>
      <c r="I1608">
        <v>0</v>
      </c>
      <c r="J1608" s="5">
        <f>BBDD_fashion_boutique[[#This Row],[markdown_percentage]]/100</f>
        <v>0</v>
      </c>
      <c r="K1608" s="2">
        <v>111.88</v>
      </c>
      <c r="L1608" s="2">
        <f>BBDD_fashion_boutique[[#This Row],[original_price]]-BBDD_fashion_boutique[[#This Row],[current_price]]</f>
        <v>0</v>
      </c>
      <c r="M1608" s="1">
        <v>45875</v>
      </c>
      <c r="N1608" s="1" t="str">
        <f>PROPER(TEXT(BBDD_fashion_boutique[[#This Row],[purchase_date]],"dddd"))</f>
        <v>Miércoles</v>
      </c>
      <c r="O1608" s="1" t="str">
        <f>PROPER(TEXT(BBDD_fashion_boutique[[#This Row],[purchase_date]],"mmmm"))</f>
        <v>Agosto</v>
      </c>
      <c r="P1608" s="4">
        <v>17</v>
      </c>
      <c r="Q1608" s="2">
        <v>4.5999999999999996</v>
      </c>
      <c r="R1608" t="str">
        <f>IF(BBDD_fashion_boutique[[#This Row],[stock_quantity]]&gt;9,"Ok",IF(BBDD_fashion_boutique[[#This Row],[stock_quantity]]=0,"Agotado","Pocas Unidades"))</f>
        <v>Ok</v>
      </c>
      <c r="S1608" s="3">
        <f>IF(BBDD_fashion_boutique[[#This Row],[customer_rating]]="","No valorado",BBDD_fashion_boutique[[#This Row],[customer_rating]])</f>
        <v>4.5999999999999996</v>
      </c>
      <c r="T1608" t="s">
        <v>24</v>
      </c>
      <c r="V1608">
        <f>IF(BBDD_fashion_boutique[[#This Row],[is_returned]]="False",0,1)</f>
        <v>0</v>
      </c>
      <c r="W1608">
        <f>IF(BBDD_fashion_boutique[[#This Row],[is_returned]]="True",0,BBDD_fashion_boutique[[#This Row],[current_price]])</f>
        <v>111.88</v>
      </c>
      <c r="X1608" t="str">
        <f>IF(BBDD_fashion_boutique[[#This Row],[return_reason]]="","No return",BBDD_fashion_boutique[[#This Row],[return_reason]])</f>
        <v>No return</v>
      </c>
      <c r="Y1608">
        <f>IF(IFERROR(VLOOKUP(BBDD_fashion_boutique[[#This Row],[product_id]],A1609:A3784,1,FALSE),0),1,0)</f>
        <v>0</v>
      </c>
    </row>
    <row r="1609" spans="1:25" x14ac:dyDescent="0.3">
      <c r="A1609" t="s">
        <v>1668</v>
      </c>
      <c r="B1609" t="s">
        <v>32</v>
      </c>
      <c r="C1609" t="s">
        <v>81</v>
      </c>
      <c r="D1609" t="s">
        <v>39</v>
      </c>
      <c r="F1609" t="str">
        <f>IF(BBDD_fashion_boutique[[#This Row],[category]]="Accessories","Accesorio",IF(BBDD_fashion_boutique[[#This Row],[size]]="","Desconocido",BBDD_fashion_boutique[[#This Row],[size]]))</f>
        <v>Accesorio</v>
      </c>
      <c r="G1609" t="s">
        <v>33</v>
      </c>
      <c r="H1609" s="2">
        <v>24.71</v>
      </c>
      <c r="I1609">
        <v>0</v>
      </c>
      <c r="J1609" s="5">
        <f>BBDD_fashion_boutique[[#This Row],[markdown_percentage]]/100</f>
        <v>0</v>
      </c>
      <c r="K1609" s="2">
        <v>24.71</v>
      </c>
      <c r="L1609" s="2">
        <f>BBDD_fashion_boutique[[#This Row],[original_price]]-BBDD_fashion_boutique[[#This Row],[current_price]]</f>
        <v>0</v>
      </c>
      <c r="M1609" s="1">
        <v>45875</v>
      </c>
      <c r="N1609" s="1" t="str">
        <f>PROPER(TEXT(BBDD_fashion_boutique[[#This Row],[purchase_date]],"dddd"))</f>
        <v>Miércoles</v>
      </c>
      <c r="O1609" s="1" t="str">
        <f>PROPER(TEXT(BBDD_fashion_boutique[[#This Row],[purchase_date]],"mmmm"))</f>
        <v>Agosto</v>
      </c>
      <c r="P1609" s="4">
        <v>37</v>
      </c>
      <c r="R1609" t="str">
        <f>IF(BBDD_fashion_boutique[[#This Row],[stock_quantity]]&gt;9,"Ok",IF(BBDD_fashion_boutique[[#This Row],[stock_quantity]]=0,"Agotado","Pocas Unidades"))</f>
        <v>Ok</v>
      </c>
      <c r="S1609" s="3" t="str">
        <f>IF(BBDD_fashion_boutique[[#This Row],[customer_rating]]="","No valorado",BBDD_fashion_boutique[[#This Row],[customer_rating]])</f>
        <v>No valorado</v>
      </c>
      <c r="T1609" t="s">
        <v>24</v>
      </c>
      <c r="V1609">
        <f>IF(BBDD_fashion_boutique[[#This Row],[is_returned]]="False",0,1)</f>
        <v>0</v>
      </c>
      <c r="W1609">
        <f>IF(BBDD_fashion_boutique[[#This Row],[is_returned]]="True",0,BBDD_fashion_boutique[[#This Row],[current_price]])</f>
        <v>24.71</v>
      </c>
      <c r="X1609" t="str">
        <f>IF(BBDD_fashion_boutique[[#This Row],[return_reason]]="","No return",BBDD_fashion_boutique[[#This Row],[return_reason]])</f>
        <v>No return</v>
      </c>
      <c r="Y1609">
        <f>IF(IFERROR(VLOOKUP(BBDD_fashion_boutique[[#This Row],[product_id]],A1610:A3785,1,FALSE),0),1,0)</f>
        <v>0</v>
      </c>
    </row>
    <row r="1610" spans="1:25" x14ac:dyDescent="0.3">
      <c r="A1610" t="s">
        <v>1669</v>
      </c>
      <c r="B1610" t="s">
        <v>26</v>
      </c>
      <c r="C1610" t="s">
        <v>27</v>
      </c>
      <c r="D1610" t="s">
        <v>21</v>
      </c>
      <c r="E1610" t="s">
        <v>22</v>
      </c>
      <c r="F1610" t="str">
        <f>IF(BBDD_fashion_boutique[[#This Row],[category]]="Accessories","Accesorio",IF(BBDD_fashion_boutique[[#This Row],[size]]="","Desconocido",BBDD_fashion_boutique[[#This Row],[size]]))</f>
        <v>XL</v>
      </c>
      <c r="G1610" t="s">
        <v>23</v>
      </c>
      <c r="H1610" s="2">
        <v>61.42</v>
      </c>
      <c r="I1610">
        <v>0</v>
      </c>
      <c r="J1610" s="5">
        <f>BBDD_fashion_boutique[[#This Row],[markdown_percentage]]/100</f>
        <v>0</v>
      </c>
      <c r="K1610" s="2">
        <v>61.42</v>
      </c>
      <c r="L1610" s="2">
        <f>BBDD_fashion_boutique[[#This Row],[original_price]]-BBDD_fashion_boutique[[#This Row],[current_price]]</f>
        <v>0</v>
      </c>
      <c r="M1610" s="1">
        <v>45526</v>
      </c>
      <c r="N1610" s="1" t="str">
        <f>PROPER(TEXT(BBDD_fashion_boutique[[#This Row],[purchase_date]],"dddd"))</f>
        <v>Jueves</v>
      </c>
      <c r="O1610" s="1" t="str">
        <f>PROPER(TEXT(BBDD_fashion_boutique[[#This Row],[purchase_date]],"mmmm"))</f>
        <v>Agosto</v>
      </c>
      <c r="P1610" s="4">
        <v>41</v>
      </c>
      <c r="Q1610" s="2">
        <v>3.5</v>
      </c>
      <c r="R1610" t="str">
        <f>IF(BBDD_fashion_boutique[[#This Row],[stock_quantity]]&gt;9,"Ok",IF(BBDD_fashion_boutique[[#This Row],[stock_quantity]]=0,"Agotado","Pocas Unidades"))</f>
        <v>Ok</v>
      </c>
      <c r="S1610" s="3">
        <f>IF(BBDD_fashion_boutique[[#This Row],[customer_rating]]="","No valorado",BBDD_fashion_boutique[[#This Row],[customer_rating]])</f>
        <v>3.5</v>
      </c>
      <c r="T1610" t="s">
        <v>24</v>
      </c>
      <c r="V1610">
        <f>IF(BBDD_fashion_boutique[[#This Row],[is_returned]]="False",0,1)</f>
        <v>0</v>
      </c>
      <c r="W1610">
        <f>IF(BBDD_fashion_boutique[[#This Row],[is_returned]]="True",0,BBDD_fashion_boutique[[#This Row],[current_price]])</f>
        <v>61.42</v>
      </c>
      <c r="X1610" t="str">
        <f>IF(BBDD_fashion_boutique[[#This Row],[return_reason]]="","No return",BBDD_fashion_boutique[[#This Row],[return_reason]])</f>
        <v>No return</v>
      </c>
      <c r="Y1610">
        <f>IF(IFERROR(VLOOKUP(BBDD_fashion_boutique[[#This Row],[product_id]],A1611:A3786,1,FALSE),0),1,0)</f>
        <v>0</v>
      </c>
    </row>
    <row r="1611" spans="1:25" x14ac:dyDescent="0.3">
      <c r="A1611" t="s">
        <v>1670</v>
      </c>
      <c r="B1611" t="s">
        <v>32</v>
      </c>
      <c r="C1611" t="s">
        <v>67</v>
      </c>
      <c r="D1611" t="s">
        <v>39</v>
      </c>
      <c r="F1611" t="str">
        <f>IF(BBDD_fashion_boutique[[#This Row],[category]]="Accessories","Accesorio",IF(BBDD_fashion_boutique[[#This Row],[size]]="","Desconocido",BBDD_fashion_boutique[[#This Row],[size]]))</f>
        <v>Accesorio</v>
      </c>
      <c r="G1611" t="s">
        <v>50</v>
      </c>
      <c r="H1611" s="2">
        <v>60.48</v>
      </c>
      <c r="I1611">
        <v>7.3</v>
      </c>
      <c r="J1611" s="5">
        <f>BBDD_fashion_boutique[[#This Row],[markdown_percentage]]/100</f>
        <v>7.2999999999999995E-2</v>
      </c>
      <c r="K1611" s="2">
        <v>56.06</v>
      </c>
      <c r="L1611" s="2">
        <f>BBDD_fashion_boutique[[#This Row],[original_price]]-BBDD_fashion_boutique[[#This Row],[current_price]]</f>
        <v>4.4199999999999946</v>
      </c>
      <c r="M1611" s="1">
        <v>45875</v>
      </c>
      <c r="N1611" s="1" t="str">
        <f>PROPER(TEXT(BBDD_fashion_boutique[[#This Row],[purchase_date]],"dddd"))</f>
        <v>Miércoles</v>
      </c>
      <c r="O1611" s="1" t="str">
        <f>PROPER(TEXT(BBDD_fashion_boutique[[#This Row],[purchase_date]],"mmmm"))</f>
        <v>Agosto</v>
      </c>
      <c r="P1611" s="4">
        <v>46</v>
      </c>
      <c r="Q1611" s="2">
        <v>3.6</v>
      </c>
      <c r="R1611" t="str">
        <f>IF(BBDD_fashion_boutique[[#This Row],[stock_quantity]]&gt;9,"Ok",IF(BBDD_fashion_boutique[[#This Row],[stock_quantity]]=0,"Agotado","Pocas Unidades"))</f>
        <v>Ok</v>
      </c>
      <c r="S1611" s="3">
        <f>IF(BBDD_fashion_boutique[[#This Row],[customer_rating]]="","No valorado",BBDD_fashion_boutique[[#This Row],[customer_rating]])</f>
        <v>3.6</v>
      </c>
      <c r="T1611" t="s">
        <v>24</v>
      </c>
      <c r="V1611">
        <f>IF(BBDD_fashion_boutique[[#This Row],[is_returned]]="False",0,1)</f>
        <v>0</v>
      </c>
      <c r="W1611">
        <f>IF(BBDD_fashion_boutique[[#This Row],[is_returned]]="True",0,BBDD_fashion_boutique[[#This Row],[current_price]])</f>
        <v>56.06</v>
      </c>
      <c r="X1611" t="str">
        <f>IF(BBDD_fashion_boutique[[#This Row],[return_reason]]="","No return",BBDD_fashion_boutique[[#This Row],[return_reason]])</f>
        <v>No return</v>
      </c>
      <c r="Y1611">
        <f>IF(IFERROR(VLOOKUP(BBDD_fashion_boutique[[#This Row],[product_id]],A1612:A3787,1,FALSE),0),1,0)</f>
        <v>0</v>
      </c>
    </row>
    <row r="1612" spans="1:25" x14ac:dyDescent="0.3">
      <c r="A1612" t="s">
        <v>1671</v>
      </c>
      <c r="B1612" t="s">
        <v>32</v>
      </c>
      <c r="C1612" t="s">
        <v>49</v>
      </c>
      <c r="D1612" t="s">
        <v>39</v>
      </c>
      <c r="F1612" t="str">
        <f>IF(BBDD_fashion_boutique[[#This Row],[category]]="Accessories","Accesorio",IF(BBDD_fashion_boutique[[#This Row],[size]]="","Desconocido",BBDD_fashion_boutique[[#This Row],[size]]))</f>
        <v>Accesorio</v>
      </c>
      <c r="G1612" t="s">
        <v>72</v>
      </c>
      <c r="H1612" s="2">
        <v>34.94</v>
      </c>
      <c r="I1612">
        <v>5.2</v>
      </c>
      <c r="J1612" s="5">
        <f>BBDD_fashion_boutique[[#This Row],[markdown_percentage]]/100</f>
        <v>5.2000000000000005E-2</v>
      </c>
      <c r="K1612" s="2">
        <v>33.119999999999997</v>
      </c>
      <c r="L1612" s="2">
        <f>BBDD_fashion_boutique[[#This Row],[original_price]]-BBDD_fashion_boutique[[#This Row],[current_price]]</f>
        <v>1.8200000000000003</v>
      </c>
      <c r="M1612" s="1">
        <v>45875</v>
      </c>
      <c r="N1612" s="1" t="str">
        <f>PROPER(TEXT(BBDD_fashion_boutique[[#This Row],[purchase_date]],"dddd"))</f>
        <v>Miércoles</v>
      </c>
      <c r="O1612" s="1" t="str">
        <f>PROPER(TEXT(BBDD_fashion_boutique[[#This Row],[purchase_date]],"mmmm"))</f>
        <v>Agosto</v>
      </c>
      <c r="P1612" s="4">
        <v>18</v>
      </c>
      <c r="R1612" t="str">
        <f>IF(BBDD_fashion_boutique[[#This Row],[stock_quantity]]&gt;9,"Ok",IF(BBDD_fashion_boutique[[#This Row],[stock_quantity]]=0,"Agotado","Pocas Unidades"))</f>
        <v>Ok</v>
      </c>
      <c r="S1612" s="3" t="str">
        <f>IF(BBDD_fashion_boutique[[#This Row],[customer_rating]]="","No valorado",BBDD_fashion_boutique[[#This Row],[customer_rating]])</f>
        <v>No valorado</v>
      </c>
      <c r="T1612" t="s">
        <v>24</v>
      </c>
      <c r="V1612">
        <f>IF(BBDD_fashion_boutique[[#This Row],[is_returned]]="False",0,1)</f>
        <v>0</v>
      </c>
      <c r="W1612">
        <f>IF(BBDD_fashion_boutique[[#This Row],[is_returned]]="True",0,BBDD_fashion_boutique[[#This Row],[current_price]])</f>
        <v>33.119999999999997</v>
      </c>
      <c r="X1612" t="str">
        <f>IF(BBDD_fashion_boutique[[#This Row],[return_reason]]="","No return",BBDD_fashion_boutique[[#This Row],[return_reason]])</f>
        <v>No return</v>
      </c>
      <c r="Y1612">
        <f>IF(IFERROR(VLOOKUP(BBDD_fashion_boutique[[#This Row],[product_id]],A1613:A3788,1,FALSE),0),1,0)</f>
        <v>0</v>
      </c>
    </row>
    <row r="1613" spans="1:25" x14ac:dyDescent="0.3">
      <c r="A1613" t="s">
        <v>1672</v>
      </c>
      <c r="B1613" t="s">
        <v>44</v>
      </c>
      <c r="C1613" t="s">
        <v>37</v>
      </c>
      <c r="D1613" t="s">
        <v>21</v>
      </c>
      <c r="E1613" t="s">
        <v>22</v>
      </c>
      <c r="F1613" t="str">
        <f>IF(BBDD_fashion_boutique[[#This Row],[category]]="Accessories","Accesorio",IF(BBDD_fashion_boutique[[#This Row],[size]]="","Desconocido",BBDD_fashion_boutique[[#This Row],[size]]))</f>
        <v>XL</v>
      </c>
      <c r="G1613" t="s">
        <v>23</v>
      </c>
      <c r="H1613" s="2">
        <v>30.51</v>
      </c>
      <c r="I1613">
        <v>0</v>
      </c>
      <c r="J1613" s="5">
        <f>BBDD_fashion_boutique[[#This Row],[markdown_percentage]]/100</f>
        <v>0</v>
      </c>
      <c r="K1613" s="2">
        <v>30.51</v>
      </c>
      <c r="L1613" s="2">
        <f>BBDD_fashion_boutique[[#This Row],[original_price]]-BBDD_fashion_boutique[[#This Row],[current_price]]</f>
        <v>0</v>
      </c>
      <c r="M1613" s="1">
        <v>45671</v>
      </c>
      <c r="N1613" s="1" t="str">
        <f>PROPER(TEXT(BBDD_fashion_boutique[[#This Row],[purchase_date]],"dddd"))</f>
        <v>Martes</v>
      </c>
      <c r="O1613" s="1" t="str">
        <f>PROPER(TEXT(BBDD_fashion_boutique[[#This Row],[purchase_date]],"mmmm"))</f>
        <v>Enero</v>
      </c>
      <c r="P1613" s="4">
        <v>17</v>
      </c>
      <c r="Q1613" s="2">
        <v>1.2</v>
      </c>
      <c r="R1613" t="str">
        <f>IF(BBDD_fashion_boutique[[#This Row],[stock_quantity]]&gt;9,"Ok",IF(BBDD_fashion_boutique[[#This Row],[stock_quantity]]=0,"Agotado","Pocas Unidades"))</f>
        <v>Ok</v>
      </c>
      <c r="S1613" s="3">
        <f>IF(BBDD_fashion_boutique[[#This Row],[customer_rating]]="","No valorado",BBDD_fashion_boutique[[#This Row],[customer_rating]])</f>
        <v>1.2</v>
      </c>
      <c r="T1613" t="s">
        <v>24</v>
      </c>
      <c r="V1613">
        <f>IF(BBDD_fashion_boutique[[#This Row],[is_returned]]="False",0,1)</f>
        <v>0</v>
      </c>
      <c r="W1613">
        <f>IF(BBDD_fashion_boutique[[#This Row],[is_returned]]="True",0,BBDD_fashion_boutique[[#This Row],[current_price]])</f>
        <v>30.51</v>
      </c>
      <c r="X1613" t="str">
        <f>IF(BBDD_fashion_boutique[[#This Row],[return_reason]]="","No return",BBDD_fashion_boutique[[#This Row],[return_reason]])</f>
        <v>No return</v>
      </c>
      <c r="Y1613">
        <f>IF(IFERROR(VLOOKUP(BBDD_fashion_boutique[[#This Row],[product_id]],A1614:A3789,1,FALSE),0),1,0)</f>
        <v>0</v>
      </c>
    </row>
    <row r="1614" spans="1:25" x14ac:dyDescent="0.3">
      <c r="A1614" t="s">
        <v>1673</v>
      </c>
      <c r="B1614" t="s">
        <v>48</v>
      </c>
      <c r="C1614" t="s">
        <v>37</v>
      </c>
      <c r="D1614" t="s">
        <v>28</v>
      </c>
      <c r="E1614" t="s">
        <v>55</v>
      </c>
      <c r="F1614" t="str">
        <f>IF(BBDD_fashion_boutique[[#This Row],[category]]="Accessories","Accesorio",IF(BBDD_fashion_boutique[[#This Row],[size]]="","Desconocido",BBDD_fashion_boutique[[#This Row],[size]]))</f>
        <v>XXL</v>
      </c>
      <c r="G1614" t="s">
        <v>70</v>
      </c>
      <c r="H1614" s="2">
        <v>65.540000000000006</v>
      </c>
      <c r="I1614">
        <v>40.299999999999997</v>
      </c>
      <c r="J1614" s="5">
        <f>BBDD_fashion_boutique[[#This Row],[markdown_percentage]]/100</f>
        <v>0.40299999999999997</v>
      </c>
      <c r="K1614" s="2">
        <v>39.130000000000003</v>
      </c>
      <c r="L1614" s="2">
        <f>BBDD_fashion_boutique[[#This Row],[original_price]]-BBDD_fashion_boutique[[#This Row],[current_price]]</f>
        <v>26.410000000000004</v>
      </c>
      <c r="M1614" s="1">
        <v>45875</v>
      </c>
      <c r="N1614" s="1" t="str">
        <f>PROPER(TEXT(BBDD_fashion_boutique[[#This Row],[purchase_date]],"dddd"))</f>
        <v>Miércoles</v>
      </c>
      <c r="O1614" s="1" t="str">
        <f>PROPER(TEXT(BBDD_fashion_boutique[[#This Row],[purchase_date]],"mmmm"))</f>
        <v>Agosto</v>
      </c>
      <c r="P1614" s="4">
        <v>27</v>
      </c>
      <c r="Q1614" s="2">
        <v>1.2</v>
      </c>
      <c r="R1614" t="str">
        <f>IF(BBDD_fashion_boutique[[#This Row],[stock_quantity]]&gt;9,"Ok",IF(BBDD_fashion_boutique[[#This Row],[stock_quantity]]=0,"Agotado","Pocas Unidades"))</f>
        <v>Ok</v>
      </c>
      <c r="S1614" s="3">
        <f>IF(BBDD_fashion_boutique[[#This Row],[customer_rating]]="","No valorado",BBDD_fashion_boutique[[#This Row],[customer_rating]])</f>
        <v>1.2</v>
      </c>
      <c r="T1614" t="s">
        <v>24</v>
      </c>
      <c r="V1614">
        <f>IF(BBDD_fashion_boutique[[#This Row],[is_returned]]="False",0,1)</f>
        <v>0</v>
      </c>
      <c r="W1614">
        <f>IF(BBDD_fashion_boutique[[#This Row],[is_returned]]="True",0,BBDD_fashion_boutique[[#This Row],[current_price]])</f>
        <v>39.130000000000003</v>
      </c>
      <c r="X1614" t="str">
        <f>IF(BBDD_fashion_boutique[[#This Row],[return_reason]]="","No return",BBDD_fashion_boutique[[#This Row],[return_reason]])</f>
        <v>No return</v>
      </c>
      <c r="Y1614">
        <f>IF(IFERROR(VLOOKUP(BBDD_fashion_boutique[[#This Row],[product_id]],A1615:A3790,1,FALSE),0),1,0)</f>
        <v>0</v>
      </c>
    </row>
    <row r="1615" spans="1:25" x14ac:dyDescent="0.3">
      <c r="A1615" t="s">
        <v>1674</v>
      </c>
      <c r="B1615" t="s">
        <v>35</v>
      </c>
      <c r="C1615" t="s">
        <v>81</v>
      </c>
      <c r="D1615" t="s">
        <v>68</v>
      </c>
      <c r="E1615" t="s">
        <v>45</v>
      </c>
      <c r="F1615" t="str">
        <f>IF(BBDD_fashion_boutique[[#This Row],[category]]="Accessories","Accesorio",IF(BBDD_fashion_boutique[[#This Row],[size]]="","Desconocido",BBDD_fashion_boutique[[#This Row],[size]]))</f>
        <v>S</v>
      </c>
      <c r="G1615" t="s">
        <v>62</v>
      </c>
      <c r="H1615" s="2">
        <v>114.37</v>
      </c>
      <c r="I1615">
        <v>43.2</v>
      </c>
      <c r="J1615" s="5">
        <f>BBDD_fashion_boutique[[#This Row],[markdown_percentage]]/100</f>
        <v>0.43200000000000005</v>
      </c>
      <c r="K1615" s="2">
        <v>64.959999999999994</v>
      </c>
      <c r="L1615" s="2">
        <f>BBDD_fashion_boutique[[#This Row],[original_price]]-BBDD_fashion_boutique[[#This Row],[current_price]]</f>
        <v>49.410000000000011</v>
      </c>
      <c r="M1615" s="1">
        <v>45875</v>
      </c>
      <c r="N1615" s="1" t="str">
        <f>PROPER(TEXT(BBDD_fashion_boutique[[#This Row],[purchase_date]],"dddd"))</f>
        <v>Miércoles</v>
      </c>
      <c r="O1615" s="1" t="str">
        <f>PROPER(TEXT(BBDD_fashion_boutique[[#This Row],[purchase_date]],"mmmm"))</f>
        <v>Agosto</v>
      </c>
      <c r="P1615" s="4">
        <v>16</v>
      </c>
      <c r="Q1615" s="2">
        <v>1.4</v>
      </c>
      <c r="R1615" t="str">
        <f>IF(BBDD_fashion_boutique[[#This Row],[stock_quantity]]&gt;9,"Ok",IF(BBDD_fashion_boutique[[#This Row],[stock_quantity]]=0,"Agotado","Pocas Unidades"))</f>
        <v>Ok</v>
      </c>
      <c r="S1615" s="3">
        <f>IF(BBDD_fashion_boutique[[#This Row],[customer_rating]]="","No valorado",BBDD_fashion_boutique[[#This Row],[customer_rating]])</f>
        <v>1.4</v>
      </c>
      <c r="T1615" t="s">
        <v>24</v>
      </c>
      <c r="V1615">
        <f>IF(BBDD_fashion_boutique[[#This Row],[is_returned]]="False",0,1)</f>
        <v>0</v>
      </c>
      <c r="W1615">
        <f>IF(BBDD_fashion_boutique[[#This Row],[is_returned]]="True",0,BBDD_fashion_boutique[[#This Row],[current_price]])</f>
        <v>64.959999999999994</v>
      </c>
      <c r="X1615" t="str">
        <f>IF(BBDD_fashion_boutique[[#This Row],[return_reason]]="","No return",BBDD_fashion_boutique[[#This Row],[return_reason]])</f>
        <v>No return</v>
      </c>
      <c r="Y1615">
        <f>IF(IFERROR(VLOOKUP(BBDD_fashion_boutique[[#This Row],[product_id]],A1616:A3791,1,FALSE),0),1,0)</f>
        <v>0</v>
      </c>
    </row>
    <row r="1616" spans="1:25" x14ac:dyDescent="0.3">
      <c r="A1616" t="s">
        <v>1675</v>
      </c>
      <c r="B1616" t="s">
        <v>48</v>
      </c>
      <c r="C1616" t="s">
        <v>49</v>
      </c>
      <c r="D1616" t="s">
        <v>21</v>
      </c>
      <c r="E1616" t="s">
        <v>45</v>
      </c>
      <c r="F1616" t="str">
        <f>IF(BBDD_fashion_boutique[[#This Row],[category]]="Accessories","Accesorio",IF(BBDD_fashion_boutique[[#This Row],[size]]="","Desconocido",BBDD_fashion_boutique[[#This Row],[size]]))</f>
        <v>S</v>
      </c>
      <c r="G1616" t="s">
        <v>40</v>
      </c>
      <c r="H1616" s="2">
        <v>145.80000000000001</v>
      </c>
      <c r="I1616">
        <v>0</v>
      </c>
      <c r="J1616" s="5">
        <f>BBDD_fashion_boutique[[#This Row],[markdown_percentage]]/100</f>
        <v>0</v>
      </c>
      <c r="K1616" s="2">
        <v>145.80000000000001</v>
      </c>
      <c r="L1616" s="2">
        <f>BBDD_fashion_boutique[[#This Row],[original_price]]-BBDD_fashion_boutique[[#This Row],[current_price]]</f>
        <v>0</v>
      </c>
      <c r="M1616" s="1">
        <v>45562</v>
      </c>
      <c r="N1616" s="1" t="str">
        <f>PROPER(TEXT(BBDD_fashion_boutique[[#This Row],[purchase_date]],"dddd"))</f>
        <v>Viernes</v>
      </c>
      <c r="O1616" s="1" t="str">
        <f>PROPER(TEXT(BBDD_fashion_boutique[[#This Row],[purchase_date]],"mmmm"))</f>
        <v>Septiembre</v>
      </c>
      <c r="P1616" s="4">
        <v>13</v>
      </c>
      <c r="Q1616" s="2">
        <v>4</v>
      </c>
      <c r="R1616" t="str">
        <f>IF(BBDD_fashion_boutique[[#This Row],[stock_quantity]]&gt;9,"Ok",IF(BBDD_fashion_boutique[[#This Row],[stock_quantity]]=0,"Agotado","Pocas Unidades"))</f>
        <v>Ok</v>
      </c>
      <c r="S1616" s="3">
        <f>IF(BBDD_fashion_boutique[[#This Row],[customer_rating]]="","No valorado",BBDD_fashion_boutique[[#This Row],[customer_rating]])</f>
        <v>4</v>
      </c>
      <c r="T1616" t="s">
        <v>24</v>
      </c>
      <c r="V1616">
        <f>IF(BBDD_fashion_boutique[[#This Row],[is_returned]]="False",0,1)</f>
        <v>0</v>
      </c>
      <c r="W1616">
        <f>IF(BBDD_fashion_boutique[[#This Row],[is_returned]]="True",0,BBDD_fashion_boutique[[#This Row],[current_price]])</f>
        <v>145.80000000000001</v>
      </c>
      <c r="X1616" t="str">
        <f>IF(BBDD_fashion_boutique[[#This Row],[return_reason]]="","No return",BBDD_fashion_boutique[[#This Row],[return_reason]])</f>
        <v>No return</v>
      </c>
      <c r="Y1616">
        <f>IF(IFERROR(VLOOKUP(BBDD_fashion_boutique[[#This Row],[product_id]],A1617:A3792,1,FALSE),0),1,0)</f>
        <v>0</v>
      </c>
    </row>
    <row r="1617" spans="1:25" x14ac:dyDescent="0.3">
      <c r="A1617" t="s">
        <v>1676</v>
      </c>
      <c r="B1617" t="s">
        <v>35</v>
      </c>
      <c r="C1617" t="s">
        <v>20</v>
      </c>
      <c r="D1617" t="s">
        <v>68</v>
      </c>
      <c r="E1617" t="s">
        <v>45</v>
      </c>
      <c r="F1617" t="str">
        <f>IF(BBDD_fashion_boutique[[#This Row],[category]]="Accessories","Accesorio",IF(BBDD_fashion_boutique[[#This Row],[size]]="","Desconocido",BBDD_fashion_boutique[[#This Row],[size]]))</f>
        <v>S</v>
      </c>
      <c r="G1617" t="s">
        <v>23</v>
      </c>
      <c r="H1617" s="2">
        <v>121.43</v>
      </c>
      <c r="I1617">
        <v>44.1</v>
      </c>
      <c r="J1617" s="5">
        <f>BBDD_fashion_boutique[[#This Row],[markdown_percentage]]/100</f>
        <v>0.441</v>
      </c>
      <c r="K1617" s="2">
        <v>67.88</v>
      </c>
      <c r="L1617" s="2">
        <f>BBDD_fashion_boutique[[#This Row],[original_price]]-BBDD_fashion_boutique[[#This Row],[current_price]]</f>
        <v>53.550000000000011</v>
      </c>
      <c r="M1617" s="1">
        <v>45875</v>
      </c>
      <c r="N1617" s="1" t="str">
        <f>PROPER(TEXT(BBDD_fashion_boutique[[#This Row],[purchase_date]],"dddd"))</f>
        <v>Miércoles</v>
      </c>
      <c r="O1617" s="1" t="str">
        <f>PROPER(TEXT(BBDD_fashion_boutique[[#This Row],[purchase_date]],"mmmm"))</f>
        <v>Agosto</v>
      </c>
      <c r="P1617" s="4">
        <v>2</v>
      </c>
      <c r="Q1617" s="2">
        <v>4.4000000000000004</v>
      </c>
      <c r="R1617" t="str">
        <f>IF(BBDD_fashion_boutique[[#This Row],[stock_quantity]]&gt;9,"Ok",IF(BBDD_fashion_boutique[[#This Row],[stock_quantity]]=0,"Agotado","Pocas Unidades"))</f>
        <v>Pocas Unidades</v>
      </c>
      <c r="S1617" s="3">
        <f>IF(BBDD_fashion_boutique[[#This Row],[customer_rating]]="","No valorado",BBDD_fashion_boutique[[#This Row],[customer_rating]])</f>
        <v>4.4000000000000004</v>
      </c>
      <c r="T1617" t="s">
        <v>24</v>
      </c>
      <c r="V1617">
        <f>IF(BBDD_fashion_boutique[[#This Row],[is_returned]]="False",0,1)</f>
        <v>0</v>
      </c>
      <c r="W1617">
        <f>IF(BBDD_fashion_boutique[[#This Row],[is_returned]]="True",0,BBDD_fashion_boutique[[#This Row],[current_price]])</f>
        <v>67.88</v>
      </c>
      <c r="X1617" t="str">
        <f>IF(BBDD_fashion_boutique[[#This Row],[return_reason]]="","No return",BBDD_fashion_boutique[[#This Row],[return_reason]])</f>
        <v>No return</v>
      </c>
      <c r="Y1617">
        <f>IF(IFERROR(VLOOKUP(BBDD_fashion_boutique[[#This Row],[product_id]],A1618:A3793,1,FALSE),0),1,0)</f>
        <v>0</v>
      </c>
    </row>
    <row r="1618" spans="1:25" x14ac:dyDescent="0.3">
      <c r="A1618" t="s">
        <v>1677</v>
      </c>
      <c r="B1618" t="s">
        <v>35</v>
      </c>
      <c r="C1618" t="s">
        <v>81</v>
      </c>
      <c r="D1618" t="s">
        <v>68</v>
      </c>
      <c r="E1618" t="s">
        <v>55</v>
      </c>
      <c r="F1618" t="str">
        <f>IF(BBDD_fashion_boutique[[#This Row],[category]]="Accessories","Accesorio",IF(BBDD_fashion_boutique[[#This Row],[size]]="","Desconocido",BBDD_fashion_boutique[[#This Row],[size]]))</f>
        <v>XXL</v>
      </c>
      <c r="G1618" t="s">
        <v>52</v>
      </c>
      <c r="H1618" s="2">
        <v>94.49</v>
      </c>
      <c r="I1618">
        <v>0</v>
      </c>
      <c r="J1618" s="5">
        <f>BBDD_fashion_boutique[[#This Row],[markdown_percentage]]/100</f>
        <v>0</v>
      </c>
      <c r="K1618" s="2">
        <v>94.49</v>
      </c>
      <c r="L1618" s="2">
        <f>BBDD_fashion_boutique[[#This Row],[original_price]]-BBDD_fashion_boutique[[#This Row],[current_price]]</f>
        <v>0</v>
      </c>
      <c r="M1618" s="1">
        <v>45875</v>
      </c>
      <c r="N1618" s="1" t="str">
        <f>PROPER(TEXT(BBDD_fashion_boutique[[#This Row],[purchase_date]],"dddd"))</f>
        <v>Miércoles</v>
      </c>
      <c r="O1618" s="1" t="str">
        <f>PROPER(TEXT(BBDD_fashion_boutique[[#This Row],[purchase_date]],"mmmm"))</f>
        <v>Agosto</v>
      </c>
      <c r="P1618" s="4">
        <v>30</v>
      </c>
      <c r="Q1618" s="2">
        <v>1.5</v>
      </c>
      <c r="R1618" t="str">
        <f>IF(BBDD_fashion_boutique[[#This Row],[stock_quantity]]&gt;9,"Ok",IF(BBDD_fashion_boutique[[#This Row],[stock_quantity]]=0,"Agotado","Pocas Unidades"))</f>
        <v>Ok</v>
      </c>
      <c r="S1618" s="3">
        <f>IF(BBDD_fashion_boutique[[#This Row],[customer_rating]]="","No valorado",BBDD_fashion_boutique[[#This Row],[customer_rating]])</f>
        <v>1.5</v>
      </c>
      <c r="T1618" t="s">
        <v>24</v>
      </c>
      <c r="V1618">
        <f>IF(BBDD_fashion_boutique[[#This Row],[is_returned]]="False",0,1)</f>
        <v>0</v>
      </c>
      <c r="W1618">
        <f>IF(BBDD_fashion_boutique[[#This Row],[is_returned]]="True",0,BBDD_fashion_boutique[[#This Row],[current_price]])</f>
        <v>94.49</v>
      </c>
      <c r="X1618" t="str">
        <f>IF(BBDD_fashion_boutique[[#This Row],[return_reason]]="","No return",BBDD_fashion_boutique[[#This Row],[return_reason]])</f>
        <v>No return</v>
      </c>
      <c r="Y1618">
        <f>IF(IFERROR(VLOOKUP(BBDD_fashion_boutique[[#This Row],[product_id]],A1619:A3794,1,FALSE),0),1,0)</f>
        <v>0</v>
      </c>
    </row>
    <row r="1619" spans="1:25" x14ac:dyDescent="0.3">
      <c r="A1619" t="s">
        <v>1678</v>
      </c>
      <c r="B1619" t="s">
        <v>19</v>
      </c>
      <c r="C1619" t="s">
        <v>81</v>
      </c>
      <c r="D1619" t="s">
        <v>39</v>
      </c>
      <c r="E1619" t="s">
        <v>64</v>
      </c>
      <c r="F1619" t="str">
        <f>IF(BBDD_fashion_boutique[[#This Row],[category]]="Accessories","Accesorio",IF(BBDD_fashion_boutique[[#This Row],[size]]="","Desconocido",BBDD_fashion_boutique[[#This Row],[size]]))</f>
        <v>M</v>
      </c>
      <c r="G1619" t="s">
        <v>72</v>
      </c>
      <c r="H1619" s="2">
        <v>218.64</v>
      </c>
      <c r="I1619">
        <v>0</v>
      </c>
      <c r="J1619" s="5">
        <f>BBDD_fashion_boutique[[#This Row],[markdown_percentage]]/100</f>
        <v>0</v>
      </c>
      <c r="K1619" s="2">
        <v>218.64</v>
      </c>
      <c r="L1619" s="2">
        <f>BBDD_fashion_boutique[[#This Row],[original_price]]-BBDD_fashion_boutique[[#This Row],[current_price]]</f>
        <v>0</v>
      </c>
      <c r="M1619" s="1">
        <v>45875</v>
      </c>
      <c r="N1619" s="1" t="str">
        <f>PROPER(TEXT(BBDD_fashion_boutique[[#This Row],[purchase_date]],"dddd"))</f>
        <v>Miércoles</v>
      </c>
      <c r="O1619" s="1" t="str">
        <f>PROPER(TEXT(BBDD_fashion_boutique[[#This Row],[purchase_date]],"mmmm"))</f>
        <v>Agosto</v>
      </c>
      <c r="P1619" s="4">
        <v>5</v>
      </c>
      <c r="R1619" t="str">
        <f>IF(BBDD_fashion_boutique[[#This Row],[stock_quantity]]&gt;9,"Ok",IF(BBDD_fashion_boutique[[#This Row],[stock_quantity]]=0,"Agotado","Pocas Unidades"))</f>
        <v>Pocas Unidades</v>
      </c>
      <c r="S1619" s="3" t="str">
        <f>IF(BBDD_fashion_boutique[[#This Row],[customer_rating]]="","No valorado",BBDD_fashion_boutique[[#This Row],[customer_rating]])</f>
        <v>No valorado</v>
      </c>
      <c r="T1619" t="s">
        <v>24</v>
      </c>
      <c r="V1619">
        <f>IF(BBDD_fashion_boutique[[#This Row],[is_returned]]="False",0,1)</f>
        <v>0</v>
      </c>
      <c r="W1619">
        <f>IF(BBDD_fashion_boutique[[#This Row],[is_returned]]="True",0,BBDD_fashion_boutique[[#This Row],[current_price]])</f>
        <v>218.64</v>
      </c>
      <c r="X1619" t="str">
        <f>IF(BBDD_fashion_boutique[[#This Row],[return_reason]]="","No return",BBDD_fashion_boutique[[#This Row],[return_reason]])</f>
        <v>No return</v>
      </c>
      <c r="Y1619">
        <f>IF(IFERROR(VLOOKUP(BBDD_fashion_boutique[[#This Row],[product_id]],A1620:A3795,1,FALSE),0),1,0)</f>
        <v>0</v>
      </c>
    </row>
    <row r="1620" spans="1:25" x14ac:dyDescent="0.3">
      <c r="A1620" t="s">
        <v>1679</v>
      </c>
      <c r="B1620" t="s">
        <v>19</v>
      </c>
      <c r="C1620" t="s">
        <v>27</v>
      </c>
      <c r="D1620" t="s">
        <v>39</v>
      </c>
      <c r="E1620" t="s">
        <v>45</v>
      </c>
      <c r="F1620" t="str">
        <f>IF(BBDD_fashion_boutique[[#This Row],[category]]="Accessories","Accesorio",IF(BBDD_fashion_boutique[[#This Row],[size]]="","Desconocido",BBDD_fashion_boutique[[#This Row],[size]]))</f>
        <v>S</v>
      </c>
      <c r="G1620" t="s">
        <v>33</v>
      </c>
      <c r="H1620" s="2">
        <v>80.41</v>
      </c>
      <c r="I1620">
        <v>11.9</v>
      </c>
      <c r="J1620" s="5">
        <f>BBDD_fashion_boutique[[#This Row],[markdown_percentage]]/100</f>
        <v>0.11900000000000001</v>
      </c>
      <c r="K1620" s="2">
        <v>70.84</v>
      </c>
      <c r="L1620" s="2">
        <f>BBDD_fashion_boutique[[#This Row],[original_price]]-BBDD_fashion_boutique[[#This Row],[current_price]]</f>
        <v>9.5699999999999932</v>
      </c>
      <c r="M1620" s="1">
        <v>45875</v>
      </c>
      <c r="N1620" s="1" t="str">
        <f>PROPER(TEXT(BBDD_fashion_boutique[[#This Row],[purchase_date]],"dddd"))</f>
        <v>Miércoles</v>
      </c>
      <c r="O1620" s="1" t="str">
        <f>PROPER(TEXT(BBDD_fashion_boutique[[#This Row],[purchase_date]],"mmmm"))</f>
        <v>Agosto</v>
      </c>
      <c r="P1620" s="4">
        <v>35</v>
      </c>
      <c r="Q1620" s="2">
        <v>1.5</v>
      </c>
      <c r="R1620" t="str">
        <f>IF(BBDD_fashion_boutique[[#This Row],[stock_quantity]]&gt;9,"Ok",IF(BBDD_fashion_boutique[[#This Row],[stock_quantity]]=0,"Agotado","Pocas Unidades"))</f>
        <v>Ok</v>
      </c>
      <c r="S1620" s="3">
        <f>IF(BBDD_fashion_boutique[[#This Row],[customer_rating]]="","No valorado",BBDD_fashion_boutique[[#This Row],[customer_rating]])</f>
        <v>1.5</v>
      </c>
      <c r="T1620" t="s">
        <v>24</v>
      </c>
      <c r="V1620">
        <f>IF(BBDD_fashion_boutique[[#This Row],[is_returned]]="False",0,1)</f>
        <v>0</v>
      </c>
      <c r="W1620">
        <f>IF(BBDD_fashion_boutique[[#This Row],[is_returned]]="True",0,BBDD_fashion_boutique[[#This Row],[current_price]])</f>
        <v>70.84</v>
      </c>
      <c r="X1620" t="str">
        <f>IF(BBDD_fashion_boutique[[#This Row],[return_reason]]="","No return",BBDD_fashion_boutique[[#This Row],[return_reason]])</f>
        <v>No return</v>
      </c>
      <c r="Y1620">
        <f>IF(IFERROR(VLOOKUP(BBDD_fashion_boutique[[#This Row],[product_id]],A1621:A3796,1,FALSE),0),1,0)</f>
        <v>0</v>
      </c>
    </row>
    <row r="1621" spans="1:25" x14ac:dyDescent="0.3">
      <c r="A1621" t="s">
        <v>1680</v>
      </c>
      <c r="B1621" t="s">
        <v>35</v>
      </c>
      <c r="C1621" t="s">
        <v>67</v>
      </c>
      <c r="D1621" t="s">
        <v>28</v>
      </c>
      <c r="E1621" t="s">
        <v>22</v>
      </c>
      <c r="F1621" t="str">
        <f>IF(BBDD_fashion_boutique[[#This Row],[category]]="Accessories","Accesorio",IF(BBDD_fashion_boutique[[#This Row],[size]]="","Desconocido",BBDD_fashion_boutique[[#This Row],[size]]))</f>
        <v>XL</v>
      </c>
      <c r="G1621" t="s">
        <v>62</v>
      </c>
      <c r="H1621" s="2">
        <v>183.3</v>
      </c>
      <c r="I1621">
        <v>0</v>
      </c>
      <c r="J1621" s="5">
        <f>BBDD_fashion_boutique[[#This Row],[markdown_percentage]]/100</f>
        <v>0</v>
      </c>
      <c r="K1621" s="2">
        <v>183.3</v>
      </c>
      <c r="L1621" s="2">
        <f>BBDD_fashion_boutique[[#This Row],[original_price]]-BBDD_fashion_boutique[[#This Row],[current_price]]</f>
        <v>0</v>
      </c>
      <c r="M1621" s="1">
        <v>45875</v>
      </c>
      <c r="N1621" s="1" t="str">
        <f>PROPER(TEXT(BBDD_fashion_boutique[[#This Row],[purchase_date]],"dddd"))</f>
        <v>Miércoles</v>
      </c>
      <c r="O1621" s="1" t="str">
        <f>PROPER(TEXT(BBDD_fashion_boutique[[#This Row],[purchase_date]],"mmmm"))</f>
        <v>Agosto</v>
      </c>
      <c r="P1621" s="4">
        <v>7</v>
      </c>
      <c r="Q1621" s="2">
        <v>2</v>
      </c>
      <c r="R1621" t="str">
        <f>IF(BBDD_fashion_boutique[[#This Row],[stock_quantity]]&gt;9,"Ok",IF(BBDD_fashion_boutique[[#This Row],[stock_quantity]]=0,"Agotado","Pocas Unidades"))</f>
        <v>Pocas Unidades</v>
      </c>
      <c r="S1621" s="3">
        <f>IF(BBDD_fashion_boutique[[#This Row],[customer_rating]]="","No valorado",BBDD_fashion_boutique[[#This Row],[customer_rating]])</f>
        <v>2</v>
      </c>
      <c r="T1621" t="s">
        <v>24</v>
      </c>
      <c r="V1621">
        <f>IF(BBDD_fashion_boutique[[#This Row],[is_returned]]="False",0,1)</f>
        <v>0</v>
      </c>
      <c r="W1621">
        <f>IF(BBDD_fashion_boutique[[#This Row],[is_returned]]="True",0,BBDD_fashion_boutique[[#This Row],[current_price]])</f>
        <v>183.3</v>
      </c>
      <c r="X1621" t="str">
        <f>IF(BBDD_fashion_boutique[[#This Row],[return_reason]]="","No return",BBDD_fashion_boutique[[#This Row],[return_reason]])</f>
        <v>No return</v>
      </c>
      <c r="Y1621">
        <f>IF(IFERROR(VLOOKUP(BBDD_fashion_boutique[[#This Row],[product_id]],A1622:A3797,1,FALSE),0),1,0)</f>
        <v>0</v>
      </c>
    </row>
    <row r="1622" spans="1:25" x14ac:dyDescent="0.3">
      <c r="A1622" t="s">
        <v>1681</v>
      </c>
      <c r="B1622" t="s">
        <v>19</v>
      </c>
      <c r="C1622" t="s">
        <v>27</v>
      </c>
      <c r="D1622" t="s">
        <v>39</v>
      </c>
      <c r="E1622" t="s">
        <v>61</v>
      </c>
      <c r="F1622" t="str">
        <f>IF(BBDD_fashion_boutique[[#This Row],[category]]="Accessories","Accesorio",IF(BBDD_fashion_boutique[[#This Row],[size]]="","Desconocido",BBDD_fashion_boutique[[#This Row],[size]]))</f>
        <v>XS</v>
      </c>
      <c r="G1622" t="s">
        <v>40</v>
      </c>
      <c r="H1622" s="2">
        <v>241.81</v>
      </c>
      <c r="I1622">
        <v>0</v>
      </c>
      <c r="J1622" s="5">
        <f>BBDD_fashion_boutique[[#This Row],[markdown_percentage]]/100</f>
        <v>0</v>
      </c>
      <c r="K1622" s="2">
        <v>241.81</v>
      </c>
      <c r="L1622" s="2">
        <f>BBDD_fashion_boutique[[#This Row],[original_price]]-BBDD_fashion_boutique[[#This Row],[current_price]]</f>
        <v>0</v>
      </c>
      <c r="M1622" s="1">
        <v>45875</v>
      </c>
      <c r="N1622" s="1" t="str">
        <f>PROPER(TEXT(BBDD_fashion_boutique[[#This Row],[purchase_date]],"dddd"))</f>
        <v>Miércoles</v>
      </c>
      <c r="O1622" s="1" t="str">
        <f>PROPER(TEXT(BBDD_fashion_boutique[[#This Row],[purchase_date]],"mmmm"))</f>
        <v>Agosto</v>
      </c>
      <c r="P1622" s="4">
        <v>38</v>
      </c>
      <c r="Q1622" s="2">
        <v>3.5</v>
      </c>
      <c r="R1622" t="str">
        <f>IF(BBDD_fashion_boutique[[#This Row],[stock_quantity]]&gt;9,"Ok",IF(BBDD_fashion_boutique[[#This Row],[stock_quantity]]=0,"Agotado","Pocas Unidades"))</f>
        <v>Ok</v>
      </c>
      <c r="S1622" s="3">
        <f>IF(BBDD_fashion_boutique[[#This Row],[customer_rating]]="","No valorado",BBDD_fashion_boutique[[#This Row],[customer_rating]])</f>
        <v>3.5</v>
      </c>
      <c r="T1622" t="s">
        <v>24</v>
      </c>
      <c r="V1622">
        <f>IF(BBDD_fashion_boutique[[#This Row],[is_returned]]="False",0,1)</f>
        <v>0</v>
      </c>
      <c r="W1622">
        <f>IF(BBDD_fashion_boutique[[#This Row],[is_returned]]="True",0,BBDD_fashion_boutique[[#This Row],[current_price]])</f>
        <v>241.81</v>
      </c>
      <c r="X1622" t="str">
        <f>IF(BBDD_fashion_boutique[[#This Row],[return_reason]]="","No return",BBDD_fashion_boutique[[#This Row],[return_reason]])</f>
        <v>No return</v>
      </c>
      <c r="Y1622">
        <f>IF(IFERROR(VLOOKUP(BBDD_fashion_boutique[[#This Row],[product_id]],A1623:A3798,1,FALSE),0),1,0)</f>
        <v>0</v>
      </c>
    </row>
    <row r="1623" spans="1:25" x14ac:dyDescent="0.3">
      <c r="A1623" t="s">
        <v>1682</v>
      </c>
      <c r="B1623" t="s">
        <v>19</v>
      </c>
      <c r="C1623" t="s">
        <v>49</v>
      </c>
      <c r="D1623" t="s">
        <v>21</v>
      </c>
      <c r="E1623" t="s">
        <v>61</v>
      </c>
      <c r="F1623" t="str">
        <f>IF(BBDD_fashion_boutique[[#This Row],[category]]="Accessories","Accesorio",IF(BBDD_fashion_boutique[[#This Row],[size]]="","Desconocido",BBDD_fashion_boutique[[#This Row],[size]]))</f>
        <v>XS</v>
      </c>
      <c r="G1623" t="s">
        <v>40</v>
      </c>
      <c r="H1623" s="2">
        <v>216.46</v>
      </c>
      <c r="I1623">
        <v>28.8</v>
      </c>
      <c r="J1623" s="5">
        <f>BBDD_fashion_boutique[[#This Row],[markdown_percentage]]/100</f>
        <v>0.28800000000000003</v>
      </c>
      <c r="K1623" s="2">
        <v>154.12</v>
      </c>
      <c r="L1623" s="2">
        <f>BBDD_fashion_boutique[[#This Row],[original_price]]-BBDD_fashion_boutique[[#This Row],[current_price]]</f>
        <v>62.34</v>
      </c>
      <c r="M1623" s="1">
        <v>45516</v>
      </c>
      <c r="N1623" s="1" t="str">
        <f>PROPER(TEXT(BBDD_fashion_boutique[[#This Row],[purchase_date]],"dddd"))</f>
        <v>Lunes</v>
      </c>
      <c r="O1623" s="1" t="str">
        <f>PROPER(TEXT(BBDD_fashion_boutique[[#This Row],[purchase_date]],"mmmm"))</f>
        <v>Agosto</v>
      </c>
      <c r="P1623" s="4">
        <v>43</v>
      </c>
      <c r="Q1623" s="2">
        <v>1.3</v>
      </c>
      <c r="R1623" t="str">
        <f>IF(BBDD_fashion_boutique[[#This Row],[stock_quantity]]&gt;9,"Ok",IF(BBDD_fashion_boutique[[#This Row],[stock_quantity]]=0,"Agotado","Pocas Unidades"))</f>
        <v>Ok</v>
      </c>
      <c r="S1623" s="3">
        <f>IF(BBDD_fashion_boutique[[#This Row],[customer_rating]]="","No valorado",BBDD_fashion_boutique[[#This Row],[customer_rating]])</f>
        <v>1.3</v>
      </c>
      <c r="T1623" t="s">
        <v>24</v>
      </c>
      <c r="V1623">
        <f>IF(BBDD_fashion_boutique[[#This Row],[is_returned]]="False",0,1)</f>
        <v>0</v>
      </c>
      <c r="W1623">
        <f>IF(BBDD_fashion_boutique[[#This Row],[is_returned]]="True",0,BBDD_fashion_boutique[[#This Row],[current_price]])</f>
        <v>154.12</v>
      </c>
      <c r="X1623" t="str">
        <f>IF(BBDD_fashion_boutique[[#This Row],[return_reason]]="","No return",BBDD_fashion_boutique[[#This Row],[return_reason]])</f>
        <v>No return</v>
      </c>
      <c r="Y1623">
        <f>IF(IFERROR(VLOOKUP(BBDD_fashion_boutique[[#This Row],[product_id]],A1624:A3799,1,FALSE),0),1,0)</f>
        <v>0</v>
      </c>
    </row>
    <row r="1624" spans="1:25" x14ac:dyDescent="0.3">
      <c r="A1624" t="s">
        <v>1683</v>
      </c>
      <c r="B1624" t="s">
        <v>48</v>
      </c>
      <c r="C1624" t="s">
        <v>27</v>
      </c>
      <c r="D1624" t="s">
        <v>21</v>
      </c>
      <c r="E1624" t="s">
        <v>45</v>
      </c>
      <c r="F1624" t="str">
        <f>IF(BBDD_fashion_boutique[[#This Row],[category]]="Accessories","Accesorio",IF(BBDD_fashion_boutique[[#This Row],[size]]="","Desconocido",BBDD_fashion_boutique[[#This Row],[size]]))</f>
        <v>S</v>
      </c>
      <c r="G1624" t="s">
        <v>30</v>
      </c>
      <c r="H1624" s="2">
        <v>63.07</v>
      </c>
      <c r="I1624">
        <v>53.6</v>
      </c>
      <c r="J1624" s="5">
        <f>BBDD_fashion_boutique[[#This Row],[markdown_percentage]]/100</f>
        <v>0.53600000000000003</v>
      </c>
      <c r="K1624" s="2">
        <v>29.26</v>
      </c>
      <c r="L1624" s="2">
        <f>BBDD_fashion_boutique[[#This Row],[original_price]]-BBDD_fashion_boutique[[#This Row],[current_price]]</f>
        <v>33.81</v>
      </c>
      <c r="M1624" s="1">
        <v>45797</v>
      </c>
      <c r="N1624" s="1" t="str">
        <f>PROPER(TEXT(BBDD_fashion_boutique[[#This Row],[purchase_date]],"dddd"))</f>
        <v>Martes</v>
      </c>
      <c r="O1624" s="1" t="str">
        <f>PROPER(TEXT(BBDD_fashion_boutique[[#This Row],[purchase_date]],"mmmm"))</f>
        <v>Mayo</v>
      </c>
      <c r="P1624" s="4">
        <v>4</v>
      </c>
      <c r="Q1624" s="2">
        <v>1.5</v>
      </c>
      <c r="R1624" t="str">
        <f>IF(BBDD_fashion_boutique[[#This Row],[stock_quantity]]&gt;9,"Ok",IF(BBDD_fashion_boutique[[#This Row],[stock_quantity]]=0,"Agotado","Pocas Unidades"))</f>
        <v>Pocas Unidades</v>
      </c>
      <c r="S1624" s="3">
        <f>IF(BBDD_fashion_boutique[[#This Row],[customer_rating]]="","No valorado",BBDD_fashion_boutique[[#This Row],[customer_rating]])</f>
        <v>1.5</v>
      </c>
      <c r="T1624" t="s">
        <v>41</v>
      </c>
      <c r="U1624" t="s">
        <v>42</v>
      </c>
      <c r="V1624">
        <f>IF(BBDD_fashion_boutique[[#This Row],[is_returned]]="False",0,1)</f>
        <v>1</v>
      </c>
      <c r="W1624">
        <f>IF(BBDD_fashion_boutique[[#This Row],[is_returned]]="True",0,BBDD_fashion_boutique[[#This Row],[current_price]])</f>
        <v>0</v>
      </c>
      <c r="X1624" t="str">
        <f>IF(BBDD_fashion_boutique[[#This Row],[return_reason]]="","No return",BBDD_fashion_boutique[[#This Row],[return_reason]])</f>
        <v>Color Mismatch</v>
      </c>
      <c r="Y1624">
        <f>IF(IFERROR(VLOOKUP(BBDD_fashion_boutique[[#This Row],[product_id]],A1625:A3800,1,FALSE),0),1,0)</f>
        <v>0</v>
      </c>
    </row>
    <row r="1625" spans="1:25" x14ac:dyDescent="0.3">
      <c r="A1625" t="s">
        <v>1684</v>
      </c>
      <c r="B1625" t="s">
        <v>32</v>
      </c>
      <c r="C1625" t="s">
        <v>37</v>
      </c>
      <c r="D1625" t="s">
        <v>21</v>
      </c>
      <c r="F1625" t="str">
        <f>IF(BBDD_fashion_boutique[[#This Row],[category]]="Accessories","Accesorio",IF(BBDD_fashion_boutique[[#This Row],[size]]="","Desconocido",BBDD_fashion_boutique[[#This Row],[size]]))</f>
        <v>Accesorio</v>
      </c>
      <c r="G1625" t="s">
        <v>52</v>
      </c>
      <c r="H1625" s="2">
        <v>44.7</v>
      </c>
      <c r="I1625">
        <v>0</v>
      </c>
      <c r="J1625" s="5">
        <f>BBDD_fashion_boutique[[#This Row],[markdown_percentage]]/100</f>
        <v>0</v>
      </c>
      <c r="K1625" s="2">
        <v>44.7</v>
      </c>
      <c r="L1625" s="2">
        <f>BBDD_fashion_boutique[[#This Row],[original_price]]-BBDD_fashion_boutique[[#This Row],[current_price]]</f>
        <v>0</v>
      </c>
      <c r="M1625" s="1">
        <v>45733</v>
      </c>
      <c r="N1625" s="1" t="str">
        <f>PROPER(TEXT(BBDD_fashion_boutique[[#This Row],[purchase_date]],"dddd"))</f>
        <v>Lunes</v>
      </c>
      <c r="O1625" s="1" t="str">
        <f>PROPER(TEXT(BBDD_fashion_boutique[[#This Row],[purchase_date]],"mmmm"))</f>
        <v>Marzo</v>
      </c>
      <c r="P1625" s="4">
        <v>29</v>
      </c>
      <c r="Q1625" s="2">
        <v>3.2</v>
      </c>
      <c r="R1625" t="str">
        <f>IF(BBDD_fashion_boutique[[#This Row],[stock_quantity]]&gt;9,"Ok",IF(BBDD_fashion_boutique[[#This Row],[stock_quantity]]=0,"Agotado","Pocas Unidades"))</f>
        <v>Ok</v>
      </c>
      <c r="S1625" s="3">
        <f>IF(BBDD_fashion_boutique[[#This Row],[customer_rating]]="","No valorado",BBDD_fashion_boutique[[#This Row],[customer_rating]])</f>
        <v>3.2</v>
      </c>
      <c r="T1625" t="s">
        <v>24</v>
      </c>
      <c r="V1625">
        <f>IF(BBDD_fashion_boutique[[#This Row],[is_returned]]="False",0,1)</f>
        <v>0</v>
      </c>
      <c r="W1625">
        <f>IF(BBDD_fashion_boutique[[#This Row],[is_returned]]="True",0,BBDD_fashion_boutique[[#This Row],[current_price]])</f>
        <v>44.7</v>
      </c>
      <c r="X1625" t="str">
        <f>IF(BBDD_fashion_boutique[[#This Row],[return_reason]]="","No return",BBDD_fashion_boutique[[#This Row],[return_reason]])</f>
        <v>No return</v>
      </c>
      <c r="Y1625">
        <f>IF(IFERROR(VLOOKUP(BBDD_fashion_boutique[[#This Row],[product_id]],A1626:A3801,1,FALSE),0),1,0)</f>
        <v>0</v>
      </c>
    </row>
    <row r="1626" spans="1:25" x14ac:dyDescent="0.3">
      <c r="A1626" t="s">
        <v>1685</v>
      </c>
      <c r="B1626" t="s">
        <v>26</v>
      </c>
      <c r="C1626" t="s">
        <v>20</v>
      </c>
      <c r="D1626" t="s">
        <v>39</v>
      </c>
      <c r="E1626" t="s">
        <v>55</v>
      </c>
      <c r="F1626" t="str">
        <f>IF(BBDD_fashion_boutique[[#This Row],[category]]="Accessories","Accesorio",IF(BBDD_fashion_boutique[[#This Row],[size]]="","Desconocido",BBDD_fashion_boutique[[#This Row],[size]]))</f>
        <v>XXL</v>
      </c>
      <c r="G1626" t="s">
        <v>40</v>
      </c>
      <c r="H1626" s="2">
        <v>28.23</v>
      </c>
      <c r="I1626">
        <v>40.299999999999997</v>
      </c>
      <c r="J1626" s="5">
        <f>BBDD_fashion_boutique[[#This Row],[markdown_percentage]]/100</f>
        <v>0.40299999999999997</v>
      </c>
      <c r="K1626" s="2">
        <v>16.850000000000001</v>
      </c>
      <c r="L1626" s="2">
        <f>BBDD_fashion_boutique[[#This Row],[original_price]]-BBDD_fashion_boutique[[#This Row],[current_price]]</f>
        <v>11.379999999999999</v>
      </c>
      <c r="M1626" s="1">
        <v>45875</v>
      </c>
      <c r="N1626" s="1" t="str">
        <f>PROPER(TEXT(BBDD_fashion_boutique[[#This Row],[purchase_date]],"dddd"))</f>
        <v>Miércoles</v>
      </c>
      <c r="O1626" s="1" t="str">
        <f>PROPER(TEXT(BBDD_fashion_boutique[[#This Row],[purchase_date]],"mmmm"))</f>
        <v>Agosto</v>
      </c>
      <c r="P1626" s="4">
        <v>21</v>
      </c>
      <c r="Q1626" s="2">
        <v>2.7</v>
      </c>
      <c r="R1626" t="str">
        <f>IF(BBDD_fashion_boutique[[#This Row],[stock_quantity]]&gt;9,"Ok",IF(BBDD_fashion_boutique[[#This Row],[stock_quantity]]=0,"Agotado","Pocas Unidades"))</f>
        <v>Ok</v>
      </c>
      <c r="S1626" s="3">
        <f>IF(BBDD_fashion_boutique[[#This Row],[customer_rating]]="","No valorado",BBDD_fashion_boutique[[#This Row],[customer_rating]])</f>
        <v>2.7</v>
      </c>
      <c r="T1626" t="s">
        <v>24</v>
      </c>
      <c r="V1626">
        <f>IF(BBDD_fashion_boutique[[#This Row],[is_returned]]="False",0,1)</f>
        <v>0</v>
      </c>
      <c r="W1626">
        <f>IF(BBDD_fashion_boutique[[#This Row],[is_returned]]="True",0,BBDD_fashion_boutique[[#This Row],[current_price]])</f>
        <v>16.850000000000001</v>
      </c>
      <c r="X1626" t="str">
        <f>IF(BBDD_fashion_boutique[[#This Row],[return_reason]]="","No return",BBDD_fashion_boutique[[#This Row],[return_reason]])</f>
        <v>No return</v>
      </c>
      <c r="Y1626">
        <f>IF(IFERROR(VLOOKUP(BBDD_fashion_boutique[[#This Row],[product_id]],A1627:A3802,1,FALSE),0),1,0)</f>
        <v>0</v>
      </c>
    </row>
    <row r="1627" spans="1:25" x14ac:dyDescent="0.3">
      <c r="A1627" t="s">
        <v>1686</v>
      </c>
      <c r="B1627" t="s">
        <v>35</v>
      </c>
      <c r="C1627" t="s">
        <v>59</v>
      </c>
      <c r="D1627" t="s">
        <v>39</v>
      </c>
      <c r="E1627" t="s">
        <v>55</v>
      </c>
      <c r="F1627" t="str">
        <f>IF(BBDD_fashion_boutique[[#This Row],[category]]="Accessories","Accesorio",IF(BBDD_fashion_boutique[[#This Row],[size]]="","Desconocido",BBDD_fashion_boutique[[#This Row],[size]]))</f>
        <v>XXL</v>
      </c>
      <c r="G1627" t="s">
        <v>52</v>
      </c>
      <c r="H1627" s="2">
        <v>131.94</v>
      </c>
      <c r="I1627">
        <v>27.3</v>
      </c>
      <c r="J1627" s="5">
        <f>BBDD_fashion_boutique[[#This Row],[markdown_percentage]]/100</f>
        <v>0.27300000000000002</v>
      </c>
      <c r="K1627" s="2">
        <v>95.92</v>
      </c>
      <c r="L1627" s="2">
        <f>BBDD_fashion_boutique[[#This Row],[original_price]]-BBDD_fashion_boutique[[#This Row],[current_price]]</f>
        <v>36.019999999999996</v>
      </c>
      <c r="M1627" s="1">
        <v>45875</v>
      </c>
      <c r="N1627" s="1" t="str">
        <f>PROPER(TEXT(BBDD_fashion_boutique[[#This Row],[purchase_date]],"dddd"))</f>
        <v>Miércoles</v>
      </c>
      <c r="O1627" s="1" t="str">
        <f>PROPER(TEXT(BBDD_fashion_boutique[[#This Row],[purchase_date]],"mmmm"))</f>
        <v>Agosto</v>
      </c>
      <c r="P1627" s="4">
        <v>6</v>
      </c>
      <c r="Q1627" s="2">
        <v>2.8</v>
      </c>
      <c r="R1627" t="str">
        <f>IF(BBDD_fashion_boutique[[#This Row],[stock_quantity]]&gt;9,"Ok",IF(BBDD_fashion_boutique[[#This Row],[stock_quantity]]=0,"Agotado","Pocas Unidades"))</f>
        <v>Pocas Unidades</v>
      </c>
      <c r="S1627" s="3">
        <f>IF(BBDD_fashion_boutique[[#This Row],[customer_rating]]="","No valorado",BBDD_fashion_boutique[[#This Row],[customer_rating]])</f>
        <v>2.8</v>
      </c>
      <c r="T1627" t="s">
        <v>41</v>
      </c>
      <c r="U1627" t="s">
        <v>84</v>
      </c>
      <c r="V1627">
        <f>IF(BBDD_fashion_boutique[[#This Row],[is_returned]]="False",0,1)</f>
        <v>1</v>
      </c>
      <c r="W1627">
        <f>IF(BBDD_fashion_boutique[[#This Row],[is_returned]]="True",0,BBDD_fashion_boutique[[#This Row],[current_price]])</f>
        <v>0</v>
      </c>
      <c r="X1627" t="str">
        <f>IF(BBDD_fashion_boutique[[#This Row],[return_reason]]="","No return",BBDD_fashion_boutique[[#This Row],[return_reason]])</f>
        <v>Damaged</v>
      </c>
      <c r="Y1627">
        <f>IF(IFERROR(VLOOKUP(BBDD_fashion_boutique[[#This Row],[product_id]],A1628:A3803,1,FALSE),0),1,0)</f>
        <v>0</v>
      </c>
    </row>
    <row r="1628" spans="1:25" x14ac:dyDescent="0.3">
      <c r="A1628" t="s">
        <v>1687</v>
      </c>
      <c r="B1628" t="s">
        <v>19</v>
      </c>
      <c r="C1628" t="s">
        <v>81</v>
      </c>
      <c r="D1628" t="s">
        <v>39</v>
      </c>
      <c r="E1628" t="s">
        <v>64</v>
      </c>
      <c r="F1628" t="str">
        <f>IF(BBDD_fashion_boutique[[#This Row],[category]]="Accessories","Accesorio",IF(BBDD_fashion_boutique[[#This Row],[size]]="","Desconocido",BBDD_fashion_boutique[[#This Row],[size]]))</f>
        <v>M</v>
      </c>
      <c r="G1628" t="s">
        <v>50</v>
      </c>
      <c r="H1628" s="2">
        <v>166.85</v>
      </c>
      <c r="I1628">
        <v>30.9</v>
      </c>
      <c r="J1628" s="5">
        <f>BBDD_fashion_boutique[[#This Row],[markdown_percentage]]/100</f>
        <v>0.309</v>
      </c>
      <c r="K1628" s="2">
        <v>115.29</v>
      </c>
      <c r="L1628" s="2">
        <f>BBDD_fashion_boutique[[#This Row],[original_price]]-BBDD_fashion_boutique[[#This Row],[current_price]]</f>
        <v>51.559999999999988</v>
      </c>
      <c r="M1628" s="1">
        <v>45875</v>
      </c>
      <c r="N1628" s="1" t="str">
        <f>PROPER(TEXT(BBDD_fashion_boutique[[#This Row],[purchase_date]],"dddd"))</f>
        <v>Miércoles</v>
      </c>
      <c r="O1628" s="1" t="str">
        <f>PROPER(TEXT(BBDD_fashion_boutique[[#This Row],[purchase_date]],"mmmm"))</f>
        <v>Agosto</v>
      </c>
      <c r="P1628" s="4">
        <v>14</v>
      </c>
      <c r="Q1628" s="2">
        <v>4.2</v>
      </c>
      <c r="R1628" t="str">
        <f>IF(BBDD_fashion_boutique[[#This Row],[stock_quantity]]&gt;9,"Ok",IF(BBDD_fashion_boutique[[#This Row],[stock_quantity]]=0,"Agotado","Pocas Unidades"))</f>
        <v>Ok</v>
      </c>
      <c r="S1628" s="3">
        <f>IF(BBDD_fashion_boutique[[#This Row],[customer_rating]]="","No valorado",BBDD_fashion_boutique[[#This Row],[customer_rating]])</f>
        <v>4.2</v>
      </c>
      <c r="T1628" t="s">
        <v>41</v>
      </c>
      <c r="U1628" t="s">
        <v>121</v>
      </c>
      <c r="V1628">
        <f>IF(BBDD_fashion_boutique[[#This Row],[is_returned]]="False",0,1)</f>
        <v>1</v>
      </c>
      <c r="W1628">
        <f>IF(BBDD_fashion_boutique[[#This Row],[is_returned]]="True",0,BBDD_fashion_boutique[[#This Row],[current_price]])</f>
        <v>0</v>
      </c>
      <c r="X1628" t="str">
        <f>IF(BBDD_fashion_boutique[[#This Row],[return_reason]]="","No return",BBDD_fashion_boutique[[#This Row],[return_reason]])</f>
        <v>Changed Mind</v>
      </c>
      <c r="Y1628">
        <f>IF(IFERROR(VLOOKUP(BBDD_fashion_boutique[[#This Row],[product_id]],A1629:A3804,1,FALSE),0),1,0)</f>
        <v>0</v>
      </c>
    </row>
    <row r="1629" spans="1:25" x14ac:dyDescent="0.3">
      <c r="A1629" t="s">
        <v>1688</v>
      </c>
      <c r="B1629" t="s">
        <v>26</v>
      </c>
      <c r="C1629" t="s">
        <v>37</v>
      </c>
      <c r="D1629" t="s">
        <v>28</v>
      </c>
      <c r="E1629" t="s">
        <v>45</v>
      </c>
      <c r="F1629" t="str">
        <f>IF(BBDD_fashion_boutique[[#This Row],[category]]="Accessories","Accesorio",IF(BBDD_fashion_boutique[[#This Row],[size]]="","Desconocido",BBDD_fashion_boutique[[#This Row],[size]]))</f>
        <v>S</v>
      </c>
      <c r="G1629" t="s">
        <v>70</v>
      </c>
      <c r="H1629" s="2">
        <v>39.58</v>
      </c>
      <c r="I1629">
        <v>30.9</v>
      </c>
      <c r="J1629" s="5">
        <f>BBDD_fashion_boutique[[#This Row],[markdown_percentage]]/100</f>
        <v>0.309</v>
      </c>
      <c r="K1629" s="2">
        <v>27.35</v>
      </c>
      <c r="L1629" s="2">
        <f>BBDD_fashion_boutique[[#This Row],[original_price]]-BBDD_fashion_boutique[[#This Row],[current_price]]</f>
        <v>12.229999999999997</v>
      </c>
      <c r="M1629" s="1">
        <v>45875</v>
      </c>
      <c r="N1629" s="1" t="str">
        <f>PROPER(TEXT(BBDD_fashion_boutique[[#This Row],[purchase_date]],"dddd"))</f>
        <v>Miércoles</v>
      </c>
      <c r="O1629" s="1" t="str">
        <f>PROPER(TEXT(BBDD_fashion_boutique[[#This Row],[purchase_date]],"mmmm"))</f>
        <v>Agosto</v>
      </c>
      <c r="P1629" s="4">
        <v>17</v>
      </c>
      <c r="Q1629" s="2">
        <v>2.5</v>
      </c>
      <c r="R1629" t="str">
        <f>IF(BBDD_fashion_boutique[[#This Row],[stock_quantity]]&gt;9,"Ok",IF(BBDD_fashion_boutique[[#This Row],[stock_quantity]]=0,"Agotado","Pocas Unidades"))</f>
        <v>Ok</v>
      </c>
      <c r="S1629" s="3">
        <f>IF(BBDD_fashion_boutique[[#This Row],[customer_rating]]="","No valorado",BBDD_fashion_boutique[[#This Row],[customer_rating]])</f>
        <v>2.5</v>
      </c>
      <c r="T1629" t="s">
        <v>24</v>
      </c>
      <c r="V1629">
        <f>IF(BBDD_fashion_boutique[[#This Row],[is_returned]]="False",0,1)</f>
        <v>0</v>
      </c>
      <c r="W1629">
        <f>IF(BBDD_fashion_boutique[[#This Row],[is_returned]]="True",0,BBDD_fashion_boutique[[#This Row],[current_price]])</f>
        <v>27.35</v>
      </c>
      <c r="X1629" t="str">
        <f>IF(BBDD_fashion_boutique[[#This Row],[return_reason]]="","No return",BBDD_fashion_boutique[[#This Row],[return_reason]])</f>
        <v>No return</v>
      </c>
      <c r="Y1629">
        <f>IF(IFERROR(VLOOKUP(BBDD_fashion_boutique[[#This Row],[product_id]],A1630:A3805,1,FALSE),0),1,0)</f>
        <v>0</v>
      </c>
    </row>
    <row r="1630" spans="1:25" x14ac:dyDescent="0.3">
      <c r="A1630" t="s">
        <v>1689</v>
      </c>
      <c r="B1630" t="s">
        <v>19</v>
      </c>
      <c r="C1630" t="s">
        <v>27</v>
      </c>
      <c r="D1630" t="s">
        <v>68</v>
      </c>
      <c r="E1630" t="s">
        <v>64</v>
      </c>
      <c r="F1630" t="str">
        <f>IF(BBDD_fashion_boutique[[#This Row],[category]]="Accessories","Accesorio",IF(BBDD_fashion_boutique[[#This Row],[size]]="","Desconocido",BBDD_fashion_boutique[[#This Row],[size]]))</f>
        <v>M</v>
      </c>
      <c r="G1630" t="s">
        <v>50</v>
      </c>
      <c r="H1630" s="2">
        <v>89.55</v>
      </c>
      <c r="I1630">
        <v>58</v>
      </c>
      <c r="J1630" s="5">
        <f>BBDD_fashion_boutique[[#This Row],[markdown_percentage]]/100</f>
        <v>0.57999999999999996</v>
      </c>
      <c r="K1630" s="2">
        <v>37.61</v>
      </c>
      <c r="L1630" s="2">
        <f>BBDD_fashion_boutique[[#This Row],[original_price]]-BBDD_fashion_boutique[[#This Row],[current_price]]</f>
        <v>51.94</v>
      </c>
      <c r="M1630" s="1">
        <v>45875</v>
      </c>
      <c r="N1630" s="1" t="str">
        <f>PROPER(TEXT(BBDD_fashion_boutique[[#This Row],[purchase_date]],"dddd"))</f>
        <v>Miércoles</v>
      </c>
      <c r="O1630" s="1" t="str">
        <f>PROPER(TEXT(BBDD_fashion_boutique[[#This Row],[purchase_date]],"mmmm"))</f>
        <v>Agosto</v>
      </c>
      <c r="P1630" s="4">
        <v>21</v>
      </c>
      <c r="Q1630" s="2">
        <v>2.6</v>
      </c>
      <c r="R1630" t="str">
        <f>IF(BBDD_fashion_boutique[[#This Row],[stock_quantity]]&gt;9,"Ok",IF(BBDD_fashion_boutique[[#This Row],[stock_quantity]]=0,"Agotado","Pocas Unidades"))</f>
        <v>Ok</v>
      </c>
      <c r="S1630" s="3">
        <f>IF(BBDD_fashion_boutique[[#This Row],[customer_rating]]="","No valorado",BBDD_fashion_boutique[[#This Row],[customer_rating]])</f>
        <v>2.6</v>
      </c>
      <c r="T1630" t="s">
        <v>24</v>
      </c>
      <c r="V1630">
        <f>IF(BBDD_fashion_boutique[[#This Row],[is_returned]]="False",0,1)</f>
        <v>0</v>
      </c>
      <c r="W1630">
        <f>IF(BBDD_fashion_boutique[[#This Row],[is_returned]]="True",0,BBDD_fashion_boutique[[#This Row],[current_price]])</f>
        <v>37.61</v>
      </c>
      <c r="X1630" t="str">
        <f>IF(BBDD_fashion_boutique[[#This Row],[return_reason]]="","No return",BBDD_fashion_boutique[[#This Row],[return_reason]])</f>
        <v>No return</v>
      </c>
      <c r="Y1630">
        <f>IF(IFERROR(VLOOKUP(BBDD_fashion_boutique[[#This Row],[product_id]],A1631:A3806,1,FALSE),0),1,0)</f>
        <v>0</v>
      </c>
    </row>
    <row r="1631" spans="1:25" x14ac:dyDescent="0.3">
      <c r="A1631" t="s">
        <v>1690</v>
      </c>
      <c r="B1631" t="s">
        <v>19</v>
      </c>
      <c r="C1631" t="s">
        <v>49</v>
      </c>
      <c r="D1631" t="s">
        <v>39</v>
      </c>
      <c r="E1631" t="s">
        <v>64</v>
      </c>
      <c r="F1631" t="str">
        <f>IF(BBDD_fashion_boutique[[#This Row],[category]]="Accessories","Accesorio",IF(BBDD_fashion_boutique[[#This Row],[size]]="","Desconocido",BBDD_fashion_boutique[[#This Row],[size]]))</f>
        <v>M</v>
      </c>
      <c r="G1631" t="s">
        <v>72</v>
      </c>
      <c r="H1631" s="2">
        <v>138.55000000000001</v>
      </c>
      <c r="I1631">
        <v>0</v>
      </c>
      <c r="J1631" s="5">
        <f>BBDD_fashion_boutique[[#This Row],[markdown_percentage]]/100</f>
        <v>0</v>
      </c>
      <c r="K1631" s="2">
        <v>138.55000000000001</v>
      </c>
      <c r="L1631" s="2">
        <f>BBDD_fashion_boutique[[#This Row],[original_price]]-BBDD_fashion_boutique[[#This Row],[current_price]]</f>
        <v>0</v>
      </c>
      <c r="M1631" s="1">
        <v>45875</v>
      </c>
      <c r="N1631" s="1" t="str">
        <f>PROPER(TEXT(BBDD_fashion_boutique[[#This Row],[purchase_date]],"dddd"))</f>
        <v>Miércoles</v>
      </c>
      <c r="O1631" s="1" t="str">
        <f>PROPER(TEXT(BBDD_fashion_boutique[[#This Row],[purchase_date]],"mmmm"))</f>
        <v>Agosto</v>
      </c>
      <c r="P1631" s="4">
        <v>25</v>
      </c>
      <c r="Q1631" s="2">
        <v>2</v>
      </c>
      <c r="R1631" t="str">
        <f>IF(BBDD_fashion_boutique[[#This Row],[stock_quantity]]&gt;9,"Ok",IF(BBDD_fashion_boutique[[#This Row],[stock_quantity]]=0,"Agotado","Pocas Unidades"))</f>
        <v>Ok</v>
      </c>
      <c r="S1631" s="3">
        <f>IF(BBDD_fashion_boutique[[#This Row],[customer_rating]]="","No valorado",BBDD_fashion_boutique[[#This Row],[customer_rating]])</f>
        <v>2</v>
      </c>
      <c r="T1631" t="s">
        <v>24</v>
      </c>
      <c r="V1631">
        <f>IF(BBDD_fashion_boutique[[#This Row],[is_returned]]="False",0,1)</f>
        <v>0</v>
      </c>
      <c r="W1631">
        <f>IF(BBDD_fashion_boutique[[#This Row],[is_returned]]="True",0,BBDD_fashion_boutique[[#This Row],[current_price]])</f>
        <v>138.55000000000001</v>
      </c>
      <c r="X1631" t="str">
        <f>IF(BBDD_fashion_boutique[[#This Row],[return_reason]]="","No return",BBDD_fashion_boutique[[#This Row],[return_reason]])</f>
        <v>No return</v>
      </c>
      <c r="Y1631">
        <f>IF(IFERROR(VLOOKUP(BBDD_fashion_boutique[[#This Row],[product_id]],A1632:A3807,1,FALSE),0),1,0)</f>
        <v>0</v>
      </c>
    </row>
    <row r="1632" spans="1:25" x14ac:dyDescent="0.3">
      <c r="A1632" t="s">
        <v>1691</v>
      </c>
      <c r="B1632" t="s">
        <v>32</v>
      </c>
      <c r="C1632" t="s">
        <v>27</v>
      </c>
      <c r="D1632" t="s">
        <v>39</v>
      </c>
      <c r="F1632" t="str">
        <f>IF(BBDD_fashion_boutique[[#This Row],[category]]="Accessories","Accesorio",IF(BBDD_fashion_boutique[[#This Row],[size]]="","Desconocido",BBDD_fashion_boutique[[#This Row],[size]]))</f>
        <v>Accesorio</v>
      </c>
      <c r="G1632" t="s">
        <v>62</v>
      </c>
      <c r="H1632" s="2">
        <v>43.84</v>
      </c>
      <c r="I1632">
        <v>0</v>
      </c>
      <c r="J1632" s="5">
        <f>BBDD_fashion_boutique[[#This Row],[markdown_percentage]]/100</f>
        <v>0</v>
      </c>
      <c r="K1632" s="2">
        <v>43.84</v>
      </c>
      <c r="L1632" s="2">
        <f>BBDD_fashion_boutique[[#This Row],[original_price]]-BBDD_fashion_boutique[[#This Row],[current_price]]</f>
        <v>0</v>
      </c>
      <c r="M1632" s="1">
        <v>45875</v>
      </c>
      <c r="N1632" s="1" t="str">
        <f>PROPER(TEXT(BBDD_fashion_boutique[[#This Row],[purchase_date]],"dddd"))</f>
        <v>Miércoles</v>
      </c>
      <c r="O1632" s="1" t="str">
        <f>PROPER(TEXT(BBDD_fashion_boutique[[#This Row],[purchase_date]],"mmmm"))</f>
        <v>Agosto</v>
      </c>
      <c r="P1632" s="4">
        <v>28</v>
      </c>
      <c r="Q1632" s="2">
        <v>2.8</v>
      </c>
      <c r="R1632" t="str">
        <f>IF(BBDD_fashion_boutique[[#This Row],[stock_quantity]]&gt;9,"Ok",IF(BBDD_fashion_boutique[[#This Row],[stock_quantity]]=0,"Agotado","Pocas Unidades"))</f>
        <v>Ok</v>
      </c>
      <c r="S1632" s="3">
        <f>IF(BBDD_fashion_boutique[[#This Row],[customer_rating]]="","No valorado",BBDD_fashion_boutique[[#This Row],[customer_rating]])</f>
        <v>2.8</v>
      </c>
      <c r="T1632" t="s">
        <v>24</v>
      </c>
      <c r="V1632">
        <f>IF(BBDD_fashion_boutique[[#This Row],[is_returned]]="False",0,1)</f>
        <v>0</v>
      </c>
      <c r="W1632">
        <f>IF(BBDD_fashion_boutique[[#This Row],[is_returned]]="True",0,BBDD_fashion_boutique[[#This Row],[current_price]])</f>
        <v>43.84</v>
      </c>
      <c r="X1632" t="str">
        <f>IF(BBDD_fashion_boutique[[#This Row],[return_reason]]="","No return",BBDD_fashion_boutique[[#This Row],[return_reason]])</f>
        <v>No return</v>
      </c>
      <c r="Y1632">
        <f>IF(IFERROR(VLOOKUP(BBDD_fashion_boutique[[#This Row],[product_id]],A1633:A3808,1,FALSE),0),1,0)</f>
        <v>0</v>
      </c>
    </row>
    <row r="1633" spans="1:25" x14ac:dyDescent="0.3">
      <c r="A1633" t="s">
        <v>1692</v>
      </c>
      <c r="B1633" t="s">
        <v>26</v>
      </c>
      <c r="C1633" t="s">
        <v>81</v>
      </c>
      <c r="D1633" t="s">
        <v>39</v>
      </c>
      <c r="E1633" t="s">
        <v>22</v>
      </c>
      <c r="F1633" t="str">
        <f>IF(BBDD_fashion_boutique[[#This Row],[category]]="Accessories","Accesorio",IF(BBDD_fashion_boutique[[#This Row],[size]]="","Desconocido",BBDD_fashion_boutique[[#This Row],[size]]))</f>
        <v>XL</v>
      </c>
      <c r="G1633" t="s">
        <v>76</v>
      </c>
      <c r="H1633" s="2">
        <v>63.72</v>
      </c>
      <c r="I1633">
        <v>17.8</v>
      </c>
      <c r="J1633" s="5">
        <f>BBDD_fashion_boutique[[#This Row],[markdown_percentage]]/100</f>
        <v>0.17800000000000002</v>
      </c>
      <c r="K1633" s="2">
        <v>52.38</v>
      </c>
      <c r="L1633" s="2">
        <f>BBDD_fashion_boutique[[#This Row],[original_price]]-BBDD_fashion_boutique[[#This Row],[current_price]]</f>
        <v>11.339999999999996</v>
      </c>
      <c r="M1633" s="1">
        <v>45875</v>
      </c>
      <c r="N1633" s="1" t="str">
        <f>PROPER(TEXT(BBDD_fashion_boutique[[#This Row],[purchase_date]],"dddd"))</f>
        <v>Miércoles</v>
      </c>
      <c r="O1633" s="1" t="str">
        <f>PROPER(TEXT(BBDD_fashion_boutique[[#This Row],[purchase_date]],"mmmm"))</f>
        <v>Agosto</v>
      </c>
      <c r="P1633" s="4">
        <v>45</v>
      </c>
      <c r="Q1633" s="2">
        <v>2.4</v>
      </c>
      <c r="R1633" t="str">
        <f>IF(BBDD_fashion_boutique[[#This Row],[stock_quantity]]&gt;9,"Ok",IF(BBDD_fashion_boutique[[#This Row],[stock_quantity]]=0,"Agotado","Pocas Unidades"))</f>
        <v>Ok</v>
      </c>
      <c r="S1633" s="3">
        <f>IF(BBDD_fashion_boutique[[#This Row],[customer_rating]]="","No valorado",BBDD_fashion_boutique[[#This Row],[customer_rating]])</f>
        <v>2.4</v>
      </c>
      <c r="T1633" t="s">
        <v>24</v>
      </c>
      <c r="V1633">
        <f>IF(BBDD_fashion_boutique[[#This Row],[is_returned]]="False",0,1)</f>
        <v>0</v>
      </c>
      <c r="W1633">
        <f>IF(BBDD_fashion_boutique[[#This Row],[is_returned]]="True",0,BBDD_fashion_boutique[[#This Row],[current_price]])</f>
        <v>52.38</v>
      </c>
      <c r="X1633" t="str">
        <f>IF(BBDD_fashion_boutique[[#This Row],[return_reason]]="","No return",BBDD_fashion_boutique[[#This Row],[return_reason]])</f>
        <v>No return</v>
      </c>
      <c r="Y1633">
        <f>IF(IFERROR(VLOOKUP(BBDD_fashion_boutique[[#This Row],[product_id]],A1634:A3809,1,FALSE),0),1,0)</f>
        <v>0</v>
      </c>
    </row>
    <row r="1634" spans="1:25" x14ac:dyDescent="0.3">
      <c r="A1634" t="s">
        <v>1693</v>
      </c>
      <c r="B1634" t="s">
        <v>32</v>
      </c>
      <c r="C1634" t="s">
        <v>20</v>
      </c>
      <c r="D1634" t="s">
        <v>21</v>
      </c>
      <c r="F1634" t="str">
        <f>IF(BBDD_fashion_boutique[[#This Row],[category]]="Accessories","Accesorio",IF(BBDD_fashion_boutique[[#This Row],[size]]="","Desconocido",BBDD_fashion_boutique[[#This Row],[size]]))</f>
        <v>Accesorio</v>
      </c>
      <c r="G1634" t="s">
        <v>23</v>
      </c>
      <c r="H1634" s="2">
        <v>74.61</v>
      </c>
      <c r="I1634">
        <v>0</v>
      </c>
      <c r="J1634" s="5">
        <f>BBDD_fashion_boutique[[#This Row],[markdown_percentage]]/100</f>
        <v>0</v>
      </c>
      <c r="K1634" s="2">
        <v>74.61</v>
      </c>
      <c r="L1634" s="2">
        <f>BBDD_fashion_boutique[[#This Row],[original_price]]-BBDD_fashion_boutique[[#This Row],[current_price]]</f>
        <v>0</v>
      </c>
      <c r="M1634" s="1">
        <v>45775</v>
      </c>
      <c r="N1634" s="1" t="str">
        <f>PROPER(TEXT(BBDD_fashion_boutique[[#This Row],[purchase_date]],"dddd"))</f>
        <v>Lunes</v>
      </c>
      <c r="O1634" s="1" t="str">
        <f>PROPER(TEXT(BBDD_fashion_boutique[[#This Row],[purchase_date]],"mmmm"))</f>
        <v>Abril</v>
      </c>
      <c r="P1634" s="4">
        <v>38</v>
      </c>
      <c r="Q1634" s="2">
        <v>2.8</v>
      </c>
      <c r="R1634" t="str">
        <f>IF(BBDD_fashion_boutique[[#This Row],[stock_quantity]]&gt;9,"Ok",IF(BBDD_fashion_boutique[[#This Row],[stock_quantity]]=0,"Agotado","Pocas Unidades"))</f>
        <v>Ok</v>
      </c>
      <c r="S1634" s="3">
        <f>IF(BBDD_fashion_boutique[[#This Row],[customer_rating]]="","No valorado",BBDD_fashion_boutique[[#This Row],[customer_rating]])</f>
        <v>2.8</v>
      </c>
      <c r="T1634" t="s">
        <v>24</v>
      </c>
      <c r="V1634">
        <f>IF(BBDD_fashion_boutique[[#This Row],[is_returned]]="False",0,1)</f>
        <v>0</v>
      </c>
      <c r="W1634">
        <f>IF(BBDD_fashion_boutique[[#This Row],[is_returned]]="True",0,BBDD_fashion_boutique[[#This Row],[current_price]])</f>
        <v>74.61</v>
      </c>
      <c r="X1634" t="str">
        <f>IF(BBDD_fashion_boutique[[#This Row],[return_reason]]="","No return",BBDD_fashion_boutique[[#This Row],[return_reason]])</f>
        <v>No return</v>
      </c>
      <c r="Y1634">
        <f>IF(IFERROR(VLOOKUP(BBDD_fashion_boutique[[#This Row],[product_id]],A1635:A3810,1,FALSE),0),1,0)</f>
        <v>0</v>
      </c>
    </row>
    <row r="1635" spans="1:25" x14ac:dyDescent="0.3">
      <c r="A1635" t="s">
        <v>1694</v>
      </c>
      <c r="B1635" t="s">
        <v>35</v>
      </c>
      <c r="C1635" t="s">
        <v>27</v>
      </c>
      <c r="D1635" t="s">
        <v>21</v>
      </c>
      <c r="E1635" t="s">
        <v>45</v>
      </c>
      <c r="F1635" t="str">
        <f>IF(BBDD_fashion_boutique[[#This Row],[category]]="Accessories","Accesorio",IF(BBDD_fashion_boutique[[#This Row],[size]]="","Desconocido",BBDD_fashion_boutique[[#This Row],[size]]))</f>
        <v>S</v>
      </c>
      <c r="G1635" t="s">
        <v>46</v>
      </c>
      <c r="H1635" s="2">
        <v>148.24</v>
      </c>
      <c r="I1635">
        <v>10.9</v>
      </c>
      <c r="J1635" s="5">
        <f>BBDD_fashion_boutique[[#This Row],[markdown_percentage]]/100</f>
        <v>0.109</v>
      </c>
      <c r="K1635" s="2">
        <v>132.08000000000001</v>
      </c>
      <c r="L1635" s="2">
        <f>BBDD_fashion_boutique[[#This Row],[original_price]]-BBDD_fashion_boutique[[#This Row],[current_price]]</f>
        <v>16.159999999999997</v>
      </c>
      <c r="M1635" s="1">
        <v>45531</v>
      </c>
      <c r="N1635" s="1" t="str">
        <f>PROPER(TEXT(BBDD_fashion_boutique[[#This Row],[purchase_date]],"dddd"))</f>
        <v>Martes</v>
      </c>
      <c r="O1635" s="1" t="str">
        <f>PROPER(TEXT(BBDD_fashion_boutique[[#This Row],[purchase_date]],"mmmm"))</f>
        <v>Agosto</v>
      </c>
      <c r="P1635" s="4">
        <v>44</v>
      </c>
      <c r="Q1635" s="2">
        <v>1.3</v>
      </c>
      <c r="R1635" t="str">
        <f>IF(BBDD_fashion_boutique[[#This Row],[stock_quantity]]&gt;9,"Ok",IF(BBDD_fashion_boutique[[#This Row],[stock_quantity]]=0,"Agotado","Pocas Unidades"))</f>
        <v>Ok</v>
      </c>
      <c r="S1635" s="3">
        <f>IF(BBDD_fashion_boutique[[#This Row],[customer_rating]]="","No valorado",BBDD_fashion_boutique[[#This Row],[customer_rating]])</f>
        <v>1.3</v>
      </c>
      <c r="T1635" t="s">
        <v>24</v>
      </c>
      <c r="V1635">
        <f>IF(BBDD_fashion_boutique[[#This Row],[is_returned]]="False",0,1)</f>
        <v>0</v>
      </c>
      <c r="W1635">
        <f>IF(BBDD_fashion_boutique[[#This Row],[is_returned]]="True",0,BBDD_fashion_boutique[[#This Row],[current_price]])</f>
        <v>132.08000000000001</v>
      </c>
      <c r="X1635" t="str">
        <f>IF(BBDD_fashion_boutique[[#This Row],[return_reason]]="","No return",BBDD_fashion_boutique[[#This Row],[return_reason]])</f>
        <v>No return</v>
      </c>
      <c r="Y1635">
        <f>IF(IFERROR(VLOOKUP(BBDD_fashion_boutique[[#This Row],[product_id]],A1636:A3811,1,FALSE),0),1,0)</f>
        <v>0</v>
      </c>
    </row>
    <row r="1636" spans="1:25" x14ac:dyDescent="0.3">
      <c r="A1636" t="s">
        <v>1695</v>
      </c>
      <c r="B1636" t="s">
        <v>26</v>
      </c>
      <c r="C1636" t="s">
        <v>67</v>
      </c>
      <c r="D1636" t="s">
        <v>21</v>
      </c>
      <c r="E1636" t="s">
        <v>22</v>
      </c>
      <c r="F1636" t="str">
        <f>IF(BBDD_fashion_boutique[[#This Row],[category]]="Accessories","Accesorio",IF(BBDD_fashion_boutique[[#This Row],[size]]="","Desconocido",BBDD_fashion_boutique[[#This Row],[size]]))</f>
        <v>XL</v>
      </c>
      <c r="G1636" t="s">
        <v>46</v>
      </c>
      <c r="H1636" s="2">
        <v>93.46</v>
      </c>
      <c r="I1636">
        <v>0</v>
      </c>
      <c r="J1636" s="5">
        <f>BBDD_fashion_boutique[[#This Row],[markdown_percentage]]/100</f>
        <v>0</v>
      </c>
      <c r="K1636" s="2">
        <v>93.46</v>
      </c>
      <c r="L1636" s="2">
        <f>BBDD_fashion_boutique[[#This Row],[original_price]]-BBDD_fashion_boutique[[#This Row],[current_price]]</f>
        <v>0</v>
      </c>
      <c r="M1636" s="1">
        <v>45700</v>
      </c>
      <c r="N1636" s="1" t="str">
        <f>PROPER(TEXT(BBDD_fashion_boutique[[#This Row],[purchase_date]],"dddd"))</f>
        <v>Miércoles</v>
      </c>
      <c r="O1636" s="1" t="str">
        <f>PROPER(TEXT(BBDD_fashion_boutique[[#This Row],[purchase_date]],"mmmm"))</f>
        <v>Febrero</v>
      </c>
      <c r="P1636" s="4">
        <v>20</v>
      </c>
      <c r="Q1636" s="2">
        <v>2.2000000000000002</v>
      </c>
      <c r="R1636" t="str">
        <f>IF(BBDD_fashion_boutique[[#This Row],[stock_quantity]]&gt;9,"Ok",IF(BBDD_fashion_boutique[[#This Row],[stock_quantity]]=0,"Agotado","Pocas Unidades"))</f>
        <v>Ok</v>
      </c>
      <c r="S1636" s="3">
        <f>IF(BBDD_fashion_boutique[[#This Row],[customer_rating]]="","No valorado",BBDD_fashion_boutique[[#This Row],[customer_rating]])</f>
        <v>2.2000000000000002</v>
      </c>
      <c r="T1636" t="s">
        <v>24</v>
      </c>
      <c r="V1636">
        <f>IF(BBDD_fashion_boutique[[#This Row],[is_returned]]="False",0,1)</f>
        <v>0</v>
      </c>
      <c r="W1636">
        <f>IF(BBDD_fashion_boutique[[#This Row],[is_returned]]="True",0,BBDD_fashion_boutique[[#This Row],[current_price]])</f>
        <v>93.46</v>
      </c>
      <c r="X1636" t="str">
        <f>IF(BBDD_fashion_boutique[[#This Row],[return_reason]]="","No return",BBDD_fashion_boutique[[#This Row],[return_reason]])</f>
        <v>No return</v>
      </c>
      <c r="Y1636">
        <f>IF(IFERROR(VLOOKUP(BBDD_fashion_boutique[[#This Row],[product_id]],A1637:A3812,1,FALSE),0),1,0)</f>
        <v>0</v>
      </c>
    </row>
    <row r="1637" spans="1:25" x14ac:dyDescent="0.3">
      <c r="A1637" t="s">
        <v>1696</v>
      </c>
      <c r="B1637" t="s">
        <v>19</v>
      </c>
      <c r="C1637" t="s">
        <v>27</v>
      </c>
      <c r="D1637" t="s">
        <v>68</v>
      </c>
      <c r="E1637" t="s">
        <v>55</v>
      </c>
      <c r="F1637" t="str">
        <f>IF(BBDD_fashion_boutique[[#This Row],[category]]="Accessories","Accesorio",IF(BBDD_fashion_boutique[[#This Row],[size]]="","Desconocido",BBDD_fashion_boutique[[#This Row],[size]]))</f>
        <v>XXL</v>
      </c>
      <c r="G1637" t="s">
        <v>23</v>
      </c>
      <c r="H1637" s="2">
        <v>245.31</v>
      </c>
      <c r="I1637">
        <v>44.1</v>
      </c>
      <c r="J1637" s="5">
        <f>BBDD_fashion_boutique[[#This Row],[markdown_percentage]]/100</f>
        <v>0.441</v>
      </c>
      <c r="K1637" s="2">
        <v>137.13</v>
      </c>
      <c r="L1637" s="2">
        <f>BBDD_fashion_boutique[[#This Row],[original_price]]-BBDD_fashion_boutique[[#This Row],[current_price]]</f>
        <v>108.18</v>
      </c>
      <c r="M1637" s="1">
        <v>45875</v>
      </c>
      <c r="N1637" s="1" t="str">
        <f>PROPER(TEXT(BBDD_fashion_boutique[[#This Row],[purchase_date]],"dddd"))</f>
        <v>Miércoles</v>
      </c>
      <c r="O1637" s="1" t="str">
        <f>PROPER(TEXT(BBDD_fashion_boutique[[#This Row],[purchase_date]],"mmmm"))</f>
        <v>Agosto</v>
      </c>
      <c r="P1637" s="4">
        <v>44</v>
      </c>
      <c r="R1637" t="str">
        <f>IF(BBDD_fashion_boutique[[#This Row],[stock_quantity]]&gt;9,"Ok",IF(BBDD_fashion_boutique[[#This Row],[stock_quantity]]=0,"Agotado","Pocas Unidades"))</f>
        <v>Ok</v>
      </c>
      <c r="S1637" s="3" t="str">
        <f>IF(BBDD_fashion_boutique[[#This Row],[customer_rating]]="","No valorado",BBDD_fashion_boutique[[#This Row],[customer_rating]])</f>
        <v>No valorado</v>
      </c>
      <c r="T1637" t="s">
        <v>24</v>
      </c>
      <c r="V1637">
        <f>IF(BBDD_fashion_boutique[[#This Row],[is_returned]]="False",0,1)</f>
        <v>0</v>
      </c>
      <c r="W1637">
        <f>IF(BBDD_fashion_boutique[[#This Row],[is_returned]]="True",0,BBDD_fashion_boutique[[#This Row],[current_price]])</f>
        <v>137.13</v>
      </c>
      <c r="X1637" t="str">
        <f>IF(BBDD_fashion_boutique[[#This Row],[return_reason]]="","No return",BBDD_fashion_boutique[[#This Row],[return_reason]])</f>
        <v>No return</v>
      </c>
      <c r="Y1637">
        <f>IF(IFERROR(VLOOKUP(BBDD_fashion_boutique[[#This Row],[product_id]],A1638:A3813,1,FALSE),0),1,0)</f>
        <v>0</v>
      </c>
    </row>
    <row r="1638" spans="1:25" x14ac:dyDescent="0.3">
      <c r="A1638" t="s">
        <v>1697</v>
      </c>
      <c r="B1638" t="s">
        <v>26</v>
      </c>
      <c r="C1638" t="s">
        <v>37</v>
      </c>
      <c r="D1638" t="s">
        <v>21</v>
      </c>
      <c r="E1638" t="s">
        <v>55</v>
      </c>
      <c r="F1638" t="str">
        <f>IF(BBDD_fashion_boutique[[#This Row],[category]]="Accessories","Accesorio",IF(BBDD_fashion_boutique[[#This Row],[size]]="","Desconocido",BBDD_fashion_boutique[[#This Row],[size]]))</f>
        <v>XXL</v>
      </c>
      <c r="G1638" t="s">
        <v>23</v>
      </c>
      <c r="H1638" s="2">
        <v>43.38</v>
      </c>
      <c r="I1638">
        <v>45.9</v>
      </c>
      <c r="J1638" s="5">
        <f>BBDD_fashion_boutique[[#This Row],[markdown_percentage]]/100</f>
        <v>0.45899999999999996</v>
      </c>
      <c r="K1638" s="2">
        <v>23.47</v>
      </c>
      <c r="L1638" s="2">
        <f>BBDD_fashion_boutique[[#This Row],[original_price]]-BBDD_fashion_boutique[[#This Row],[current_price]]</f>
        <v>19.910000000000004</v>
      </c>
      <c r="M1638" s="1">
        <v>45629</v>
      </c>
      <c r="N1638" s="1" t="str">
        <f>PROPER(TEXT(BBDD_fashion_boutique[[#This Row],[purchase_date]],"dddd"))</f>
        <v>Martes</v>
      </c>
      <c r="O1638" s="1" t="str">
        <f>PROPER(TEXT(BBDD_fashion_boutique[[#This Row],[purchase_date]],"mmmm"))</f>
        <v>Diciembre</v>
      </c>
      <c r="P1638" s="4">
        <v>47</v>
      </c>
      <c r="Q1638" s="2">
        <v>3.7</v>
      </c>
      <c r="R1638" t="str">
        <f>IF(BBDD_fashion_boutique[[#This Row],[stock_quantity]]&gt;9,"Ok",IF(BBDD_fashion_boutique[[#This Row],[stock_quantity]]=0,"Agotado","Pocas Unidades"))</f>
        <v>Ok</v>
      </c>
      <c r="S1638" s="3">
        <f>IF(BBDD_fashion_boutique[[#This Row],[customer_rating]]="","No valorado",BBDD_fashion_boutique[[#This Row],[customer_rating]])</f>
        <v>3.7</v>
      </c>
      <c r="T1638" t="s">
        <v>41</v>
      </c>
      <c r="U1638" t="s">
        <v>121</v>
      </c>
      <c r="V1638">
        <f>IF(BBDD_fashion_boutique[[#This Row],[is_returned]]="False",0,1)</f>
        <v>1</v>
      </c>
      <c r="W1638">
        <f>IF(BBDD_fashion_boutique[[#This Row],[is_returned]]="True",0,BBDD_fashion_boutique[[#This Row],[current_price]])</f>
        <v>0</v>
      </c>
      <c r="X1638" t="str">
        <f>IF(BBDD_fashion_boutique[[#This Row],[return_reason]]="","No return",BBDD_fashion_boutique[[#This Row],[return_reason]])</f>
        <v>Changed Mind</v>
      </c>
      <c r="Y1638">
        <f>IF(IFERROR(VLOOKUP(BBDD_fashion_boutique[[#This Row],[product_id]],A1639:A3814,1,FALSE),0),1,0)</f>
        <v>0</v>
      </c>
    </row>
    <row r="1639" spans="1:25" x14ac:dyDescent="0.3">
      <c r="A1639" t="s">
        <v>1698</v>
      </c>
      <c r="B1639" t="s">
        <v>32</v>
      </c>
      <c r="C1639" t="s">
        <v>59</v>
      </c>
      <c r="D1639" t="s">
        <v>39</v>
      </c>
      <c r="F1639" t="str">
        <f>IF(BBDD_fashion_boutique[[#This Row],[category]]="Accessories","Accesorio",IF(BBDD_fashion_boutique[[#This Row],[size]]="","Desconocido",BBDD_fashion_boutique[[#This Row],[size]]))</f>
        <v>Accesorio</v>
      </c>
      <c r="G1639" t="s">
        <v>33</v>
      </c>
      <c r="H1639" s="2">
        <v>40.04</v>
      </c>
      <c r="I1639">
        <v>45.5</v>
      </c>
      <c r="J1639" s="5">
        <f>BBDD_fashion_boutique[[#This Row],[markdown_percentage]]/100</f>
        <v>0.45500000000000002</v>
      </c>
      <c r="K1639" s="2">
        <v>21.82</v>
      </c>
      <c r="L1639" s="2">
        <f>BBDD_fashion_boutique[[#This Row],[original_price]]-BBDD_fashion_boutique[[#This Row],[current_price]]</f>
        <v>18.22</v>
      </c>
      <c r="M1639" s="1">
        <v>45875</v>
      </c>
      <c r="N1639" s="1" t="str">
        <f>PROPER(TEXT(BBDD_fashion_boutique[[#This Row],[purchase_date]],"dddd"))</f>
        <v>Miércoles</v>
      </c>
      <c r="O1639" s="1" t="str">
        <f>PROPER(TEXT(BBDD_fashion_boutique[[#This Row],[purchase_date]],"mmmm"))</f>
        <v>Agosto</v>
      </c>
      <c r="P1639" s="4">
        <v>50</v>
      </c>
      <c r="Q1639" s="2">
        <v>2.2000000000000002</v>
      </c>
      <c r="R1639" t="str">
        <f>IF(BBDD_fashion_boutique[[#This Row],[stock_quantity]]&gt;9,"Ok",IF(BBDD_fashion_boutique[[#This Row],[stock_quantity]]=0,"Agotado","Pocas Unidades"))</f>
        <v>Ok</v>
      </c>
      <c r="S1639" s="3">
        <f>IF(BBDD_fashion_boutique[[#This Row],[customer_rating]]="","No valorado",BBDD_fashion_boutique[[#This Row],[customer_rating]])</f>
        <v>2.2000000000000002</v>
      </c>
      <c r="T1639" t="s">
        <v>24</v>
      </c>
      <c r="V1639">
        <f>IF(BBDD_fashion_boutique[[#This Row],[is_returned]]="False",0,1)</f>
        <v>0</v>
      </c>
      <c r="W1639">
        <f>IF(BBDD_fashion_boutique[[#This Row],[is_returned]]="True",0,BBDD_fashion_boutique[[#This Row],[current_price]])</f>
        <v>21.82</v>
      </c>
      <c r="X1639" t="str">
        <f>IF(BBDD_fashion_boutique[[#This Row],[return_reason]]="","No return",BBDD_fashion_boutique[[#This Row],[return_reason]])</f>
        <v>No return</v>
      </c>
      <c r="Y1639">
        <f>IF(IFERROR(VLOOKUP(BBDD_fashion_boutique[[#This Row],[product_id]],A1640:A3815,1,FALSE),0),1,0)</f>
        <v>0</v>
      </c>
    </row>
    <row r="1640" spans="1:25" x14ac:dyDescent="0.3">
      <c r="A1640" t="s">
        <v>1699</v>
      </c>
      <c r="B1640" t="s">
        <v>19</v>
      </c>
      <c r="C1640" t="s">
        <v>54</v>
      </c>
      <c r="D1640" t="s">
        <v>39</v>
      </c>
      <c r="E1640" t="s">
        <v>64</v>
      </c>
      <c r="F1640" t="str">
        <f>IF(BBDD_fashion_boutique[[#This Row],[category]]="Accessories","Accesorio",IF(BBDD_fashion_boutique[[#This Row],[size]]="","Desconocido",BBDD_fashion_boutique[[#This Row],[size]]))</f>
        <v>M</v>
      </c>
      <c r="G1640" t="s">
        <v>62</v>
      </c>
      <c r="H1640" s="2">
        <v>209.68</v>
      </c>
      <c r="I1640">
        <v>3.6</v>
      </c>
      <c r="J1640" s="5">
        <f>BBDD_fashion_boutique[[#This Row],[markdown_percentage]]/100</f>
        <v>3.6000000000000004E-2</v>
      </c>
      <c r="K1640" s="2">
        <v>202.13</v>
      </c>
      <c r="L1640" s="2">
        <f>BBDD_fashion_boutique[[#This Row],[original_price]]-BBDD_fashion_boutique[[#This Row],[current_price]]</f>
        <v>7.5500000000000114</v>
      </c>
      <c r="M1640" s="1">
        <v>45875</v>
      </c>
      <c r="N1640" s="1" t="str">
        <f>PROPER(TEXT(BBDD_fashion_boutique[[#This Row],[purchase_date]],"dddd"))</f>
        <v>Miércoles</v>
      </c>
      <c r="O1640" s="1" t="str">
        <f>PROPER(TEXT(BBDD_fashion_boutique[[#This Row],[purchase_date]],"mmmm"))</f>
        <v>Agosto</v>
      </c>
      <c r="P1640" s="4">
        <v>18</v>
      </c>
      <c r="Q1640" s="2">
        <v>4.0999999999999996</v>
      </c>
      <c r="R1640" t="str">
        <f>IF(BBDD_fashion_boutique[[#This Row],[stock_quantity]]&gt;9,"Ok",IF(BBDD_fashion_boutique[[#This Row],[stock_quantity]]=0,"Agotado","Pocas Unidades"))</f>
        <v>Ok</v>
      </c>
      <c r="S1640" s="3">
        <f>IF(BBDD_fashion_boutique[[#This Row],[customer_rating]]="","No valorado",BBDD_fashion_boutique[[#This Row],[customer_rating]])</f>
        <v>4.0999999999999996</v>
      </c>
      <c r="T1640" t="s">
        <v>24</v>
      </c>
      <c r="V1640">
        <f>IF(BBDD_fashion_boutique[[#This Row],[is_returned]]="False",0,1)</f>
        <v>0</v>
      </c>
      <c r="W1640">
        <f>IF(BBDD_fashion_boutique[[#This Row],[is_returned]]="True",0,BBDD_fashion_boutique[[#This Row],[current_price]])</f>
        <v>202.13</v>
      </c>
      <c r="X1640" t="str">
        <f>IF(BBDD_fashion_boutique[[#This Row],[return_reason]]="","No return",BBDD_fashion_boutique[[#This Row],[return_reason]])</f>
        <v>No return</v>
      </c>
      <c r="Y1640">
        <f>IF(IFERROR(VLOOKUP(BBDD_fashion_boutique[[#This Row],[product_id]],A1641:A3816,1,FALSE),0),1,0)</f>
        <v>0</v>
      </c>
    </row>
    <row r="1641" spans="1:25" x14ac:dyDescent="0.3">
      <c r="A1641" t="s">
        <v>1700</v>
      </c>
      <c r="B1641" t="s">
        <v>32</v>
      </c>
      <c r="C1641" t="s">
        <v>49</v>
      </c>
      <c r="D1641" t="s">
        <v>28</v>
      </c>
      <c r="F1641" t="str">
        <f>IF(BBDD_fashion_boutique[[#This Row],[category]]="Accessories","Accesorio",IF(BBDD_fashion_boutique[[#This Row],[size]]="","Desconocido",BBDD_fashion_boutique[[#This Row],[size]]))</f>
        <v>Accesorio</v>
      </c>
      <c r="G1641" t="s">
        <v>76</v>
      </c>
      <c r="H1641" s="2">
        <v>38.08</v>
      </c>
      <c r="I1641">
        <v>0</v>
      </c>
      <c r="J1641" s="5">
        <f>BBDD_fashion_boutique[[#This Row],[markdown_percentage]]/100</f>
        <v>0</v>
      </c>
      <c r="K1641" s="2">
        <v>38.08</v>
      </c>
      <c r="L1641" s="2">
        <f>BBDD_fashion_boutique[[#This Row],[original_price]]-BBDD_fashion_boutique[[#This Row],[current_price]]</f>
        <v>0</v>
      </c>
      <c r="M1641" s="1">
        <v>45875</v>
      </c>
      <c r="N1641" s="1" t="str">
        <f>PROPER(TEXT(BBDD_fashion_boutique[[#This Row],[purchase_date]],"dddd"))</f>
        <v>Miércoles</v>
      </c>
      <c r="O1641" s="1" t="str">
        <f>PROPER(TEXT(BBDD_fashion_boutique[[#This Row],[purchase_date]],"mmmm"))</f>
        <v>Agosto</v>
      </c>
      <c r="P1641" s="4">
        <v>0</v>
      </c>
      <c r="Q1641" s="2">
        <v>1.6</v>
      </c>
      <c r="R1641" t="str">
        <f>IF(BBDD_fashion_boutique[[#This Row],[stock_quantity]]&gt;9,"Ok",IF(BBDD_fashion_boutique[[#This Row],[stock_quantity]]=0,"Agotado","Pocas Unidades"))</f>
        <v>Agotado</v>
      </c>
      <c r="S1641" s="3">
        <f>IF(BBDD_fashion_boutique[[#This Row],[customer_rating]]="","No valorado",BBDD_fashion_boutique[[#This Row],[customer_rating]])</f>
        <v>1.6</v>
      </c>
      <c r="T1641" t="s">
        <v>24</v>
      </c>
      <c r="V1641">
        <f>IF(BBDD_fashion_boutique[[#This Row],[is_returned]]="False",0,1)</f>
        <v>0</v>
      </c>
      <c r="W1641">
        <f>IF(BBDD_fashion_boutique[[#This Row],[is_returned]]="True",0,BBDD_fashion_boutique[[#This Row],[current_price]])</f>
        <v>38.08</v>
      </c>
      <c r="X1641" t="str">
        <f>IF(BBDD_fashion_boutique[[#This Row],[return_reason]]="","No return",BBDD_fashion_boutique[[#This Row],[return_reason]])</f>
        <v>No return</v>
      </c>
      <c r="Y1641">
        <f>IF(IFERROR(VLOOKUP(BBDD_fashion_boutique[[#This Row],[product_id]],A1642:A3817,1,FALSE),0),1,0)</f>
        <v>0</v>
      </c>
    </row>
    <row r="1642" spans="1:25" x14ac:dyDescent="0.3">
      <c r="A1642" t="s">
        <v>1701</v>
      </c>
      <c r="B1642" t="s">
        <v>19</v>
      </c>
      <c r="C1642" t="s">
        <v>59</v>
      </c>
      <c r="D1642" t="s">
        <v>21</v>
      </c>
      <c r="E1642" t="s">
        <v>55</v>
      </c>
      <c r="F1642" t="str">
        <f>IF(BBDD_fashion_boutique[[#This Row],[category]]="Accessories","Accesorio",IF(BBDD_fashion_boutique[[#This Row],[size]]="","Desconocido",BBDD_fashion_boutique[[#This Row],[size]]))</f>
        <v>XXL</v>
      </c>
      <c r="G1642" t="s">
        <v>62</v>
      </c>
      <c r="H1642" s="2">
        <v>123.04</v>
      </c>
      <c r="I1642">
        <v>0</v>
      </c>
      <c r="J1642" s="5">
        <f>BBDD_fashion_boutique[[#This Row],[markdown_percentage]]/100</f>
        <v>0</v>
      </c>
      <c r="K1642" s="2">
        <v>123.04</v>
      </c>
      <c r="L1642" s="2">
        <f>BBDD_fashion_boutique[[#This Row],[original_price]]-BBDD_fashion_boutique[[#This Row],[current_price]]</f>
        <v>0</v>
      </c>
      <c r="M1642" s="1">
        <v>45752</v>
      </c>
      <c r="N1642" s="1" t="str">
        <f>PROPER(TEXT(BBDD_fashion_boutique[[#This Row],[purchase_date]],"dddd"))</f>
        <v>Sábado</v>
      </c>
      <c r="O1642" s="1" t="str">
        <f>PROPER(TEXT(BBDD_fashion_boutique[[#This Row],[purchase_date]],"mmmm"))</f>
        <v>Abril</v>
      </c>
      <c r="P1642" s="4">
        <v>13</v>
      </c>
      <c r="Q1642" s="2">
        <v>1.2</v>
      </c>
      <c r="R1642" t="str">
        <f>IF(BBDD_fashion_boutique[[#This Row],[stock_quantity]]&gt;9,"Ok",IF(BBDD_fashion_boutique[[#This Row],[stock_quantity]]=0,"Agotado","Pocas Unidades"))</f>
        <v>Ok</v>
      </c>
      <c r="S1642" s="3">
        <f>IF(BBDD_fashion_boutique[[#This Row],[customer_rating]]="","No valorado",BBDD_fashion_boutique[[#This Row],[customer_rating]])</f>
        <v>1.2</v>
      </c>
      <c r="T1642" t="s">
        <v>24</v>
      </c>
      <c r="V1642">
        <f>IF(BBDD_fashion_boutique[[#This Row],[is_returned]]="False",0,1)</f>
        <v>0</v>
      </c>
      <c r="W1642">
        <f>IF(BBDD_fashion_boutique[[#This Row],[is_returned]]="True",0,BBDD_fashion_boutique[[#This Row],[current_price]])</f>
        <v>123.04</v>
      </c>
      <c r="X1642" t="str">
        <f>IF(BBDD_fashion_boutique[[#This Row],[return_reason]]="","No return",BBDD_fashion_boutique[[#This Row],[return_reason]])</f>
        <v>No return</v>
      </c>
      <c r="Y1642">
        <f>IF(IFERROR(VLOOKUP(BBDD_fashion_boutique[[#This Row],[product_id]],A1643:A3818,1,FALSE),0),1,0)</f>
        <v>0</v>
      </c>
    </row>
    <row r="1643" spans="1:25" x14ac:dyDescent="0.3">
      <c r="A1643" t="s">
        <v>1702</v>
      </c>
      <c r="B1643" t="s">
        <v>32</v>
      </c>
      <c r="C1643" t="s">
        <v>27</v>
      </c>
      <c r="D1643" t="s">
        <v>68</v>
      </c>
      <c r="F1643" t="str">
        <f>IF(BBDD_fashion_boutique[[#This Row],[category]]="Accessories","Accesorio",IF(BBDD_fashion_boutique[[#This Row],[size]]="","Desconocido",BBDD_fashion_boutique[[#This Row],[size]]))</f>
        <v>Accesorio</v>
      </c>
      <c r="G1643" t="s">
        <v>30</v>
      </c>
      <c r="H1643" s="2">
        <v>39.94</v>
      </c>
      <c r="I1643">
        <v>0</v>
      </c>
      <c r="J1643" s="5">
        <f>BBDD_fashion_boutique[[#This Row],[markdown_percentage]]/100</f>
        <v>0</v>
      </c>
      <c r="K1643" s="2">
        <v>39.94</v>
      </c>
      <c r="L1643" s="2">
        <f>BBDD_fashion_boutique[[#This Row],[original_price]]-BBDD_fashion_boutique[[#This Row],[current_price]]</f>
        <v>0</v>
      </c>
      <c r="M1643" s="1">
        <v>45875</v>
      </c>
      <c r="N1643" s="1" t="str">
        <f>PROPER(TEXT(BBDD_fashion_boutique[[#This Row],[purchase_date]],"dddd"))</f>
        <v>Miércoles</v>
      </c>
      <c r="O1643" s="1" t="str">
        <f>PROPER(TEXT(BBDD_fashion_boutique[[#This Row],[purchase_date]],"mmmm"))</f>
        <v>Agosto</v>
      </c>
      <c r="P1643" s="4">
        <v>32</v>
      </c>
      <c r="Q1643" s="2">
        <v>3.1</v>
      </c>
      <c r="R1643" t="str">
        <f>IF(BBDD_fashion_boutique[[#This Row],[stock_quantity]]&gt;9,"Ok",IF(BBDD_fashion_boutique[[#This Row],[stock_quantity]]=0,"Agotado","Pocas Unidades"))</f>
        <v>Ok</v>
      </c>
      <c r="S1643" s="3">
        <f>IF(BBDD_fashion_boutique[[#This Row],[customer_rating]]="","No valorado",BBDD_fashion_boutique[[#This Row],[customer_rating]])</f>
        <v>3.1</v>
      </c>
      <c r="T1643" t="s">
        <v>24</v>
      </c>
      <c r="V1643">
        <f>IF(BBDD_fashion_boutique[[#This Row],[is_returned]]="False",0,1)</f>
        <v>0</v>
      </c>
      <c r="W1643">
        <f>IF(BBDD_fashion_boutique[[#This Row],[is_returned]]="True",0,BBDD_fashion_boutique[[#This Row],[current_price]])</f>
        <v>39.94</v>
      </c>
      <c r="X1643" t="str">
        <f>IF(BBDD_fashion_boutique[[#This Row],[return_reason]]="","No return",BBDD_fashion_boutique[[#This Row],[return_reason]])</f>
        <v>No return</v>
      </c>
      <c r="Y1643">
        <f>IF(IFERROR(VLOOKUP(BBDD_fashion_boutique[[#This Row],[product_id]],A1644:A3819,1,FALSE),0),1,0)</f>
        <v>0</v>
      </c>
    </row>
    <row r="1644" spans="1:25" x14ac:dyDescent="0.3">
      <c r="A1644" t="s">
        <v>1703</v>
      </c>
      <c r="B1644" t="s">
        <v>48</v>
      </c>
      <c r="C1644" t="s">
        <v>54</v>
      </c>
      <c r="D1644" t="s">
        <v>68</v>
      </c>
      <c r="E1644" t="s">
        <v>64</v>
      </c>
      <c r="F1644" t="str">
        <f>IF(BBDD_fashion_boutique[[#This Row],[category]]="Accessories","Accesorio",IF(BBDD_fashion_boutique[[#This Row],[size]]="","Desconocido",BBDD_fashion_boutique[[#This Row],[size]]))</f>
        <v>M</v>
      </c>
      <c r="G1644" t="s">
        <v>46</v>
      </c>
      <c r="H1644" s="2">
        <v>80.19</v>
      </c>
      <c r="I1644">
        <v>0</v>
      </c>
      <c r="J1644" s="5">
        <f>BBDD_fashion_boutique[[#This Row],[markdown_percentage]]/100</f>
        <v>0</v>
      </c>
      <c r="K1644" s="2">
        <v>80.19</v>
      </c>
      <c r="L1644" s="2">
        <f>BBDD_fashion_boutique[[#This Row],[original_price]]-BBDD_fashion_boutique[[#This Row],[current_price]]</f>
        <v>0</v>
      </c>
      <c r="M1644" s="1">
        <v>45875</v>
      </c>
      <c r="N1644" s="1" t="str">
        <f>PROPER(TEXT(BBDD_fashion_boutique[[#This Row],[purchase_date]],"dddd"))</f>
        <v>Miércoles</v>
      </c>
      <c r="O1644" s="1" t="str">
        <f>PROPER(TEXT(BBDD_fashion_boutique[[#This Row],[purchase_date]],"mmmm"))</f>
        <v>Agosto</v>
      </c>
      <c r="P1644" s="4">
        <v>43</v>
      </c>
      <c r="Q1644" s="2">
        <v>3.8</v>
      </c>
      <c r="R1644" t="str">
        <f>IF(BBDD_fashion_boutique[[#This Row],[stock_quantity]]&gt;9,"Ok",IF(BBDD_fashion_boutique[[#This Row],[stock_quantity]]=0,"Agotado","Pocas Unidades"))</f>
        <v>Ok</v>
      </c>
      <c r="S1644" s="3">
        <f>IF(BBDD_fashion_boutique[[#This Row],[customer_rating]]="","No valorado",BBDD_fashion_boutique[[#This Row],[customer_rating]])</f>
        <v>3.8</v>
      </c>
      <c r="T1644" t="s">
        <v>24</v>
      </c>
      <c r="V1644">
        <f>IF(BBDD_fashion_boutique[[#This Row],[is_returned]]="False",0,1)</f>
        <v>0</v>
      </c>
      <c r="W1644">
        <f>IF(BBDD_fashion_boutique[[#This Row],[is_returned]]="True",0,BBDD_fashion_boutique[[#This Row],[current_price]])</f>
        <v>80.19</v>
      </c>
      <c r="X1644" t="str">
        <f>IF(BBDD_fashion_boutique[[#This Row],[return_reason]]="","No return",BBDD_fashion_boutique[[#This Row],[return_reason]])</f>
        <v>No return</v>
      </c>
      <c r="Y1644">
        <f>IF(IFERROR(VLOOKUP(BBDD_fashion_boutique[[#This Row],[product_id]],A1645:A3820,1,FALSE),0),1,0)</f>
        <v>0</v>
      </c>
    </row>
    <row r="1645" spans="1:25" x14ac:dyDescent="0.3">
      <c r="A1645" t="s">
        <v>1704</v>
      </c>
      <c r="B1645" t="s">
        <v>26</v>
      </c>
      <c r="C1645" t="s">
        <v>27</v>
      </c>
      <c r="D1645" t="s">
        <v>21</v>
      </c>
      <c r="E1645" t="s">
        <v>55</v>
      </c>
      <c r="F1645" t="str">
        <f>IF(BBDD_fashion_boutique[[#This Row],[category]]="Accessories","Accesorio",IF(BBDD_fashion_boutique[[#This Row],[size]]="","Desconocido",BBDD_fashion_boutique[[#This Row],[size]]))</f>
        <v>XXL</v>
      </c>
      <c r="G1645" t="s">
        <v>72</v>
      </c>
      <c r="H1645" s="2">
        <v>35.03</v>
      </c>
      <c r="I1645">
        <v>10.1</v>
      </c>
      <c r="J1645" s="5">
        <f>BBDD_fashion_boutique[[#This Row],[markdown_percentage]]/100</f>
        <v>0.10099999999999999</v>
      </c>
      <c r="K1645" s="2">
        <v>31.49</v>
      </c>
      <c r="L1645" s="2">
        <f>BBDD_fashion_boutique[[#This Row],[original_price]]-BBDD_fashion_boutique[[#This Row],[current_price]]</f>
        <v>3.5400000000000027</v>
      </c>
      <c r="M1645" s="1">
        <v>45807</v>
      </c>
      <c r="N1645" s="1" t="str">
        <f>PROPER(TEXT(BBDD_fashion_boutique[[#This Row],[purchase_date]],"dddd"))</f>
        <v>Viernes</v>
      </c>
      <c r="O1645" s="1" t="str">
        <f>PROPER(TEXT(BBDD_fashion_boutique[[#This Row],[purchase_date]],"mmmm"))</f>
        <v>Mayo</v>
      </c>
      <c r="P1645" s="4">
        <v>5</v>
      </c>
      <c r="Q1645" s="2">
        <v>3.8</v>
      </c>
      <c r="R1645" t="str">
        <f>IF(BBDD_fashion_boutique[[#This Row],[stock_quantity]]&gt;9,"Ok",IF(BBDD_fashion_boutique[[#This Row],[stock_quantity]]=0,"Agotado","Pocas Unidades"))</f>
        <v>Pocas Unidades</v>
      </c>
      <c r="S1645" s="3">
        <f>IF(BBDD_fashion_boutique[[#This Row],[customer_rating]]="","No valorado",BBDD_fashion_boutique[[#This Row],[customer_rating]])</f>
        <v>3.8</v>
      </c>
      <c r="T1645" t="s">
        <v>24</v>
      </c>
      <c r="V1645">
        <f>IF(BBDD_fashion_boutique[[#This Row],[is_returned]]="False",0,1)</f>
        <v>0</v>
      </c>
      <c r="W1645">
        <f>IF(BBDD_fashion_boutique[[#This Row],[is_returned]]="True",0,BBDD_fashion_boutique[[#This Row],[current_price]])</f>
        <v>31.49</v>
      </c>
      <c r="X1645" t="str">
        <f>IF(BBDD_fashion_boutique[[#This Row],[return_reason]]="","No return",BBDD_fashion_boutique[[#This Row],[return_reason]])</f>
        <v>No return</v>
      </c>
      <c r="Y1645">
        <f>IF(IFERROR(VLOOKUP(BBDD_fashion_boutique[[#This Row],[product_id]],A1646:A3821,1,FALSE),0),1,0)</f>
        <v>0</v>
      </c>
    </row>
    <row r="1646" spans="1:25" x14ac:dyDescent="0.3">
      <c r="A1646" t="s">
        <v>1705</v>
      </c>
      <c r="B1646" t="s">
        <v>26</v>
      </c>
      <c r="C1646" t="s">
        <v>54</v>
      </c>
      <c r="D1646" t="s">
        <v>68</v>
      </c>
      <c r="E1646" t="s">
        <v>64</v>
      </c>
      <c r="F1646" t="str">
        <f>IF(BBDD_fashion_boutique[[#This Row],[category]]="Accessories","Accesorio",IF(BBDD_fashion_boutique[[#This Row],[size]]="","Desconocido",BBDD_fashion_boutique[[#This Row],[size]]))</f>
        <v>M</v>
      </c>
      <c r="G1646" t="s">
        <v>33</v>
      </c>
      <c r="H1646" s="2">
        <v>27.64</v>
      </c>
      <c r="I1646">
        <v>29</v>
      </c>
      <c r="J1646" s="5">
        <f>BBDD_fashion_boutique[[#This Row],[markdown_percentage]]/100</f>
        <v>0.28999999999999998</v>
      </c>
      <c r="K1646" s="2">
        <v>19.62</v>
      </c>
      <c r="L1646" s="2">
        <f>BBDD_fashion_boutique[[#This Row],[original_price]]-BBDD_fashion_boutique[[#This Row],[current_price]]</f>
        <v>8.02</v>
      </c>
      <c r="M1646" s="1">
        <v>45875</v>
      </c>
      <c r="N1646" s="1" t="str">
        <f>PROPER(TEXT(BBDD_fashion_boutique[[#This Row],[purchase_date]],"dddd"))</f>
        <v>Miércoles</v>
      </c>
      <c r="O1646" s="1" t="str">
        <f>PROPER(TEXT(BBDD_fashion_boutique[[#This Row],[purchase_date]],"mmmm"))</f>
        <v>Agosto</v>
      </c>
      <c r="P1646" s="4">
        <v>19</v>
      </c>
      <c r="Q1646" s="2">
        <v>1</v>
      </c>
      <c r="R1646" t="str">
        <f>IF(BBDD_fashion_boutique[[#This Row],[stock_quantity]]&gt;9,"Ok",IF(BBDD_fashion_boutique[[#This Row],[stock_quantity]]=0,"Agotado","Pocas Unidades"))</f>
        <v>Ok</v>
      </c>
      <c r="S1646" s="3">
        <f>IF(BBDD_fashion_boutique[[#This Row],[customer_rating]]="","No valorado",BBDD_fashion_boutique[[#This Row],[customer_rating]])</f>
        <v>1</v>
      </c>
      <c r="T1646" t="s">
        <v>24</v>
      </c>
      <c r="V1646">
        <f>IF(BBDD_fashion_boutique[[#This Row],[is_returned]]="False",0,1)</f>
        <v>0</v>
      </c>
      <c r="W1646">
        <f>IF(BBDD_fashion_boutique[[#This Row],[is_returned]]="True",0,BBDD_fashion_boutique[[#This Row],[current_price]])</f>
        <v>19.62</v>
      </c>
      <c r="X1646" t="str">
        <f>IF(BBDD_fashion_boutique[[#This Row],[return_reason]]="","No return",BBDD_fashion_boutique[[#This Row],[return_reason]])</f>
        <v>No return</v>
      </c>
      <c r="Y1646">
        <f>IF(IFERROR(VLOOKUP(BBDD_fashion_boutique[[#This Row],[product_id]],A1647:A3822,1,FALSE),0),1,0)</f>
        <v>0</v>
      </c>
    </row>
    <row r="1647" spans="1:25" x14ac:dyDescent="0.3">
      <c r="A1647" t="s">
        <v>1706</v>
      </c>
      <c r="B1647" t="s">
        <v>19</v>
      </c>
      <c r="C1647" t="s">
        <v>49</v>
      </c>
      <c r="D1647" t="s">
        <v>21</v>
      </c>
      <c r="E1647" t="s">
        <v>64</v>
      </c>
      <c r="F1647" t="str">
        <f>IF(BBDD_fashion_boutique[[#This Row],[category]]="Accessories","Accesorio",IF(BBDD_fashion_boutique[[#This Row],[size]]="","Desconocido",BBDD_fashion_boutique[[#This Row],[size]]))</f>
        <v>M</v>
      </c>
      <c r="G1647" t="s">
        <v>70</v>
      </c>
      <c r="H1647" s="2">
        <v>187.63</v>
      </c>
      <c r="I1647">
        <v>0</v>
      </c>
      <c r="J1647" s="5">
        <f>BBDD_fashion_boutique[[#This Row],[markdown_percentage]]/100</f>
        <v>0</v>
      </c>
      <c r="K1647" s="2">
        <v>187.63</v>
      </c>
      <c r="L1647" s="2">
        <f>BBDD_fashion_boutique[[#This Row],[original_price]]-BBDD_fashion_boutique[[#This Row],[current_price]]</f>
        <v>0</v>
      </c>
      <c r="M1647" s="1">
        <v>45772</v>
      </c>
      <c r="N1647" s="1" t="str">
        <f>PROPER(TEXT(BBDD_fashion_boutique[[#This Row],[purchase_date]],"dddd"))</f>
        <v>Viernes</v>
      </c>
      <c r="O1647" s="1" t="str">
        <f>PROPER(TEXT(BBDD_fashion_boutique[[#This Row],[purchase_date]],"mmmm"))</f>
        <v>Abril</v>
      </c>
      <c r="P1647" s="4">
        <v>25</v>
      </c>
      <c r="Q1647" s="2">
        <v>1.8</v>
      </c>
      <c r="R1647" t="str">
        <f>IF(BBDD_fashion_boutique[[#This Row],[stock_quantity]]&gt;9,"Ok",IF(BBDD_fashion_boutique[[#This Row],[stock_quantity]]=0,"Agotado","Pocas Unidades"))</f>
        <v>Ok</v>
      </c>
      <c r="S1647" s="3">
        <f>IF(BBDD_fashion_boutique[[#This Row],[customer_rating]]="","No valorado",BBDD_fashion_boutique[[#This Row],[customer_rating]])</f>
        <v>1.8</v>
      </c>
      <c r="T1647" t="s">
        <v>24</v>
      </c>
      <c r="V1647">
        <f>IF(BBDD_fashion_boutique[[#This Row],[is_returned]]="False",0,1)</f>
        <v>0</v>
      </c>
      <c r="W1647">
        <f>IF(BBDD_fashion_boutique[[#This Row],[is_returned]]="True",0,BBDD_fashion_boutique[[#This Row],[current_price]])</f>
        <v>187.63</v>
      </c>
      <c r="X1647" t="str">
        <f>IF(BBDD_fashion_boutique[[#This Row],[return_reason]]="","No return",BBDD_fashion_boutique[[#This Row],[return_reason]])</f>
        <v>No return</v>
      </c>
      <c r="Y1647">
        <f>IF(IFERROR(VLOOKUP(BBDD_fashion_boutique[[#This Row],[product_id]],A1648:A3823,1,FALSE),0),1,0)</f>
        <v>0</v>
      </c>
    </row>
    <row r="1648" spans="1:25" x14ac:dyDescent="0.3">
      <c r="A1648" t="s">
        <v>1707</v>
      </c>
      <c r="B1648" t="s">
        <v>19</v>
      </c>
      <c r="C1648" t="s">
        <v>54</v>
      </c>
      <c r="D1648" t="s">
        <v>28</v>
      </c>
      <c r="E1648" t="s">
        <v>55</v>
      </c>
      <c r="F1648" t="str">
        <f>IF(BBDD_fashion_boutique[[#This Row],[category]]="Accessories","Accesorio",IF(BBDD_fashion_boutique[[#This Row],[size]]="","Desconocido",BBDD_fashion_boutique[[#This Row],[size]]))</f>
        <v>XXL</v>
      </c>
      <c r="G1648" t="s">
        <v>33</v>
      </c>
      <c r="H1648" s="2">
        <v>193.17</v>
      </c>
      <c r="I1648">
        <v>34.6</v>
      </c>
      <c r="J1648" s="5">
        <f>BBDD_fashion_boutique[[#This Row],[markdown_percentage]]/100</f>
        <v>0.34600000000000003</v>
      </c>
      <c r="K1648" s="2">
        <v>126.33</v>
      </c>
      <c r="L1648" s="2">
        <f>BBDD_fashion_boutique[[#This Row],[original_price]]-BBDD_fashion_boutique[[#This Row],[current_price]]</f>
        <v>66.839999999999989</v>
      </c>
      <c r="M1648" s="1">
        <v>45875</v>
      </c>
      <c r="N1648" s="1" t="str">
        <f>PROPER(TEXT(BBDD_fashion_boutique[[#This Row],[purchase_date]],"dddd"))</f>
        <v>Miércoles</v>
      </c>
      <c r="O1648" s="1" t="str">
        <f>PROPER(TEXT(BBDD_fashion_boutique[[#This Row],[purchase_date]],"mmmm"))</f>
        <v>Agosto</v>
      </c>
      <c r="P1648" s="4">
        <v>26</v>
      </c>
      <c r="R1648" t="str">
        <f>IF(BBDD_fashion_boutique[[#This Row],[stock_quantity]]&gt;9,"Ok",IF(BBDD_fashion_boutique[[#This Row],[stock_quantity]]=0,"Agotado","Pocas Unidades"))</f>
        <v>Ok</v>
      </c>
      <c r="S1648" s="3" t="str">
        <f>IF(BBDD_fashion_boutique[[#This Row],[customer_rating]]="","No valorado",BBDD_fashion_boutique[[#This Row],[customer_rating]])</f>
        <v>No valorado</v>
      </c>
      <c r="T1648" t="s">
        <v>24</v>
      </c>
      <c r="V1648">
        <f>IF(BBDD_fashion_boutique[[#This Row],[is_returned]]="False",0,1)</f>
        <v>0</v>
      </c>
      <c r="W1648">
        <f>IF(BBDD_fashion_boutique[[#This Row],[is_returned]]="True",0,BBDD_fashion_boutique[[#This Row],[current_price]])</f>
        <v>126.33</v>
      </c>
      <c r="X1648" t="str">
        <f>IF(BBDD_fashion_boutique[[#This Row],[return_reason]]="","No return",BBDD_fashion_boutique[[#This Row],[return_reason]])</f>
        <v>No return</v>
      </c>
      <c r="Y1648">
        <f>IF(IFERROR(VLOOKUP(BBDD_fashion_boutique[[#This Row],[product_id]],A1649:A3824,1,FALSE),0),1,0)</f>
        <v>0</v>
      </c>
    </row>
    <row r="1649" spans="1:25" x14ac:dyDescent="0.3">
      <c r="A1649" t="s">
        <v>1708</v>
      </c>
      <c r="B1649" t="s">
        <v>35</v>
      </c>
      <c r="C1649" t="s">
        <v>37</v>
      </c>
      <c r="D1649" t="s">
        <v>21</v>
      </c>
      <c r="E1649" t="s">
        <v>64</v>
      </c>
      <c r="F1649" t="str">
        <f>IF(BBDD_fashion_boutique[[#This Row],[category]]="Accessories","Accesorio",IF(BBDD_fashion_boutique[[#This Row],[size]]="","Desconocido",BBDD_fashion_boutique[[#This Row],[size]]))</f>
        <v>M</v>
      </c>
      <c r="G1649" t="s">
        <v>33</v>
      </c>
      <c r="H1649" s="2">
        <v>157.78</v>
      </c>
      <c r="I1649">
        <v>40.200000000000003</v>
      </c>
      <c r="J1649" s="5">
        <f>BBDD_fashion_boutique[[#This Row],[markdown_percentage]]/100</f>
        <v>0.40200000000000002</v>
      </c>
      <c r="K1649" s="2">
        <v>94.35</v>
      </c>
      <c r="L1649" s="2">
        <f>BBDD_fashion_boutique[[#This Row],[original_price]]-BBDD_fashion_boutique[[#This Row],[current_price]]</f>
        <v>63.430000000000007</v>
      </c>
      <c r="M1649" s="1">
        <v>45871</v>
      </c>
      <c r="N1649" s="1" t="str">
        <f>PROPER(TEXT(BBDD_fashion_boutique[[#This Row],[purchase_date]],"dddd"))</f>
        <v>Sábado</v>
      </c>
      <c r="O1649" s="1" t="str">
        <f>PROPER(TEXT(BBDD_fashion_boutique[[#This Row],[purchase_date]],"mmmm"))</f>
        <v>Agosto</v>
      </c>
      <c r="P1649" s="4">
        <v>23</v>
      </c>
      <c r="Q1649" s="2">
        <v>3.1</v>
      </c>
      <c r="R1649" t="str">
        <f>IF(BBDD_fashion_boutique[[#This Row],[stock_quantity]]&gt;9,"Ok",IF(BBDD_fashion_boutique[[#This Row],[stock_quantity]]=0,"Agotado","Pocas Unidades"))</f>
        <v>Ok</v>
      </c>
      <c r="S1649" s="3">
        <f>IF(BBDD_fashion_boutique[[#This Row],[customer_rating]]="","No valorado",BBDD_fashion_boutique[[#This Row],[customer_rating]])</f>
        <v>3.1</v>
      </c>
      <c r="T1649" t="s">
        <v>24</v>
      </c>
      <c r="V1649">
        <f>IF(BBDD_fashion_boutique[[#This Row],[is_returned]]="False",0,1)</f>
        <v>0</v>
      </c>
      <c r="W1649">
        <f>IF(BBDD_fashion_boutique[[#This Row],[is_returned]]="True",0,BBDD_fashion_boutique[[#This Row],[current_price]])</f>
        <v>94.35</v>
      </c>
      <c r="X1649" t="str">
        <f>IF(BBDD_fashion_boutique[[#This Row],[return_reason]]="","No return",BBDD_fashion_boutique[[#This Row],[return_reason]])</f>
        <v>No return</v>
      </c>
      <c r="Y1649">
        <f>IF(IFERROR(VLOOKUP(BBDD_fashion_boutique[[#This Row],[product_id]],A1650:A3825,1,FALSE),0),1,0)</f>
        <v>0</v>
      </c>
    </row>
    <row r="1650" spans="1:25" x14ac:dyDescent="0.3">
      <c r="A1650" t="s">
        <v>1709</v>
      </c>
      <c r="B1650" t="s">
        <v>35</v>
      </c>
      <c r="C1650" t="s">
        <v>20</v>
      </c>
      <c r="D1650" t="s">
        <v>28</v>
      </c>
      <c r="E1650" t="s">
        <v>29</v>
      </c>
      <c r="F1650" t="str">
        <f>IF(BBDD_fashion_boutique[[#This Row],[category]]="Accessories","Accesorio",IF(BBDD_fashion_boutique[[#This Row],[size]]="","Desconocido",BBDD_fashion_boutique[[#This Row],[size]]))</f>
        <v>L</v>
      </c>
      <c r="G1650" t="s">
        <v>33</v>
      </c>
      <c r="H1650" s="2">
        <v>119.14</v>
      </c>
      <c r="I1650">
        <v>7.8</v>
      </c>
      <c r="J1650" s="5">
        <f>BBDD_fashion_boutique[[#This Row],[markdown_percentage]]/100</f>
        <v>7.8E-2</v>
      </c>
      <c r="K1650" s="2">
        <v>109.85</v>
      </c>
      <c r="L1650" s="2">
        <f>BBDD_fashion_boutique[[#This Row],[original_price]]-BBDD_fashion_boutique[[#This Row],[current_price]]</f>
        <v>9.2900000000000063</v>
      </c>
      <c r="M1650" s="1">
        <v>45875</v>
      </c>
      <c r="N1650" s="1" t="str">
        <f>PROPER(TEXT(BBDD_fashion_boutique[[#This Row],[purchase_date]],"dddd"))</f>
        <v>Miércoles</v>
      </c>
      <c r="O1650" s="1" t="str">
        <f>PROPER(TEXT(BBDD_fashion_boutique[[#This Row],[purchase_date]],"mmmm"))</f>
        <v>Agosto</v>
      </c>
      <c r="P1650" s="4">
        <v>20</v>
      </c>
      <c r="Q1650" s="2">
        <v>3.1</v>
      </c>
      <c r="R1650" t="str">
        <f>IF(BBDD_fashion_boutique[[#This Row],[stock_quantity]]&gt;9,"Ok",IF(BBDD_fashion_boutique[[#This Row],[stock_quantity]]=0,"Agotado","Pocas Unidades"))</f>
        <v>Ok</v>
      </c>
      <c r="S1650" s="3">
        <f>IF(BBDD_fashion_boutique[[#This Row],[customer_rating]]="","No valorado",BBDD_fashion_boutique[[#This Row],[customer_rating]])</f>
        <v>3.1</v>
      </c>
      <c r="T1650" t="s">
        <v>24</v>
      </c>
      <c r="V1650">
        <f>IF(BBDD_fashion_boutique[[#This Row],[is_returned]]="False",0,1)</f>
        <v>0</v>
      </c>
      <c r="W1650">
        <f>IF(BBDD_fashion_boutique[[#This Row],[is_returned]]="True",0,BBDD_fashion_boutique[[#This Row],[current_price]])</f>
        <v>109.85</v>
      </c>
      <c r="X1650" t="str">
        <f>IF(BBDD_fashion_boutique[[#This Row],[return_reason]]="","No return",BBDD_fashion_boutique[[#This Row],[return_reason]])</f>
        <v>No return</v>
      </c>
      <c r="Y1650">
        <f>IF(IFERROR(VLOOKUP(BBDD_fashion_boutique[[#This Row],[product_id]],A1651:A3826,1,FALSE),0),1,0)</f>
        <v>0</v>
      </c>
    </row>
    <row r="1651" spans="1:25" x14ac:dyDescent="0.3">
      <c r="A1651" t="s">
        <v>1710</v>
      </c>
      <c r="B1651" t="s">
        <v>48</v>
      </c>
      <c r="C1651" t="s">
        <v>81</v>
      </c>
      <c r="D1651" t="s">
        <v>28</v>
      </c>
      <c r="E1651" t="s">
        <v>64</v>
      </c>
      <c r="F1651" t="str">
        <f>IF(BBDD_fashion_boutique[[#This Row],[category]]="Accessories","Accesorio",IF(BBDD_fashion_boutique[[#This Row],[size]]="","Desconocido",BBDD_fashion_boutique[[#This Row],[size]]))</f>
        <v>M</v>
      </c>
      <c r="G1651" t="s">
        <v>40</v>
      </c>
      <c r="H1651" s="2">
        <v>150.08000000000001</v>
      </c>
      <c r="I1651">
        <v>4.8</v>
      </c>
      <c r="J1651" s="5">
        <f>BBDD_fashion_boutique[[#This Row],[markdown_percentage]]/100</f>
        <v>4.8000000000000001E-2</v>
      </c>
      <c r="K1651" s="2">
        <v>142.88</v>
      </c>
      <c r="L1651" s="2">
        <f>BBDD_fashion_boutique[[#This Row],[original_price]]-BBDD_fashion_boutique[[#This Row],[current_price]]</f>
        <v>7.2000000000000171</v>
      </c>
      <c r="M1651" s="1">
        <v>45875</v>
      </c>
      <c r="N1651" s="1" t="str">
        <f>PROPER(TEXT(BBDD_fashion_boutique[[#This Row],[purchase_date]],"dddd"))</f>
        <v>Miércoles</v>
      </c>
      <c r="O1651" s="1" t="str">
        <f>PROPER(TEXT(BBDD_fashion_boutique[[#This Row],[purchase_date]],"mmmm"))</f>
        <v>Agosto</v>
      </c>
      <c r="P1651" s="4">
        <v>24</v>
      </c>
      <c r="Q1651" s="2">
        <v>1.7</v>
      </c>
      <c r="R1651" t="str">
        <f>IF(BBDD_fashion_boutique[[#This Row],[stock_quantity]]&gt;9,"Ok",IF(BBDD_fashion_boutique[[#This Row],[stock_quantity]]=0,"Agotado","Pocas Unidades"))</f>
        <v>Ok</v>
      </c>
      <c r="S1651" s="3">
        <f>IF(BBDD_fashion_boutique[[#This Row],[customer_rating]]="","No valorado",BBDD_fashion_boutique[[#This Row],[customer_rating]])</f>
        <v>1.7</v>
      </c>
      <c r="T1651" t="s">
        <v>24</v>
      </c>
      <c r="V1651">
        <f>IF(BBDD_fashion_boutique[[#This Row],[is_returned]]="False",0,1)</f>
        <v>0</v>
      </c>
      <c r="W1651">
        <f>IF(BBDD_fashion_boutique[[#This Row],[is_returned]]="True",0,BBDD_fashion_boutique[[#This Row],[current_price]])</f>
        <v>142.88</v>
      </c>
      <c r="X1651" t="str">
        <f>IF(BBDD_fashion_boutique[[#This Row],[return_reason]]="","No return",BBDD_fashion_boutique[[#This Row],[return_reason]])</f>
        <v>No return</v>
      </c>
      <c r="Y1651">
        <f>IF(IFERROR(VLOOKUP(BBDD_fashion_boutique[[#This Row],[product_id]],A1652:A3827,1,FALSE),0),1,0)</f>
        <v>0</v>
      </c>
    </row>
    <row r="1652" spans="1:25" x14ac:dyDescent="0.3">
      <c r="A1652" t="s">
        <v>1711</v>
      </c>
      <c r="B1652" t="s">
        <v>48</v>
      </c>
      <c r="C1652" t="s">
        <v>27</v>
      </c>
      <c r="D1652" t="s">
        <v>68</v>
      </c>
      <c r="E1652" t="s">
        <v>29</v>
      </c>
      <c r="F1652" t="str">
        <f>IF(BBDD_fashion_boutique[[#This Row],[category]]="Accessories","Accesorio",IF(BBDD_fashion_boutique[[#This Row],[size]]="","Desconocido",BBDD_fashion_boutique[[#This Row],[size]]))</f>
        <v>L</v>
      </c>
      <c r="G1652" t="s">
        <v>50</v>
      </c>
      <c r="H1652" s="2">
        <v>153.18</v>
      </c>
      <c r="I1652">
        <v>0</v>
      </c>
      <c r="J1652" s="5">
        <f>BBDD_fashion_boutique[[#This Row],[markdown_percentage]]/100</f>
        <v>0</v>
      </c>
      <c r="K1652" s="2">
        <v>153.18</v>
      </c>
      <c r="L1652" s="2">
        <f>BBDD_fashion_boutique[[#This Row],[original_price]]-BBDD_fashion_boutique[[#This Row],[current_price]]</f>
        <v>0</v>
      </c>
      <c r="M1652" s="1">
        <v>45875</v>
      </c>
      <c r="N1652" s="1" t="str">
        <f>PROPER(TEXT(BBDD_fashion_boutique[[#This Row],[purchase_date]],"dddd"))</f>
        <v>Miércoles</v>
      </c>
      <c r="O1652" s="1" t="str">
        <f>PROPER(TEXT(BBDD_fashion_boutique[[#This Row],[purchase_date]],"mmmm"))</f>
        <v>Agosto</v>
      </c>
      <c r="P1652" s="4">
        <v>26</v>
      </c>
      <c r="Q1652" s="2">
        <v>1.1000000000000001</v>
      </c>
      <c r="R1652" t="str">
        <f>IF(BBDD_fashion_boutique[[#This Row],[stock_quantity]]&gt;9,"Ok",IF(BBDD_fashion_boutique[[#This Row],[stock_quantity]]=0,"Agotado","Pocas Unidades"))</f>
        <v>Ok</v>
      </c>
      <c r="S1652" s="3">
        <f>IF(BBDD_fashion_boutique[[#This Row],[customer_rating]]="","No valorado",BBDD_fashion_boutique[[#This Row],[customer_rating]])</f>
        <v>1.1000000000000001</v>
      </c>
      <c r="T1652" t="s">
        <v>24</v>
      </c>
      <c r="V1652">
        <f>IF(BBDD_fashion_boutique[[#This Row],[is_returned]]="False",0,1)</f>
        <v>0</v>
      </c>
      <c r="W1652">
        <f>IF(BBDD_fashion_boutique[[#This Row],[is_returned]]="True",0,BBDD_fashion_boutique[[#This Row],[current_price]])</f>
        <v>153.18</v>
      </c>
      <c r="X1652" t="str">
        <f>IF(BBDD_fashion_boutique[[#This Row],[return_reason]]="","No return",BBDD_fashion_boutique[[#This Row],[return_reason]])</f>
        <v>No return</v>
      </c>
      <c r="Y1652">
        <f>IF(IFERROR(VLOOKUP(BBDD_fashion_boutique[[#This Row],[product_id]],A1653:A3828,1,FALSE),0),1,0)</f>
        <v>0</v>
      </c>
    </row>
    <row r="1653" spans="1:25" x14ac:dyDescent="0.3">
      <c r="A1653" t="s">
        <v>1712</v>
      </c>
      <c r="B1653" t="s">
        <v>26</v>
      </c>
      <c r="C1653" t="s">
        <v>37</v>
      </c>
      <c r="D1653" t="s">
        <v>28</v>
      </c>
      <c r="E1653" t="s">
        <v>45</v>
      </c>
      <c r="F1653" t="str">
        <f>IF(BBDD_fashion_boutique[[#This Row],[category]]="Accessories","Accesorio",IF(BBDD_fashion_boutique[[#This Row],[size]]="","Desconocido",BBDD_fashion_boutique[[#This Row],[size]]))</f>
        <v>S</v>
      </c>
      <c r="G1653" t="s">
        <v>30</v>
      </c>
      <c r="H1653" s="2">
        <v>118.69</v>
      </c>
      <c r="I1653">
        <v>47.7</v>
      </c>
      <c r="J1653" s="5">
        <f>BBDD_fashion_boutique[[#This Row],[markdown_percentage]]/100</f>
        <v>0.47700000000000004</v>
      </c>
      <c r="K1653" s="2">
        <v>62.07</v>
      </c>
      <c r="L1653" s="2">
        <f>BBDD_fashion_boutique[[#This Row],[original_price]]-BBDD_fashion_boutique[[#This Row],[current_price]]</f>
        <v>56.62</v>
      </c>
      <c r="M1653" s="1">
        <v>45875</v>
      </c>
      <c r="N1653" s="1" t="str">
        <f>PROPER(TEXT(BBDD_fashion_boutique[[#This Row],[purchase_date]],"dddd"))</f>
        <v>Miércoles</v>
      </c>
      <c r="O1653" s="1" t="str">
        <f>PROPER(TEXT(BBDD_fashion_boutique[[#This Row],[purchase_date]],"mmmm"))</f>
        <v>Agosto</v>
      </c>
      <c r="P1653" s="4">
        <v>11</v>
      </c>
      <c r="Q1653" s="2">
        <v>2.8</v>
      </c>
      <c r="R1653" t="str">
        <f>IF(BBDD_fashion_boutique[[#This Row],[stock_quantity]]&gt;9,"Ok",IF(BBDD_fashion_boutique[[#This Row],[stock_quantity]]=0,"Agotado","Pocas Unidades"))</f>
        <v>Ok</v>
      </c>
      <c r="S1653" s="3">
        <f>IF(BBDD_fashion_boutique[[#This Row],[customer_rating]]="","No valorado",BBDD_fashion_boutique[[#This Row],[customer_rating]])</f>
        <v>2.8</v>
      </c>
      <c r="T1653" t="s">
        <v>24</v>
      </c>
      <c r="V1653">
        <f>IF(BBDD_fashion_boutique[[#This Row],[is_returned]]="False",0,1)</f>
        <v>0</v>
      </c>
      <c r="W1653">
        <f>IF(BBDD_fashion_boutique[[#This Row],[is_returned]]="True",0,BBDD_fashion_boutique[[#This Row],[current_price]])</f>
        <v>62.07</v>
      </c>
      <c r="X1653" t="str">
        <f>IF(BBDD_fashion_boutique[[#This Row],[return_reason]]="","No return",BBDD_fashion_boutique[[#This Row],[return_reason]])</f>
        <v>No return</v>
      </c>
      <c r="Y1653">
        <f>IF(IFERROR(VLOOKUP(BBDD_fashion_boutique[[#This Row],[product_id]],A1654:A3829,1,FALSE),0),1,0)</f>
        <v>0</v>
      </c>
    </row>
    <row r="1654" spans="1:25" x14ac:dyDescent="0.3">
      <c r="A1654" t="s">
        <v>1713</v>
      </c>
      <c r="B1654" t="s">
        <v>32</v>
      </c>
      <c r="C1654" t="s">
        <v>54</v>
      </c>
      <c r="D1654" t="s">
        <v>21</v>
      </c>
      <c r="F1654" t="str">
        <f>IF(BBDD_fashion_boutique[[#This Row],[category]]="Accessories","Accesorio",IF(BBDD_fashion_boutique[[#This Row],[size]]="","Desconocido",BBDD_fashion_boutique[[#This Row],[size]]))</f>
        <v>Accesorio</v>
      </c>
      <c r="G1654" t="s">
        <v>70</v>
      </c>
      <c r="H1654" s="2">
        <v>50.12</v>
      </c>
      <c r="I1654">
        <v>0</v>
      </c>
      <c r="J1654" s="5">
        <f>BBDD_fashion_boutique[[#This Row],[markdown_percentage]]/100</f>
        <v>0</v>
      </c>
      <c r="K1654" s="2">
        <v>50.12</v>
      </c>
      <c r="L1654" s="2">
        <f>BBDD_fashion_boutique[[#This Row],[original_price]]-BBDD_fashion_boutique[[#This Row],[current_price]]</f>
        <v>0</v>
      </c>
      <c r="M1654" s="1">
        <v>45725</v>
      </c>
      <c r="N1654" s="1" t="str">
        <f>PROPER(TEXT(BBDD_fashion_boutique[[#This Row],[purchase_date]],"dddd"))</f>
        <v>Domingo</v>
      </c>
      <c r="O1654" s="1" t="str">
        <f>PROPER(TEXT(BBDD_fashion_boutique[[#This Row],[purchase_date]],"mmmm"))</f>
        <v>Marzo</v>
      </c>
      <c r="P1654" s="4">
        <v>27</v>
      </c>
      <c r="Q1654" s="2">
        <v>2.4</v>
      </c>
      <c r="R1654" t="str">
        <f>IF(BBDD_fashion_boutique[[#This Row],[stock_quantity]]&gt;9,"Ok",IF(BBDD_fashion_boutique[[#This Row],[stock_quantity]]=0,"Agotado","Pocas Unidades"))</f>
        <v>Ok</v>
      </c>
      <c r="S1654" s="3">
        <f>IF(BBDD_fashion_boutique[[#This Row],[customer_rating]]="","No valorado",BBDD_fashion_boutique[[#This Row],[customer_rating]])</f>
        <v>2.4</v>
      </c>
      <c r="T1654" t="s">
        <v>24</v>
      </c>
      <c r="V1654">
        <f>IF(BBDD_fashion_boutique[[#This Row],[is_returned]]="False",0,1)</f>
        <v>0</v>
      </c>
      <c r="W1654">
        <f>IF(BBDD_fashion_boutique[[#This Row],[is_returned]]="True",0,BBDD_fashion_boutique[[#This Row],[current_price]])</f>
        <v>50.12</v>
      </c>
      <c r="X1654" t="str">
        <f>IF(BBDD_fashion_boutique[[#This Row],[return_reason]]="","No return",BBDD_fashion_boutique[[#This Row],[return_reason]])</f>
        <v>No return</v>
      </c>
      <c r="Y1654">
        <f>IF(IFERROR(VLOOKUP(BBDD_fashion_boutique[[#This Row],[product_id]],A1655:A3830,1,FALSE),0),1,0)</f>
        <v>0</v>
      </c>
    </row>
    <row r="1655" spans="1:25" x14ac:dyDescent="0.3">
      <c r="A1655" t="s">
        <v>1714</v>
      </c>
      <c r="B1655" t="s">
        <v>48</v>
      </c>
      <c r="C1655" t="s">
        <v>67</v>
      </c>
      <c r="D1655" t="s">
        <v>21</v>
      </c>
      <c r="E1655" t="s">
        <v>61</v>
      </c>
      <c r="F1655" t="str">
        <f>IF(BBDD_fashion_boutique[[#This Row],[category]]="Accessories","Accesorio",IF(BBDD_fashion_boutique[[#This Row],[size]]="","Desconocido",BBDD_fashion_boutique[[#This Row],[size]]))</f>
        <v>XS</v>
      </c>
      <c r="G1655" t="s">
        <v>50</v>
      </c>
      <c r="H1655" s="2">
        <v>93.68</v>
      </c>
      <c r="I1655">
        <v>59.5</v>
      </c>
      <c r="J1655" s="5">
        <f>BBDD_fashion_boutique[[#This Row],[markdown_percentage]]/100</f>
        <v>0.59499999999999997</v>
      </c>
      <c r="K1655" s="2">
        <v>37.94</v>
      </c>
      <c r="L1655" s="2">
        <f>BBDD_fashion_boutique[[#This Row],[original_price]]-BBDD_fashion_boutique[[#This Row],[current_price]]</f>
        <v>55.740000000000009</v>
      </c>
      <c r="M1655" s="1">
        <v>45771</v>
      </c>
      <c r="N1655" s="1" t="str">
        <f>PROPER(TEXT(BBDD_fashion_boutique[[#This Row],[purchase_date]],"dddd"))</f>
        <v>Jueves</v>
      </c>
      <c r="O1655" s="1" t="str">
        <f>PROPER(TEXT(BBDD_fashion_boutique[[#This Row],[purchase_date]],"mmmm"))</f>
        <v>Abril</v>
      </c>
      <c r="P1655" s="4">
        <v>21</v>
      </c>
      <c r="R1655" t="str">
        <f>IF(BBDD_fashion_boutique[[#This Row],[stock_quantity]]&gt;9,"Ok",IF(BBDD_fashion_boutique[[#This Row],[stock_quantity]]=0,"Agotado","Pocas Unidades"))</f>
        <v>Ok</v>
      </c>
      <c r="S1655" s="3" t="str">
        <f>IF(BBDD_fashion_boutique[[#This Row],[customer_rating]]="","No valorado",BBDD_fashion_boutique[[#This Row],[customer_rating]])</f>
        <v>No valorado</v>
      </c>
      <c r="T1655" t="s">
        <v>24</v>
      </c>
      <c r="V1655">
        <f>IF(BBDD_fashion_boutique[[#This Row],[is_returned]]="False",0,1)</f>
        <v>0</v>
      </c>
      <c r="W1655">
        <f>IF(BBDD_fashion_boutique[[#This Row],[is_returned]]="True",0,BBDD_fashion_boutique[[#This Row],[current_price]])</f>
        <v>37.94</v>
      </c>
      <c r="X1655" t="str">
        <f>IF(BBDD_fashion_boutique[[#This Row],[return_reason]]="","No return",BBDD_fashion_boutique[[#This Row],[return_reason]])</f>
        <v>No return</v>
      </c>
      <c r="Y1655">
        <f>IF(IFERROR(VLOOKUP(BBDD_fashion_boutique[[#This Row],[product_id]],A1656:A3831,1,FALSE),0),1,0)</f>
        <v>0</v>
      </c>
    </row>
    <row r="1656" spans="1:25" x14ac:dyDescent="0.3">
      <c r="A1656" t="s">
        <v>1715</v>
      </c>
      <c r="B1656" t="s">
        <v>26</v>
      </c>
      <c r="C1656" t="s">
        <v>27</v>
      </c>
      <c r="D1656" t="s">
        <v>68</v>
      </c>
      <c r="E1656" t="s">
        <v>45</v>
      </c>
      <c r="F1656" t="str">
        <f>IF(BBDD_fashion_boutique[[#This Row],[category]]="Accessories","Accesorio",IF(BBDD_fashion_boutique[[#This Row],[size]]="","Desconocido",BBDD_fashion_boutique[[#This Row],[size]]))</f>
        <v>S</v>
      </c>
      <c r="G1656" t="s">
        <v>23</v>
      </c>
      <c r="H1656" s="2">
        <v>50.49</v>
      </c>
      <c r="I1656">
        <v>0</v>
      </c>
      <c r="J1656" s="5">
        <f>BBDD_fashion_boutique[[#This Row],[markdown_percentage]]/100</f>
        <v>0</v>
      </c>
      <c r="K1656" s="2">
        <v>50.49</v>
      </c>
      <c r="L1656" s="2">
        <f>BBDD_fashion_boutique[[#This Row],[original_price]]-BBDD_fashion_boutique[[#This Row],[current_price]]</f>
        <v>0</v>
      </c>
      <c r="M1656" s="1">
        <v>45875</v>
      </c>
      <c r="N1656" s="1" t="str">
        <f>PROPER(TEXT(BBDD_fashion_boutique[[#This Row],[purchase_date]],"dddd"))</f>
        <v>Miércoles</v>
      </c>
      <c r="O1656" s="1" t="str">
        <f>PROPER(TEXT(BBDD_fashion_boutique[[#This Row],[purchase_date]],"mmmm"))</f>
        <v>Agosto</v>
      </c>
      <c r="P1656" s="4">
        <v>30</v>
      </c>
      <c r="Q1656" s="2">
        <v>4.0999999999999996</v>
      </c>
      <c r="R1656" t="str">
        <f>IF(BBDD_fashion_boutique[[#This Row],[stock_quantity]]&gt;9,"Ok",IF(BBDD_fashion_boutique[[#This Row],[stock_quantity]]=0,"Agotado","Pocas Unidades"))</f>
        <v>Ok</v>
      </c>
      <c r="S1656" s="3">
        <f>IF(BBDD_fashion_boutique[[#This Row],[customer_rating]]="","No valorado",BBDD_fashion_boutique[[#This Row],[customer_rating]])</f>
        <v>4.0999999999999996</v>
      </c>
      <c r="T1656" t="s">
        <v>24</v>
      </c>
      <c r="V1656">
        <f>IF(BBDD_fashion_boutique[[#This Row],[is_returned]]="False",0,1)</f>
        <v>0</v>
      </c>
      <c r="W1656">
        <f>IF(BBDD_fashion_boutique[[#This Row],[is_returned]]="True",0,BBDD_fashion_boutique[[#This Row],[current_price]])</f>
        <v>50.49</v>
      </c>
      <c r="X1656" t="str">
        <f>IF(BBDD_fashion_boutique[[#This Row],[return_reason]]="","No return",BBDD_fashion_boutique[[#This Row],[return_reason]])</f>
        <v>No return</v>
      </c>
      <c r="Y1656">
        <f>IF(IFERROR(VLOOKUP(BBDD_fashion_boutique[[#This Row],[product_id]],A1657:A3832,1,FALSE),0),1,0)</f>
        <v>0</v>
      </c>
    </row>
    <row r="1657" spans="1:25" x14ac:dyDescent="0.3">
      <c r="A1657" t="s">
        <v>1716</v>
      </c>
      <c r="B1657" t="s">
        <v>35</v>
      </c>
      <c r="C1657" t="s">
        <v>49</v>
      </c>
      <c r="D1657" t="s">
        <v>68</v>
      </c>
      <c r="E1657" t="s">
        <v>61</v>
      </c>
      <c r="F1657" t="str">
        <f>IF(BBDD_fashion_boutique[[#This Row],[category]]="Accessories","Accesorio",IF(BBDD_fashion_boutique[[#This Row],[size]]="","Desconocido",BBDD_fashion_boutique[[#This Row],[size]]))</f>
        <v>XS</v>
      </c>
      <c r="G1657" t="s">
        <v>40</v>
      </c>
      <c r="H1657" s="2">
        <v>97.9</v>
      </c>
      <c r="I1657">
        <v>0</v>
      </c>
      <c r="J1657" s="5">
        <f>BBDD_fashion_boutique[[#This Row],[markdown_percentage]]/100</f>
        <v>0</v>
      </c>
      <c r="K1657" s="2">
        <v>97.9</v>
      </c>
      <c r="L1657" s="2">
        <f>BBDD_fashion_boutique[[#This Row],[original_price]]-BBDD_fashion_boutique[[#This Row],[current_price]]</f>
        <v>0</v>
      </c>
      <c r="M1657" s="1">
        <v>45875</v>
      </c>
      <c r="N1657" s="1" t="str">
        <f>PROPER(TEXT(BBDD_fashion_boutique[[#This Row],[purchase_date]],"dddd"))</f>
        <v>Miércoles</v>
      </c>
      <c r="O1657" s="1" t="str">
        <f>PROPER(TEXT(BBDD_fashion_boutique[[#This Row],[purchase_date]],"mmmm"))</f>
        <v>Agosto</v>
      </c>
      <c r="P1657" s="4">
        <v>29</v>
      </c>
      <c r="Q1657" s="2">
        <v>1.3</v>
      </c>
      <c r="R1657" t="str">
        <f>IF(BBDD_fashion_boutique[[#This Row],[stock_quantity]]&gt;9,"Ok",IF(BBDD_fashion_boutique[[#This Row],[stock_quantity]]=0,"Agotado","Pocas Unidades"))</f>
        <v>Ok</v>
      </c>
      <c r="S1657" s="3">
        <f>IF(BBDD_fashion_boutique[[#This Row],[customer_rating]]="","No valorado",BBDD_fashion_boutique[[#This Row],[customer_rating]])</f>
        <v>1.3</v>
      </c>
      <c r="T1657" t="s">
        <v>24</v>
      </c>
      <c r="V1657">
        <f>IF(BBDD_fashion_boutique[[#This Row],[is_returned]]="False",0,1)</f>
        <v>0</v>
      </c>
      <c r="W1657">
        <f>IF(BBDD_fashion_boutique[[#This Row],[is_returned]]="True",0,BBDD_fashion_boutique[[#This Row],[current_price]])</f>
        <v>97.9</v>
      </c>
      <c r="X1657" t="str">
        <f>IF(BBDD_fashion_boutique[[#This Row],[return_reason]]="","No return",BBDD_fashion_boutique[[#This Row],[return_reason]])</f>
        <v>No return</v>
      </c>
      <c r="Y1657">
        <f>IF(IFERROR(VLOOKUP(BBDD_fashion_boutique[[#This Row],[product_id]],A1658:A3833,1,FALSE),0),1,0)</f>
        <v>0</v>
      </c>
    </row>
    <row r="1658" spans="1:25" x14ac:dyDescent="0.3">
      <c r="A1658" t="s">
        <v>1717</v>
      </c>
      <c r="B1658" t="s">
        <v>26</v>
      </c>
      <c r="C1658" t="s">
        <v>27</v>
      </c>
      <c r="D1658" t="s">
        <v>68</v>
      </c>
      <c r="E1658" t="s">
        <v>45</v>
      </c>
      <c r="F1658" t="str">
        <f>IF(BBDD_fashion_boutique[[#This Row],[category]]="Accessories","Accesorio",IF(BBDD_fashion_boutique[[#This Row],[size]]="","Desconocido",BBDD_fashion_boutique[[#This Row],[size]]))</f>
        <v>S</v>
      </c>
      <c r="G1658" t="s">
        <v>46</v>
      </c>
      <c r="H1658" s="2">
        <v>69</v>
      </c>
      <c r="I1658">
        <v>0</v>
      </c>
      <c r="J1658" s="5">
        <f>BBDD_fashion_boutique[[#This Row],[markdown_percentage]]/100</f>
        <v>0</v>
      </c>
      <c r="K1658" s="2">
        <v>69</v>
      </c>
      <c r="L1658" s="2">
        <f>BBDD_fashion_boutique[[#This Row],[original_price]]-BBDD_fashion_boutique[[#This Row],[current_price]]</f>
        <v>0</v>
      </c>
      <c r="M1658" s="1">
        <v>45875</v>
      </c>
      <c r="N1658" s="1" t="str">
        <f>PROPER(TEXT(BBDD_fashion_boutique[[#This Row],[purchase_date]],"dddd"))</f>
        <v>Miércoles</v>
      </c>
      <c r="O1658" s="1" t="str">
        <f>PROPER(TEXT(BBDD_fashion_boutique[[#This Row],[purchase_date]],"mmmm"))</f>
        <v>Agosto</v>
      </c>
      <c r="P1658" s="4">
        <v>32</v>
      </c>
      <c r="Q1658" s="2">
        <v>4.5</v>
      </c>
      <c r="R1658" t="str">
        <f>IF(BBDD_fashion_boutique[[#This Row],[stock_quantity]]&gt;9,"Ok",IF(BBDD_fashion_boutique[[#This Row],[stock_quantity]]=0,"Agotado","Pocas Unidades"))</f>
        <v>Ok</v>
      </c>
      <c r="S1658" s="3">
        <f>IF(BBDD_fashion_boutique[[#This Row],[customer_rating]]="","No valorado",BBDD_fashion_boutique[[#This Row],[customer_rating]])</f>
        <v>4.5</v>
      </c>
      <c r="T1658" t="s">
        <v>24</v>
      </c>
      <c r="V1658">
        <f>IF(BBDD_fashion_boutique[[#This Row],[is_returned]]="False",0,1)</f>
        <v>0</v>
      </c>
      <c r="W1658">
        <f>IF(BBDD_fashion_boutique[[#This Row],[is_returned]]="True",0,BBDD_fashion_boutique[[#This Row],[current_price]])</f>
        <v>69</v>
      </c>
      <c r="X1658" t="str">
        <f>IF(BBDD_fashion_boutique[[#This Row],[return_reason]]="","No return",BBDD_fashion_boutique[[#This Row],[return_reason]])</f>
        <v>No return</v>
      </c>
      <c r="Y1658">
        <f>IF(IFERROR(VLOOKUP(BBDD_fashion_boutique[[#This Row],[product_id]],A1659:A3834,1,FALSE),0),1,0)</f>
        <v>0</v>
      </c>
    </row>
    <row r="1659" spans="1:25" x14ac:dyDescent="0.3">
      <c r="A1659" t="s">
        <v>1718</v>
      </c>
      <c r="B1659" t="s">
        <v>32</v>
      </c>
      <c r="C1659" t="s">
        <v>49</v>
      </c>
      <c r="D1659" t="s">
        <v>39</v>
      </c>
      <c r="F1659" t="str">
        <f>IF(BBDD_fashion_boutique[[#This Row],[category]]="Accessories","Accesorio",IF(BBDD_fashion_boutique[[#This Row],[size]]="","Desconocido",BBDD_fashion_boutique[[#This Row],[size]]))</f>
        <v>Accesorio</v>
      </c>
      <c r="G1659" t="s">
        <v>72</v>
      </c>
      <c r="H1659" s="2">
        <v>30.2</v>
      </c>
      <c r="I1659">
        <v>27.1</v>
      </c>
      <c r="J1659" s="5">
        <f>BBDD_fashion_boutique[[#This Row],[markdown_percentage]]/100</f>
        <v>0.27100000000000002</v>
      </c>
      <c r="K1659" s="2">
        <v>22.02</v>
      </c>
      <c r="L1659" s="2">
        <f>BBDD_fashion_boutique[[#This Row],[original_price]]-BBDD_fashion_boutique[[#This Row],[current_price]]</f>
        <v>8.18</v>
      </c>
      <c r="M1659" s="1">
        <v>45875</v>
      </c>
      <c r="N1659" s="1" t="str">
        <f>PROPER(TEXT(BBDD_fashion_boutique[[#This Row],[purchase_date]],"dddd"))</f>
        <v>Miércoles</v>
      </c>
      <c r="O1659" s="1" t="str">
        <f>PROPER(TEXT(BBDD_fashion_boutique[[#This Row],[purchase_date]],"mmmm"))</f>
        <v>Agosto</v>
      </c>
      <c r="P1659" s="4">
        <v>15</v>
      </c>
      <c r="R1659" t="str">
        <f>IF(BBDD_fashion_boutique[[#This Row],[stock_quantity]]&gt;9,"Ok",IF(BBDD_fashion_boutique[[#This Row],[stock_quantity]]=0,"Agotado","Pocas Unidades"))</f>
        <v>Ok</v>
      </c>
      <c r="S1659" s="3" t="str">
        <f>IF(BBDD_fashion_boutique[[#This Row],[customer_rating]]="","No valorado",BBDD_fashion_boutique[[#This Row],[customer_rating]])</f>
        <v>No valorado</v>
      </c>
      <c r="T1659" t="s">
        <v>24</v>
      </c>
      <c r="V1659">
        <f>IF(BBDD_fashion_boutique[[#This Row],[is_returned]]="False",0,1)</f>
        <v>0</v>
      </c>
      <c r="W1659">
        <f>IF(BBDD_fashion_boutique[[#This Row],[is_returned]]="True",0,BBDD_fashion_boutique[[#This Row],[current_price]])</f>
        <v>22.02</v>
      </c>
      <c r="X1659" t="str">
        <f>IF(BBDD_fashion_boutique[[#This Row],[return_reason]]="","No return",BBDD_fashion_boutique[[#This Row],[return_reason]])</f>
        <v>No return</v>
      </c>
      <c r="Y1659">
        <f>IF(IFERROR(VLOOKUP(BBDD_fashion_boutique[[#This Row],[product_id]],A1660:A3835,1,FALSE),0),1,0)</f>
        <v>0</v>
      </c>
    </row>
    <row r="1660" spans="1:25" x14ac:dyDescent="0.3">
      <c r="A1660" t="s">
        <v>1719</v>
      </c>
      <c r="B1660" t="s">
        <v>26</v>
      </c>
      <c r="C1660" t="s">
        <v>37</v>
      </c>
      <c r="D1660" t="s">
        <v>28</v>
      </c>
      <c r="E1660" t="s">
        <v>29</v>
      </c>
      <c r="F1660" t="str">
        <f>IF(BBDD_fashion_boutique[[#This Row],[category]]="Accessories","Accesorio",IF(BBDD_fashion_boutique[[#This Row],[size]]="","Desconocido",BBDD_fashion_boutique[[#This Row],[size]]))</f>
        <v>L</v>
      </c>
      <c r="G1660" t="s">
        <v>62</v>
      </c>
      <c r="H1660" s="2">
        <v>84.92</v>
      </c>
      <c r="I1660">
        <v>59.1</v>
      </c>
      <c r="J1660" s="5">
        <f>BBDD_fashion_boutique[[#This Row],[markdown_percentage]]/100</f>
        <v>0.59099999999999997</v>
      </c>
      <c r="K1660" s="2">
        <v>34.729999999999997</v>
      </c>
      <c r="L1660" s="2">
        <f>BBDD_fashion_boutique[[#This Row],[original_price]]-BBDD_fashion_boutique[[#This Row],[current_price]]</f>
        <v>50.190000000000005</v>
      </c>
      <c r="M1660" s="1">
        <v>45875</v>
      </c>
      <c r="N1660" s="1" t="str">
        <f>PROPER(TEXT(BBDD_fashion_boutique[[#This Row],[purchase_date]],"dddd"))</f>
        <v>Miércoles</v>
      </c>
      <c r="O1660" s="1" t="str">
        <f>PROPER(TEXT(BBDD_fashion_boutique[[#This Row],[purchase_date]],"mmmm"))</f>
        <v>Agosto</v>
      </c>
      <c r="P1660" s="4">
        <v>42</v>
      </c>
      <c r="R1660" t="str">
        <f>IF(BBDD_fashion_boutique[[#This Row],[stock_quantity]]&gt;9,"Ok",IF(BBDD_fashion_boutique[[#This Row],[stock_quantity]]=0,"Agotado","Pocas Unidades"))</f>
        <v>Ok</v>
      </c>
      <c r="S1660" s="3" t="str">
        <f>IF(BBDD_fashion_boutique[[#This Row],[customer_rating]]="","No valorado",BBDD_fashion_boutique[[#This Row],[customer_rating]])</f>
        <v>No valorado</v>
      </c>
      <c r="T1660" t="s">
        <v>24</v>
      </c>
      <c r="V1660">
        <f>IF(BBDD_fashion_boutique[[#This Row],[is_returned]]="False",0,1)</f>
        <v>0</v>
      </c>
      <c r="W1660">
        <f>IF(BBDD_fashion_boutique[[#This Row],[is_returned]]="True",0,BBDD_fashion_boutique[[#This Row],[current_price]])</f>
        <v>34.729999999999997</v>
      </c>
      <c r="X1660" t="str">
        <f>IF(BBDD_fashion_boutique[[#This Row],[return_reason]]="","No return",BBDD_fashion_boutique[[#This Row],[return_reason]])</f>
        <v>No return</v>
      </c>
      <c r="Y1660">
        <f>IF(IFERROR(VLOOKUP(BBDD_fashion_boutique[[#This Row],[product_id]],A1661:A3836,1,FALSE),0),1,0)</f>
        <v>0</v>
      </c>
    </row>
    <row r="1661" spans="1:25" x14ac:dyDescent="0.3">
      <c r="A1661" t="s">
        <v>1720</v>
      </c>
      <c r="B1661" t="s">
        <v>26</v>
      </c>
      <c r="C1661" t="s">
        <v>81</v>
      </c>
      <c r="D1661" t="s">
        <v>39</v>
      </c>
      <c r="E1661" t="s">
        <v>61</v>
      </c>
      <c r="F1661" t="str">
        <f>IF(BBDD_fashion_boutique[[#This Row],[category]]="Accessories","Accesorio",IF(BBDD_fashion_boutique[[#This Row],[size]]="","Desconocido",BBDD_fashion_boutique[[#This Row],[size]]))</f>
        <v>XS</v>
      </c>
      <c r="G1661" t="s">
        <v>40</v>
      </c>
      <c r="H1661" s="2">
        <v>116.48</v>
      </c>
      <c r="I1661">
        <v>0</v>
      </c>
      <c r="J1661" s="5">
        <f>BBDD_fashion_boutique[[#This Row],[markdown_percentage]]/100</f>
        <v>0</v>
      </c>
      <c r="K1661" s="2">
        <v>116.48</v>
      </c>
      <c r="L1661" s="2">
        <f>BBDD_fashion_boutique[[#This Row],[original_price]]-BBDD_fashion_boutique[[#This Row],[current_price]]</f>
        <v>0</v>
      </c>
      <c r="M1661" s="1">
        <v>45875</v>
      </c>
      <c r="N1661" s="1" t="str">
        <f>PROPER(TEXT(BBDD_fashion_boutique[[#This Row],[purchase_date]],"dddd"))</f>
        <v>Miércoles</v>
      </c>
      <c r="O1661" s="1" t="str">
        <f>PROPER(TEXT(BBDD_fashion_boutique[[#This Row],[purchase_date]],"mmmm"))</f>
        <v>Agosto</v>
      </c>
      <c r="P1661" s="4">
        <v>3</v>
      </c>
      <c r="Q1661" s="2">
        <v>1.5</v>
      </c>
      <c r="R1661" t="str">
        <f>IF(BBDD_fashion_boutique[[#This Row],[stock_quantity]]&gt;9,"Ok",IF(BBDD_fashion_boutique[[#This Row],[stock_quantity]]=0,"Agotado","Pocas Unidades"))</f>
        <v>Pocas Unidades</v>
      </c>
      <c r="S1661" s="3">
        <f>IF(BBDD_fashion_boutique[[#This Row],[customer_rating]]="","No valorado",BBDD_fashion_boutique[[#This Row],[customer_rating]])</f>
        <v>1.5</v>
      </c>
      <c r="T1661" t="s">
        <v>24</v>
      </c>
      <c r="V1661">
        <f>IF(BBDD_fashion_boutique[[#This Row],[is_returned]]="False",0,1)</f>
        <v>0</v>
      </c>
      <c r="W1661">
        <f>IF(BBDD_fashion_boutique[[#This Row],[is_returned]]="True",0,BBDD_fashion_boutique[[#This Row],[current_price]])</f>
        <v>116.48</v>
      </c>
      <c r="X1661" t="str">
        <f>IF(BBDD_fashion_boutique[[#This Row],[return_reason]]="","No return",BBDD_fashion_boutique[[#This Row],[return_reason]])</f>
        <v>No return</v>
      </c>
      <c r="Y1661">
        <f>IF(IFERROR(VLOOKUP(BBDD_fashion_boutique[[#This Row],[product_id]],A1662:A3837,1,FALSE),0),1,0)</f>
        <v>0</v>
      </c>
    </row>
    <row r="1662" spans="1:25" x14ac:dyDescent="0.3">
      <c r="A1662" t="s">
        <v>1721</v>
      </c>
      <c r="B1662" t="s">
        <v>26</v>
      </c>
      <c r="C1662" t="s">
        <v>54</v>
      </c>
      <c r="D1662" t="s">
        <v>68</v>
      </c>
      <c r="E1662" t="s">
        <v>22</v>
      </c>
      <c r="F1662" t="str">
        <f>IF(BBDD_fashion_boutique[[#This Row],[category]]="Accessories","Accesorio",IF(BBDD_fashion_boutique[[#This Row],[size]]="","Desconocido",BBDD_fashion_boutique[[#This Row],[size]]))</f>
        <v>XL</v>
      </c>
      <c r="G1662" t="s">
        <v>70</v>
      </c>
      <c r="H1662" s="2">
        <v>40.68</v>
      </c>
      <c r="I1662">
        <v>0</v>
      </c>
      <c r="J1662" s="5">
        <f>BBDD_fashion_boutique[[#This Row],[markdown_percentage]]/100</f>
        <v>0</v>
      </c>
      <c r="K1662" s="2">
        <v>40.68</v>
      </c>
      <c r="L1662" s="2">
        <f>BBDD_fashion_boutique[[#This Row],[original_price]]-BBDD_fashion_boutique[[#This Row],[current_price]]</f>
        <v>0</v>
      </c>
      <c r="M1662" s="1">
        <v>45875</v>
      </c>
      <c r="N1662" s="1" t="str">
        <f>PROPER(TEXT(BBDD_fashion_boutique[[#This Row],[purchase_date]],"dddd"))</f>
        <v>Miércoles</v>
      </c>
      <c r="O1662" s="1" t="str">
        <f>PROPER(TEXT(BBDD_fashion_boutique[[#This Row],[purchase_date]],"mmmm"))</f>
        <v>Agosto</v>
      </c>
      <c r="P1662" s="4">
        <v>41</v>
      </c>
      <c r="Q1662" s="2">
        <v>1.1000000000000001</v>
      </c>
      <c r="R1662" t="str">
        <f>IF(BBDD_fashion_boutique[[#This Row],[stock_quantity]]&gt;9,"Ok",IF(BBDD_fashion_boutique[[#This Row],[stock_quantity]]=0,"Agotado","Pocas Unidades"))</f>
        <v>Ok</v>
      </c>
      <c r="S1662" s="3">
        <f>IF(BBDD_fashion_boutique[[#This Row],[customer_rating]]="","No valorado",BBDD_fashion_boutique[[#This Row],[customer_rating]])</f>
        <v>1.1000000000000001</v>
      </c>
      <c r="T1662" t="s">
        <v>41</v>
      </c>
      <c r="U1662" t="s">
        <v>121</v>
      </c>
      <c r="V1662">
        <f>IF(BBDD_fashion_boutique[[#This Row],[is_returned]]="False",0,1)</f>
        <v>1</v>
      </c>
      <c r="W1662">
        <f>IF(BBDD_fashion_boutique[[#This Row],[is_returned]]="True",0,BBDD_fashion_boutique[[#This Row],[current_price]])</f>
        <v>0</v>
      </c>
      <c r="X1662" t="str">
        <f>IF(BBDD_fashion_boutique[[#This Row],[return_reason]]="","No return",BBDD_fashion_boutique[[#This Row],[return_reason]])</f>
        <v>Changed Mind</v>
      </c>
      <c r="Y1662">
        <f>IF(IFERROR(VLOOKUP(BBDD_fashion_boutique[[#This Row],[product_id]],A1663:A3838,1,FALSE),0),1,0)</f>
        <v>0</v>
      </c>
    </row>
    <row r="1663" spans="1:25" x14ac:dyDescent="0.3">
      <c r="A1663" t="s">
        <v>1722</v>
      </c>
      <c r="B1663" t="s">
        <v>19</v>
      </c>
      <c r="C1663" t="s">
        <v>59</v>
      </c>
      <c r="D1663" t="s">
        <v>68</v>
      </c>
      <c r="E1663" t="s">
        <v>22</v>
      </c>
      <c r="F1663" t="str">
        <f>IF(BBDD_fashion_boutique[[#This Row],[category]]="Accessories","Accesorio",IF(BBDD_fashion_boutique[[#This Row],[size]]="","Desconocido",BBDD_fashion_boutique[[#This Row],[size]]))</f>
        <v>XL</v>
      </c>
      <c r="G1663" t="s">
        <v>33</v>
      </c>
      <c r="H1663" s="2">
        <v>118.92</v>
      </c>
      <c r="I1663">
        <v>0</v>
      </c>
      <c r="J1663" s="5">
        <f>BBDD_fashion_boutique[[#This Row],[markdown_percentage]]/100</f>
        <v>0</v>
      </c>
      <c r="K1663" s="2">
        <v>118.92</v>
      </c>
      <c r="L1663" s="2">
        <f>BBDD_fashion_boutique[[#This Row],[original_price]]-BBDD_fashion_boutique[[#This Row],[current_price]]</f>
        <v>0</v>
      </c>
      <c r="M1663" s="1">
        <v>45875</v>
      </c>
      <c r="N1663" s="1" t="str">
        <f>PROPER(TEXT(BBDD_fashion_boutique[[#This Row],[purchase_date]],"dddd"))</f>
        <v>Miércoles</v>
      </c>
      <c r="O1663" s="1" t="str">
        <f>PROPER(TEXT(BBDD_fashion_boutique[[#This Row],[purchase_date]],"mmmm"))</f>
        <v>Agosto</v>
      </c>
      <c r="P1663" s="4">
        <v>36</v>
      </c>
      <c r="Q1663" s="2">
        <v>1.8</v>
      </c>
      <c r="R1663" t="str">
        <f>IF(BBDD_fashion_boutique[[#This Row],[stock_quantity]]&gt;9,"Ok",IF(BBDD_fashion_boutique[[#This Row],[stock_quantity]]=0,"Agotado","Pocas Unidades"))</f>
        <v>Ok</v>
      </c>
      <c r="S1663" s="3">
        <f>IF(BBDD_fashion_boutique[[#This Row],[customer_rating]]="","No valorado",BBDD_fashion_boutique[[#This Row],[customer_rating]])</f>
        <v>1.8</v>
      </c>
      <c r="T1663" t="s">
        <v>41</v>
      </c>
      <c r="U1663" t="s">
        <v>131</v>
      </c>
      <c r="V1663">
        <f>IF(BBDD_fashion_boutique[[#This Row],[is_returned]]="False",0,1)</f>
        <v>1</v>
      </c>
      <c r="W1663">
        <f>IF(BBDD_fashion_boutique[[#This Row],[is_returned]]="True",0,BBDD_fashion_boutique[[#This Row],[current_price]])</f>
        <v>0</v>
      </c>
      <c r="X1663" t="str">
        <f>IF(BBDD_fashion_boutique[[#This Row],[return_reason]]="","No return",BBDD_fashion_boutique[[#This Row],[return_reason]])</f>
        <v>Wrong Item</v>
      </c>
      <c r="Y1663">
        <f>IF(IFERROR(VLOOKUP(BBDD_fashion_boutique[[#This Row],[product_id]],A1664:A3839,1,FALSE),0),1,0)</f>
        <v>0</v>
      </c>
    </row>
    <row r="1664" spans="1:25" x14ac:dyDescent="0.3">
      <c r="A1664" t="s">
        <v>1723</v>
      </c>
      <c r="B1664" t="s">
        <v>44</v>
      </c>
      <c r="C1664" t="s">
        <v>59</v>
      </c>
      <c r="D1664" t="s">
        <v>68</v>
      </c>
      <c r="E1664" t="s">
        <v>55</v>
      </c>
      <c r="F1664" t="str">
        <f>IF(BBDD_fashion_boutique[[#This Row],[category]]="Accessories","Accesorio",IF(BBDD_fashion_boutique[[#This Row],[size]]="","Desconocido",BBDD_fashion_boutique[[#This Row],[size]]))</f>
        <v>XXL</v>
      </c>
      <c r="G1664" t="s">
        <v>33</v>
      </c>
      <c r="H1664" s="2">
        <v>26.86</v>
      </c>
      <c r="I1664">
        <v>0</v>
      </c>
      <c r="J1664" s="5">
        <f>BBDD_fashion_boutique[[#This Row],[markdown_percentage]]/100</f>
        <v>0</v>
      </c>
      <c r="K1664" s="2">
        <v>26.86</v>
      </c>
      <c r="L1664" s="2">
        <f>BBDD_fashion_boutique[[#This Row],[original_price]]-BBDD_fashion_boutique[[#This Row],[current_price]]</f>
        <v>0</v>
      </c>
      <c r="M1664" s="1">
        <v>45875</v>
      </c>
      <c r="N1664" s="1" t="str">
        <f>PROPER(TEXT(BBDD_fashion_boutique[[#This Row],[purchase_date]],"dddd"))</f>
        <v>Miércoles</v>
      </c>
      <c r="O1664" s="1" t="str">
        <f>PROPER(TEXT(BBDD_fashion_boutique[[#This Row],[purchase_date]],"mmmm"))</f>
        <v>Agosto</v>
      </c>
      <c r="P1664" s="4">
        <v>18</v>
      </c>
      <c r="Q1664" s="2">
        <v>3.2</v>
      </c>
      <c r="R1664" t="str">
        <f>IF(BBDD_fashion_boutique[[#This Row],[stock_quantity]]&gt;9,"Ok",IF(BBDD_fashion_boutique[[#This Row],[stock_quantity]]=0,"Agotado","Pocas Unidades"))</f>
        <v>Ok</v>
      </c>
      <c r="S1664" s="3">
        <f>IF(BBDD_fashion_boutique[[#This Row],[customer_rating]]="","No valorado",BBDD_fashion_boutique[[#This Row],[customer_rating]])</f>
        <v>3.2</v>
      </c>
      <c r="T1664" t="s">
        <v>24</v>
      </c>
      <c r="V1664">
        <f>IF(BBDD_fashion_boutique[[#This Row],[is_returned]]="False",0,1)</f>
        <v>0</v>
      </c>
      <c r="W1664">
        <f>IF(BBDD_fashion_boutique[[#This Row],[is_returned]]="True",0,BBDD_fashion_boutique[[#This Row],[current_price]])</f>
        <v>26.86</v>
      </c>
      <c r="X1664" t="str">
        <f>IF(BBDD_fashion_boutique[[#This Row],[return_reason]]="","No return",BBDD_fashion_boutique[[#This Row],[return_reason]])</f>
        <v>No return</v>
      </c>
      <c r="Y1664">
        <f>IF(IFERROR(VLOOKUP(BBDD_fashion_boutique[[#This Row],[product_id]],A1665:A3840,1,FALSE),0),1,0)</f>
        <v>0</v>
      </c>
    </row>
    <row r="1665" spans="1:25" x14ac:dyDescent="0.3">
      <c r="A1665" t="s">
        <v>1724</v>
      </c>
      <c r="B1665" t="s">
        <v>48</v>
      </c>
      <c r="C1665" t="s">
        <v>37</v>
      </c>
      <c r="D1665" t="s">
        <v>39</v>
      </c>
      <c r="E1665" t="s">
        <v>45</v>
      </c>
      <c r="F1665" t="str">
        <f>IF(BBDD_fashion_boutique[[#This Row],[category]]="Accessories","Accesorio",IF(BBDD_fashion_boutique[[#This Row],[size]]="","Desconocido",BBDD_fashion_boutique[[#This Row],[size]]))</f>
        <v>S</v>
      </c>
      <c r="G1665" t="s">
        <v>52</v>
      </c>
      <c r="H1665" s="2">
        <v>113.34</v>
      </c>
      <c r="I1665">
        <v>0</v>
      </c>
      <c r="J1665" s="5">
        <f>BBDD_fashion_boutique[[#This Row],[markdown_percentage]]/100</f>
        <v>0</v>
      </c>
      <c r="K1665" s="2">
        <v>113.34</v>
      </c>
      <c r="L1665" s="2">
        <f>BBDD_fashion_boutique[[#This Row],[original_price]]-BBDD_fashion_boutique[[#This Row],[current_price]]</f>
        <v>0</v>
      </c>
      <c r="M1665" s="1">
        <v>45875</v>
      </c>
      <c r="N1665" s="1" t="str">
        <f>PROPER(TEXT(BBDD_fashion_boutique[[#This Row],[purchase_date]],"dddd"))</f>
        <v>Miércoles</v>
      </c>
      <c r="O1665" s="1" t="str">
        <f>PROPER(TEXT(BBDD_fashion_boutique[[#This Row],[purchase_date]],"mmmm"))</f>
        <v>Agosto</v>
      </c>
      <c r="P1665" s="4">
        <v>13</v>
      </c>
      <c r="R1665" t="str">
        <f>IF(BBDD_fashion_boutique[[#This Row],[stock_quantity]]&gt;9,"Ok",IF(BBDD_fashion_boutique[[#This Row],[stock_quantity]]=0,"Agotado","Pocas Unidades"))</f>
        <v>Ok</v>
      </c>
      <c r="S1665" s="3" t="str">
        <f>IF(BBDD_fashion_boutique[[#This Row],[customer_rating]]="","No valorado",BBDD_fashion_boutique[[#This Row],[customer_rating]])</f>
        <v>No valorado</v>
      </c>
      <c r="T1665" t="s">
        <v>24</v>
      </c>
      <c r="V1665">
        <f>IF(BBDD_fashion_boutique[[#This Row],[is_returned]]="False",0,1)</f>
        <v>0</v>
      </c>
      <c r="W1665">
        <f>IF(BBDD_fashion_boutique[[#This Row],[is_returned]]="True",0,BBDD_fashion_boutique[[#This Row],[current_price]])</f>
        <v>113.34</v>
      </c>
      <c r="X1665" t="str">
        <f>IF(BBDD_fashion_boutique[[#This Row],[return_reason]]="","No return",BBDD_fashion_boutique[[#This Row],[return_reason]])</f>
        <v>No return</v>
      </c>
      <c r="Y1665">
        <f>IF(IFERROR(VLOOKUP(BBDD_fashion_boutique[[#This Row],[product_id]],A1666:A3841,1,FALSE),0),1,0)</f>
        <v>0</v>
      </c>
    </row>
    <row r="1666" spans="1:25" x14ac:dyDescent="0.3">
      <c r="A1666" t="s">
        <v>1725</v>
      </c>
      <c r="B1666" t="s">
        <v>26</v>
      </c>
      <c r="C1666" t="s">
        <v>67</v>
      </c>
      <c r="D1666" t="s">
        <v>68</v>
      </c>
      <c r="E1666" t="s">
        <v>29</v>
      </c>
      <c r="F1666" t="str">
        <f>IF(BBDD_fashion_boutique[[#This Row],[category]]="Accessories","Accesorio",IF(BBDD_fashion_boutique[[#This Row],[size]]="","Desconocido",BBDD_fashion_boutique[[#This Row],[size]]))</f>
        <v>L</v>
      </c>
      <c r="G1666" t="s">
        <v>33</v>
      </c>
      <c r="H1666" s="2">
        <v>40.520000000000003</v>
      </c>
      <c r="I1666">
        <v>8.9</v>
      </c>
      <c r="J1666" s="5">
        <f>BBDD_fashion_boutique[[#This Row],[markdown_percentage]]/100</f>
        <v>8.900000000000001E-2</v>
      </c>
      <c r="K1666" s="2">
        <v>36.909999999999997</v>
      </c>
      <c r="L1666" s="2">
        <f>BBDD_fashion_boutique[[#This Row],[original_price]]-BBDD_fashion_boutique[[#This Row],[current_price]]</f>
        <v>3.6100000000000065</v>
      </c>
      <c r="M1666" s="1">
        <v>45875</v>
      </c>
      <c r="N1666" s="1" t="str">
        <f>PROPER(TEXT(BBDD_fashion_boutique[[#This Row],[purchase_date]],"dddd"))</f>
        <v>Miércoles</v>
      </c>
      <c r="O1666" s="1" t="str">
        <f>PROPER(TEXT(BBDD_fashion_boutique[[#This Row],[purchase_date]],"mmmm"))</f>
        <v>Agosto</v>
      </c>
      <c r="P1666" s="4">
        <v>13</v>
      </c>
      <c r="Q1666" s="2">
        <v>2.5</v>
      </c>
      <c r="R1666" t="str">
        <f>IF(BBDD_fashion_boutique[[#This Row],[stock_quantity]]&gt;9,"Ok",IF(BBDD_fashion_boutique[[#This Row],[stock_quantity]]=0,"Agotado","Pocas Unidades"))</f>
        <v>Ok</v>
      </c>
      <c r="S1666" s="3">
        <f>IF(BBDD_fashion_boutique[[#This Row],[customer_rating]]="","No valorado",BBDD_fashion_boutique[[#This Row],[customer_rating]])</f>
        <v>2.5</v>
      </c>
      <c r="T1666" t="s">
        <v>24</v>
      </c>
      <c r="V1666">
        <f>IF(BBDD_fashion_boutique[[#This Row],[is_returned]]="False",0,1)</f>
        <v>0</v>
      </c>
      <c r="W1666">
        <f>IF(BBDD_fashion_boutique[[#This Row],[is_returned]]="True",0,BBDD_fashion_boutique[[#This Row],[current_price]])</f>
        <v>36.909999999999997</v>
      </c>
      <c r="X1666" t="str">
        <f>IF(BBDD_fashion_boutique[[#This Row],[return_reason]]="","No return",BBDD_fashion_boutique[[#This Row],[return_reason]])</f>
        <v>No return</v>
      </c>
      <c r="Y1666">
        <f>IF(IFERROR(VLOOKUP(BBDD_fashion_boutique[[#This Row],[product_id]],A1667:A3842,1,FALSE),0),1,0)</f>
        <v>0</v>
      </c>
    </row>
    <row r="1667" spans="1:25" x14ac:dyDescent="0.3">
      <c r="A1667" t="s">
        <v>1726</v>
      </c>
      <c r="B1667" t="s">
        <v>44</v>
      </c>
      <c r="C1667" t="s">
        <v>81</v>
      </c>
      <c r="D1667" t="s">
        <v>68</v>
      </c>
      <c r="E1667" t="s">
        <v>29</v>
      </c>
      <c r="F1667" t="str">
        <f>IF(BBDD_fashion_boutique[[#This Row],[category]]="Accessories","Accesorio",IF(BBDD_fashion_boutique[[#This Row],[size]]="","Desconocido",BBDD_fashion_boutique[[#This Row],[size]]))</f>
        <v>L</v>
      </c>
      <c r="G1667" t="s">
        <v>30</v>
      </c>
      <c r="H1667" s="2">
        <v>98.41</v>
      </c>
      <c r="I1667">
        <v>0</v>
      </c>
      <c r="J1667" s="5">
        <f>BBDD_fashion_boutique[[#This Row],[markdown_percentage]]/100</f>
        <v>0</v>
      </c>
      <c r="K1667" s="2">
        <v>98.41</v>
      </c>
      <c r="L1667" s="2">
        <f>BBDD_fashion_boutique[[#This Row],[original_price]]-BBDD_fashion_boutique[[#This Row],[current_price]]</f>
        <v>0</v>
      </c>
      <c r="M1667" s="1">
        <v>45875</v>
      </c>
      <c r="N1667" s="1" t="str">
        <f>PROPER(TEXT(BBDD_fashion_boutique[[#This Row],[purchase_date]],"dddd"))</f>
        <v>Miércoles</v>
      </c>
      <c r="O1667" s="1" t="str">
        <f>PROPER(TEXT(BBDD_fashion_boutique[[#This Row],[purchase_date]],"mmmm"))</f>
        <v>Agosto</v>
      </c>
      <c r="P1667" s="4">
        <v>7</v>
      </c>
      <c r="Q1667" s="2">
        <v>4.5999999999999996</v>
      </c>
      <c r="R1667" t="str">
        <f>IF(BBDD_fashion_boutique[[#This Row],[stock_quantity]]&gt;9,"Ok",IF(BBDD_fashion_boutique[[#This Row],[stock_quantity]]=0,"Agotado","Pocas Unidades"))</f>
        <v>Pocas Unidades</v>
      </c>
      <c r="S1667" s="3">
        <f>IF(BBDD_fashion_boutique[[#This Row],[customer_rating]]="","No valorado",BBDD_fashion_boutique[[#This Row],[customer_rating]])</f>
        <v>4.5999999999999996</v>
      </c>
      <c r="T1667" t="s">
        <v>24</v>
      </c>
      <c r="V1667">
        <f>IF(BBDD_fashion_boutique[[#This Row],[is_returned]]="False",0,1)</f>
        <v>0</v>
      </c>
      <c r="W1667">
        <f>IF(BBDD_fashion_boutique[[#This Row],[is_returned]]="True",0,BBDD_fashion_boutique[[#This Row],[current_price]])</f>
        <v>98.41</v>
      </c>
      <c r="X1667" t="str">
        <f>IF(BBDD_fashion_boutique[[#This Row],[return_reason]]="","No return",BBDD_fashion_boutique[[#This Row],[return_reason]])</f>
        <v>No return</v>
      </c>
      <c r="Y1667">
        <f>IF(IFERROR(VLOOKUP(BBDD_fashion_boutique[[#This Row],[product_id]],A1668:A3843,1,FALSE),0),1,0)</f>
        <v>0</v>
      </c>
    </row>
    <row r="1668" spans="1:25" x14ac:dyDescent="0.3">
      <c r="A1668" t="s">
        <v>1727</v>
      </c>
      <c r="B1668" t="s">
        <v>44</v>
      </c>
      <c r="C1668" t="s">
        <v>81</v>
      </c>
      <c r="D1668" t="s">
        <v>28</v>
      </c>
      <c r="E1668" t="s">
        <v>61</v>
      </c>
      <c r="F1668" t="str">
        <f>IF(BBDD_fashion_boutique[[#This Row],[category]]="Accessories","Accesorio",IF(BBDD_fashion_boutique[[#This Row],[size]]="","Desconocido",BBDD_fashion_boutique[[#This Row],[size]]))</f>
        <v>XS</v>
      </c>
      <c r="G1668" t="s">
        <v>23</v>
      </c>
      <c r="H1668" s="2">
        <v>83.18</v>
      </c>
      <c r="I1668">
        <v>0</v>
      </c>
      <c r="J1668" s="5">
        <f>BBDD_fashion_boutique[[#This Row],[markdown_percentage]]/100</f>
        <v>0</v>
      </c>
      <c r="K1668" s="2">
        <v>83.18</v>
      </c>
      <c r="L1668" s="2">
        <f>BBDD_fashion_boutique[[#This Row],[original_price]]-BBDD_fashion_boutique[[#This Row],[current_price]]</f>
        <v>0</v>
      </c>
      <c r="M1668" s="1">
        <v>45875</v>
      </c>
      <c r="N1668" s="1" t="str">
        <f>PROPER(TEXT(BBDD_fashion_boutique[[#This Row],[purchase_date]],"dddd"))</f>
        <v>Miércoles</v>
      </c>
      <c r="O1668" s="1" t="str">
        <f>PROPER(TEXT(BBDD_fashion_boutique[[#This Row],[purchase_date]],"mmmm"))</f>
        <v>Agosto</v>
      </c>
      <c r="P1668" s="4">
        <v>17</v>
      </c>
      <c r="Q1668" s="2">
        <v>1.7</v>
      </c>
      <c r="R1668" t="str">
        <f>IF(BBDD_fashion_boutique[[#This Row],[stock_quantity]]&gt;9,"Ok",IF(BBDD_fashion_boutique[[#This Row],[stock_quantity]]=0,"Agotado","Pocas Unidades"))</f>
        <v>Ok</v>
      </c>
      <c r="S1668" s="3">
        <f>IF(BBDD_fashion_boutique[[#This Row],[customer_rating]]="","No valorado",BBDD_fashion_boutique[[#This Row],[customer_rating]])</f>
        <v>1.7</v>
      </c>
      <c r="T1668" t="s">
        <v>41</v>
      </c>
      <c r="U1668" t="s">
        <v>79</v>
      </c>
      <c r="V1668">
        <f>IF(BBDD_fashion_boutique[[#This Row],[is_returned]]="False",0,1)</f>
        <v>1</v>
      </c>
      <c r="W1668">
        <f>IF(BBDD_fashion_boutique[[#This Row],[is_returned]]="True",0,BBDD_fashion_boutique[[#This Row],[current_price]])</f>
        <v>0</v>
      </c>
      <c r="X1668" t="str">
        <f>IF(BBDD_fashion_boutique[[#This Row],[return_reason]]="","No return",BBDD_fashion_boutique[[#This Row],[return_reason]])</f>
        <v>Size Issue</v>
      </c>
      <c r="Y1668">
        <f>IF(IFERROR(VLOOKUP(BBDD_fashion_boutique[[#This Row],[product_id]],A1669:A3844,1,FALSE),0),1,0)</f>
        <v>0</v>
      </c>
    </row>
    <row r="1669" spans="1:25" x14ac:dyDescent="0.3">
      <c r="A1669" t="s">
        <v>1728</v>
      </c>
      <c r="B1669" t="s">
        <v>35</v>
      </c>
      <c r="C1669" t="s">
        <v>54</v>
      </c>
      <c r="D1669" t="s">
        <v>21</v>
      </c>
      <c r="E1669" t="s">
        <v>55</v>
      </c>
      <c r="F1669" t="str">
        <f>IF(BBDD_fashion_boutique[[#This Row],[category]]="Accessories","Accesorio",IF(BBDD_fashion_boutique[[#This Row],[size]]="","Desconocido",BBDD_fashion_boutique[[#This Row],[size]]))</f>
        <v>XXL</v>
      </c>
      <c r="G1669" t="s">
        <v>72</v>
      </c>
      <c r="H1669" s="2">
        <v>179.31</v>
      </c>
      <c r="I1669">
        <v>24.1</v>
      </c>
      <c r="J1669" s="5">
        <f>BBDD_fashion_boutique[[#This Row],[markdown_percentage]]/100</f>
        <v>0.24100000000000002</v>
      </c>
      <c r="K1669" s="2">
        <v>136.1</v>
      </c>
      <c r="L1669" s="2">
        <f>BBDD_fashion_boutique[[#This Row],[original_price]]-BBDD_fashion_boutique[[#This Row],[current_price]]</f>
        <v>43.210000000000008</v>
      </c>
      <c r="M1669" s="1">
        <v>45851</v>
      </c>
      <c r="N1669" s="1" t="str">
        <f>PROPER(TEXT(BBDD_fashion_boutique[[#This Row],[purchase_date]],"dddd"))</f>
        <v>Domingo</v>
      </c>
      <c r="O1669" s="1" t="str">
        <f>PROPER(TEXT(BBDD_fashion_boutique[[#This Row],[purchase_date]],"mmmm"))</f>
        <v>Julio</v>
      </c>
      <c r="P1669" s="4">
        <v>0</v>
      </c>
      <c r="Q1669" s="2">
        <v>3.1</v>
      </c>
      <c r="R1669" t="str">
        <f>IF(BBDD_fashion_boutique[[#This Row],[stock_quantity]]&gt;9,"Ok",IF(BBDD_fashion_boutique[[#This Row],[stock_quantity]]=0,"Agotado","Pocas Unidades"))</f>
        <v>Agotado</v>
      </c>
      <c r="S1669" s="3">
        <f>IF(BBDD_fashion_boutique[[#This Row],[customer_rating]]="","No valorado",BBDD_fashion_boutique[[#This Row],[customer_rating]])</f>
        <v>3.1</v>
      </c>
      <c r="T1669" t="s">
        <v>24</v>
      </c>
      <c r="V1669">
        <f>IF(BBDD_fashion_boutique[[#This Row],[is_returned]]="False",0,1)</f>
        <v>0</v>
      </c>
      <c r="W1669">
        <f>IF(BBDD_fashion_boutique[[#This Row],[is_returned]]="True",0,BBDD_fashion_boutique[[#This Row],[current_price]])</f>
        <v>136.1</v>
      </c>
      <c r="X1669" t="str">
        <f>IF(BBDD_fashion_boutique[[#This Row],[return_reason]]="","No return",BBDD_fashion_boutique[[#This Row],[return_reason]])</f>
        <v>No return</v>
      </c>
      <c r="Y1669">
        <f>IF(IFERROR(VLOOKUP(BBDD_fashion_boutique[[#This Row],[product_id]],A1670:A3845,1,FALSE),0),1,0)</f>
        <v>0</v>
      </c>
    </row>
    <row r="1670" spans="1:25" x14ac:dyDescent="0.3">
      <c r="A1670" t="s">
        <v>1729</v>
      </c>
      <c r="B1670" t="s">
        <v>26</v>
      </c>
      <c r="C1670" t="s">
        <v>20</v>
      </c>
      <c r="D1670" t="s">
        <v>21</v>
      </c>
      <c r="E1670" t="s">
        <v>55</v>
      </c>
      <c r="F1670" t="str">
        <f>IF(BBDD_fashion_boutique[[#This Row],[category]]="Accessories","Accesorio",IF(BBDD_fashion_boutique[[#This Row],[size]]="","Desconocido",BBDD_fashion_boutique[[#This Row],[size]]))</f>
        <v>XXL</v>
      </c>
      <c r="G1670" t="s">
        <v>52</v>
      </c>
      <c r="H1670" s="2">
        <v>47.88</v>
      </c>
      <c r="I1670">
        <v>0</v>
      </c>
      <c r="J1670" s="5">
        <f>BBDD_fashion_boutique[[#This Row],[markdown_percentage]]/100</f>
        <v>0</v>
      </c>
      <c r="K1670" s="2">
        <v>47.88</v>
      </c>
      <c r="L1670" s="2">
        <f>BBDD_fashion_boutique[[#This Row],[original_price]]-BBDD_fashion_boutique[[#This Row],[current_price]]</f>
        <v>0</v>
      </c>
      <c r="M1670" s="1">
        <v>45647</v>
      </c>
      <c r="N1670" s="1" t="str">
        <f>PROPER(TEXT(BBDD_fashion_boutique[[#This Row],[purchase_date]],"dddd"))</f>
        <v>Sábado</v>
      </c>
      <c r="O1670" s="1" t="str">
        <f>PROPER(TEXT(BBDD_fashion_boutique[[#This Row],[purchase_date]],"mmmm"))</f>
        <v>Diciembre</v>
      </c>
      <c r="P1670" s="4">
        <v>44</v>
      </c>
      <c r="Q1670" s="2">
        <v>1.9</v>
      </c>
      <c r="R1670" t="str">
        <f>IF(BBDD_fashion_boutique[[#This Row],[stock_quantity]]&gt;9,"Ok",IF(BBDD_fashion_boutique[[#This Row],[stock_quantity]]=0,"Agotado","Pocas Unidades"))</f>
        <v>Ok</v>
      </c>
      <c r="S1670" s="3">
        <f>IF(BBDD_fashion_boutique[[#This Row],[customer_rating]]="","No valorado",BBDD_fashion_boutique[[#This Row],[customer_rating]])</f>
        <v>1.9</v>
      </c>
      <c r="T1670" t="s">
        <v>24</v>
      </c>
      <c r="V1670">
        <f>IF(BBDD_fashion_boutique[[#This Row],[is_returned]]="False",0,1)</f>
        <v>0</v>
      </c>
      <c r="W1670">
        <f>IF(BBDD_fashion_boutique[[#This Row],[is_returned]]="True",0,BBDD_fashion_boutique[[#This Row],[current_price]])</f>
        <v>47.88</v>
      </c>
      <c r="X1670" t="str">
        <f>IF(BBDD_fashion_boutique[[#This Row],[return_reason]]="","No return",BBDD_fashion_boutique[[#This Row],[return_reason]])</f>
        <v>No return</v>
      </c>
      <c r="Y1670">
        <f>IF(IFERROR(VLOOKUP(BBDD_fashion_boutique[[#This Row],[product_id]],A1671:A3846,1,FALSE),0),1,0)</f>
        <v>0</v>
      </c>
    </row>
    <row r="1671" spans="1:25" x14ac:dyDescent="0.3">
      <c r="A1671" t="s">
        <v>1730</v>
      </c>
      <c r="B1671" t="s">
        <v>19</v>
      </c>
      <c r="C1671" t="s">
        <v>49</v>
      </c>
      <c r="D1671" t="s">
        <v>28</v>
      </c>
      <c r="E1671" t="s">
        <v>22</v>
      </c>
      <c r="F1671" t="str">
        <f>IF(BBDD_fashion_boutique[[#This Row],[category]]="Accessories","Accesorio",IF(BBDD_fashion_boutique[[#This Row],[size]]="","Desconocido",BBDD_fashion_boutique[[#This Row],[size]]))</f>
        <v>XL</v>
      </c>
      <c r="G1671" t="s">
        <v>70</v>
      </c>
      <c r="H1671" s="2">
        <v>89.26</v>
      </c>
      <c r="I1671">
        <v>0</v>
      </c>
      <c r="J1671" s="5">
        <f>BBDD_fashion_boutique[[#This Row],[markdown_percentage]]/100</f>
        <v>0</v>
      </c>
      <c r="K1671" s="2">
        <v>89.26</v>
      </c>
      <c r="L1671" s="2">
        <f>BBDD_fashion_boutique[[#This Row],[original_price]]-BBDD_fashion_boutique[[#This Row],[current_price]]</f>
        <v>0</v>
      </c>
      <c r="M1671" s="1">
        <v>45875</v>
      </c>
      <c r="N1671" s="1" t="str">
        <f>PROPER(TEXT(BBDD_fashion_boutique[[#This Row],[purchase_date]],"dddd"))</f>
        <v>Miércoles</v>
      </c>
      <c r="O1671" s="1" t="str">
        <f>PROPER(TEXT(BBDD_fashion_boutique[[#This Row],[purchase_date]],"mmmm"))</f>
        <v>Agosto</v>
      </c>
      <c r="P1671" s="4">
        <v>43</v>
      </c>
      <c r="Q1671" s="2">
        <v>3.8</v>
      </c>
      <c r="R1671" t="str">
        <f>IF(BBDD_fashion_boutique[[#This Row],[stock_quantity]]&gt;9,"Ok",IF(BBDD_fashion_boutique[[#This Row],[stock_quantity]]=0,"Agotado","Pocas Unidades"))</f>
        <v>Ok</v>
      </c>
      <c r="S1671" s="3">
        <f>IF(BBDD_fashion_boutique[[#This Row],[customer_rating]]="","No valorado",BBDD_fashion_boutique[[#This Row],[customer_rating]])</f>
        <v>3.8</v>
      </c>
      <c r="T1671" t="s">
        <v>24</v>
      </c>
      <c r="V1671">
        <f>IF(BBDD_fashion_boutique[[#This Row],[is_returned]]="False",0,1)</f>
        <v>0</v>
      </c>
      <c r="W1671">
        <f>IF(BBDD_fashion_boutique[[#This Row],[is_returned]]="True",0,BBDD_fashion_boutique[[#This Row],[current_price]])</f>
        <v>89.26</v>
      </c>
      <c r="X1671" t="str">
        <f>IF(BBDD_fashion_boutique[[#This Row],[return_reason]]="","No return",BBDD_fashion_boutique[[#This Row],[return_reason]])</f>
        <v>No return</v>
      </c>
      <c r="Y1671">
        <f>IF(IFERROR(VLOOKUP(BBDD_fashion_boutique[[#This Row],[product_id]],A1672:A3847,1,FALSE),0),1,0)</f>
        <v>0</v>
      </c>
    </row>
    <row r="1672" spans="1:25" x14ac:dyDescent="0.3">
      <c r="A1672" t="s">
        <v>1731</v>
      </c>
      <c r="B1672" t="s">
        <v>48</v>
      </c>
      <c r="C1672" t="s">
        <v>67</v>
      </c>
      <c r="D1672" t="s">
        <v>68</v>
      </c>
      <c r="E1672" t="s">
        <v>55</v>
      </c>
      <c r="F1672" t="str">
        <f>IF(BBDD_fashion_boutique[[#This Row],[category]]="Accessories","Accesorio",IF(BBDD_fashion_boutique[[#This Row],[size]]="","Desconocido",BBDD_fashion_boutique[[#This Row],[size]]))</f>
        <v>XXL</v>
      </c>
      <c r="G1672" t="s">
        <v>33</v>
      </c>
      <c r="H1672" s="2">
        <v>114.2</v>
      </c>
      <c r="I1672">
        <v>0</v>
      </c>
      <c r="J1672" s="5">
        <f>BBDD_fashion_boutique[[#This Row],[markdown_percentage]]/100</f>
        <v>0</v>
      </c>
      <c r="K1672" s="2">
        <v>114.2</v>
      </c>
      <c r="L1672" s="2">
        <f>BBDD_fashion_boutique[[#This Row],[original_price]]-BBDD_fashion_boutique[[#This Row],[current_price]]</f>
        <v>0</v>
      </c>
      <c r="M1672" s="1">
        <v>45875</v>
      </c>
      <c r="N1672" s="1" t="str">
        <f>PROPER(TEXT(BBDD_fashion_boutique[[#This Row],[purchase_date]],"dddd"))</f>
        <v>Miércoles</v>
      </c>
      <c r="O1672" s="1" t="str">
        <f>PROPER(TEXT(BBDD_fashion_boutique[[#This Row],[purchase_date]],"mmmm"))</f>
        <v>Agosto</v>
      </c>
      <c r="P1672" s="4">
        <v>15</v>
      </c>
      <c r="R1672" t="str">
        <f>IF(BBDD_fashion_boutique[[#This Row],[stock_quantity]]&gt;9,"Ok",IF(BBDD_fashion_boutique[[#This Row],[stock_quantity]]=0,"Agotado","Pocas Unidades"))</f>
        <v>Ok</v>
      </c>
      <c r="S1672" s="3" t="str">
        <f>IF(BBDD_fashion_boutique[[#This Row],[customer_rating]]="","No valorado",BBDD_fashion_boutique[[#This Row],[customer_rating]])</f>
        <v>No valorado</v>
      </c>
      <c r="T1672" t="s">
        <v>24</v>
      </c>
      <c r="V1672">
        <f>IF(BBDD_fashion_boutique[[#This Row],[is_returned]]="False",0,1)</f>
        <v>0</v>
      </c>
      <c r="W1672">
        <f>IF(BBDD_fashion_boutique[[#This Row],[is_returned]]="True",0,BBDD_fashion_boutique[[#This Row],[current_price]])</f>
        <v>114.2</v>
      </c>
      <c r="X1672" t="str">
        <f>IF(BBDD_fashion_boutique[[#This Row],[return_reason]]="","No return",BBDD_fashion_boutique[[#This Row],[return_reason]])</f>
        <v>No return</v>
      </c>
      <c r="Y1672">
        <f>IF(IFERROR(VLOOKUP(BBDD_fashion_boutique[[#This Row],[product_id]],A1673:A3848,1,FALSE),0),1,0)</f>
        <v>0</v>
      </c>
    </row>
    <row r="1673" spans="1:25" x14ac:dyDescent="0.3">
      <c r="A1673" t="s">
        <v>1732</v>
      </c>
      <c r="B1673" t="s">
        <v>35</v>
      </c>
      <c r="C1673" t="s">
        <v>67</v>
      </c>
      <c r="D1673" t="s">
        <v>68</v>
      </c>
      <c r="E1673" t="s">
        <v>29</v>
      </c>
      <c r="F1673" t="str">
        <f>IF(BBDD_fashion_boutique[[#This Row],[category]]="Accessories","Accesorio",IF(BBDD_fashion_boutique[[#This Row],[size]]="","Desconocido",BBDD_fashion_boutique[[#This Row],[size]]))</f>
        <v>L</v>
      </c>
      <c r="G1673" t="s">
        <v>52</v>
      </c>
      <c r="H1673" s="2">
        <v>169.5</v>
      </c>
      <c r="I1673">
        <v>59.7</v>
      </c>
      <c r="J1673" s="5">
        <f>BBDD_fashion_boutique[[#This Row],[markdown_percentage]]/100</f>
        <v>0.59699999999999998</v>
      </c>
      <c r="K1673" s="2">
        <v>68.31</v>
      </c>
      <c r="L1673" s="2">
        <f>BBDD_fashion_boutique[[#This Row],[original_price]]-BBDD_fashion_boutique[[#This Row],[current_price]]</f>
        <v>101.19</v>
      </c>
      <c r="M1673" s="1">
        <v>45875</v>
      </c>
      <c r="N1673" s="1" t="str">
        <f>PROPER(TEXT(BBDD_fashion_boutique[[#This Row],[purchase_date]],"dddd"))</f>
        <v>Miércoles</v>
      </c>
      <c r="O1673" s="1" t="str">
        <f>PROPER(TEXT(BBDD_fashion_boutique[[#This Row],[purchase_date]],"mmmm"))</f>
        <v>Agosto</v>
      </c>
      <c r="P1673" s="4">
        <v>16</v>
      </c>
      <c r="Q1673" s="2">
        <v>1.8</v>
      </c>
      <c r="R1673" t="str">
        <f>IF(BBDD_fashion_boutique[[#This Row],[stock_quantity]]&gt;9,"Ok",IF(BBDD_fashion_boutique[[#This Row],[stock_quantity]]=0,"Agotado","Pocas Unidades"))</f>
        <v>Ok</v>
      </c>
      <c r="S1673" s="3">
        <f>IF(BBDD_fashion_boutique[[#This Row],[customer_rating]]="","No valorado",BBDD_fashion_boutique[[#This Row],[customer_rating]])</f>
        <v>1.8</v>
      </c>
      <c r="T1673" t="s">
        <v>24</v>
      </c>
      <c r="V1673">
        <f>IF(BBDD_fashion_boutique[[#This Row],[is_returned]]="False",0,1)</f>
        <v>0</v>
      </c>
      <c r="W1673">
        <f>IF(BBDD_fashion_boutique[[#This Row],[is_returned]]="True",0,BBDD_fashion_boutique[[#This Row],[current_price]])</f>
        <v>68.31</v>
      </c>
      <c r="X1673" t="str">
        <f>IF(BBDD_fashion_boutique[[#This Row],[return_reason]]="","No return",BBDD_fashion_boutique[[#This Row],[return_reason]])</f>
        <v>No return</v>
      </c>
      <c r="Y1673">
        <f>IF(IFERROR(VLOOKUP(BBDD_fashion_boutique[[#This Row],[product_id]],A1674:A3849,1,FALSE),0),1,0)</f>
        <v>0</v>
      </c>
    </row>
    <row r="1674" spans="1:25" x14ac:dyDescent="0.3">
      <c r="A1674" t="s">
        <v>1733</v>
      </c>
      <c r="B1674" t="s">
        <v>26</v>
      </c>
      <c r="C1674" t="s">
        <v>54</v>
      </c>
      <c r="D1674" t="s">
        <v>39</v>
      </c>
      <c r="E1674" t="s">
        <v>61</v>
      </c>
      <c r="F1674" t="str">
        <f>IF(BBDD_fashion_boutique[[#This Row],[category]]="Accessories","Accesorio",IF(BBDD_fashion_boutique[[#This Row],[size]]="","Desconocido",BBDD_fashion_boutique[[#This Row],[size]]))</f>
        <v>XS</v>
      </c>
      <c r="G1674" t="s">
        <v>40</v>
      </c>
      <c r="H1674" s="2">
        <v>77.989999999999995</v>
      </c>
      <c r="I1674">
        <v>0</v>
      </c>
      <c r="J1674" s="5">
        <f>BBDD_fashion_boutique[[#This Row],[markdown_percentage]]/100</f>
        <v>0</v>
      </c>
      <c r="K1674" s="2">
        <v>77.989999999999995</v>
      </c>
      <c r="L1674" s="2">
        <f>BBDD_fashion_boutique[[#This Row],[original_price]]-BBDD_fashion_boutique[[#This Row],[current_price]]</f>
        <v>0</v>
      </c>
      <c r="M1674" s="1">
        <v>45875</v>
      </c>
      <c r="N1674" s="1" t="str">
        <f>PROPER(TEXT(BBDD_fashion_boutique[[#This Row],[purchase_date]],"dddd"))</f>
        <v>Miércoles</v>
      </c>
      <c r="O1674" s="1" t="str">
        <f>PROPER(TEXT(BBDD_fashion_boutique[[#This Row],[purchase_date]],"mmmm"))</f>
        <v>Agosto</v>
      </c>
      <c r="P1674" s="4">
        <v>42</v>
      </c>
      <c r="R1674" t="str">
        <f>IF(BBDD_fashion_boutique[[#This Row],[stock_quantity]]&gt;9,"Ok",IF(BBDD_fashion_boutique[[#This Row],[stock_quantity]]=0,"Agotado","Pocas Unidades"))</f>
        <v>Ok</v>
      </c>
      <c r="S1674" s="3" t="str">
        <f>IF(BBDD_fashion_boutique[[#This Row],[customer_rating]]="","No valorado",BBDD_fashion_boutique[[#This Row],[customer_rating]])</f>
        <v>No valorado</v>
      </c>
      <c r="T1674" t="s">
        <v>24</v>
      </c>
      <c r="V1674">
        <f>IF(BBDD_fashion_boutique[[#This Row],[is_returned]]="False",0,1)</f>
        <v>0</v>
      </c>
      <c r="W1674">
        <f>IF(BBDD_fashion_boutique[[#This Row],[is_returned]]="True",0,BBDD_fashion_boutique[[#This Row],[current_price]])</f>
        <v>77.989999999999995</v>
      </c>
      <c r="X1674" t="str">
        <f>IF(BBDD_fashion_boutique[[#This Row],[return_reason]]="","No return",BBDD_fashion_boutique[[#This Row],[return_reason]])</f>
        <v>No return</v>
      </c>
      <c r="Y1674">
        <f>IF(IFERROR(VLOOKUP(BBDD_fashion_boutique[[#This Row],[product_id]],A1675:A3850,1,FALSE),0),1,0)</f>
        <v>0</v>
      </c>
    </row>
    <row r="1675" spans="1:25" x14ac:dyDescent="0.3">
      <c r="A1675" t="s">
        <v>1734</v>
      </c>
      <c r="B1675" t="s">
        <v>44</v>
      </c>
      <c r="C1675" t="s">
        <v>59</v>
      </c>
      <c r="D1675" t="s">
        <v>39</v>
      </c>
      <c r="F1675" t="str">
        <f>IF(BBDD_fashion_boutique[[#This Row],[category]]="Accessories","Accesorio",IF(BBDD_fashion_boutique[[#This Row],[size]]="","Desconocido",BBDD_fashion_boutique[[#This Row],[size]]))</f>
        <v>Desconocido</v>
      </c>
      <c r="G1675" t="s">
        <v>30</v>
      </c>
      <c r="H1675" s="2">
        <v>103.77</v>
      </c>
      <c r="I1675">
        <v>0</v>
      </c>
      <c r="J1675" s="5">
        <f>BBDD_fashion_boutique[[#This Row],[markdown_percentage]]/100</f>
        <v>0</v>
      </c>
      <c r="K1675" s="2">
        <v>103.77</v>
      </c>
      <c r="L1675" s="2">
        <f>BBDD_fashion_boutique[[#This Row],[original_price]]-BBDD_fashion_boutique[[#This Row],[current_price]]</f>
        <v>0</v>
      </c>
      <c r="M1675" s="1">
        <v>45875</v>
      </c>
      <c r="N1675" s="1" t="str">
        <f>PROPER(TEXT(BBDD_fashion_boutique[[#This Row],[purchase_date]],"dddd"))</f>
        <v>Miércoles</v>
      </c>
      <c r="O1675" s="1" t="str">
        <f>PROPER(TEXT(BBDD_fashion_boutique[[#This Row],[purchase_date]],"mmmm"))</f>
        <v>Agosto</v>
      </c>
      <c r="P1675" s="4">
        <v>12</v>
      </c>
      <c r="Q1675" s="2">
        <v>4.4000000000000004</v>
      </c>
      <c r="R1675" t="str">
        <f>IF(BBDD_fashion_boutique[[#This Row],[stock_quantity]]&gt;9,"Ok",IF(BBDD_fashion_boutique[[#This Row],[stock_quantity]]=0,"Agotado","Pocas Unidades"))</f>
        <v>Ok</v>
      </c>
      <c r="S1675" s="3">
        <f>IF(BBDD_fashion_boutique[[#This Row],[customer_rating]]="","No valorado",BBDD_fashion_boutique[[#This Row],[customer_rating]])</f>
        <v>4.4000000000000004</v>
      </c>
      <c r="T1675" t="s">
        <v>24</v>
      </c>
      <c r="V1675">
        <f>IF(BBDD_fashion_boutique[[#This Row],[is_returned]]="False",0,1)</f>
        <v>0</v>
      </c>
      <c r="W1675">
        <f>IF(BBDD_fashion_boutique[[#This Row],[is_returned]]="True",0,BBDD_fashion_boutique[[#This Row],[current_price]])</f>
        <v>103.77</v>
      </c>
      <c r="X1675" t="str">
        <f>IF(BBDD_fashion_boutique[[#This Row],[return_reason]]="","No return",BBDD_fashion_boutique[[#This Row],[return_reason]])</f>
        <v>No return</v>
      </c>
      <c r="Y1675">
        <f>IF(IFERROR(VLOOKUP(BBDD_fashion_boutique[[#This Row],[product_id]],A1676:A3851,1,FALSE),0),1,0)</f>
        <v>0</v>
      </c>
    </row>
    <row r="1676" spans="1:25" x14ac:dyDescent="0.3">
      <c r="A1676" t="s">
        <v>1735</v>
      </c>
      <c r="B1676" t="s">
        <v>32</v>
      </c>
      <c r="C1676" t="s">
        <v>81</v>
      </c>
      <c r="D1676" t="s">
        <v>39</v>
      </c>
      <c r="F1676" t="str">
        <f>IF(BBDD_fashion_boutique[[#This Row],[category]]="Accessories","Accesorio",IF(BBDD_fashion_boutique[[#This Row],[size]]="","Desconocido",BBDD_fashion_boutique[[#This Row],[size]]))</f>
        <v>Accesorio</v>
      </c>
      <c r="G1676" t="s">
        <v>33</v>
      </c>
      <c r="H1676" s="2">
        <v>42.96</v>
      </c>
      <c r="I1676">
        <v>0</v>
      </c>
      <c r="J1676" s="5">
        <f>BBDD_fashion_boutique[[#This Row],[markdown_percentage]]/100</f>
        <v>0</v>
      </c>
      <c r="K1676" s="2">
        <v>42.96</v>
      </c>
      <c r="L1676" s="2">
        <f>BBDD_fashion_boutique[[#This Row],[original_price]]-BBDD_fashion_boutique[[#This Row],[current_price]]</f>
        <v>0</v>
      </c>
      <c r="M1676" s="1">
        <v>45875</v>
      </c>
      <c r="N1676" s="1" t="str">
        <f>PROPER(TEXT(BBDD_fashion_boutique[[#This Row],[purchase_date]],"dddd"))</f>
        <v>Miércoles</v>
      </c>
      <c r="O1676" s="1" t="str">
        <f>PROPER(TEXT(BBDD_fashion_boutique[[#This Row],[purchase_date]],"mmmm"))</f>
        <v>Agosto</v>
      </c>
      <c r="P1676" s="4">
        <v>36</v>
      </c>
      <c r="Q1676" s="2">
        <v>1.1000000000000001</v>
      </c>
      <c r="R1676" t="str">
        <f>IF(BBDD_fashion_boutique[[#This Row],[stock_quantity]]&gt;9,"Ok",IF(BBDD_fashion_boutique[[#This Row],[stock_quantity]]=0,"Agotado","Pocas Unidades"))</f>
        <v>Ok</v>
      </c>
      <c r="S1676" s="3">
        <f>IF(BBDD_fashion_boutique[[#This Row],[customer_rating]]="","No valorado",BBDD_fashion_boutique[[#This Row],[customer_rating]])</f>
        <v>1.1000000000000001</v>
      </c>
      <c r="T1676" t="s">
        <v>24</v>
      </c>
      <c r="V1676">
        <f>IF(BBDD_fashion_boutique[[#This Row],[is_returned]]="False",0,1)</f>
        <v>0</v>
      </c>
      <c r="W1676">
        <f>IF(BBDD_fashion_boutique[[#This Row],[is_returned]]="True",0,BBDD_fashion_boutique[[#This Row],[current_price]])</f>
        <v>42.96</v>
      </c>
      <c r="X1676" t="str">
        <f>IF(BBDD_fashion_boutique[[#This Row],[return_reason]]="","No return",BBDD_fashion_boutique[[#This Row],[return_reason]])</f>
        <v>No return</v>
      </c>
      <c r="Y1676">
        <f>IF(IFERROR(VLOOKUP(BBDD_fashion_boutique[[#This Row],[product_id]],A1677:A3852,1,FALSE),0),1,0)</f>
        <v>0</v>
      </c>
    </row>
    <row r="1677" spans="1:25" x14ac:dyDescent="0.3">
      <c r="A1677" t="s">
        <v>1736</v>
      </c>
      <c r="B1677" t="s">
        <v>48</v>
      </c>
      <c r="C1677" t="s">
        <v>37</v>
      </c>
      <c r="D1677" t="s">
        <v>39</v>
      </c>
      <c r="F1677" t="str">
        <f>IF(BBDD_fashion_boutique[[#This Row],[category]]="Accessories","Accesorio",IF(BBDD_fashion_boutique[[#This Row],[size]]="","Desconocido",BBDD_fashion_boutique[[#This Row],[size]]))</f>
        <v>Desconocido</v>
      </c>
      <c r="G1677" t="s">
        <v>76</v>
      </c>
      <c r="H1677" s="2">
        <v>126.11</v>
      </c>
      <c r="I1677">
        <v>0</v>
      </c>
      <c r="J1677" s="5">
        <f>BBDD_fashion_boutique[[#This Row],[markdown_percentage]]/100</f>
        <v>0</v>
      </c>
      <c r="K1677" s="2">
        <v>126.11</v>
      </c>
      <c r="L1677" s="2">
        <f>BBDD_fashion_boutique[[#This Row],[original_price]]-BBDD_fashion_boutique[[#This Row],[current_price]]</f>
        <v>0</v>
      </c>
      <c r="M1677" s="1">
        <v>45875</v>
      </c>
      <c r="N1677" s="1" t="str">
        <f>PROPER(TEXT(BBDD_fashion_boutique[[#This Row],[purchase_date]],"dddd"))</f>
        <v>Miércoles</v>
      </c>
      <c r="O1677" s="1" t="str">
        <f>PROPER(TEXT(BBDD_fashion_boutique[[#This Row],[purchase_date]],"mmmm"))</f>
        <v>Agosto</v>
      </c>
      <c r="P1677" s="4">
        <v>16</v>
      </c>
      <c r="Q1677" s="2">
        <v>3.5</v>
      </c>
      <c r="R1677" t="str">
        <f>IF(BBDD_fashion_boutique[[#This Row],[stock_quantity]]&gt;9,"Ok",IF(BBDD_fashion_boutique[[#This Row],[stock_quantity]]=0,"Agotado","Pocas Unidades"))</f>
        <v>Ok</v>
      </c>
      <c r="S1677" s="3">
        <f>IF(BBDD_fashion_boutique[[#This Row],[customer_rating]]="","No valorado",BBDD_fashion_boutique[[#This Row],[customer_rating]])</f>
        <v>3.5</v>
      </c>
      <c r="T1677" t="s">
        <v>24</v>
      </c>
      <c r="V1677">
        <f>IF(BBDD_fashion_boutique[[#This Row],[is_returned]]="False",0,1)</f>
        <v>0</v>
      </c>
      <c r="W1677">
        <f>IF(BBDD_fashion_boutique[[#This Row],[is_returned]]="True",0,BBDD_fashion_boutique[[#This Row],[current_price]])</f>
        <v>126.11</v>
      </c>
      <c r="X1677" t="str">
        <f>IF(BBDD_fashion_boutique[[#This Row],[return_reason]]="","No return",BBDD_fashion_boutique[[#This Row],[return_reason]])</f>
        <v>No return</v>
      </c>
      <c r="Y1677">
        <f>IF(IFERROR(VLOOKUP(BBDD_fashion_boutique[[#This Row],[product_id]],A1678:A3853,1,FALSE),0),1,0)</f>
        <v>0</v>
      </c>
    </row>
    <row r="1678" spans="1:25" x14ac:dyDescent="0.3">
      <c r="A1678" t="s">
        <v>1737</v>
      </c>
      <c r="B1678" t="s">
        <v>32</v>
      </c>
      <c r="C1678" t="s">
        <v>37</v>
      </c>
      <c r="D1678" t="s">
        <v>68</v>
      </c>
      <c r="F1678" t="str">
        <f>IF(BBDD_fashion_boutique[[#This Row],[category]]="Accessories","Accesorio",IF(BBDD_fashion_boutique[[#This Row],[size]]="","Desconocido",BBDD_fashion_boutique[[#This Row],[size]]))</f>
        <v>Accesorio</v>
      </c>
      <c r="G1678" t="s">
        <v>62</v>
      </c>
      <c r="H1678" s="2">
        <v>43.83</v>
      </c>
      <c r="I1678">
        <v>0</v>
      </c>
      <c r="J1678" s="5">
        <f>BBDD_fashion_boutique[[#This Row],[markdown_percentage]]/100</f>
        <v>0</v>
      </c>
      <c r="K1678" s="2">
        <v>43.83</v>
      </c>
      <c r="L1678" s="2">
        <f>BBDD_fashion_boutique[[#This Row],[original_price]]-BBDD_fashion_boutique[[#This Row],[current_price]]</f>
        <v>0</v>
      </c>
      <c r="M1678" s="1">
        <v>45875</v>
      </c>
      <c r="N1678" s="1" t="str">
        <f>PROPER(TEXT(BBDD_fashion_boutique[[#This Row],[purchase_date]],"dddd"))</f>
        <v>Miércoles</v>
      </c>
      <c r="O1678" s="1" t="str">
        <f>PROPER(TEXT(BBDD_fashion_boutique[[#This Row],[purchase_date]],"mmmm"))</f>
        <v>Agosto</v>
      </c>
      <c r="P1678" s="4">
        <v>31</v>
      </c>
      <c r="Q1678" s="2">
        <v>2.5</v>
      </c>
      <c r="R1678" t="str">
        <f>IF(BBDD_fashion_boutique[[#This Row],[stock_quantity]]&gt;9,"Ok",IF(BBDD_fashion_boutique[[#This Row],[stock_quantity]]=0,"Agotado","Pocas Unidades"))</f>
        <v>Ok</v>
      </c>
      <c r="S1678" s="3">
        <f>IF(BBDD_fashion_boutique[[#This Row],[customer_rating]]="","No valorado",BBDD_fashion_boutique[[#This Row],[customer_rating]])</f>
        <v>2.5</v>
      </c>
      <c r="T1678" t="s">
        <v>24</v>
      </c>
      <c r="V1678">
        <f>IF(BBDD_fashion_boutique[[#This Row],[is_returned]]="False",0,1)</f>
        <v>0</v>
      </c>
      <c r="W1678">
        <f>IF(BBDD_fashion_boutique[[#This Row],[is_returned]]="True",0,BBDD_fashion_boutique[[#This Row],[current_price]])</f>
        <v>43.83</v>
      </c>
      <c r="X1678" t="str">
        <f>IF(BBDD_fashion_boutique[[#This Row],[return_reason]]="","No return",BBDD_fashion_boutique[[#This Row],[return_reason]])</f>
        <v>No return</v>
      </c>
      <c r="Y1678">
        <f>IF(IFERROR(VLOOKUP(BBDD_fashion_boutique[[#This Row],[product_id]],A1679:A3854,1,FALSE),0),1,0)</f>
        <v>0</v>
      </c>
    </row>
    <row r="1679" spans="1:25" x14ac:dyDescent="0.3">
      <c r="A1679" t="s">
        <v>1738</v>
      </c>
      <c r="B1679" t="s">
        <v>35</v>
      </c>
      <c r="C1679" t="s">
        <v>37</v>
      </c>
      <c r="D1679" t="s">
        <v>39</v>
      </c>
      <c r="E1679" t="s">
        <v>45</v>
      </c>
      <c r="F1679" t="str">
        <f>IF(BBDD_fashion_boutique[[#This Row],[category]]="Accessories","Accesorio",IF(BBDD_fashion_boutique[[#This Row],[size]]="","Desconocido",BBDD_fashion_boutique[[#This Row],[size]]))</f>
        <v>S</v>
      </c>
      <c r="G1679" t="s">
        <v>62</v>
      </c>
      <c r="H1679" s="2">
        <v>94.1</v>
      </c>
      <c r="I1679">
        <v>0</v>
      </c>
      <c r="J1679" s="5">
        <f>BBDD_fashion_boutique[[#This Row],[markdown_percentage]]/100</f>
        <v>0</v>
      </c>
      <c r="K1679" s="2">
        <v>94.1</v>
      </c>
      <c r="L1679" s="2">
        <f>BBDD_fashion_boutique[[#This Row],[original_price]]-BBDD_fashion_boutique[[#This Row],[current_price]]</f>
        <v>0</v>
      </c>
      <c r="M1679" s="1">
        <v>45875</v>
      </c>
      <c r="N1679" s="1" t="str">
        <f>PROPER(TEXT(BBDD_fashion_boutique[[#This Row],[purchase_date]],"dddd"))</f>
        <v>Miércoles</v>
      </c>
      <c r="O1679" s="1" t="str">
        <f>PROPER(TEXT(BBDD_fashion_boutique[[#This Row],[purchase_date]],"mmmm"))</f>
        <v>Agosto</v>
      </c>
      <c r="P1679" s="4">
        <v>24</v>
      </c>
      <c r="Q1679" s="2">
        <v>1.4</v>
      </c>
      <c r="R1679" t="str">
        <f>IF(BBDD_fashion_boutique[[#This Row],[stock_quantity]]&gt;9,"Ok",IF(BBDD_fashion_boutique[[#This Row],[stock_quantity]]=0,"Agotado","Pocas Unidades"))</f>
        <v>Ok</v>
      </c>
      <c r="S1679" s="3">
        <f>IF(BBDD_fashion_boutique[[#This Row],[customer_rating]]="","No valorado",BBDD_fashion_boutique[[#This Row],[customer_rating]])</f>
        <v>1.4</v>
      </c>
      <c r="T1679" t="s">
        <v>24</v>
      </c>
      <c r="V1679">
        <f>IF(BBDD_fashion_boutique[[#This Row],[is_returned]]="False",0,1)</f>
        <v>0</v>
      </c>
      <c r="W1679">
        <f>IF(BBDD_fashion_boutique[[#This Row],[is_returned]]="True",0,BBDD_fashion_boutique[[#This Row],[current_price]])</f>
        <v>94.1</v>
      </c>
      <c r="X1679" t="str">
        <f>IF(BBDD_fashion_boutique[[#This Row],[return_reason]]="","No return",BBDD_fashion_boutique[[#This Row],[return_reason]])</f>
        <v>No return</v>
      </c>
      <c r="Y1679">
        <f>IF(IFERROR(VLOOKUP(BBDD_fashion_boutique[[#This Row],[product_id]],A1680:A3855,1,FALSE),0),1,0)</f>
        <v>0</v>
      </c>
    </row>
    <row r="1680" spans="1:25" x14ac:dyDescent="0.3">
      <c r="A1680" t="s">
        <v>1739</v>
      </c>
      <c r="B1680" t="s">
        <v>35</v>
      </c>
      <c r="C1680" t="s">
        <v>20</v>
      </c>
      <c r="D1680" t="s">
        <v>39</v>
      </c>
      <c r="E1680" t="s">
        <v>64</v>
      </c>
      <c r="F1680" t="str">
        <f>IF(BBDD_fashion_boutique[[#This Row],[category]]="Accessories","Accesorio",IF(BBDD_fashion_boutique[[#This Row],[size]]="","Desconocido",BBDD_fashion_boutique[[#This Row],[size]]))</f>
        <v>M</v>
      </c>
      <c r="G1680" t="s">
        <v>23</v>
      </c>
      <c r="H1680" s="2">
        <v>151.27000000000001</v>
      </c>
      <c r="I1680">
        <v>0</v>
      </c>
      <c r="J1680" s="5">
        <f>BBDD_fashion_boutique[[#This Row],[markdown_percentage]]/100</f>
        <v>0</v>
      </c>
      <c r="K1680" s="2">
        <v>151.27000000000001</v>
      </c>
      <c r="L1680" s="2">
        <f>BBDD_fashion_boutique[[#This Row],[original_price]]-BBDD_fashion_boutique[[#This Row],[current_price]]</f>
        <v>0</v>
      </c>
      <c r="M1680" s="1">
        <v>45875</v>
      </c>
      <c r="N1680" s="1" t="str">
        <f>PROPER(TEXT(BBDD_fashion_boutique[[#This Row],[purchase_date]],"dddd"))</f>
        <v>Miércoles</v>
      </c>
      <c r="O1680" s="1" t="str">
        <f>PROPER(TEXT(BBDD_fashion_boutique[[#This Row],[purchase_date]],"mmmm"))</f>
        <v>Agosto</v>
      </c>
      <c r="P1680" s="4">
        <v>39</v>
      </c>
      <c r="Q1680" s="2">
        <v>4</v>
      </c>
      <c r="R1680" t="str">
        <f>IF(BBDD_fashion_boutique[[#This Row],[stock_quantity]]&gt;9,"Ok",IF(BBDD_fashion_boutique[[#This Row],[stock_quantity]]=0,"Agotado","Pocas Unidades"))</f>
        <v>Ok</v>
      </c>
      <c r="S1680" s="3">
        <f>IF(BBDD_fashion_boutique[[#This Row],[customer_rating]]="","No valorado",BBDD_fashion_boutique[[#This Row],[customer_rating]])</f>
        <v>4</v>
      </c>
      <c r="T1680" t="s">
        <v>41</v>
      </c>
      <c r="U1680" t="s">
        <v>84</v>
      </c>
      <c r="V1680">
        <f>IF(BBDD_fashion_boutique[[#This Row],[is_returned]]="False",0,1)</f>
        <v>1</v>
      </c>
      <c r="W1680">
        <f>IF(BBDD_fashion_boutique[[#This Row],[is_returned]]="True",0,BBDD_fashion_boutique[[#This Row],[current_price]])</f>
        <v>0</v>
      </c>
      <c r="X1680" t="str">
        <f>IF(BBDD_fashion_boutique[[#This Row],[return_reason]]="","No return",BBDD_fashion_boutique[[#This Row],[return_reason]])</f>
        <v>Damaged</v>
      </c>
      <c r="Y1680">
        <f>IF(IFERROR(VLOOKUP(BBDD_fashion_boutique[[#This Row],[product_id]],A1681:A3856,1,FALSE),0),1,0)</f>
        <v>0</v>
      </c>
    </row>
    <row r="1681" spans="1:25" x14ac:dyDescent="0.3">
      <c r="A1681" t="s">
        <v>1740</v>
      </c>
      <c r="B1681" t="s">
        <v>32</v>
      </c>
      <c r="C1681" t="s">
        <v>67</v>
      </c>
      <c r="D1681" t="s">
        <v>21</v>
      </c>
      <c r="F1681" t="str">
        <f>IF(BBDD_fashion_boutique[[#This Row],[category]]="Accessories","Accesorio",IF(BBDD_fashion_boutique[[#This Row],[size]]="","Desconocido",BBDD_fashion_boutique[[#This Row],[size]]))</f>
        <v>Accesorio</v>
      </c>
      <c r="G1681" t="s">
        <v>70</v>
      </c>
      <c r="H1681" s="2">
        <v>61.47</v>
      </c>
      <c r="I1681">
        <v>0</v>
      </c>
      <c r="J1681" s="5">
        <f>BBDD_fashion_boutique[[#This Row],[markdown_percentage]]/100</f>
        <v>0</v>
      </c>
      <c r="K1681" s="2">
        <v>61.47</v>
      </c>
      <c r="L1681" s="2">
        <f>BBDD_fashion_boutique[[#This Row],[original_price]]-BBDD_fashion_boutique[[#This Row],[current_price]]</f>
        <v>0</v>
      </c>
      <c r="M1681" s="1">
        <v>45529</v>
      </c>
      <c r="N1681" s="1" t="str">
        <f>PROPER(TEXT(BBDD_fashion_boutique[[#This Row],[purchase_date]],"dddd"))</f>
        <v>Domingo</v>
      </c>
      <c r="O1681" s="1" t="str">
        <f>PROPER(TEXT(BBDD_fashion_boutique[[#This Row],[purchase_date]],"mmmm"))</f>
        <v>Agosto</v>
      </c>
      <c r="P1681" s="4">
        <v>44</v>
      </c>
      <c r="R1681" t="str">
        <f>IF(BBDD_fashion_boutique[[#This Row],[stock_quantity]]&gt;9,"Ok",IF(BBDD_fashion_boutique[[#This Row],[stock_quantity]]=0,"Agotado","Pocas Unidades"))</f>
        <v>Ok</v>
      </c>
      <c r="S1681" s="3" t="str">
        <f>IF(BBDD_fashion_boutique[[#This Row],[customer_rating]]="","No valorado",BBDD_fashion_boutique[[#This Row],[customer_rating]])</f>
        <v>No valorado</v>
      </c>
      <c r="T1681" t="s">
        <v>24</v>
      </c>
      <c r="V1681">
        <f>IF(BBDD_fashion_boutique[[#This Row],[is_returned]]="False",0,1)</f>
        <v>0</v>
      </c>
      <c r="W1681">
        <f>IF(BBDD_fashion_boutique[[#This Row],[is_returned]]="True",0,BBDD_fashion_boutique[[#This Row],[current_price]])</f>
        <v>61.47</v>
      </c>
      <c r="X1681" t="str">
        <f>IF(BBDD_fashion_boutique[[#This Row],[return_reason]]="","No return",BBDD_fashion_boutique[[#This Row],[return_reason]])</f>
        <v>No return</v>
      </c>
      <c r="Y1681">
        <f>IF(IFERROR(VLOOKUP(BBDD_fashion_boutique[[#This Row],[product_id]],A1682:A3857,1,FALSE),0),1,0)</f>
        <v>0</v>
      </c>
    </row>
    <row r="1682" spans="1:25" x14ac:dyDescent="0.3">
      <c r="A1682" t="s">
        <v>1741</v>
      </c>
      <c r="B1682" t="s">
        <v>35</v>
      </c>
      <c r="C1682" t="s">
        <v>49</v>
      </c>
      <c r="D1682" t="s">
        <v>68</v>
      </c>
      <c r="E1682" t="s">
        <v>64</v>
      </c>
      <c r="F1682" t="str">
        <f>IF(BBDD_fashion_boutique[[#This Row],[category]]="Accessories","Accesorio",IF(BBDD_fashion_boutique[[#This Row],[size]]="","Desconocido",BBDD_fashion_boutique[[#This Row],[size]]))</f>
        <v>M</v>
      </c>
      <c r="G1682" t="s">
        <v>70</v>
      </c>
      <c r="H1682" s="2">
        <v>185.96</v>
      </c>
      <c r="I1682">
        <v>0</v>
      </c>
      <c r="J1682" s="5">
        <f>BBDD_fashion_boutique[[#This Row],[markdown_percentage]]/100</f>
        <v>0</v>
      </c>
      <c r="K1682" s="2">
        <v>185.96</v>
      </c>
      <c r="L1682" s="2">
        <f>BBDD_fashion_boutique[[#This Row],[original_price]]-BBDD_fashion_boutique[[#This Row],[current_price]]</f>
        <v>0</v>
      </c>
      <c r="M1682" s="1">
        <v>45875</v>
      </c>
      <c r="N1682" s="1" t="str">
        <f>PROPER(TEXT(BBDD_fashion_boutique[[#This Row],[purchase_date]],"dddd"))</f>
        <v>Miércoles</v>
      </c>
      <c r="O1682" s="1" t="str">
        <f>PROPER(TEXT(BBDD_fashion_boutique[[#This Row],[purchase_date]],"mmmm"))</f>
        <v>Agosto</v>
      </c>
      <c r="P1682" s="4">
        <v>35</v>
      </c>
      <c r="Q1682" s="2">
        <v>1.3</v>
      </c>
      <c r="R1682" t="str">
        <f>IF(BBDD_fashion_boutique[[#This Row],[stock_quantity]]&gt;9,"Ok",IF(BBDD_fashion_boutique[[#This Row],[stock_quantity]]=0,"Agotado","Pocas Unidades"))</f>
        <v>Ok</v>
      </c>
      <c r="S1682" s="3">
        <f>IF(BBDD_fashion_boutique[[#This Row],[customer_rating]]="","No valorado",BBDD_fashion_boutique[[#This Row],[customer_rating]])</f>
        <v>1.3</v>
      </c>
      <c r="T1682" t="s">
        <v>24</v>
      </c>
      <c r="V1682">
        <f>IF(BBDD_fashion_boutique[[#This Row],[is_returned]]="False",0,1)</f>
        <v>0</v>
      </c>
      <c r="W1682">
        <f>IF(BBDD_fashion_boutique[[#This Row],[is_returned]]="True",0,BBDD_fashion_boutique[[#This Row],[current_price]])</f>
        <v>185.96</v>
      </c>
      <c r="X1682" t="str">
        <f>IF(BBDD_fashion_boutique[[#This Row],[return_reason]]="","No return",BBDD_fashion_boutique[[#This Row],[return_reason]])</f>
        <v>No return</v>
      </c>
      <c r="Y1682">
        <f>IF(IFERROR(VLOOKUP(BBDD_fashion_boutique[[#This Row],[product_id]],A1683:A3858,1,FALSE),0),1,0)</f>
        <v>0</v>
      </c>
    </row>
    <row r="1683" spans="1:25" x14ac:dyDescent="0.3">
      <c r="A1683" t="s">
        <v>1742</v>
      </c>
      <c r="B1683" t="s">
        <v>48</v>
      </c>
      <c r="C1683" t="s">
        <v>67</v>
      </c>
      <c r="D1683" t="s">
        <v>39</v>
      </c>
      <c r="E1683" t="s">
        <v>64</v>
      </c>
      <c r="F1683" t="str">
        <f>IF(BBDD_fashion_boutique[[#This Row],[category]]="Accessories","Accesorio",IF(BBDD_fashion_boutique[[#This Row],[size]]="","Desconocido",BBDD_fashion_boutique[[#This Row],[size]]))</f>
        <v>M</v>
      </c>
      <c r="G1683" t="s">
        <v>23</v>
      </c>
      <c r="H1683" s="2">
        <v>113.05</v>
      </c>
      <c r="I1683">
        <v>0</v>
      </c>
      <c r="J1683" s="5">
        <f>BBDD_fashion_boutique[[#This Row],[markdown_percentage]]/100</f>
        <v>0</v>
      </c>
      <c r="K1683" s="2">
        <v>113.05</v>
      </c>
      <c r="L1683" s="2">
        <f>BBDD_fashion_boutique[[#This Row],[original_price]]-BBDD_fashion_boutique[[#This Row],[current_price]]</f>
        <v>0</v>
      </c>
      <c r="M1683" s="1">
        <v>45875</v>
      </c>
      <c r="N1683" s="1" t="str">
        <f>PROPER(TEXT(BBDD_fashion_boutique[[#This Row],[purchase_date]],"dddd"))</f>
        <v>Miércoles</v>
      </c>
      <c r="O1683" s="1" t="str">
        <f>PROPER(TEXT(BBDD_fashion_boutique[[#This Row],[purchase_date]],"mmmm"))</f>
        <v>Agosto</v>
      </c>
      <c r="P1683" s="4">
        <v>47</v>
      </c>
      <c r="Q1683" s="2">
        <v>2</v>
      </c>
      <c r="R1683" t="str">
        <f>IF(BBDD_fashion_boutique[[#This Row],[stock_quantity]]&gt;9,"Ok",IF(BBDD_fashion_boutique[[#This Row],[stock_quantity]]=0,"Agotado","Pocas Unidades"))</f>
        <v>Ok</v>
      </c>
      <c r="S1683" s="3">
        <f>IF(BBDD_fashion_boutique[[#This Row],[customer_rating]]="","No valorado",BBDD_fashion_boutique[[#This Row],[customer_rating]])</f>
        <v>2</v>
      </c>
      <c r="T1683" t="s">
        <v>24</v>
      </c>
      <c r="V1683">
        <f>IF(BBDD_fashion_boutique[[#This Row],[is_returned]]="False",0,1)</f>
        <v>0</v>
      </c>
      <c r="W1683">
        <f>IF(BBDD_fashion_boutique[[#This Row],[is_returned]]="True",0,BBDD_fashion_boutique[[#This Row],[current_price]])</f>
        <v>113.05</v>
      </c>
      <c r="X1683" t="str">
        <f>IF(BBDD_fashion_boutique[[#This Row],[return_reason]]="","No return",BBDD_fashion_boutique[[#This Row],[return_reason]])</f>
        <v>No return</v>
      </c>
      <c r="Y1683">
        <f>IF(IFERROR(VLOOKUP(BBDD_fashion_boutique[[#This Row],[product_id]],A1684:A3859,1,FALSE),0),1,0)</f>
        <v>0</v>
      </c>
    </row>
    <row r="1684" spans="1:25" x14ac:dyDescent="0.3">
      <c r="A1684" t="s">
        <v>1743</v>
      </c>
      <c r="B1684" t="s">
        <v>26</v>
      </c>
      <c r="C1684" t="s">
        <v>37</v>
      </c>
      <c r="D1684" t="s">
        <v>68</v>
      </c>
      <c r="E1684" t="s">
        <v>29</v>
      </c>
      <c r="F1684" t="str">
        <f>IF(BBDD_fashion_boutique[[#This Row],[category]]="Accessories","Accesorio",IF(BBDD_fashion_boutique[[#This Row],[size]]="","Desconocido",BBDD_fashion_boutique[[#This Row],[size]]))</f>
        <v>L</v>
      </c>
      <c r="G1684" t="s">
        <v>76</v>
      </c>
      <c r="H1684" s="2">
        <v>110.9</v>
      </c>
      <c r="I1684">
        <v>34.700000000000003</v>
      </c>
      <c r="J1684" s="5">
        <f>BBDD_fashion_boutique[[#This Row],[markdown_percentage]]/100</f>
        <v>0.34700000000000003</v>
      </c>
      <c r="K1684" s="2">
        <v>72.42</v>
      </c>
      <c r="L1684" s="2">
        <f>BBDD_fashion_boutique[[#This Row],[original_price]]-BBDD_fashion_boutique[[#This Row],[current_price]]</f>
        <v>38.480000000000004</v>
      </c>
      <c r="M1684" s="1">
        <v>45875</v>
      </c>
      <c r="N1684" s="1" t="str">
        <f>PROPER(TEXT(BBDD_fashion_boutique[[#This Row],[purchase_date]],"dddd"))</f>
        <v>Miércoles</v>
      </c>
      <c r="O1684" s="1" t="str">
        <f>PROPER(TEXT(BBDD_fashion_boutique[[#This Row],[purchase_date]],"mmmm"))</f>
        <v>Agosto</v>
      </c>
      <c r="P1684" s="4">
        <v>2</v>
      </c>
      <c r="Q1684" s="2">
        <v>2.5</v>
      </c>
      <c r="R1684" t="str">
        <f>IF(BBDD_fashion_boutique[[#This Row],[stock_quantity]]&gt;9,"Ok",IF(BBDD_fashion_boutique[[#This Row],[stock_quantity]]=0,"Agotado","Pocas Unidades"))</f>
        <v>Pocas Unidades</v>
      </c>
      <c r="S1684" s="3">
        <f>IF(BBDD_fashion_boutique[[#This Row],[customer_rating]]="","No valorado",BBDD_fashion_boutique[[#This Row],[customer_rating]])</f>
        <v>2.5</v>
      </c>
      <c r="T1684" t="s">
        <v>24</v>
      </c>
      <c r="V1684">
        <f>IF(BBDD_fashion_boutique[[#This Row],[is_returned]]="False",0,1)</f>
        <v>0</v>
      </c>
      <c r="W1684">
        <f>IF(BBDD_fashion_boutique[[#This Row],[is_returned]]="True",0,BBDD_fashion_boutique[[#This Row],[current_price]])</f>
        <v>72.42</v>
      </c>
      <c r="X1684" t="str">
        <f>IF(BBDD_fashion_boutique[[#This Row],[return_reason]]="","No return",BBDD_fashion_boutique[[#This Row],[return_reason]])</f>
        <v>No return</v>
      </c>
      <c r="Y1684">
        <f>IF(IFERROR(VLOOKUP(BBDD_fashion_boutique[[#This Row],[product_id]],A1685:A3860,1,FALSE),0),1,0)</f>
        <v>0</v>
      </c>
    </row>
    <row r="1685" spans="1:25" x14ac:dyDescent="0.3">
      <c r="A1685" t="s">
        <v>1744</v>
      </c>
      <c r="B1685" t="s">
        <v>26</v>
      </c>
      <c r="C1685" t="s">
        <v>27</v>
      </c>
      <c r="D1685" t="s">
        <v>68</v>
      </c>
      <c r="E1685" t="s">
        <v>55</v>
      </c>
      <c r="F1685" t="str">
        <f>IF(BBDD_fashion_boutique[[#This Row],[category]]="Accessories","Accesorio",IF(BBDD_fashion_boutique[[#This Row],[size]]="","Desconocido",BBDD_fashion_boutique[[#This Row],[size]]))</f>
        <v>XXL</v>
      </c>
      <c r="G1685" t="s">
        <v>40</v>
      </c>
      <c r="H1685" s="2">
        <v>29.04</v>
      </c>
      <c r="I1685">
        <v>0</v>
      </c>
      <c r="J1685" s="5">
        <f>BBDD_fashion_boutique[[#This Row],[markdown_percentage]]/100</f>
        <v>0</v>
      </c>
      <c r="K1685" s="2">
        <v>29.04</v>
      </c>
      <c r="L1685" s="2">
        <f>BBDD_fashion_boutique[[#This Row],[original_price]]-BBDD_fashion_boutique[[#This Row],[current_price]]</f>
        <v>0</v>
      </c>
      <c r="M1685" s="1">
        <v>45875</v>
      </c>
      <c r="N1685" s="1" t="str">
        <f>PROPER(TEXT(BBDD_fashion_boutique[[#This Row],[purchase_date]],"dddd"))</f>
        <v>Miércoles</v>
      </c>
      <c r="O1685" s="1" t="str">
        <f>PROPER(TEXT(BBDD_fashion_boutique[[#This Row],[purchase_date]],"mmmm"))</f>
        <v>Agosto</v>
      </c>
      <c r="P1685" s="4">
        <v>4</v>
      </c>
      <c r="Q1685" s="2">
        <v>5</v>
      </c>
      <c r="R1685" t="str">
        <f>IF(BBDD_fashion_boutique[[#This Row],[stock_quantity]]&gt;9,"Ok",IF(BBDD_fashion_boutique[[#This Row],[stock_quantity]]=0,"Agotado","Pocas Unidades"))</f>
        <v>Pocas Unidades</v>
      </c>
      <c r="S1685" s="3">
        <f>IF(BBDD_fashion_boutique[[#This Row],[customer_rating]]="","No valorado",BBDD_fashion_boutique[[#This Row],[customer_rating]])</f>
        <v>5</v>
      </c>
      <c r="T1685" t="s">
        <v>24</v>
      </c>
      <c r="V1685">
        <f>IF(BBDD_fashion_boutique[[#This Row],[is_returned]]="False",0,1)</f>
        <v>0</v>
      </c>
      <c r="W1685">
        <f>IF(BBDD_fashion_boutique[[#This Row],[is_returned]]="True",0,BBDD_fashion_boutique[[#This Row],[current_price]])</f>
        <v>29.04</v>
      </c>
      <c r="X1685" t="str">
        <f>IF(BBDD_fashion_boutique[[#This Row],[return_reason]]="","No return",BBDD_fashion_boutique[[#This Row],[return_reason]])</f>
        <v>No return</v>
      </c>
      <c r="Y1685">
        <f>IF(IFERROR(VLOOKUP(BBDD_fashion_boutique[[#This Row],[product_id]],A1686:A3861,1,FALSE),0),1,0)</f>
        <v>0</v>
      </c>
    </row>
    <row r="1686" spans="1:25" x14ac:dyDescent="0.3">
      <c r="A1686" t="s">
        <v>1745</v>
      </c>
      <c r="B1686" t="s">
        <v>35</v>
      </c>
      <c r="C1686" t="s">
        <v>81</v>
      </c>
      <c r="D1686" t="s">
        <v>21</v>
      </c>
      <c r="E1686" t="s">
        <v>22</v>
      </c>
      <c r="F1686" t="str">
        <f>IF(BBDD_fashion_boutique[[#This Row],[category]]="Accessories","Accesorio",IF(BBDD_fashion_boutique[[#This Row],[size]]="","Desconocido",BBDD_fashion_boutique[[#This Row],[size]]))</f>
        <v>XL</v>
      </c>
      <c r="G1686" t="s">
        <v>46</v>
      </c>
      <c r="H1686" s="2">
        <v>164.48</v>
      </c>
      <c r="I1686">
        <v>51.5</v>
      </c>
      <c r="J1686" s="5">
        <f>BBDD_fashion_boutique[[#This Row],[markdown_percentage]]/100</f>
        <v>0.51500000000000001</v>
      </c>
      <c r="K1686" s="2">
        <v>79.77</v>
      </c>
      <c r="L1686" s="2">
        <f>BBDD_fashion_boutique[[#This Row],[original_price]]-BBDD_fashion_boutique[[#This Row],[current_price]]</f>
        <v>84.71</v>
      </c>
      <c r="M1686" s="1">
        <v>45542</v>
      </c>
      <c r="N1686" s="1" t="str">
        <f>PROPER(TEXT(BBDD_fashion_boutique[[#This Row],[purchase_date]],"dddd"))</f>
        <v>Sábado</v>
      </c>
      <c r="O1686" s="1" t="str">
        <f>PROPER(TEXT(BBDD_fashion_boutique[[#This Row],[purchase_date]],"mmmm"))</f>
        <v>Septiembre</v>
      </c>
      <c r="P1686" s="4">
        <v>27</v>
      </c>
      <c r="Q1686" s="2">
        <v>3.4</v>
      </c>
      <c r="R1686" t="str">
        <f>IF(BBDD_fashion_boutique[[#This Row],[stock_quantity]]&gt;9,"Ok",IF(BBDD_fashion_boutique[[#This Row],[stock_quantity]]=0,"Agotado","Pocas Unidades"))</f>
        <v>Ok</v>
      </c>
      <c r="S1686" s="3">
        <f>IF(BBDD_fashion_boutique[[#This Row],[customer_rating]]="","No valorado",BBDD_fashion_boutique[[#This Row],[customer_rating]])</f>
        <v>3.4</v>
      </c>
      <c r="T1686" t="s">
        <v>24</v>
      </c>
      <c r="V1686">
        <f>IF(BBDD_fashion_boutique[[#This Row],[is_returned]]="False",0,1)</f>
        <v>0</v>
      </c>
      <c r="W1686">
        <f>IF(BBDD_fashion_boutique[[#This Row],[is_returned]]="True",0,BBDD_fashion_boutique[[#This Row],[current_price]])</f>
        <v>79.77</v>
      </c>
      <c r="X1686" t="str">
        <f>IF(BBDD_fashion_boutique[[#This Row],[return_reason]]="","No return",BBDD_fashion_boutique[[#This Row],[return_reason]])</f>
        <v>No return</v>
      </c>
      <c r="Y1686">
        <f>IF(IFERROR(VLOOKUP(BBDD_fashion_boutique[[#This Row],[product_id]],A1687:A3862,1,FALSE),0),1,0)</f>
        <v>0</v>
      </c>
    </row>
    <row r="1687" spans="1:25" x14ac:dyDescent="0.3">
      <c r="A1687" t="s">
        <v>1746</v>
      </c>
      <c r="B1687" t="s">
        <v>44</v>
      </c>
      <c r="C1687" t="s">
        <v>37</v>
      </c>
      <c r="D1687" t="s">
        <v>28</v>
      </c>
      <c r="E1687" t="s">
        <v>29</v>
      </c>
      <c r="F1687" t="str">
        <f>IF(BBDD_fashion_boutique[[#This Row],[category]]="Accessories","Accesorio",IF(BBDD_fashion_boutique[[#This Row],[size]]="","Desconocido",BBDD_fashion_boutique[[#This Row],[size]]))</f>
        <v>L</v>
      </c>
      <c r="G1687" t="s">
        <v>40</v>
      </c>
      <c r="H1687" s="2">
        <v>52.51</v>
      </c>
      <c r="I1687">
        <v>49.4</v>
      </c>
      <c r="J1687" s="5">
        <f>BBDD_fashion_boutique[[#This Row],[markdown_percentage]]/100</f>
        <v>0.49399999999999999</v>
      </c>
      <c r="K1687" s="2">
        <v>26.57</v>
      </c>
      <c r="L1687" s="2">
        <f>BBDD_fashion_boutique[[#This Row],[original_price]]-BBDD_fashion_boutique[[#This Row],[current_price]]</f>
        <v>25.939999999999998</v>
      </c>
      <c r="M1687" s="1">
        <v>45875</v>
      </c>
      <c r="N1687" s="1" t="str">
        <f>PROPER(TEXT(BBDD_fashion_boutique[[#This Row],[purchase_date]],"dddd"))</f>
        <v>Miércoles</v>
      </c>
      <c r="O1687" s="1" t="str">
        <f>PROPER(TEXT(BBDD_fashion_boutique[[#This Row],[purchase_date]],"mmmm"))</f>
        <v>Agosto</v>
      </c>
      <c r="P1687" s="4">
        <v>37</v>
      </c>
      <c r="Q1687" s="2">
        <v>3.5</v>
      </c>
      <c r="R1687" t="str">
        <f>IF(BBDD_fashion_boutique[[#This Row],[stock_quantity]]&gt;9,"Ok",IF(BBDD_fashion_boutique[[#This Row],[stock_quantity]]=0,"Agotado","Pocas Unidades"))</f>
        <v>Ok</v>
      </c>
      <c r="S1687" s="3">
        <f>IF(BBDD_fashion_boutique[[#This Row],[customer_rating]]="","No valorado",BBDD_fashion_boutique[[#This Row],[customer_rating]])</f>
        <v>3.5</v>
      </c>
      <c r="T1687" t="s">
        <v>41</v>
      </c>
      <c r="U1687" t="s">
        <v>121</v>
      </c>
      <c r="V1687">
        <f>IF(BBDD_fashion_boutique[[#This Row],[is_returned]]="False",0,1)</f>
        <v>1</v>
      </c>
      <c r="W1687">
        <f>IF(BBDD_fashion_boutique[[#This Row],[is_returned]]="True",0,BBDD_fashion_boutique[[#This Row],[current_price]])</f>
        <v>0</v>
      </c>
      <c r="X1687" t="str">
        <f>IF(BBDD_fashion_boutique[[#This Row],[return_reason]]="","No return",BBDD_fashion_boutique[[#This Row],[return_reason]])</f>
        <v>Changed Mind</v>
      </c>
      <c r="Y1687">
        <f>IF(IFERROR(VLOOKUP(BBDD_fashion_boutique[[#This Row],[product_id]],A1688:A3863,1,FALSE),0),1,0)</f>
        <v>0</v>
      </c>
    </row>
    <row r="1688" spans="1:25" x14ac:dyDescent="0.3">
      <c r="A1688" t="s">
        <v>1747</v>
      </c>
      <c r="B1688" t="s">
        <v>48</v>
      </c>
      <c r="C1688" t="s">
        <v>59</v>
      </c>
      <c r="D1688" t="s">
        <v>28</v>
      </c>
      <c r="E1688" t="s">
        <v>55</v>
      </c>
      <c r="F1688" t="str">
        <f>IF(BBDD_fashion_boutique[[#This Row],[category]]="Accessories","Accesorio",IF(BBDD_fashion_boutique[[#This Row],[size]]="","Desconocido",BBDD_fashion_boutique[[#This Row],[size]]))</f>
        <v>XXL</v>
      </c>
      <c r="G1688" t="s">
        <v>46</v>
      </c>
      <c r="H1688" s="2">
        <v>175.74</v>
      </c>
      <c r="I1688">
        <v>42.9</v>
      </c>
      <c r="J1688" s="5">
        <f>BBDD_fashion_boutique[[#This Row],[markdown_percentage]]/100</f>
        <v>0.42899999999999999</v>
      </c>
      <c r="K1688" s="2">
        <v>100.35</v>
      </c>
      <c r="L1688" s="2">
        <f>BBDD_fashion_boutique[[#This Row],[original_price]]-BBDD_fashion_boutique[[#This Row],[current_price]]</f>
        <v>75.390000000000015</v>
      </c>
      <c r="M1688" s="1">
        <v>45875</v>
      </c>
      <c r="N1688" s="1" t="str">
        <f>PROPER(TEXT(BBDD_fashion_boutique[[#This Row],[purchase_date]],"dddd"))</f>
        <v>Miércoles</v>
      </c>
      <c r="O1688" s="1" t="str">
        <f>PROPER(TEXT(BBDD_fashion_boutique[[#This Row],[purchase_date]],"mmmm"))</f>
        <v>Agosto</v>
      </c>
      <c r="P1688" s="4">
        <v>48</v>
      </c>
      <c r="R1688" t="str">
        <f>IF(BBDD_fashion_boutique[[#This Row],[stock_quantity]]&gt;9,"Ok",IF(BBDD_fashion_boutique[[#This Row],[stock_quantity]]=0,"Agotado","Pocas Unidades"))</f>
        <v>Ok</v>
      </c>
      <c r="S1688" s="3" t="str">
        <f>IF(BBDD_fashion_boutique[[#This Row],[customer_rating]]="","No valorado",BBDD_fashion_boutique[[#This Row],[customer_rating]])</f>
        <v>No valorado</v>
      </c>
      <c r="T1688" t="s">
        <v>41</v>
      </c>
      <c r="U1688" t="s">
        <v>121</v>
      </c>
      <c r="V1688">
        <f>IF(BBDD_fashion_boutique[[#This Row],[is_returned]]="False",0,1)</f>
        <v>1</v>
      </c>
      <c r="W1688">
        <f>IF(BBDD_fashion_boutique[[#This Row],[is_returned]]="True",0,BBDD_fashion_boutique[[#This Row],[current_price]])</f>
        <v>0</v>
      </c>
      <c r="X1688" t="str">
        <f>IF(BBDD_fashion_boutique[[#This Row],[return_reason]]="","No return",BBDD_fashion_boutique[[#This Row],[return_reason]])</f>
        <v>Changed Mind</v>
      </c>
      <c r="Y1688">
        <f>IF(IFERROR(VLOOKUP(BBDD_fashion_boutique[[#This Row],[product_id]],A1689:A3864,1,FALSE),0),1,0)</f>
        <v>0</v>
      </c>
    </row>
    <row r="1689" spans="1:25" x14ac:dyDescent="0.3">
      <c r="A1689" t="s">
        <v>1748</v>
      </c>
      <c r="B1689" t="s">
        <v>26</v>
      </c>
      <c r="C1689" t="s">
        <v>59</v>
      </c>
      <c r="D1689" t="s">
        <v>21</v>
      </c>
      <c r="E1689" t="s">
        <v>61</v>
      </c>
      <c r="F1689" t="str">
        <f>IF(BBDD_fashion_boutique[[#This Row],[category]]="Accessories","Accesorio",IF(BBDD_fashion_boutique[[#This Row],[size]]="","Desconocido",BBDD_fashion_boutique[[#This Row],[size]]))</f>
        <v>XS</v>
      </c>
      <c r="G1689" t="s">
        <v>62</v>
      </c>
      <c r="H1689" s="2">
        <v>57.06</v>
      </c>
      <c r="I1689">
        <v>27.5</v>
      </c>
      <c r="J1689" s="5">
        <f>BBDD_fashion_boutique[[#This Row],[markdown_percentage]]/100</f>
        <v>0.27500000000000002</v>
      </c>
      <c r="K1689" s="2">
        <v>41.37</v>
      </c>
      <c r="L1689" s="2">
        <f>BBDD_fashion_boutique[[#This Row],[original_price]]-BBDD_fashion_boutique[[#This Row],[current_price]]</f>
        <v>15.690000000000005</v>
      </c>
      <c r="M1689" s="1">
        <v>45651</v>
      </c>
      <c r="N1689" s="1" t="str">
        <f>PROPER(TEXT(BBDD_fashion_boutique[[#This Row],[purchase_date]],"dddd"))</f>
        <v>Miércoles</v>
      </c>
      <c r="O1689" s="1" t="str">
        <f>PROPER(TEXT(BBDD_fashion_boutique[[#This Row],[purchase_date]],"mmmm"))</f>
        <v>Diciembre</v>
      </c>
      <c r="P1689" s="4">
        <v>43</v>
      </c>
      <c r="Q1689" s="2">
        <v>1.8</v>
      </c>
      <c r="R1689" t="str">
        <f>IF(BBDD_fashion_boutique[[#This Row],[stock_quantity]]&gt;9,"Ok",IF(BBDD_fashion_boutique[[#This Row],[stock_quantity]]=0,"Agotado","Pocas Unidades"))</f>
        <v>Ok</v>
      </c>
      <c r="S1689" s="3">
        <f>IF(BBDD_fashion_boutique[[#This Row],[customer_rating]]="","No valorado",BBDD_fashion_boutique[[#This Row],[customer_rating]])</f>
        <v>1.8</v>
      </c>
      <c r="T1689" t="s">
        <v>24</v>
      </c>
      <c r="V1689">
        <f>IF(BBDD_fashion_boutique[[#This Row],[is_returned]]="False",0,1)</f>
        <v>0</v>
      </c>
      <c r="W1689">
        <f>IF(BBDD_fashion_boutique[[#This Row],[is_returned]]="True",0,BBDD_fashion_boutique[[#This Row],[current_price]])</f>
        <v>41.37</v>
      </c>
      <c r="X1689" t="str">
        <f>IF(BBDD_fashion_boutique[[#This Row],[return_reason]]="","No return",BBDD_fashion_boutique[[#This Row],[return_reason]])</f>
        <v>No return</v>
      </c>
      <c r="Y1689">
        <f>IF(IFERROR(VLOOKUP(BBDD_fashion_boutique[[#This Row],[product_id]],A1690:A3865,1,FALSE),0),1,0)</f>
        <v>0</v>
      </c>
    </row>
    <row r="1690" spans="1:25" x14ac:dyDescent="0.3">
      <c r="A1690" t="s">
        <v>1749</v>
      </c>
      <c r="B1690" t="s">
        <v>48</v>
      </c>
      <c r="C1690" t="s">
        <v>59</v>
      </c>
      <c r="D1690" t="s">
        <v>28</v>
      </c>
      <c r="E1690" t="s">
        <v>29</v>
      </c>
      <c r="F1690" t="str">
        <f>IF(BBDD_fashion_boutique[[#This Row],[category]]="Accessories","Accesorio",IF(BBDD_fashion_boutique[[#This Row],[size]]="","Desconocido",BBDD_fashion_boutique[[#This Row],[size]]))</f>
        <v>L</v>
      </c>
      <c r="G1690" t="s">
        <v>33</v>
      </c>
      <c r="H1690" s="2">
        <v>158.24</v>
      </c>
      <c r="I1690">
        <v>0</v>
      </c>
      <c r="J1690" s="5">
        <f>BBDD_fashion_boutique[[#This Row],[markdown_percentage]]/100</f>
        <v>0</v>
      </c>
      <c r="K1690" s="2">
        <v>158.24</v>
      </c>
      <c r="L1690" s="2">
        <f>BBDD_fashion_boutique[[#This Row],[original_price]]-BBDD_fashion_boutique[[#This Row],[current_price]]</f>
        <v>0</v>
      </c>
      <c r="M1690" s="1">
        <v>45875</v>
      </c>
      <c r="N1690" s="1" t="str">
        <f>PROPER(TEXT(BBDD_fashion_boutique[[#This Row],[purchase_date]],"dddd"))</f>
        <v>Miércoles</v>
      </c>
      <c r="O1690" s="1" t="str">
        <f>PROPER(TEXT(BBDD_fashion_boutique[[#This Row],[purchase_date]],"mmmm"))</f>
        <v>Agosto</v>
      </c>
      <c r="P1690" s="4">
        <v>41</v>
      </c>
      <c r="Q1690" s="2">
        <v>3.1</v>
      </c>
      <c r="R1690" t="str">
        <f>IF(BBDD_fashion_boutique[[#This Row],[stock_quantity]]&gt;9,"Ok",IF(BBDD_fashion_boutique[[#This Row],[stock_quantity]]=0,"Agotado","Pocas Unidades"))</f>
        <v>Ok</v>
      </c>
      <c r="S1690" s="3">
        <f>IF(BBDD_fashion_boutique[[#This Row],[customer_rating]]="","No valorado",BBDD_fashion_boutique[[#This Row],[customer_rating]])</f>
        <v>3.1</v>
      </c>
      <c r="T1690" t="s">
        <v>24</v>
      </c>
      <c r="V1690">
        <f>IF(BBDD_fashion_boutique[[#This Row],[is_returned]]="False",0,1)</f>
        <v>0</v>
      </c>
      <c r="W1690">
        <f>IF(BBDD_fashion_boutique[[#This Row],[is_returned]]="True",0,BBDD_fashion_boutique[[#This Row],[current_price]])</f>
        <v>158.24</v>
      </c>
      <c r="X1690" t="str">
        <f>IF(BBDD_fashion_boutique[[#This Row],[return_reason]]="","No return",BBDD_fashion_boutique[[#This Row],[return_reason]])</f>
        <v>No return</v>
      </c>
      <c r="Y1690">
        <f>IF(IFERROR(VLOOKUP(BBDD_fashion_boutique[[#This Row],[product_id]],A1691:A3866,1,FALSE),0),1,0)</f>
        <v>0</v>
      </c>
    </row>
    <row r="1691" spans="1:25" x14ac:dyDescent="0.3">
      <c r="A1691" t="s">
        <v>1750</v>
      </c>
      <c r="B1691" t="s">
        <v>19</v>
      </c>
      <c r="C1691" t="s">
        <v>49</v>
      </c>
      <c r="D1691" t="s">
        <v>39</v>
      </c>
      <c r="F1691" t="str">
        <f>IF(BBDD_fashion_boutique[[#This Row],[category]]="Accessories","Accesorio",IF(BBDD_fashion_boutique[[#This Row],[size]]="","Desconocido",BBDD_fashion_boutique[[#This Row],[size]]))</f>
        <v>Desconocido</v>
      </c>
      <c r="G1691" t="s">
        <v>30</v>
      </c>
      <c r="H1691" s="2">
        <v>153.46</v>
      </c>
      <c r="I1691">
        <v>0</v>
      </c>
      <c r="J1691" s="5">
        <f>BBDD_fashion_boutique[[#This Row],[markdown_percentage]]/100</f>
        <v>0</v>
      </c>
      <c r="K1691" s="2">
        <v>153.46</v>
      </c>
      <c r="L1691" s="2">
        <f>BBDD_fashion_boutique[[#This Row],[original_price]]-BBDD_fashion_boutique[[#This Row],[current_price]]</f>
        <v>0</v>
      </c>
      <c r="M1691" s="1">
        <v>45875</v>
      </c>
      <c r="N1691" s="1" t="str">
        <f>PROPER(TEXT(BBDD_fashion_boutique[[#This Row],[purchase_date]],"dddd"))</f>
        <v>Miércoles</v>
      </c>
      <c r="O1691" s="1" t="str">
        <f>PROPER(TEXT(BBDD_fashion_boutique[[#This Row],[purchase_date]],"mmmm"))</f>
        <v>Agosto</v>
      </c>
      <c r="P1691" s="4">
        <v>27</v>
      </c>
      <c r="Q1691" s="2">
        <v>1.7</v>
      </c>
      <c r="R1691" t="str">
        <f>IF(BBDD_fashion_boutique[[#This Row],[stock_quantity]]&gt;9,"Ok",IF(BBDD_fashion_boutique[[#This Row],[stock_quantity]]=0,"Agotado","Pocas Unidades"))</f>
        <v>Ok</v>
      </c>
      <c r="S1691" s="3">
        <f>IF(BBDD_fashion_boutique[[#This Row],[customer_rating]]="","No valorado",BBDD_fashion_boutique[[#This Row],[customer_rating]])</f>
        <v>1.7</v>
      </c>
      <c r="T1691" t="s">
        <v>24</v>
      </c>
      <c r="V1691">
        <f>IF(BBDD_fashion_boutique[[#This Row],[is_returned]]="False",0,1)</f>
        <v>0</v>
      </c>
      <c r="W1691">
        <f>IF(BBDD_fashion_boutique[[#This Row],[is_returned]]="True",0,BBDD_fashion_boutique[[#This Row],[current_price]])</f>
        <v>153.46</v>
      </c>
      <c r="X1691" t="str">
        <f>IF(BBDD_fashion_boutique[[#This Row],[return_reason]]="","No return",BBDD_fashion_boutique[[#This Row],[return_reason]])</f>
        <v>No return</v>
      </c>
      <c r="Y1691">
        <f>IF(IFERROR(VLOOKUP(BBDD_fashion_boutique[[#This Row],[product_id]],A1692:A3867,1,FALSE),0),1,0)</f>
        <v>0</v>
      </c>
    </row>
    <row r="1692" spans="1:25" x14ac:dyDescent="0.3">
      <c r="A1692" t="s">
        <v>1751</v>
      </c>
      <c r="B1692" t="s">
        <v>32</v>
      </c>
      <c r="C1692" t="s">
        <v>20</v>
      </c>
      <c r="D1692" t="s">
        <v>21</v>
      </c>
      <c r="F1692" t="str">
        <f>IF(BBDD_fashion_boutique[[#This Row],[category]]="Accessories","Accesorio",IF(BBDD_fashion_boutique[[#This Row],[size]]="","Desconocido",BBDD_fashion_boutique[[#This Row],[size]]))</f>
        <v>Accesorio</v>
      </c>
      <c r="G1692" t="s">
        <v>76</v>
      </c>
      <c r="H1692" s="2">
        <v>54.92</v>
      </c>
      <c r="I1692">
        <v>0</v>
      </c>
      <c r="J1692" s="5">
        <f>BBDD_fashion_boutique[[#This Row],[markdown_percentage]]/100</f>
        <v>0</v>
      </c>
      <c r="K1692" s="2">
        <v>54.92</v>
      </c>
      <c r="L1692" s="2">
        <f>BBDD_fashion_boutique[[#This Row],[original_price]]-BBDD_fashion_boutique[[#This Row],[current_price]]</f>
        <v>0</v>
      </c>
      <c r="M1692" s="1">
        <v>45759</v>
      </c>
      <c r="N1692" s="1" t="str">
        <f>PROPER(TEXT(BBDD_fashion_boutique[[#This Row],[purchase_date]],"dddd"))</f>
        <v>Sábado</v>
      </c>
      <c r="O1692" s="1" t="str">
        <f>PROPER(TEXT(BBDD_fashion_boutique[[#This Row],[purchase_date]],"mmmm"))</f>
        <v>Abril</v>
      </c>
      <c r="P1692" s="4">
        <v>44</v>
      </c>
      <c r="Q1692" s="2">
        <v>3.1</v>
      </c>
      <c r="R1692" t="str">
        <f>IF(BBDD_fashion_boutique[[#This Row],[stock_quantity]]&gt;9,"Ok",IF(BBDD_fashion_boutique[[#This Row],[stock_quantity]]=0,"Agotado","Pocas Unidades"))</f>
        <v>Ok</v>
      </c>
      <c r="S1692" s="3">
        <f>IF(BBDD_fashion_boutique[[#This Row],[customer_rating]]="","No valorado",BBDD_fashion_boutique[[#This Row],[customer_rating]])</f>
        <v>3.1</v>
      </c>
      <c r="T1692" t="s">
        <v>24</v>
      </c>
      <c r="V1692">
        <f>IF(BBDD_fashion_boutique[[#This Row],[is_returned]]="False",0,1)</f>
        <v>0</v>
      </c>
      <c r="W1692">
        <f>IF(BBDD_fashion_boutique[[#This Row],[is_returned]]="True",0,BBDD_fashion_boutique[[#This Row],[current_price]])</f>
        <v>54.92</v>
      </c>
      <c r="X1692" t="str">
        <f>IF(BBDD_fashion_boutique[[#This Row],[return_reason]]="","No return",BBDD_fashion_boutique[[#This Row],[return_reason]])</f>
        <v>No return</v>
      </c>
      <c r="Y1692">
        <f>IF(IFERROR(VLOOKUP(BBDD_fashion_boutique[[#This Row],[product_id]],A1693:A3868,1,FALSE),0),1,0)</f>
        <v>0</v>
      </c>
    </row>
    <row r="1693" spans="1:25" x14ac:dyDescent="0.3">
      <c r="A1693" t="s">
        <v>1752</v>
      </c>
      <c r="B1693" t="s">
        <v>32</v>
      </c>
      <c r="C1693" t="s">
        <v>27</v>
      </c>
      <c r="D1693" t="s">
        <v>21</v>
      </c>
      <c r="F1693" t="str">
        <f>IF(BBDD_fashion_boutique[[#This Row],[category]]="Accessories","Accesorio",IF(BBDD_fashion_boutique[[#This Row],[size]]="","Desconocido",BBDD_fashion_boutique[[#This Row],[size]]))</f>
        <v>Accesorio</v>
      </c>
      <c r="G1693" t="s">
        <v>72</v>
      </c>
      <c r="H1693" s="2">
        <v>32.200000000000003</v>
      </c>
      <c r="I1693">
        <v>19.2</v>
      </c>
      <c r="J1693" s="5">
        <f>BBDD_fashion_boutique[[#This Row],[markdown_percentage]]/100</f>
        <v>0.192</v>
      </c>
      <c r="K1693" s="2">
        <v>26.02</v>
      </c>
      <c r="L1693" s="2">
        <f>BBDD_fashion_boutique[[#This Row],[original_price]]-BBDD_fashion_boutique[[#This Row],[current_price]]</f>
        <v>6.1800000000000033</v>
      </c>
      <c r="M1693" s="1">
        <v>45865</v>
      </c>
      <c r="N1693" s="1" t="str">
        <f>PROPER(TEXT(BBDD_fashion_boutique[[#This Row],[purchase_date]],"dddd"))</f>
        <v>Domingo</v>
      </c>
      <c r="O1693" s="1" t="str">
        <f>PROPER(TEXT(BBDD_fashion_boutique[[#This Row],[purchase_date]],"mmmm"))</f>
        <v>Julio</v>
      </c>
      <c r="P1693" s="4">
        <v>8</v>
      </c>
      <c r="Q1693" s="2">
        <v>4.3</v>
      </c>
      <c r="R1693" t="str">
        <f>IF(BBDD_fashion_boutique[[#This Row],[stock_quantity]]&gt;9,"Ok",IF(BBDD_fashion_boutique[[#This Row],[stock_quantity]]=0,"Agotado","Pocas Unidades"))</f>
        <v>Pocas Unidades</v>
      </c>
      <c r="S1693" s="3">
        <f>IF(BBDD_fashion_boutique[[#This Row],[customer_rating]]="","No valorado",BBDD_fashion_boutique[[#This Row],[customer_rating]])</f>
        <v>4.3</v>
      </c>
      <c r="T1693" t="s">
        <v>24</v>
      </c>
      <c r="V1693">
        <f>IF(BBDD_fashion_boutique[[#This Row],[is_returned]]="False",0,1)</f>
        <v>0</v>
      </c>
      <c r="W1693">
        <f>IF(BBDD_fashion_boutique[[#This Row],[is_returned]]="True",0,BBDD_fashion_boutique[[#This Row],[current_price]])</f>
        <v>26.02</v>
      </c>
      <c r="X1693" t="str">
        <f>IF(BBDD_fashion_boutique[[#This Row],[return_reason]]="","No return",BBDD_fashion_boutique[[#This Row],[return_reason]])</f>
        <v>No return</v>
      </c>
      <c r="Y1693">
        <f>IF(IFERROR(VLOOKUP(BBDD_fashion_boutique[[#This Row],[product_id]],A1694:A3869,1,FALSE),0),1,0)</f>
        <v>0</v>
      </c>
    </row>
    <row r="1694" spans="1:25" x14ac:dyDescent="0.3">
      <c r="A1694" t="s">
        <v>1753</v>
      </c>
      <c r="B1694" t="s">
        <v>32</v>
      </c>
      <c r="C1694" t="s">
        <v>49</v>
      </c>
      <c r="D1694" t="s">
        <v>39</v>
      </c>
      <c r="F1694" t="str">
        <f>IF(BBDD_fashion_boutique[[#This Row],[category]]="Accessories","Accesorio",IF(BBDD_fashion_boutique[[#This Row],[size]]="","Desconocido",BBDD_fashion_boutique[[#This Row],[size]]))</f>
        <v>Accesorio</v>
      </c>
      <c r="G1694" t="s">
        <v>76</v>
      </c>
      <c r="H1694" s="2">
        <v>66.489999999999995</v>
      </c>
      <c r="I1694">
        <v>29.1</v>
      </c>
      <c r="J1694" s="5">
        <f>BBDD_fashion_boutique[[#This Row],[markdown_percentage]]/100</f>
        <v>0.29100000000000004</v>
      </c>
      <c r="K1694" s="2">
        <v>47.14</v>
      </c>
      <c r="L1694" s="2">
        <f>BBDD_fashion_boutique[[#This Row],[original_price]]-BBDD_fashion_boutique[[#This Row],[current_price]]</f>
        <v>19.349999999999994</v>
      </c>
      <c r="M1694" s="1">
        <v>45875</v>
      </c>
      <c r="N1694" s="1" t="str">
        <f>PROPER(TEXT(BBDD_fashion_boutique[[#This Row],[purchase_date]],"dddd"))</f>
        <v>Miércoles</v>
      </c>
      <c r="O1694" s="1" t="str">
        <f>PROPER(TEXT(BBDD_fashion_boutique[[#This Row],[purchase_date]],"mmmm"))</f>
        <v>Agosto</v>
      </c>
      <c r="P1694" s="4">
        <v>37</v>
      </c>
      <c r="Q1694" s="2">
        <v>1.3</v>
      </c>
      <c r="R1694" t="str">
        <f>IF(BBDD_fashion_boutique[[#This Row],[stock_quantity]]&gt;9,"Ok",IF(BBDD_fashion_boutique[[#This Row],[stock_quantity]]=0,"Agotado","Pocas Unidades"))</f>
        <v>Ok</v>
      </c>
      <c r="S1694" s="3">
        <f>IF(BBDD_fashion_boutique[[#This Row],[customer_rating]]="","No valorado",BBDD_fashion_boutique[[#This Row],[customer_rating]])</f>
        <v>1.3</v>
      </c>
      <c r="T1694" t="s">
        <v>24</v>
      </c>
      <c r="V1694">
        <f>IF(BBDD_fashion_boutique[[#This Row],[is_returned]]="False",0,1)</f>
        <v>0</v>
      </c>
      <c r="W1694">
        <f>IF(BBDD_fashion_boutique[[#This Row],[is_returned]]="True",0,BBDD_fashion_boutique[[#This Row],[current_price]])</f>
        <v>47.14</v>
      </c>
      <c r="X1694" t="str">
        <f>IF(BBDD_fashion_boutique[[#This Row],[return_reason]]="","No return",BBDD_fashion_boutique[[#This Row],[return_reason]])</f>
        <v>No return</v>
      </c>
      <c r="Y1694">
        <f>IF(IFERROR(VLOOKUP(BBDD_fashion_boutique[[#This Row],[product_id]],A1695:A3870,1,FALSE),0),1,0)</f>
        <v>0</v>
      </c>
    </row>
    <row r="1695" spans="1:25" x14ac:dyDescent="0.3">
      <c r="A1695" t="s">
        <v>1754</v>
      </c>
      <c r="B1695" t="s">
        <v>32</v>
      </c>
      <c r="C1695" t="s">
        <v>49</v>
      </c>
      <c r="D1695" t="s">
        <v>28</v>
      </c>
      <c r="F1695" t="str">
        <f>IF(BBDD_fashion_boutique[[#This Row],[category]]="Accessories","Accesorio",IF(BBDD_fashion_boutique[[#This Row],[size]]="","Desconocido",BBDD_fashion_boutique[[#This Row],[size]]))</f>
        <v>Accesorio</v>
      </c>
      <c r="G1695" t="s">
        <v>50</v>
      </c>
      <c r="H1695" s="2">
        <v>32.950000000000003</v>
      </c>
      <c r="I1695">
        <v>50.2</v>
      </c>
      <c r="J1695" s="5">
        <f>BBDD_fashion_boutique[[#This Row],[markdown_percentage]]/100</f>
        <v>0.502</v>
      </c>
      <c r="K1695" s="2">
        <v>16.41</v>
      </c>
      <c r="L1695" s="2">
        <f>BBDD_fashion_boutique[[#This Row],[original_price]]-BBDD_fashion_boutique[[#This Row],[current_price]]</f>
        <v>16.540000000000003</v>
      </c>
      <c r="M1695" s="1">
        <v>45875</v>
      </c>
      <c r="N1695" s="1" t="str">
        <f>PROPER(TEXT(BBDD_fashion_boutique[[#This Row],[purchase_date]],"dddd"))</f>
        <v>Miércoles</v>
      </c>
      <c r="O1695" s="1" t="str">
        <f>PROPER(TEXT(BBDD_fashion_boutique[[#This Row],[purchase_date]],"mmmm"))</f>
        <v>Agosto</v>
      </c>
      <c r="P1695" s="4">
        <v>46</v>
      </c>
      <c r="R1695" t="str">
        <f>IF(BBDD_fashion_boutique[[#This Row],[stock_quantity]]&gt;9,"Ok",IF(BBDD_fashion_boutique[[#This Row],[stock_quantity]]=0,"Agotado","Pocas Unidades"))</f>
        <v>Ok</v>
      </c>
      <c r="S1695" s="3" t="str">
        <f>IF(BBDD_fashion_boutique[[#This Row],[customer_rating]]="","No valorado",BBDD_fashion_boutique[[#This Row],[customer_rating]])</f>
        <v>No valorado</v>
      </c>
      <c r="T1695" t="s">
        <v>24</v>
      </c>
      <c r="V1695">
        <f>IF(BBDD_fashion_boutique[[#This Row],[is_returned]]="False",0,1)</f>
        <v>0</v>
      </c>
      <c r="W1695">
        <f>IF(BBDD_fashion_boutique[[#This Row],[is_returned]]="True",0,BBDD_fashion_boutique[[#This Row],[current_price]])</f>
        <v>16.41</v>
      </c>
      <c r="X1695" t="str">
        <f>IF(BBDD_fashion_boutique[[#This Row],[return_reason]]="","No return",BBDD_fashion_boutique[[#This Row],[return_reason]])</f>
        <v>No return</v>
      </c>
      <c r="Y1695">
        <f>IF(IFERROR(VLOOKUP(BBDD_fashion_boutique[[#This Row],[product_id]],A1696:A3871,1,FALSE),0),1,0)</f>
        <v>0</v>
      </c>
    </row>
    <row r="1696" spans="1:25" x14ac:dyDescent="0.3">
      <c r="A1696" t="s">
        <v>1755</v>
      </c>
      <c r="B1696" t="s">
        <v>32</v>
      </c>
      <c r="C1696" t="s">
        <v>54</v>
      </c>
      <c r="D1696" t="s">
        <v>39</v>
      </c>
      <c r="F1696" t="str">
        <f>IF(BBDD_fashion_boutique[[#This Row],[category]]="Accessories","Accesorio",IF(BBDD_fashion_boutique[[#This Row],[size]]="","Desconocido",BBDD_fashion_boutique[[#This Row],[size]]))</f>
        <v>Accesorio</v>
      </c>
      <c r="G1696" t="s">
        <v>46</v>
      </c>
      <c r="H1696" s="2">
        <v>54.31</v>
      </c>
      <c r="I1696">
        <v>19.2</v>
      </c>
      <c r="J1696" s="5">
        <f>BBDD_fashion_boutique[[#This Row],[markdown_percentage]]/100</f>
        <v>0.192</v>
      </c>
      <c r="K1696" s="2">
        <v>43.88</v>
      </c>
      <c r="L1696" s="2">
        <f>BBDD_fashion_boutique[[#This Row],[original_price]]-BBDD_fashion_boutique[[#This Row],[current_price]]</f>
        <v>10.43</v>
      </c>
      <c r="M1696" s="1">
        <v>45875</v>
      </c>
      <c r="N1696" s="1" t="str">
        <f>PROPER(TEXT(BBDD_fashion_boutique[[#This Row],[purchase_date]],"dddd"))</f>
        <v>Miércoles</v>
      </c>
      <c r="O1696" s="1" t="str">
        <f>PROPER(TEXT(BBDD_fashion_boutique[[#This Row],[purchase_date]],"mmmm"))</f>
        <v>Agosto</v>
      </c>
      <c r="P1696" s="4">
        <v>19</v>
      </c>
      <c r="Q1696" s="2">
        <v>1.8</v>
      </c>
      <c r="R1696" t="str">
        <f>IF(BBDD_fashion_boutique[[#This Row],[stock_quantity]]&gt;9,"Ok",IF(BBDD_fashion_boutique[[#This Row],[stock_quantity]]=0,"Agotado","Pocas Unidades"))</f>
        <v>Ok</v>
      </c>
      <c r="S1696" s="3">
        <f>IF(BBDD_fashion_boutique[[#This Row],[customer_rating]]="","No valorado",BBDD_fashion_boutique[[#This Row],[customer_rating]])</f>
        <v>1.8</v>
      </c>
      <c r="T1696" t="s">
        <v>24</v>
      </c>
      <c r="V1696">
        <f>IF(BBDD_fashion_boutique[[#This Row],[is_returned]]="False",0,1)</f>
        <v>0</v>
      </c>
      <c r="W1696">
        <f>IF(BBDD_fashion_boutique[[#This Row],[is_returned]]="True",0,BBDD_fashion_boutique[[#This Row],[current_price]])</f>
        <v>43.88</v>
      </c>
      <c r="X1696" t="str">
        <f>IF(BBDD_fashion_boutique[[#This Row],[return_reason]]="","No return",BBDD_fashion_boutique[[#This Row],[return_reason]])</f>
        <v>No return</v>
      </c>
      <c r="Y1696">
        <f>IF(IFERROR(VLOOKUP(BBDD_fashion_boutique[[#This Row],[product_id]],A1697:A3872,1,FALSE),0),1,0)</f>
        <v>0</v>
      </c>
    </row>
    <row r="1697" spans="1:25" x14ac:dyDescent="0.3">
      <c r="A1697" t="s">
        <v>1756</v>
      </c>
      <c r="B1697" t="s">
        <v>32</v>
      </c>
      <c r="C1697" t="s">
        <v>37</v>
      </c>
      <c r="D1697" t="s">
        <v>68</v>
      </c>
      <c r="F1697" t="str">
        <f>IF(BBDD_fashion_boutique[[#This Row],[category]]="Accessories","Accesorio",IF(BBDD_fashion_boutique[[#This Row],[size]]="","Desconocido",BBDD_fashion_boutique[[#This Row],[size]]))</f>
        <v>Accesorio</v>
      </c>
      <c r="G1697" t="s">
        <v>70</v>
      </c>
      <c r="H1697" s="2">
        <v>19.68</v>
      </c>
      <c r="I1697">
        <v>0</v>
      </c>
      <c r="J1697" s="5">
        <f>BBDD_fashion_boutique[[#This Row],[markdown_percentage]]/100</f>
        <v>0</v>
      </c>
      <c r="K1697" s="2">
        <v>19.68</v>
      </c>
      <c r="L1697" s="2">
        <f>BBDD_fashion_boutique[[#This Row],[original_price]]-BBDD_fashion_boutique[[#This Row],[current_price]]</f>
        <v>0</v>
      </c>
      <c r="M1697" s="1">
        <v>45875</v>
      </c>
      <c r="N1697" s="1" t="str">
        <f>PROPER(TEXT(BBDD_fashion_boutique[[#This Row],[purchase_date]],"dddd"))</f>
        <v>Miércoles</v>
      </c>
      <c r="O1697" s="1" t="str">
        <f>PROPER(TEXT(BBDD_fashion_boutique[[#This Row],[purchase_date]],"mmmm"))</f>
        <v>Agosto</v>
      </c>
      <c r="P1697" s="4">
        <v>29</v>
      </c>
      <c r="Q1697" s="2">
        <v>1.5</v>
      </c>
      <c r="R1697" t="str">
        <f>IF(BBDD_fashion_boutique[[#This Row],[stock_quantity]]&gt;9,"Ok",IF(BBDD_fashion_boutique[[#This Row],[stock_quantity]]=0,"Agotado","Pocas Unidades"))</f>
        <v>Ok</v>
      </c>
      <c r="S1697" s="3">
        <f>IF(BBDD_fashion_boutique[[#This Row],[customer_rating]]="","No valorado",BBDD_fashion_boutique[[#This Row],[customer_rating]])</f>
        <v>1.5</v>
      </c>
      <c r="T1697" t="s">
        <v>41</v>
      </c>
      <c r="U1697" t="s">
        <v>79</v>
      </c>
      <c r="V1697">
        <f>IF(BBDD_fashion_boutique[[#This Row],[is_returned]]="False",0,1)</f>
        <v>1</v>
      </c>
      <c r="W1697">
        <f>IF(BBDD_fashion_boutique[[#This Row],[is_returned]]="True",0,BBDD_fashion_boutique[[#This Row],[current_price]])</f>
        <v>0</v>
      </c>
      <c r="X1697" t="str">
        <f>IF(BBDD_fashion_boutique[[#This Row],[return_reason]]="","No return",BBDD_fashion_boutique[[#This Row],[return_reason]])</f>
        <v>Size Issue</v>
      </c>
      <c r="Y1697">
        <f>IF(IFERROR(VLOOKUP(BBDD_fashion_boutique[[#This Row],[product_id]],A1698:A3873,1,FALSE),0),1,0)</f>
        <v>0</v>
      </c>
    </row>
    <row r="1698" spans="1:25" x14ac:dyDescent="0.3">
      <c r="A1698" t="s">
        <v>1757</v>
      </c>
      <c r="B1698" t="s">
        <v>26</v>
      </c>
      <c r="C1698" t="s">
        <v>20</v>
      </c>
      <c r="D1698" t="s">
        <v>21</v>
      </c>
      <c r="E1698" t="s">
        <v>61</v>
      </c>
      <c r="F1698" t="str">
        <f>IF(BBDD_fashion_boutique[[#This Row],[category]]="Accessories","Accesorio",IF(BBDD_fashion_boutique[[#This Row],[size]]="","Desconocido",BBDD_fashion_boutique[[#This Row],[size]]))</f>
        <v>XS</v>
      </c>
      <c r="G1698" t="s">
        <v>46</v>
      </c>
      <c r="H1698" s="2">
        <v>105.19</v>
      </c>
      <c r="I1698">
        <v>24.3</v>
      </c>
      <c r="J1698" s="5">
        <f>BBDD_fashion_boutique[[#This Row],[markdown_percentage]]/100</f>
        <v>0.24299999999999999</v>
      </c>
      <c r="K1698" s="2">
        <v>79.63</v>
      </c>
      <c r="L1698" s="2">
        <f>BBDD_fashion_boutique[[#This Row],[original_price]]-BBDD_fashion_boutique[[#This Row],[current_price]]</f>
        <v>25.560000000000002</v>
      </c>
      <c r="M1698" s="1">
        <v>45822</v>
      </c>
      <c r="N1698" s="1" t="str">
        <f>PROPER(TEXT(BBDD_fashion_boutique[[#This Row],[purchase_date]],"dddd"))</f>
        <v>Sábado</v>
      </c>
      <c r="O1698" s="1" t="str">
        <f>PROPER(TEXT(BBDD_fashion_boutique[[#This Row],[purchase_date]],"mmmm"))</f>
        <v>Junio</v>
      </c>
      <c r="P1698" s="4">
        <v>47</v>
      </c>
      <c r="Q1698" s="2">
        <v>5</v>
      </c>
      <c r="R1698" t="str">
        <f>IF(BBDD_fashion_boutique[[#This Row],[stock_quantity]]&gt;9,"Ok",IF(BBDD_fashion_boutique[[#This Row],[stock_quantity]]=0,"Agotado","Pocas Unidades"))</f>
        <v>Ok</v>
      </c>
      <c r="S1698" s="3">
        <f>IF(BBDD_fashion_boutique[[#This Row],[customer_rating]]="","No valorado",BBDD_fashion_boutique[[#This Row],[customer_rating]])</f>
        <v>5</v>
      </c>
      <c r="T1698" t="s">
        <v>24</v>
      </c>
      <c r="V1698">
        <f>IF(BBDD_fashion_boutique[[#This Row],[is_returned]]="False",0,1)</f>
        <v>0</v>
      </c>
      <c r="W1698">
        <f>IF(BBDD_fashion_boutique[[#This Row],[is_returned]]="True",0,BBDD_fashion_boutique[[#This Row],[current_price]])</f>
        <v>79.63</v>
      </c>
      <c r="X1698" t="str">
        <f>IF(BBDD_fashion_boutique[[#This Row],[return_reason]]="","No return",BBDD_fashion_boutique[[#This Row],[return_reason]])</f>
        <v>No return</v>
      </c>
      <c r="Y1698">
        <f>IF(IFERROR(VLOOKUP(BBDD_fashion_boutique[[#This Row],[product_id]],A1699:A3874,1,FALSE),0),1,0)</f>
        <v>0</v>
      </c>
    </row>
    <row r="1699" spans="1:25" x14ac:dyDescent="0.3">
      <c r="A1699" t="s">
        <v>1758</v>
      </c>
      <c r="B1699" t="s">
        <v>32</v>
      </c>
      <c r="C1699" t="s">
        <v>37</v>
      </c>
      <c r="D1699" t="s">
        <v>68</v>
      </c>
      <c r="F1699" t="str">
        <f>IF(BBDD_fashion_boutique[[#This Row],[category]]="Accessories","Accesorio",IF(BBDD_fashion_boutique[[#This Row],[size]]="","Desconocido",BBDD_fashion_boutique[[#This Row],[size]]))</f>
        <v>Accesorio</v>
      </c>
      <c r="G1699" t="s">
        <v>52</v>
      </c>
      <c r="H1699" s="2">
        <v>20.3</v>
      </c>
      <c r="I1699">
        <v>19.600000000000001</v>
      </c>
      <c r="J1699" s="5">
        <f>BBDD_fashion_boutique[[#This Row],[markdown_percentage]]/100</f>
        <v>0.19600000000000001</v>
      </c>
      <c r="K1699" s="2">
        <v>16.32</v>
      </c>
      <c r="L1699" s="2">
        <f>BBDD_fashion_boutique[[#This Row],[original_price]]-BBDD_fashion_boutique[[#This Row],[current_price]]</f>
        <v>3.9800000000000004</v>
      </c>
      <c r="M1699" s="1">
        <v>45875</v>
      </c>
      <c r="N1699" s="1" t="str">
        <f>PROPER(TEXT(BBDD_fashion_boutique[[#This Row],[purchase_date]],"dddd"))</f>
        <v>Miércoles</v>
      </c>
      <c r="O1699" s="1" t="str">
        <f>PROPER(TEXT(BBDD_fashion_boutique[[#This Row],[purchase_date]],"mmmm"))</f>
        <v>Agosto</v>
      </c>
      <c r="P1699" s="4">
        <v>47</v>
      </c>
      <c r="Q1699" s="2">
        <v>2.9</v>
      </c>
      <c r="R1699" t="str">
        <f>IF(BBDD_fashion_boutique[[#This Row],[stock_quantity]]&gt;9,"Ok",IF(BBDD_fashion_boutique[[#This Row],[stock_quantity]]=0,"Agotado","Pocas Unidades"))</f>
        <v>Ok</v>
      </c>
      <c r="S1699" s="3">
        <f>IF(BBDD_fashion_boutique[[#This Row],[customer_rating]]="","No valorado",BBDD_fashion_boutique[[#This Row],[customer_rating]])</f>
        <v>2.9</v>
      </c>
      <c r="T1699" t="s">
        <v>41</v>
      </c>
      <c r="U1699" t="s">
        <v>121</v>
      </c>
      <c r="V1699">
        <f>IF(BBDD_fashion_boutique[[#This Row],[is_returned]]="False",0,1)</f>
        <v>1</v>
      </c>
      <c r="W1699">
        <f>IF(BBDD_fashion_boutique[[#This Row],[is_returned]]="True",0,BBDD_fashion_boutique[[#This Row],[current_price]])</f>
        <v>0</v>
      </c>
      <c r="X1699" t="str">
        <f>IF(BBDD_fashion_boutique[[#This Row],[return_reason]]="","No return",BBDD_fashion_boutique[[#This Row],[return_reason]])</f>
        <v>Changed Mind</v>
      </c>
      <c r="Y1699">
        <f>IF(IFERROR(VLOOKUP(BBDD_fashion_boutique[[#This Row],[product_id]],A1700:A3875,1,FALSE),0),1,0)</f>
        <v>0</v>
      </c>
    </row>
    <row r="1700" spans="1:25" x14ac:dyDescent="0.3">
      <c r="A1700" t="s">
        <v>1759</v>
      </c>
      <c r="B1700" t="s">
        <v>44</v>
      </c>
      <c r="C1700" t="s">
        <v>49</v>
      </c>
      <c r="D1700" t="s">
        <v>68</v>
      </c>
      <c r="E1700" t="s">
        <v>45</v>
      </c>
      <c r="F1700" t="str">
        <f>IF(BBDD_fashion_boutique[[#This Row],[category]]="Accessories","Accesorio",IF(BBDD_fashion_boutique[[#This Row],[size]]="","Desconocido",BBDD_fashion_boutique[[#This Row],[size]]))</f>
        <v>S</v>
      </c>
      <c r="G1700" t="s">
        <v>76</v>
      </c>
      <c r="H1700" s="2">
        <v>105.37</v>
      </c>
      <c r="I1700">
        <v>19.600000000000001</v>
      </c>
      <c r="J1700" s="5">
        <f>BBDD_fashion_boutique[[#This Row],[markdown_percentage]]/100</f>
        <v>0.19600000000000001</v>
      </c>
      <c r="K1700" s="2">
        <v>84.72</v>
      </c>
      <c r="L1700" s="2">
        <f>BBDD_fashion_boutique[[#This Row],[original_price]]-BBDD_fashion_boutique[[#This Row],[current_price]]</f>
        <v>20.650000000000006</v>
      </c>
      <c r="M1700" s="1">
        <v>45875</v>
      </c>
      <c r="N1700" s="1" t="str">
        <f>PROPER(TEXT(BBDD_fashion_boutique[[#This Row],[purchase_date]],"dddd"))</f>
        <v>Miércoles</v>
      </c>
      <c r="O1700" s="1" t="str">
        <f>PROPER(TEXT(BBDD_fashion_boutique[[#This Row],[purchase_date]],"mmmm"))</f>
        <v>Agosto</v>
      </c>
      <c r="P1700" s="4">
        <v>39</v>
      </c>
      <c r="Q1700" s="2">
        <v>4.3</v>
      </c>
      <c r="R1700" t="str">
        <f>IF(BBDD_fashion_boutique[[#This Row],[stock_quantity]]&gt;9,"Ok",IF(BBDD_fashion_boutique[[#This Row],[stock_quantity]]=0,"Agotado","Pocas Unidades"))</f>
        <v>Ok</v>
      </c>
      <c r="S1700" s="3">
        <f>IF(BBDD_fashion_boutique[[#This Row],[customer_rating]]="","No valorado",BBDD_fashion_boutique[[#This Row],[customer_rating]])</f>
        <v>4.3</v>
      </c>
      <c r="T1700" t="s">
        <v>24</v>
      </c>
      <c r="V1700">
        <f>IF(BBDD_fashion_boutique[[#This Row],[is_returned]]="False",0,1)</f>
        <v>0</v>
      </c>
      <c r="W1700">
        <f>IF(BBDD_fashion_boutique[[#This Row],[is_returned]]="True",0,BBDD_fashion_boutique[[#This Row],[current_price]])</f>
        <v>84.72</v>
      </c>
      <c r="X1700" t="str">
        <f>IF(BBDD_fashion_boutique[[#This Row],[return_reason]]="","No return",BBDD_fashion_boutique[[#This Row],[return_reason]])</f>
        <v>No return</v>
      </c>
      <c r="Y1700">
        <f>IF(IFERROR(VLOOKUP(BBDD_fashion_boutique[[#This Row],[product_id]],A1701:A3876,1,FALSE),0),1,0)</f>
        <v>0</v>
      </c>
    </row>
    <row r="1701" spans="1:25" x14ac:dyDescent="0.3">
      <c r="A1701" t="s">
        <v>1760</v>
      </c>
      <c r="B1701" t="s">
        <v>48</v>
      </c>
      <c r="C1701" t="s">
        <v>59</v>
      </c>
      <c r="D1701" t="s">
        <v>28</v>
      </c>
      <c r="E1701" t="s">
        <v>61</v>
      </c>
      <c r="F1701" t="str">
        <f>IF(BBDD_fashion_boutique[[#This Row],[category]]="Accessories","Accesorio",IF(BBDD_fashion_boutique[[#This Row],[size]]="","Desconocido",BBDD_fashion_boutique[[#This Row],[size]]))</f>
        <v>XS</v>
      </c>
      <c r="G1701" t="s">
        <v>52</v>
      </c>
      <c r="H1701" s="2">
        <v>156.24</v>
      </c>
      <c r="I1701">
        <v>0</v>
      </c>
      <c r="J1701" s="5">
        <f>BBDD_fashion_boutique[[#This Row],[markdown_percentage]]/100</f>
        <v>0</v>
      </c>
      <c r="K1701" s="2">
        <v>156.24</v>
      </c>
      <c r="L1701" s="2">
        <f>BBDD_fashion_boutique[[#This Row],[original_price]]-BBDD_fashion_boutique[[#This Row],[current_price]]</f>
        <v>0</v>
      </c>
      <c r="M1701" s="1">
        <v>45875</v>
      </c>
      <c r="N1701" s="1" t="str">
        <f>PROPER(TEXT(BBDD_fashion_boutique[[#This Row],[purchase_date]],"dddd"))</f>
        <v>Miércoles</v>
      </c>
      <c r="O1701" s="1" t="str">
        <f>PROPER(TEXT(BBDD_fashion_boutique[[#This Row],[purchase_date]],"mmmm"))</f>
        <v>Agosto</v>
      </c>
      <c r="P1701" s="4">
        <v>15</v>
      </c>
      <c r="Q1701" s="2">
        <v>5</v>
      </c>
      <c r="R1701" t="str">
        <f>IF(BBDD_fashion_boutique[[#This Row],[stock_quantity]]&gt;9,"Ok",IF(BBDD_fashion_boutique[[#This Row],[stock_quantity]]=0,"Agotado","Pocas Unidades"))</f>
        <v>Ok</v>
      </c>
      <c r="S1701" s="3">
        <f>IF(BBDD_fashion_boutique[[#This Row],[customer_rating]]="","No valorado",BBDD_fashion_boutique[[#This Row],[customer_rating]])</f>
        <v>5</v>
      </c>
      <c r="T1701" t="s">
        <v>24</v>
      </c>
      <c r="V1701">
        <f>IF(BBDD_fashion_boutique[[#This Row],[is_returned]]="False",0,1)</f>
        <v>0</v>
      </c>
      <c r="W1701">
        <f>IF(BBDD_fashion_boutique[[#This Row],[is_returned]]="True",0,BBDD_fashion_boutique[[#This Row],[current_price]])</f>
        <v>156.24</v>
      </c>
      <c r="X1701" t="str">
        <f>IF(BBDD_fashion_boutique[[#This Row],[return_reason]]="","No return",BBDD_fashion_boutique[[#This Row],[return_reason]])</f>
        <v>No return</v>
      </c>
      <c r="Y1701">
        <f>IF(IFERROR(VLOOKUP(BBDD_fashion_boutique[[#This Row],[product_id]],A1702:A3877,1,FALSE),0),1,0)</f>
        <v>0</v>
      </c>
    </row>
    <row r="1702" spans="1:25" x14ac:dyDescent="0.3">
      <c r="A1702" t="s">
        <v>1761</v>
      </c>
      <c r="B1702" t="s">
        <v>35</v>
      </c>
      <c r="C1702" t="s">
        <v>49</v>
      </c>
      <c r="D1702" t="s">
        <v>28</v>
      </c>
      <c r="E1702" t="s">
        <v>61</v>
      </c>
      <c r="F1702" t="str">
        <f>IF(BBDD_fashion_boutique[[#This Row],[category]]="Accessories","Accesorio",IF(BBDD_fashion_boutique[[#This Row],[size]]="","Desconocido",BBDD_fashion_boutique[[#This Row],[size]]))</f>
        <v>XS</v>
      </c>
      <c r="G1702" t="s">
        <v>76</v>
      </c>
      <c r="H1702" s="2">
        <v>162.19</v>
      </c>
      <c r="I1702">
        <v>5.7</v>
      </c>
      <c r="J1702" s="5">
        <f>BBDD_fashion_boutique[[#This Row],[markdown_percentage]]/100</f>
        <v>5.7000000000000002E-2</v>
      </c>
      <c r="K1702" s="2">
        <v>152.94999999999999</v>
      </c>
      <c r="L1702" s="2">
        <f>BBDD_fashion_boutique[[#This Row],[original_price]]-BBDD_fashion_boutique[[#This Row],[current_price]]</f>
        <v>9.2400000000000091</v>
      </c>
      <c r="M1702" s="1">
        <v>45875</v>
      </c>
      <c r="N1702" s="1" t="str">
        <f>PROPER(TEXT(BBDD_fashion_boutique[[#This Row],[purchase_date]],"dddd"))</f>
        <v>Miércoles</v>
      </c>
      <c r="O1702" s="1" t="str">
        <f>PROPER(TEXT(BBDD_fashion_boutique[[#This Row],[purchase_date]],"mmmm"))</f>
        <v>Agosto</v>
      </c>
      <c r="P1702" s="4">
        <v>39</v>
      </c>
      <c r="Q1702" s="2">
        <v>1.4</v>
      </c>
      <c r="R1702" t="str">
        <f>IF(BBDD_fashion_boutique[[#This Row],[stock_quantity]]&gt;9,"Ok",IF(BBDD_fashion_boutique[[#This Row],[stock_quantity]]=0,"Agotado","Pocas Unidades"))</f>
        <v>Ok</v>
      </c>
      <c r="S1702" s="3">
        <f>IF(BBDD_fashion_boutique[[#This Row],[customer_rating]]="","No valorado",BBDD_fashion_boutique[[#This Row],[customer_rating]])</f>
        <v>1.4</v>
      </c>
      <c r="T1702" t="s">
        <v>24</v>
      </c>
      <c r="V1702">
        <f>IF(BBDD_fashion_boutique[[#This Row],[is_returned]]="False",0,1)</f>
        <v>0</v>
      </c>
      <c r="W1702">
        <f>IF(BBDD_fashion_boutique[[#This Row],[is_returned]]="True",0,BBDD_fashion_boutique[[#This Row],[current_price]])</f>
        <v>152.94999999999999</v>
      </c>
      <c r="X1702" t="str">
        <f>IF(BBDD_fashion_boutique[[#This Row],[return_reason]]="","No return",BBDD_fashion_boutique[[#This Row],[return_reason]])</f>
        <v>No return</v>
      </c>
      <c r="Y1702">
        <f>IF(IFERROR(VLOOKUP(BBDD_fashion_boutique[[#This Row],[product_id]],A1703:A3878,1,FALSE),0),1,0)</f>
        <v>0</v>
      </c>
    </row>
    <row r="1703" spans="1:25" x14ac:dyDescent="0.3">
      <c r="A1703" t="s">
        <v>1762</v>
      </c>
      <c r="B1703" t="s">
        <v>26</v>
      </c>
      <c r="C1703" t="s">
        <v>54</v>
      </c>
      <c r="D1703" t="s">
        <v>21</v>
      </c>
      <c r="E1703" t="s">
        <v>64</v>
      </c>
      <c r="F1703" t="str">
        <f>IF(BBDD_fashion_boutique[[#This Row],[category]]="Accessories","Accesorio",IF(BBDD_fashion_boutique[[#This Row],[size]]="","Desconocido",BBDD_fashion_boutique[[#This Row],[size]]))</f>
        <v>M</v>
      </c>
      <c r="G1703" t="s">
        <v>62</v>
      </c>
      <c r="H1703" s="2">
        <v>75.790000000000006</v>
      </c>
      <c r="I1703">
        <v>7.1</v>
      </c>
      <c r="J1703" s="5">
        <f>BBDD_fashion_boutique[[#This Row],[markdown_percentage]]/100</f>
        <v>7.0999999999999994E-2</v>
      </c>
      <c r="K1703" s="2">
        <v>70.41</v>
      </c>
      <c r="L1703" s="2">
        <f>BBDD_fashion_boutique[[#This Row],[original_price]]-BBDD_fashion_boutique[[#This Row],[current_price]]</f>
        <v>5.3800000000000097</v>
      </c>
      <c r="M1703" s="1">
        <v>45745</v>
      </c>
      <c r="N1703" s="1" t="str">
        <f>PROPER(TEXT(BBDD_fashion_boutique[[#This Row],[purchase_date]],"dddd"))</f>
        <v>Sábado</v>
      </c>
      <c r="O1703" s="1" t="str">
        <f>PROPER(TEXT(BBDD_fashion_boutique[[#This Row],[purchase_date]],"mmmm"))</f>
        <v>Marzo</v>
      </c>
      <c r="P1703" s="4">
        <v>13</v>
      </c>
      <c r="Q1703" s="2">
        <v>3.3</v>
      </c>
      <c r="R1703" t="str">
        <f>IF(BBDD_fashion_boutique[[#This Row],[stock_quantity]]&gt;9,"Ok",IF(BBDD_fashion_boutique[[#This Row],[stock_quantity]]=0,"Agotado","Pocas Unidades"))</f>
        <v>Ok</v>
      </c>
      <c r="S1703" s="3">
        <f>IF(BBDD_fashion_boutique[[#This Row],[customer_rating]]="","No valorado",BBDD_fashion_boutique[[#This Row],[customer_rating]])</f>
        <v>3.3</v>
      </c>
      <c r="T1703" t="s">
        <v>24</v>
      </c>
      <c r="V1703">
        <f>IF(BBDD_fashion_boutique[[#This Row],[is_returned]]="False",0,1)</f>
        <v>0</v>
      </c>
      <c r="W1703">
        <f>IF(BBDD_fashion_boutique[[#This Row],[is_returned]]="True",0,BBDD_fashion_boutique[[#This Row],[current_price]])</f>
        <v>70.41</v>
      </c>
      <c r="X1703" t="str">
        <f>IF(BBDD_fashion_boutique[[#This Row],[return_reason]]="","No return",BBDD_fashion_boutique[[#This Row],[return_reason]])</f>
        <v>No return</v>
      </c>
      <c r="Y1703">
        <f>IF(IFERROR(VLOOKUP(BBDD_fashion_boutique[[#This Row],[product_id]],A1704:A3879,1,FALSE),0),1,0)</f>
        <v>0</v>
      </c>
    </row>
    <row r="1704" spans="1:25" x14ac:dyDescent="0.3">
      <c r="A1704" t="s">
        <v>1763</v>
      </c>
      <c r="B1704" t="s">
        <v>32</v>
      </c>
      <c r="C1704" t="s">
        <v>81</v>
      </c>
      <c r="D1704" t="s">
        <v>68</v>
      </c>
      <c r="F1704" t="str">
        <f>IF(BBDD_fashion_boutique[[#This Row],[category]]="Accessories","Accesorio",IF(BBDD_fashion_boutique[[#This Row],[size]]="","Desconocido",BBDD_fashion_boutique[[#This Row],[size]]))</f>
        <v>Accesorio</v>
      </c>
      <c r="G1704" t="s">
        <v>30</v>
      </c>
      <c r="H1704" s="2">
        <v>32.04</v>
      </c>
      <c r="I1704">
        <v>0</v>
      </c>
      <c r="J1704" s="5">
        <f>BBDD_fashion_boutique[[#This Row],[markdown_percentage]]/100</f>
        <v>0</v>
      </c>
      <c r="K1704" s="2">
        <v>32.04</v>
      </c>
      <c r="L1704" s="2">
        <f>BBDD_fashion_boutique[[#This Row],[original_price]]-BBDD_fashion_boutique[[#This Row],[current_price]]</f>
        <v>0</v>
      </c>
      <c r="M1704" s="1">
        <v>45875</v>
      </c>
      <c r="N1704" s="1" t="str">
        <f>PROPER(TEXT(BBDD_fashion_boutique[[#This Row],[purchase_date]],"dddd"))</f>
        <v>Miércoles</v>
      </c>
      <c r="O1704" s="1" t="str">
        <f>PROPER(TEXT(BBDD_fashion_boutique[[#This Row],[purchase_date]],"mmmm"))</f>
        <v>Agosto</v>
      </c>
      <c r="P1704" s="4">
        <v>41</v>
      </c>
      <c r="Q1704" s="2">
        <v>1.8</v>
      </c>
      <c r="R1704" t="str">
        <f>IF(BBDD_fashion_boutique[[#This Row],[stock_quantity]]&gt;9,"Ok",IF(BBDD_fashion_boutique[[#This Row],[stock_quantity]]=0,"Agotado","Pocas Unidades"))</f>
        <v>Ok</v>
      </c>
      <c r="S1704" s="3">
        <f>IF(BBDD_fashion_boutique[[#This Row],[customer_rating]]="","No valorado",BBDD_fashion_boutique[[#This Row],[customer_rating]])</f>
        <v>1.8</v>
      </c>
      <c r="T1704" t="s">
        <v>24</v>
      </c>
      <c r="V1704">
        <f>IF(BBDD_fashion_boutique[[#This Row],[is_returned]]="False",0,1)</f>
        <v>0</v>
      </c>
      <c r="W1704">
        <f>IF(BBDD_fashion_boutique[[#This Row],[is_returned]]="True",0,BBDD_fashion_boutique[[#This Row],[current_price]])</f>
        <v>32.04</v>
      </c>
      <c r="X1704" t="str">
        <f>IF(BBDD_fashion_boutique[[#This Row],[return_reason]]="","No return",BBDD_fashion_boutique[[#This Row],[return_reason]])</f>
        <v>No return</v>
      </c>
      <c r="Y1704">
        <f>IF(IFERROR(VLOOKUP(BBDD_fashion_boutique[[#This Row],[product_id]],A1705:A3880,1,FALSE),0),1,0)</f>
        <v>0</v>
      </c>
    </row>
    <row r="1705" spans="1:25" x14ac:dyDescent="0.3">
      <c r="A1705" t="s">
        <v>1764</v>
      </c>
      <c r="B1705" t="s">
        <v>26</v>
      </c>
      <c r="C1705" t="s">
        <v>67</v>
      </c>
      <c r="D1705" t="s">
        <v>39</v>
      </c>
      <c r="E1705" t="s">
        <v>64</v>
      </c>
      <c r="F1705" t="str">
        <f>IF(BBDD_fashion_boutique[[#This Row],[category]]="Accessories","Accesorio",IF(BBDD_fashion_boutique[[#This Row],[size]]="","Desconocido",BBDD_fashion_boutique[[#This Row],[size]]))</f>
        <v>M</v>
      </c>
      <c r="G1705" t="s">
        <v>33</v>
      </c>
      <c r="H1705" s="2">
        <v>27.65</v>
      </c>
      <c r="I1705">
        <v>31.8</v>
      </c>
      <c r="J1705" s="5">
        <f>BBDD_fashion_boutique[[#This Row],[markdown_percentage]]/100</f>
        <v>0.318</v>
      </c>
      <c r="K1705" s="2">
        <v>18.86</v>
      </c>
      <c r="L1705" s="2">
        <f>BBDD_fashion_boutique[[#This Row],[original_price]]-BBDD_fashion_boutique[[#This Row],[current_price]]</f>
        <v>8.7899999999999991</v>
      </c>
      <c r="M1705" s="1">
        <v>45875</v>
      </c>
      <c r="N1705" s="1" t="str">
        <f>PROPER(TEXT(BBDD_fashion_boutique[[#This Row],[purchase_date]],"dddd"))</f>
        <v>Miércoles</v>
      </c>
      <c r="O1705" s="1" t="str">
        <f>PROPER(TEXT(BBDD_fashion_boutique[[#This Row],[purchase_date]],"mmmm"))</f>
        <v>Agosto</v>
      </c>
      <c r="P1705" s="4">
        <v>2</v>
      </c>
      <c r="Q1705" s="2">
        <v>3.7</v>
      </c>
      <c r="R1705" t="str">
        <f>IF(BBDD_fashion_boutique[[#This Row],[stock_quantity]]&gt;9,"Ok",IF(BBDD_fashion_boutique[[#This Row],[stock_quantity]]=0,"Agotado","Pocas Unidades"))</f>
        <v>Pocas Unidades</v>
      </c>
      <c r="S1705" s="3">
        <f>IF(BBDD_fashion_boutique[[#This Row],[customer_rating]]="","No valorado",BBDD_fashion_boutique[[#This Row],[customer_rating]])</f>
        <v>3.7</v>
      </c>
      <c r="T1705" t="s">
        <v>41</v>
      </c>
      <c r="U1705" t="s">
        <v>79</v>
      </c>
      <c r="V1705">
        <f>IF(BBDD_fashion_boutique[[#This Row],[is_returned]]="False",0,1)</f>
        <v>1</v>
      </c>
      <c r="W1705">
        <f>IF(BBDD_fashion_boutique[[#This Row],[is_returned]]="True",0,BBDD_fashion_boutique[[#This Row],[current_price]])</f>
        <v>0</v>
      </c>
      <c r="X1705" t="str">
        <f>IF(BBDD_fashion_boutique[[#This Row],[return_reason]]="","No return",BBDD_fashion_boutique[[#This Row],[return_reason]])</f>
        <v>Size Issue</v>
      </c>
      <c r="Y1705">
        <f>IF(IFERROR(VLOOKUP(BBDD_fashion_boutique[[#This Row],[product_id]],A1706:A3881,1,FALSE),0),1,0)</f>
        <v>0</v>
      </c>
    </row>
    <row r="1706" spans="1:25" x14ac:dyDescent="0.3">
      <c r="A1706" t="s">
        <v>1765</v>
      </c>
      <c r="B1706" t="s">
        <v>44</v>
      </c>
      <c r="C1706" t="s">
        <v>37</v>
      </c>
      <c r="D1706" t="s">
        <v>21</v>
      </c>
      <c r="E1706" t="s">
        <v>64</v>
      </c>
      <c r="F1706" t="str">
        <f>IF(BBDD_fashion_boutique[[#This Row],[category]]="Accessories","Accesorio",IF(BBDD_fashion_boutique[[#This Row],[size]]="","Desconocido",BBDD_fashion_boutique[[#This Row],[size]]))</f>
        <v>M</v>
      </c>
      <c r="G1706" t="s">
        <v>72</v>
      </c>
      <c r="H1706" s="2">
        <v>31.54</v>
      </c>
      <c r="I1706">
        <v>0</v>
      </c>
      <c r="J1706" s="5">
        <f>BBDD_fashion_boutique[[#This Row],[markdown_percentage]]/100</f>
        <v>0</v>
      </c>
      <c r="K1706" s="2">
        <v>31.54</v>
      </c>
      <c r="L1706" s="2">
        <f>BBDD_fashion_boutique[[#This Row],[original_price]]-BBDD_fashion_boutique[[#This Row],[current_price]]</f>
        <v>0</v>
      </c>
      <c r="M1706" s="1">
        <v>45872</v>
      </c>
      <c r="N1706" s="1" t="str">
        <f>PROPER(TEXT(BBDD_fashion_boutique[[#This Row],[purchase_date]],"dddd"))</f>
        <v>Domingo</v>
      </c>
      <c r="O1706" s="1" t="str">
        <f>PROPER(TEXT(BBDD_fashion_boutique[[#This Row],[purchase_date]],"mmmm"))</f>
        <v>Agosto</v>
      </c>
      <c r="P1706" s="4">
        <v>45</v>
      </c>
      <c r="Q1706" s="2">
        <v>1.3</v>
      </c>
      <c r="R1706" t="str">
        <f>IF(BBDD_fashion_boutique[[#This Row],[stock_quantity]]&gt;9,"Ok",IF(BBDD_fashion_boutique[[#This Row],[stock_quantity]]=0,"Agotado","Pocas Unidades"))</f>
        <v>Ok</v>
      </c>
      <c r="S1706" s="3">
        <f>IF(BBDD_fashion_boutique[[#This Row],[customer_rating]]="","No valorado",BBDD_fashion_boutique[[#This Row],[customer_rating]])</f>
        <v>1.3</v>
      </c>
      <c r="T1706" t="s">
        <v>24</v>
      </c>
      <c r="V1706">
        <f>IF(BBDD_fashion_boutique[[#This Row],[is_returned]]="False",0,1)</f>
        <v>0</v>
      </c>
      <c r="W1706">
        <f>IF(BBDD_fashion_boutique[[#This Row],[is_returned]]="True",0,BBDD_fashion_boutique[[#This Row],[current_price]])</f>
        <v>31.54</v>
      </c>
      <c r="X1706" t="str">
        <f>IF(BBDD_fashion_boutique[[#This Row],[return_reason]]="","No return",BBDD_fashion_boutique[[#This Row],[return_reason]])</f>
        <v>No return</v>
      </c>
      <c r="Y1706">
        <f>IF(IFERROR(VLOOKUP(BBDD_fashion_boutique[[#This Row],[product_id]],A1707:A3882,1,FALSE),0),1,0)</f>
        <v>0</v>
      </c>
    </row>
    <row r="1707" spans="1:25" x14ac:dyDescent="0.3">
      <c r="A1707" t="s">
        <v>1766</v>
      </c>
      <c r="B1707" t="s">
        <v>44</v>
      </c>
      <c r="C1707" t="s">
        <v>20</v>
      </c>
      <c r="D1707" t="s">
        <v>68</v>
      </c>
      <c r="E1707" t="s">
        <v>55</v>
      </c>
      <c r="F1707" t="str">
        <f>IF(BBDD_fashion_boutique[[#This Row],[category]]="Accessories","Accesorio",IF(BBDD_fashion_boutique[[#This Row],[size]]="","Desconocido",BBDD_fashion_boutique[[#This Row],[size]]))</f>
        <v>XXL</v>
      </c>
      <c r="G1707" t="s">
        <v>62</v>
      </c>
      <c r="H1707" s="2">
        <v>77.64</v>
      </c>
      <c r="I1707">
        <v>39.1</v>
      </c>
      <c r="J1707" s="5">
        <f>BBDD_fashion_boutique[[#This Row],[markdown_percentage]]/100</f>
        <v>0.39100000000000001</v>
      </c>
      <c r="K1707" s="2">
        <v>47.28</v>
      </c>
      <c r="L1707" s="2">
        <f>BBDD_fashion_boutique[[#This Row],[original_price]]-BBDD_fashion_boutique[[#This Row],[current_price]]</f>
        <v>30.36</v>
      </c>
      <c r="M1707" s="1">
        <v>45875</v>
      </c>
      <c r="N1707" s="1" t="str">
        <f>PROPER(TEXT(BBDD_fashion_boutique[[#This Row],[purchase_date]],"dddd"))</f>
        <v>Miércoles</v>
      </c>
      <c r="O1707" s="1" t="str">
        <f>PROPER(TEXT(BBDD_fashion_boutique[[#This Row],[purchase_date]],"mmmm"))</f>
        <v>Agosto</v>
      </c>
      <c r="P1707" s="4">
        <v>19</v>
      </c>
      <c r="Q1707" s="2">
        <v>2.6</v>
      </c>
      <c r="R1707" t="str">
        <f>IF(BBDD_fashion_boutique[[#This Row],[stock_quantity]]&gt;9,"Ok",IF(BBDD_fashion_boutique[[#This Row],[stock_quantity]]=0,"Agotado","Pocas Unidades"))</f>
        <v>Ok</v>
      </c>
      <c r="S1707" s="3">
        <f>IF(BBDD_fashion_boutique[[#This Row],[customer_rating]]="","No valorado",BBDD_fashion_boutique[[#This Row],[customer_rating]])</f>
        <v>2.6</v>
      </c>
      <c r="T1707" t="s">
        <v>24</v>
      </c>
      <c r="V1707">
        <f>IF(BBDD_fashion_boutique[[#This Row],[is_returned]]="False",0,1)</f>
        <v>0</v>
      </c>
      <c r="W1707">
        <f>IF(BBDD_fashion_boutique[[#This Row],[is_returned]]="True",0,BBDD_fashion_boutique[[#This Row],[current_price]])</f>
        <v>47.28</v>
      </c>
      <c r="X1707" t="str">
        <f>IF(BBDD_fashion_boutique[[#This Row],[return_reason]]="","No return",BBDD_fashion_boutique[[#This Row],[return_reason]])</f>
        <v>No return</v>
      </c>
      <c r="Y1707">
        <f>IF(IFERROR(VLOOKUP(BBDD_fashion_boutique[[#This Row],[product_id]],A1708:A3883,1,FALSE),0),1,0)</f>
        <v>0</v>
      </c>
    </row>
    <row r="1708" spans="1:25" x14ac:dyDescent="0.3">
      <c r="A1708" t="s">
        <v>1767</v>
      </c>
      <c r="B1708" t="s">
        <v>48</v>
      </c>
      <c r="C1708" t="s">
        <v>54</v>
      </c>
      <c r="D1708" t="s">
        <v>28</v>
      </c>
      <c r="E1708" t="s">
        <v>22</v>
      </c>
      <c r="F1708" t="str">
        <f>IF(BBDD_fashion_boutique[[#This Row],[category]]="Accessories","Accesorio",IF(BBDD_fashion_boutique[[#This Row],[size]]="","Desconocido",BBDD_fashion_boutique[[#This Row],[size]]))</f>
        <v>XL</v>
      </c>
      <c r="G1708" t="s">
        <v>30</v>
      </c>
      <c r="H1708" s="2">
        <v>51.48</v>
      </c>
      <c r="I1708">
        <v>0</v>
      </c>
      <c r="J1708" s="5">
        <f>BBDD_fashion_boutique[[#This Row],[markdown_percentage]]/100</f>
        <v>0</v>
      </c>
      <c r="K1708" s="2">
        <v>51.48</v>
      </c>
      <c r="L1708" s="2">
        <f>BBDD_fashion_boutique[[#This Row],[original_price]]-BBDD_fashion_boutique[[#This Row],[current_price]]</f>
        <v>0</v>
      </c>
      <c r="M1708" s="1">
        <v>45875</v>
      </c>
      <c r="N1708" s="1" t="str">
        <f>PROPER(TEXT(BBDD_fashion_boutique[[#This Row],[purchase_date]],"dddd"))</f>
        <v>Miércoles</v>
      </c>
      <c r="O1708" s="1" t="str">
        <f>PROPER(TEXT(BBDD_fashion_boutique[[#This Row],[purchase_date]],"mmmm"))</f>
        <v>Agosto</v>
      </c>
      <c r="P1708" s="4">
        <v>10</v>
      </c>
      <c r="Q1708" s="2">
        <v>1</v>
      </c>
      <c r="R1708" t="str">
        <f>IF(BBDD_fashion_boutique[[#This Row],[stock_quantity]]&gt;9,"Ok",IF(BBDD_fashion_boutique[[#This Row],[stock_quantity]]=0,"Agotado","Pocas Unidades"))</f>
        <v>Ok</v>
      </c>
      <c r="S1708" s="3">
        <f>IF(BBDD_fashion_boutique[[#This Row],[customer_rating]]="","No valorado",BBDD_fashion_boutique[[#This Row],[customer_rating]])</f>
        <v>1</v>
      </c>
      <c r="T1708" t="s">
        <v>24</v>
      </c>
      <c r="V1708">
        <f>IF(BBDD_fashion_boutique[[#This Row],[is_returned]]="False",0,1)</f>
        <v>0</v>
      </c>
      <c r="W1708">
        <f>IF(BBDD_fashion_boutique[[#This Row],[is_returned]]="True",0,BBDD_fashion_boutique[[#This Row],[current_price]])</f>
        <v>51.48</v>
      </c>
      <c r="X1708" t="str">
        <f>IF(BBDD_fashion_boutique[[#This Row],[return_reason]]="","No return",BBDD_fashion_boutique[[#This Row],[return_reason]])</f>
        <v>No return</v>
      </c>
      <c r="Y1708">
        <f>IF(IFERROR(VLOOKUP(BBDD_fashion_boutique[[#This Row],[product_id]],A1709:A3884,1,FALSE),0),1,0)</f>
        <v>0</v>
      </c>
    </row>
    <row r="1709" spans="1:25" x14ac:dyDescent="0.3">
      <c r="A1709" t="s">
        <v>1768</v>
      </c>
      <c r="B1709" t="s">
        <v>19</v>
      </c>
      <c r="C1709" t="s">
        <v>20</v>
      </c>
      <c r="D1709" t="s">
        <v>39</v>
      </c>
      <c r="E1709" t="s">
        <v>64</v>
      </c>
      <c r="F1709" t="str">
        <f>IF(BBDD_fashion_boutique[[#This Row],[category]]="Accessories","Accesorio",IF(BBDD_fashion_boutique[[#This Row],[size]]="","Desconocido",BBDD_fashion_boutique[[#This Row],[size]]))</f>
        <v>M</v>
      </c>
      <c r="G1709" t="s">
        <v>30</v>
      </c>
      <c r="H1709" s="2">
        <v>108.58</v>
      </c>
      <c r="I1709">
        <v>0</v>
      </c>
      <c r="J1709" s="5">
        <f>BBDD_fashion_boutique[[#This Row],[markdown_percentage]]/100</f>
        <v>0</v>
      </c>
      <c r="K1709" s="2">
        <v>108.58</v>
      </c>
      <c r="L1709" s="2">
        <f>BBDD_fashion_boutique[[#This Row],[original_price]]-BBDD_fashion_boutique[[#This Row],[current_price]]</f>
        <v>0</v>
      </c>
      <c r="M1709" s="1">
        <v>45875</v>
      </c>
      <c r="N1709" s="1" t="str">
        <f>PROPER(TEXT(BBDD_fashion_boutique[[#This Row],[purchase_date]],"dddd"))</f>
        <v>Miércoles</v>
      </c>
      <c r="O1709" s="1" t="str">
        <f>PROPER(TEXT(BBDD_fashion_boutique[[#This Row],[purchase_date]],"mmmm"))</f>
        <v>Agosto</v>
      </c>
      <c r="P1709" s="4">
        <v>44</v>
      </c>
      <c r="Q1709" s="2">
        <v>2.4</v>
      </c>
      <c r="R1709" t="str">
        <f>IF(BBDD_fashion_boutique[[#This Row],[stock_quantity]]&gt;9,"Ok",IF(BBDD_fashion_boutique[[#This Row],[stock_quantity]]=0,"Agotado","Pocas Unidades"))</f>
        <v>Ok</v>
      </c>
      <c r="S1709" s="3">
        <f>IF(BBDD_fashion_boutique[[#This Row],[customer_rating]]="","No valorado",BBDD_fashion_boutique[[#This Row],[customer_rating]])</f>
        <v>2.4</v>
      </c>
      <c r="T1709" t="s">
        <v>24</v>
      </c>
      <c r="V1709">
        <f>IF(BBDD_fashion_boutique[[#This Row],[is_returned]]="False",0,1)</f>
        <v>0</v>
      </c>
      <c r="W1709">
        <f>IF(BBDD_fashion_boutique[[#This Row],[is_returned]]="True",0,BBDD_fashion_boutique[[#This Row],[current_price]])</f>
        <v>108.58</v>
      </c>
      <c r="X1709" t="str">
        <f>IF(BBDD_fashion_boutique[[#This Row],[return_reason]]="","No return",BBDD_fashion_boutique[[#This Row],[return_reason]])</f>
        <v>No return</v>
      </c>
      <c r="Y1709">
        <f>IF(IFERROR(VLOOKUP(BBDD_fashion_boutique[[#This Row],[product_id]],A1710:A3885,1,FALSE),0),1,0)</f>
        <v>0</v>
      </c>
    </row>
    <row r="1710" spans="1:25" x14ac:dyDescent="0.3">
      <c r="A1710" t="s">
        <v>1769</v>
      </c>
      <c r="B1710" t="s">
        <v>26</v>
      </c>
      <c r="C1710" t="s">
        <v>81</v>
      </c>
      <c r="D1710" t="s">
        <v>28</v>
      </c>
      <c r="E1710" t="s">
        <v>55</v>
      </c>
      <c r="F1710" t="str">
        <f>IF(BBDD_fashion_boutique[[#This Row],[category]]="Accessories","Accesorio",IF(BBDD_fashion_boutique[[#This Row],[size]]="","Desconocido",BBDD_fashion_boutique[[#This Row],[size]]))</f>
        <v>XXL</v>
      </c>
      <c r="G1710" t="s">
        <v>33</v>
      </c>
      <c r="H1710" s="2">
        <v>84.17</v>
      </c>
      <c r="I1710">
        <v>0</v>
      </c>
      <c r="J1710" s="5">
        <f>BBDD_fashion_boutique[[#This Row],[markdown_percentage]]/100</f>
        <v>0</v>
      </c>
      <c r="K1710" s="2">
        <v>84.17</v>
      </c>
      <c r="L1710" s="2">
        <f>BBDD_fashion_boutique[[#This Row],[original_price]]-BBDD_fashion_boutique[[#This Row],[current_price]]</f>
        <v>0</v>
      </c>
      <c r="M1710" s="1">
        <v>45875</v>
      </c>
      <c r="N1710" s="1" t="str">
        <f>PROPER(TEXT(BBDD_fashion_boutique[[#This Row],[purchase_date]],"dddd"))</f>
        <v>Miércoles</v>
      </c>
      <c r="O1710" s="1" t="str">
        <f>PROPER(TEXT(BBDD_fashion_boutique[[#This Row],[purchase_date]],"mmmm"))</f>
        <v>Agosto</v>
      </c>
      <c r="P1710" s="4">
        <v>20</v>
      </c>
      <c r="Q1710" s="2">
        <v>3.7</v>
      </c>
      <c r="R1710" t="str">
        <f>IF(BBDD_fashion_boutique[[#This Row],[stock_quantity]]&gt;9,"Ok",IF(BBDD_fashion_boutique[[#This Row],[stock_quantity]]=0,"Agotado","Pocas Unidades"))</f>
        <v>Ok</v>
      </c>
      <c r="S1710" s="3">
        <f>IF(BBDD_fashion_boutique[[#This Row],[customer_rating]]="","No valorado",BBDD_fashion_boutique[[#This Row],[customer_rating]])</f>
        <v>3.7</v>
      </c>
      <c r="T1710" t="s">
        <v>24</v>
      </c>
      <c r="V1710">
        <f>IF(BBDD_fashion_boutique[[#This Row],[is_returned]]="False",0,1)</f>
        <v>0</v>
      </c>
      <c r="W1710">
        <f>IF(BBDD_fashion_boutique[[#This Row],[is_returned]]="True",0,BBDD_fashion_boutique[[#This Row],[current_price]])</f>
        <v>84.17</v>
      </c>
      <c r="X1710" t="str">
        <f>IF(BBDD_fashion_boutique[[#This Row],[return_reason]]="","No return",BBDD_fashion_boutique[[#This Row],[return_reason]])</f>
        <v>No return</v>
      </c>
      <c r="Y1710">
        <f>IF(IFERROR(VLOOKUP(BBDD_fashion_boutique[[#This Row],[product_id]],A1711:A3886,1,FALSE),0),1,0)</f>
        <v>0</v>
      </c>
    </row>
    <row r="1711" spans="1:25" x14ac:dyDescent="0.3">
      <c r="A1711" t="s">
        <v>1770</v>
      </c>
      <c r="B1711" t="s">
        <v>44</v>
      </c>
      <c r="C1711" t="s">
        <v>49</v>
      </c>
      <c r="D1711" t="s">
        <v>21</v>
      </c>
      <c r="E1711" t="s">
        <v>29</v>
      </c>
      <c r="F1711" t="str">
        <f>IF(BBDD_fashion_boutique[[#This Row],[category]]="Accessories","Accesorio",IF(BBDD_fashion_boutique[[#This Row],[size]]="","Desconocido",BBDD_fashion_boutique[[#This Row],[size]]))</f>
        <v>L</v>
      </c>
      <c r="G1711" t="s">
        <v>30</v>
      </c>
      <c r="H1711" s="2">
        <v>76.45</v>
      </c>
      <c r="I1711">
        <v>0</v>
      </c>
      <c r="J1711" s="5">
        <f>BBDD_fashion_boutique[[#This Row],[markdown_percentage]]/100</f>
        <v>0</v>
      </c>
      <c r="K1711" s="2">
        <v>76.45</v>
      </c>
      <c r="L1711" s="2">
        <f>BBDD_fashion_boutique[[#This Row],[original_price]]-BBDD_fashion_boutique[[#This Row],[current_price]]</f>
        <v>0</v>
      </c>
      <c r="M1711" s="1">
        <v>45818</v>
      </c>
      <c r="N1711" s="1" t="str">
        <f>PROPER(TEXT(BBDD_fashion_boutique[[#This Row],[purchase_date]],"dddd"))</f>
        <v>Martes</v>
      </c>
      <c r="O1711" s="1" t="str">
        <f>PROPER(TEXT(BBDD_fashion_boutique[[#This Row],[purchase_date]],"mmmm"))</f>
        <v>Junio</v>
      </c>
      <c r="P1711" s="4">
        <v>16</v>
      </c>
      <c r="Q1711" s="2">
        <v>1</v>
      </c>
      <c r="R1711" t="str">
        <f>IF(BBDD_fashion_boutique[[#This Row],[stock_quantity]]&gt;9,"Ok",IF(BBDD_fashion_boutique[[#This Row],[stock_quantity]]=0,"Agotado","Pocas Unidades"))</f>
        <v>Ok</v>
      </c>
      <c r="S1711" s="3">
        <f>IF(BBDD_fashion_boutique[[#This Row],[customer_rating]]="","No valorado",BBDD_fashion_boutique[[#This Row],[customer_rating]])</f>
        <v>1</v>
      </c>
      <c r="T1711" t="s">
        <v>41</v>
      </c>
      <c r="U1711" t="s">
        <v>42</v>
      </c>
      <c r="V1711">
        <f>IF(BBDD_fashion_boutique[[#This Row],[is_returned]]="False",0,1)</f>
        <v>1</v>
      </c>
      <c r="W1711">
        <f>IF(BBDD_fashion_boutique[[#This Row],[is_returned]]="True",0,BBDD_fashion_boutique[[#This Row],[current_price]])</f>
        <v>0</v>
      </c>
      <c r="X1711" t="str">
        <f>IF(BBDD_fashion_boutique[[#This Row],[return_reason]]="","No return",BBDD_fashion_boutique[[#This Row],[return_reason]])</f>
        <v>Color Mismatch</v>
      </c>
      <c r="Y1711">
        <f>IF(IFERROR(VLOOKUP(BBDD_fashion_boutique[[#This Row],[product_id]],A1712:A3887,1,FALSE),0),1,0)</f>
        <v>0</v>
      </c>
    </row>
    <row r="1712" spans="1:25" x14ac:dyDescent="0.3">
      <c r="A1712" t="s">
        <v>1771</v>
      </c>
      <c r="B1712" t="s">
        <v>32</v>
      </c>
      <c r="C1712" t="s">
        <v>27</v>
      </c>
      <c r="D1712" t="s">
        <v>21</v>
      </c>
      <c r="F1712" t="str">
        <f>IF(BBDD_fashion_boutique[[#This Row],[category]]="Accessories","Accesorio",IF(BBDD_fashion_boutique[[#This Row],[size]]="","Desconocido",BBDD_fashion_boutique[[#This Row],[size]]))</f>
        <v>Accesorio</v>
      </c>
      <c r="G1712" t="s">
        <v>46</v>
      </c>
      <c r="H1712" s="2">
        <v>50.31</v>
      </c>
      <c r="I1712">
        <v>0</v>
      </c>
      <c r="J1712" s="5">
        <f>BBDD_fashion_boutique[[#This Row],[markdown_percentage]]/100</f>
        <v>0</v>
      </c>
      <c r="K1712" s="2">
        <v>50.31</v>
      </c>
      <c r="L1712" s="2">
        <f>BBDD_fashion_boutique[[#This Row],[original_price]]-BBDD_fashion_boutique[[#This Row],[current_price]]</f>
        <v>0</v>
      </c>
      <c r="M1712" s="1">
        <v>45771</v>
      </c>
      <c r="N1712" s="1" t="str">
        <f>PROPER(TEXT(BBDD_fashion_boutique[[#This Row],[purchase_date]],"dddd"))</f>
        <v>Jueves</v>
      </c>
      <c r="O1712" s="1" t="str">
        <f>PROPER(TEXT(BBDD_fashion_boutique[[#This Row],[purchase_date]],"mmmm"))</f>
        <v>Abril</v>
      </c>
      <c r="P1712" s="4">
        <v>36</v>
      </c>
      <c r="R1712" t="str">
        <f>IF(BBDD_fashion_boutique[[#This Row],[stock_quantity]]&gt;9,"Ok",IF(BBDD_fashion_boutique[[#This Row],[stock_quantity]]=0,"Agotado","Pocas Unidades"))</f>
        <v>Ok</v>
      </c>
      <c r="S1712" s="3" t="str">
        <f>IF(BBDD_fashion_boutique[[#This Row],[customer_rating]]="","No valorado",BBDD_fashion_boutique[[#This Row],[customer_rating]])</f>
        <v>No valorado</v>
      </c>
      <c r="T1712" t="s">
        <v>24</v>
      </c>
      <c r="V1712">
        <f>IF(BBDD_fashion_boutique[[#This Row],[is_returned]]="False",0,1)</f>
        <v>0</v>
      </c>
      <c r="W1712">
        <f>IF(BBDD_fashion_boutique[[#This Row],[is_returned]]="True",0,BBDD_fashion_boutique[[#This Row],[current_price]])</f>
        <v>50.31</v>
      </c>
      <c r="X1712" t="str">
        <f>IF(BBDD_fashion_boutique[[#This Row],[return_reason]]="","No return",BBDD_fashion_boutique[[#This Row],[return_reason]])</f>
        <v>No return</v>
      </c>
      <c r="Y1712">
        <f>IF(IFERROR(VLOOKUP(BBDD_fashion_boutique[[#This Row],[product_id]],A1713:A3888,1,FALSE),0),1,0)</f>
        <v>0</v>
      </c>
    </row>
    <row r="1713" spans="1:25" x14ac:dyDescent="0.3">
      <c r="A1713" t="s">
        <v>1772</v>
      </c>
      <c r="B1713" t="s">
        <v>26</v>
      </c>
      <c r="C1713" t="s">
        <v>67</v>
      </c>
      <c r="D1713" t="s">
        <v>21</v>
      </c>
      <c r="E1713" t="s">
        <v>45</v>
      </c>
      <c r="F1713" t="str">
        <f>IF(BBDD_fashion_boutique[[#This Row],[category]]="Accessories","Accesorio",IF(BBDD_fashion_boutique[[#This Row],[size]]="","Desconocido",BBDD_fashion_boutique[[#This Row],[size]]))</f>
        <v>S</v>
      </c>
      <c r="G1713" t="s">
        <v>30</v>
      </c>
      <c r="H1713" s="2">
        <v>43.45</v>
      </c>
      <c r="I1713">
        <v>0</v>
      </c>
      <c r="J1713" s="5">
        <f>BBDD_fashion_boutique[[#This Row],[markdown_percentage]]/100</f>
        <v>0</v>
      </c>
      <c r="K1713" s="2">
        <v>43.45</v>
      </c>
      <c r="L1713" s="2">
        <f>BBDD_fashion_boutique[[#This Row],[original_price]]-BBDD_fashion_boutique[[#This Row],[current_price]]</f>
        <v>0</v>
      </c>
      <c r="M1713" s="1">
        <v>45855</v>
      </c>
      <c r="N1713" s="1" t="str">
        <f>PROPER(TEXT(BBDD_fashion_boutique[[#This Row],[purchase_date]],"dddd"))</f>
        <v>Jueves</v>
      </c>
      <c r="O1713" s="1" t="str">
        <f>PROPER(TEXT(BBDD_fashion_boutique[[#This Row],[purchase_date]],"mmmm"))</f>
        <v>Julio</v>
      </c>
      <c r="P1713" s="4">
        <v>30</v>
      </c>
      <c r="Q1713" s="2">
        <v>2.2999999999999998</v>
      </c>
      <c r="R1713" t="str">
        <f>IF(BBDD_fashion_boutique[[#This Row],[stock_quantity]]&gt;9,"Ok",IF(BBDD_fashion_boutique[[#This Row],[stock_quantity]]=0,"Agotado","Pocas Unidades"))</f>
        <v>Ok</v>
      </c>
      <c r="S1713" s="3">
        <f>IF(BBDD_fashion_boutique[[#This Row],[customer_rating]]="","No valorado",BBDD_fashion_boutique[[#This Row],[customer_rating]])</f>
        <v>2.2999999999999998</v>
      </c>
      <c r="T1713" t="s">
        <v>24</v>
      </c>
      <c r="V1713">
        <f>IF(BBDD_fashion_boutique[[#This Row],[is_returned]]="False",0,1)</f>
        <v>0</v>
      </c>
      <c r="W1713">
        <f>IF(BBDD_fashion_boutique[[#This Row],[is_returned]]="True",0,BBDD_fashion_boutique[[#This Row],[current_price]])</f>
        <v>43.45</v>
      </c>
      <c r="X1713" t="str">
        <f>IF(BBDD_fashion_boutique[[#This Row],[return_reason]]="","No return",BBDD_fashion_boutique[[#This Row],[return_reason]])</f>
        <v>No return</v>
      </c>
      <c r="Y1713">
        <f>IF(IFERROR(VLOOKUP(BBDD_fashion_boutique[[#This Row],[product_id]],A1714:A3889,1,FALSE),0),1,0)</f>
        <v>0</v>
      </c>
    </row>
    <row r="1714" spans="1:25" x14ac:dyDescent="0.3">
      <c r="A1714" t="s">
        <v>1773</v>
      </c>
      <c r="B1714" t="s">
        <v>48</v>
      </c>
      <c r="C1714" t="s">
        <v>27</v>
      </c>
      <c r="D1714" t="s">
        <v>39</v>
      </c>
      <c r="E1714" t="s">
        <v>22</v>
      </c>
      <c r="F1714" t="str">
        <f>IF(BBDD_fashion_boutique[[#This Row],[category]]="Accessories","Accesorio",IF(BBDD_fashion_boutique[[#This Row],[size]]="","Desconocido",BBDD_fashion_boutique[[#This Row],[size]]))</f>
        <v>XL</v>
      </c>
      <c r="G1714" t="s">
        <v>46</v>
      </c>
      <c r="H1714" s="2">
        <v>149.22</v>
      </c>
      <c r="I1714">
        <v>53.9</v>
      </c>
      <c r="J1714" s="5">
        <f>BBDD_fashion_boutique[[#This Row],[markdown_percentage]]/100</f>
        <v>0.53900000000000003</v>
      </c>
      <c r="K1714" s="2">
        <v>68.790000000000006</v>
      </c>
      <c r="L1714" s="2">
        <f>BBDD_fashion_boutique[[#This Row],[original_price]]-BBDD_fashion_boutique[[#This Row],[current_price]]</f>
        <v>80.429999999999993</v>
      </c>
      <c r="M1714" s="1">
        <v>45875</v>
      </c>
      <c r="N1714" s="1" t="str">
        <f>PROPER(TEXT(BBDD_fashion_boutique[[#This Row],[purchase_date]],"dddd"))</f>
        <v>Miércoles</v>
      </c>
      <c r="O1714" s="1" t="str">
        <f>PROPER(TEXT(BBDD_fashion_boutique[[#This Row],[purchase_date]],"mmmm"))</f>
        <v>Agosto</v>
      </c>
      <c r="P1714" s="4">
        <v>41</v>
      </c>
      <c r="Q1714" s="2">
        <v>2.2000000000000002</v>
      </c>
      <c r="R1714" t="str">
        <f>IF(BBDD_fashion_boutique[[#This Row],[stock_quantity]]&gt;9,"Ok",IF(BBDD_fashion_boutique[[#This Row],[stock_quantity]]=0,"Agotado","Pocas Unidades"))</f>
        <v>Ok</v>
      </c>
      <c r="S1714" s="3">
        <f>IF(BBDD_fashion_boutique[[#This Row],[customer_rating]]="","No valorado",BBDD_fashion_boutique[[#This Row],[customer_rating]])</f>
        <v>2.2000000000000002</v>
      </c>
      <c r="T1714" t="s">
        <v>24</v>
      </c>
      <c r="V1714">
        <f>IF(BBDD_fashion_boutique[[#This Row],[is_returned]]="False",0,1)</f>
        <v>0</v>
      </c>
      <c r="W1714">
        <f>IF(BBDD_fashion_boutique[[#This Row],[is_returned]]="True",0,BBDD_fashion_boutique[[#This Row],[current_price]])</f>
        <v>68.790000000000006</v>
      </c>
      <c r="X1714" t="str">
        <f>IF(BBDD_fashion_boutique[[#This Row],[return_reason]]="","No return",BBDD_fashion_boutique[[#This Row],[return_reason]])</f>
        <v>No return</v>
      </c>
      <c r="Y1714">
        <f>IF(IFERROR(VLOOKUP(BBDD_fashion_boutique[[#This Row],[product_id]],A1715:A3890,1,FALSE),0),1,0)</f>
        <v>0</v>
      </c>
    </row>
    <row r="1715" spans="1:25" x14ac:dyDescent="0.3">
      <c r="A1715" t="s">
        <v>1774</v>
      </c>
      <c r="B1715" t="s">
        <v>44</v>
      </c>
      <c r="C1715" t="s">
        <v>67</v>
      </c>
      <c r="D1715" t="s">
        <v>68</v>
      </c>
      <c r="E1715" t="s">
        <v>61</v>
      </c>
      <c r="F1715" t="str">
        <f>IF(BBDD_fashion_boutique[[#This Row],[category]]="Accessories","Accesorio",IF(BBDD_fashion_boutique[[#This Row],[size]]="","Desconocido",BBDD_fashion_boutique[[#This Row],[size]]))</f>
        <v>XS</v>
      </c>
      <c r="G1715" t="s">
        <v>46</v>
      </c>
      <c r="H1715" s="2">
        <v>48.24</v>
      </c>
      <c r="I1715">
        <v>31.7</v>
      </c>
      <c r="J1715" s="5">
        <f>BBDD_fashion_boutique[[#This Row],[markdown_percentage]]/100</f>
        <v>0.317</v>
      </c>
      <c r="K1715" s="2">
        <v>32.950000000000003</v>
      </c>
      <c r="L1715" s="2">
        <f>BBDD_fashion_boutique[[#This Row],[original_price]]-BBDD_fashion_boutique[[#This Row],[current_price]]</f>
        <v>15.29</v>
      </c>
      <c r="M1715" s="1">
        <v>45875</v>
      </c>
      <c r="N1715" s="1" t="str">
        <f>PROPER(TEXT(BBDD_fashion_boutique[[#This Row],[purchase_date]],"dddd"))</f>
        <v>Miércoles</v>
      </c>
      <c r="O1715" s="1" t="str">
        <f>PROPER(TEXT(BBDD_fashion_boutique[[#This Row],[purchase_date]],"mmmm"))</f>
        <v>Agosto</v>
      </c>
      <c r="P1715" s="4">
        <v>46</v>
      </c>
      <c r="Q1715" s="2">
        <v>3.7</v>
      </c>
      <c r="R1715" t="str">
        <f>IF(BBDD_fashion_boutique[[#This Row],[stock_quantity]]&gt;9,"Ok",IF(BBDD_fashion_boutique[[#This Row],[stock_quantity]]=0,"Agotado","Pocas Unidades"))</f>
        <v>Ok</v>
      </c>
      <c r="S1715" s="3">
        <f>IF(BBDD_fashion_boutique[[#This Row],[customer_rating]]="","No valorado",BBDD_fashion_boutique[[#This Row],[customer_rating]])</f>
        <v>3.7</v>
      </c>
      <c r="T1715" t="s">
        <v>24</v>
      </c>
      <c r="V1715">
        <f>IF(BBDD_fashion_boutique[[#This Row],[is_returned]]="False",0,1)</f>
        <v>0</v>
      </c>
      <c r="W1715">
        <f>IF(BBDD_fashion_boutique[[#This Row],[is_returned]]="True",0,BBDD_fashion_boutique[[#This Row],[current_price]])</f>
        <v>32.950000000000003</v>
      </c>
      <c r="X1715" t="str">
        <f>IF(BBDD_fashion_boutique[[#This Row],[return_reason]]="","No return",BBDD_fashion_boutique[[#This Row],[return_reason]])</f>
        <v>No return</v>
      </c>
      <c r="Y1715">
        <f>IF(IFERROR(VLOOKUP(BBDD_fashion_boutique[[#This Row],[product_id]],A1716:A3891,1,FALSE),0),1,0)</f>
        <v>0</v>
      </c>
    </row>
    <row r="1716" spans="1:25" x14ac:dyDescent="0.3">
      <c r="A1716" t="s">
        <v>1775</v>
      </c>
      <c r="B1716" t="s">
        <v>44</v>
      </c>
      <c r="C1716" t="s">
        <v>54</v>
      </c>
      <c r="D1716" t="s">
        <v>68</v>
      </c>
      <c r="E1716" t="s">
        <v>45</v>
      </c>
      <c r="F1716" t="str">
        <f>IF(BBDD_fashion_boutique[[#This Row],[category]]="Accessories","Accesorio",IF(BBDD_fashion_boutique[[#This Row],[size]]="","Desconocido",BBDD_fashion_boutique[[#This Row],[size]]))</f>
        <v>S</v>
      </c>
      <c r="G1716" t="s">
        <v>76</v>
      </c>
      <c r="H1716" s="2">
        <v>66.27</v>
      </c>
      <c r="I1716">
        <v>21.7</v>
      </c>
      <c r="J1716" s="5">
        <f>BBDD_fashion_boutique[[#This Row],[markdown_percentage]]/100</f>
        <v>0.217</v>
      </c>
      <c r="K1716" s="2">
        <v>51.89</v>
      </c>
      <c r="L1716" s="2">
        <f>BBDD_fashion_boutique[[#This Row],[original_price]]-BBDD_fashion_boutique[[#This Row],[current_price]]</f>
        <v>14.379999999999995</v>
      </c>
      <c r="M1716" s="1">
        <v>45875</v>
      </c>
      <c r="N1716" s="1" t="str">
        <f>PROPER(TEXT(BBDD_fashion_boutique[[#This Row],[purchase_date]],"dddd"))</f>
        <v>Miércoles</v>
      </c>
      <c r="O1716" s="1" t="str">
        <f>PROPER(TEXT(BBDD_fashion_boutique[[#This Row],[purchase_date]],"mmmm"))</f>
        <v>Agosto</v>
      </c>
      <c r="P1716" s="4">
        <v>28</v>
      </c>
      <c r="Q1716" s="2">
        <v>2.5</v>
      </c>
      <c r="R1716" t="str">
        <f>IF(BBDD_fashion_boutique[[#This Row],[stock_quantity]]&gt;9,"Ok",IF(BBDD_fashion_boutique[[#This Row],[stock_quantity]]=0,"Agotado","Pocas Unidades"))</f>
        <v>Ok</v>
      </c>
      <c r="S1716" s="3">
        <f>IF(BBDD_fashion_boutique[[#This Row],[customer_rating]]="","No valorado",BBDD_fashion_boutique[[#This Row],[customer_rating]])</f>
        <v>2.5</v>
      </c>
      <c r="T1716" t="s">
        <v>41</v>
      </c>
      <c r="U1716" t="s">
        <v>121</v>
      </c>
      <c r="V1716">
        <f>IF(BBDD_fashion_boutique[[#This Row],[is_returned]]="False",0,1)</f>
        <v>1</v>
      </c>
      <c r="W1716">
        <f>IF(BBDD_fashion_boutique[[#This Row],[is_returned]]="True",0,BBDD_fashion_boutique[[#This Row],[current_price]])</f>
        <v>0</v>
      </c>
      <c r="X1716" t="str">
        <f>IF(BBDD_fashion_boutique[[#This Row],[return_reason]]="","No return",BBDD_fashion_boutique[[#This Row],[return_reason]])</f>
        <v>Changed Mind</v>
      </c>
      <c r="Y1716">
        <f>IF(IFERROR(VLOOKUP(BBDD_fashion_boutique[[#This Row],[product_id]],A1717:A3892,1,FALSE),0),1,0)</f>
        <v>0</v>
      </c>
    </row>
    <row r="1717" spans="1:25" x14ac:dyDescent="0.3">
      <c r="A1717" t="s">
        <v>1776</v>
      </c>
      <c r="B1717" t="s">
        <v>35</v>
      </c>
      <c r="C1717" t="s">
        <v>54</v>
      </c>
      <c r="D1717" t="s">
        <v>39</v>
      </c>
      <c r="E1717" t="s">
        <v>55</v>
      </c>
      <c r="F1717" t="str">
        <f>IF(BBDD_fashion_boutique[[#This Row],[category]]="Accessories","Accesorio",IF(BBDD_fashion_boutique[[#This Row],[size]]="","Desconocido",BBDD_fashion_boutique[[#This Row],[size]]))</f>
        <v>XXL</v>
      </c>
      <c r="G1717" t="s">
        <v>70</v>
      </c>
      <c r="H1717" s="2">
        <v>82.65</v>
      </c>
      <c r="I1717">
        <v>0</v>
      </c>
      <c r="J1717" s="5">
        <f>BBDD_fashion_boutique[[#This Row],[markdown_percentage]]/100</f>
        <v>0</v>
      </c>
      <c r="K1717" s="2">
        <v>82.65</v>
      </c>
      <c r="L1717" s="2">
        <f>BBDD_fashion_boutique[[#This Row],[original_price]]-BBDD_fashion_boutique[[#This Row],[current_price]]</f>
        <v>0</v>
      </c>
      <c r="M1717" s="1">
        <v>45875</v>
      </c>
      <c r="N1717" s="1" t="str">
        <f>PROPER(TEXT(BBDD_fashion_boutique[[#This Row],[purchase_date]],"dddd"))</f>
        <v>Miércoles</v>
      </c>
      <c r="O1717" s="1" t="str">
        <f>PROPER(TEXT(BBDD_fashion_boutique[[#This Row],[purchase_date]],"mmmm"))</f>
        <v>Agosto</v>
      </c>
      <c r="P1717" s="4">
        <v>30</v>
      </c>
      <c r="Q1717" s="2">
        <v>4.0999999999999996</v>
      </c>
      <c r="R1717" t="str">
        <f>IF(BBDD_fashion_boutique[[#This Row],[stock_quantity]]&gt;9,"Ok",IF(BBDD_fashion_boutique[[#This Row],[stock_quantity]]=0,"Agotado","Pocas Unidades"))</f>
        <v>Ok</v>
      </c>
      <c r="S1717" s="3">
        <f>IF(BBDD_fashion_boutique[[#This Row],[customer_rating]]="","No valorado",BBDD_fashion_boutique[[#This Row],[customer_rating]])</f>
        <v>4.0999999999999996</v>
      </c>
      <c r="T1717" t="s">
        <v>24</v>
      </c>
      <c r="V1717">
        <f>IF(BBDD_fashion_boutique[[#This Row],[is_returned]]="False",0,1)</f>
        <v>0</v>
      </c>
      <c r="W1717">
        <f>IF(BBDD_fashion_boutique[[#This Row],[is_returned]]="True",0,BBDD_fashion_boutique[[#This Row],[current_price]])</f>
        <v>82.65</v>
      </c>
      <c r="X1717" t="str">
        <f>IF(BBDD_fashion_boutique[[#This Row],[return_reason]]="","No return",BBDD_fashion_boutique[[#This Row],[return_reason]])</f>
        <v>No return</v>
      </c>
      <c r="Y1717">
        <f>IF(IFERROR(VLOOKUP(BBDD_fashion_boutique[[#This Row],[product_id]],A1718:A3893,1,FALSE),0),1,0)</f>
        <v>0</v>
      </c>
    </row>
    <row r="1718" spans="1:25" x14ac:dyDescent="0.3">
      <c r="A1718" t="s">
        <v>1777</v>
      </c>
      <c r="B1718" t="s">
        <v>44</v>
      </c>
      <c r="C1718" t="s">
        <v>59</v>
      </c>
      <c r="D1718" t="s">
        <v>28</v>
      </c>
      <c r="E1718" t="s">
        <v>55</v>
      </c>
      <c r="F1718" t="str">
        <f>IF(BBDD_fashion_boutique[[#This Row],[category]]="Accessories","Accesorio",IF(BBDD_fashion_boutique[[#This Row],[size]]="","Desconocido",BBDD_fashion_boutique[[#This Row],[size]]))</f>
        <v>XXL</v>
      </c>
      <c r="G1718" t="s">
        <v>33</v>
      </c>
      <c r="H1718" s="2">
        <v>42.36</v>
      </c>
      <c r="I1718">
        <v>0</v>
      </c>
      <c r="J1718" s="5">
        <f>BBDD_fashion_boutique[[#This Row],[markdown_percentage]]/100</f>
        <v>0</v>
      </c>
      <c r="K1718" s="2">
        <v>42.36</v>
      </c>
      <c r="L1718" s="2">
        <f>BBDD_fashion_boutique[[#This Row],[original_price]]-BBDD_fashion_boutique[[#This Row],[current_price]]</f>
        <v>0</v>
      </c>
      <c r="M1718" s="1">
        <v>45875</v>
      </c>
      <c r="N1718" s="1" t="str">
        <f>PROPER(TEXT(BBDD_fashion_boutique[[#This Row],[purchase_date]],"dddd"))</f>
        <v>Miércoles</v>
      </c>
      <c r="O1718" s="1" t="str">
        <f>PROPER(TEXT(BBDD_fashion_boutique[[#This Row],[purchase_date]],"mmmm"))</f>
        <v>Agosto</v>
      </c>
      <c r="P1718" s="4">
        <v>37</v>
      </c>
      <c r="Q1718" s="2">
        <v>1.4</v>
      </c>
      <c r="R1718" t="str">
        <f>IF(BBDD_fashion_boutique[[#This Row],[stock_quantity]]&gt;9,"Ok",IF(BBDD_fashion_boutique[[#This Row],[stock_quantity]]=0,"Agotado","Pocas Unidades"))</f>
        <v>Ok</v>
      </c>
      <c r="S1718" s="3">
        <f>IF(BBDD_fashion_boutique[[#This Row],[customer_rating]]="","No valorado",BBDD_fashion_boutique[[#This Row],[customer_rating]])</f>
        <v>1.4</v>
      </c>
      <c r="T1718" t="s">
        <v>24</v>
      </c>
      <c r="V1718">
        <f>IF(BBDD_fashion_boutique[[#This Row],[is_returned]]="False",0,1)</f>
        <v>0</v>
      </c>
      <c r="W1718">
        <f>IF(BBDD_fashion_boutique[[#This Row],[is_returned]]="True",0,BBDD_fashion_boutique[[#This Row],[current_price]])</f>
        <v>42.36</v>
      </c>
      <c r="X1718" t="str">
        <f>IF(BBDD_fashion_boutique[[#This Row],[return_reason]]="","No return",BBDD_fashion_boutique[[#This Row],[return_reason]])</f>
        <v>No return</v>
      </c>
      <c r="Y1718">
        <f>IF(IFERROR(VLOOKUP(BBDD_fashion_boutique[[#This Row],[product_id]],A1719:A3894,1,FALSE),0),1,0)</f>
        <v>0</v>
      </c>
    </row>
    <row r="1719" spans="1:25" x14ac:dyDescent="0.3">
      <c r="A1719" t="s">
        <v>1778</v>
      </c>
      <c r="B1719" t="s">
        <v>44</v>
      </c>
      <c r="C1719" t="s">
        <v>59</v>
      </c>
      <c r="D1719" t="s">
        <v>68</v>
      </c>
      <c r="E1719" t="s">
        <v>64</v>
      </c>
      <c r="F1719" t="str">
        <f>IF(BBDD_fashion_boutique[[#This Row],[category]]="Accessories","Accesorio",IF(BBDD_fashion_boutique[[#This Row],[size]]="","Desconocido",BBDD_fashion_boutique[[#This Row],[size]]))</f>
        <v>M</v>
      </c>
      <c r="G1719" t="s">
        <v>23</v>
      </c>
      <c r="H1719" s="2">
        <v>109.36</v>
      </c>
      <c r="I1719">
        <v>0</v>
      </c>
      <c r="J1719" s="5">
        <f>BBDD_fashion_boutique[[#This Row],[markdown_percentage]]/100</f>
        <v>0</v>
      </c>
      <c r="K1719" s="2">
        <v>109.36</v>
      </c>
      <c r="L1719" s="2">
        <f>BBDD_fashion_boutique[[#This Row],[original_price]]-BBDD_fashion_boutique[[#This Row],[current_price]]</f>
        <v>0</v>
      </c>
      <c r="M1719" s="1">
        <v>45875</v>
      </c>
      <c r="N1719" s="1" t="str">
        <f>PROPER(TEXT(BBDD_fashion_boutique[[#This Row],[purchase_date]],"dddd"))</f>
        <v>Miércoles</v>
      </c>
      <c r="O1719" s="1" t="str">
        <f>PROPER(TEXT(BBDD_fashion_boutique[[#This Row],[purchase_date]],"mmmm"))</f>
        <v>Agosto</v>
      </c>
      <c r="P1719" s="4">
        <v>24</v>
      </c>
      <c r="Q1719" s="2">
        <v>1.7</v>
      </c>
      <c r="R1719" t="str">
        <f>IF(BBDD_fashion_boutique[[#This Row],[stock_quantity]]&gt;9,"Ok",IF(BBDD_fashion_boutique[[#This Row],[stock_quantity]]=0,"Agotado","Pocas Unidades"))</f>
        <v>Ok</v>
      </c>
      <c r="S1719" s="3">
        <f>IF(BBDD_fashion_boutique[[#This Row],[customer_rating]]="","No valorado",BBDD_fashion_boutique[[#This Row],[customer_rating]])</f>
        <v>1.7</v>
      </c>
      <c r="T1719" t="s">
        <v>24</v>
      </c>
      <c r="V1719">
        <f>IF(BBDD_fashion_boutique[[#This Row],[is_returned]]="False",0,1)</f>
        <v>0</v>
      </c>
      <c r="W1719">
        <f>IF(BBDD_fashion_boutique[[#This Row],[is_returned]]="True",0,BBDD_fashion_boutique[[#This Row],[current_price]])</f>
        <v>109.36</v>
      </c>
      <c r="X1719" t="str">
        <f>IF(BBDD_fashion_boutique[[#This Row],[return_reason]]="","No return",BBDD_fashion_boutique[[#This Row],[return_reason]])</f>
        <v>No return</v>
      </c>
      <c r="Y1719">
        <f>IF(IFERROR(VLOOKUP(BBDD_fashion_boutique[[#This Row],[product_id]],A1720:A3895,1,FALSE),0),1,0)</f>
        <v>0</v>
      </c>
    </row>
    <row r="1720" spans="1:25" x14ac:dyDescent="0.3">
      <c r="A1720" t="s">
        <v>1779</v>
      </c>
      <c r="B1720" t="s">
        <v>32</v>
      </c>
      <c r="C1720" t="s">
        <v>59</v>
      </c>
      <c r="D1720" t="s">
        <v>28</v>
      </c>
      <c r="F1720" t="str">
        <f>IF(BBDD_fashion_boutique[[#This Row],[category]]="Accessories","Accesorio",IF(BBDD_fashion_boutique[[#This Row],[size]]="","Desconocido",BBDD_fashion_boutique[[#This Row],[size]]))</f>
        <v>Accesorio</v>
      </c>
      <c r="G1720" t="s">
        <v>62</v>
      </c>
      <c r="H1720" s="2">
        <v>59.98</v>
      </c>
      <c r="I1720">
        <v>0</v>
      </c>
      <c r="J1720" s="5">
        <f>BBDD_fashion_boutique[[#This Row],[markdown_percentage]]/100</f>
        <v>0</v>
      </c>
      <c r="K1720" s="2">
        <v>59.98</v>
      </c>
      <c r="L1720" s="2">
        <f>BBDD_fashion_boutique[[#This Row],[original_price]]-BBDD_fashion_boutique[[#This Row],[current_price]]</f>
        <v>0</v>
      </c>
      <c r="M1720" s="1">
        <v>45875</v>
      </c>
      <c r="N1720" s="1" t="str">
        <f>PROPER(TEXT(BBDD_fashion_boutique[[#This Row],[purchase_date]],"dddd"))</f>
        <v>Miércoles</v>
      </c>
      <c r="O1720" s="1" t="str">
        <f>PROPER(TEXT(BBDD_fashion_boutique[[#This Row],[purchase_date]],"mmmm"))</f>
        <v>Agosto</v>
      </c>
      <c r="P1720" s="4">
        <v>28</v>
      </c>
      <c r="Q1720" s="2">
        <v>2.2000000000000002</v>
      </c>
      <c r="R1720" t="str">
        <f>IF(BBDD_fashion_boutique[[#This Row],[stock_quantity]]&gt;9,"Ok",IF(BBDD_fashion_boutique[[#This Row],[stock_quantity]]=0,"Agotado","Pocas Unidades"))</f>
        <v>Ok</v>
      </c>
      <c r="S1720" s="3">
        <f>IF(BBDD_fashion_boutique[[#This Row],[customer_rating]]="","No valorado",BBDD_fashion_boutique[[#This Row],[customer_rating]])</f>
        <v>2.2000000000000002</v>
      </c>
      <c r="T1720" t="s">
        <v>24</v>
      </c>
      <c r="V1720">
        <f>IF(BBDD_fashion_boutique[[#This Row],[is_returned]]="False",0,1)</f>
        <v>0</v>
      </c>
      <c r="W1720">
        <f>IF(BBDD_fashion_boutique[[#This Row],[is_returned]]="True",0,BBDD_fashion_boutique[[#This Row],[current_price]])</f>
        <v>59.98</v>
      </c>
      <c r="X1720" t="str">
        <f>IF(BBDD_fashion_boutique[[#This Row],[return_reason]]="","No return",BBDD_fashion_boutique[[#This Row],[return_reason]])</f>
        <v>No return</v>
      </c>
      <c r="Y1720">
        <f>IF(IFERROR(VLOOKUP(BBDD_fashion_boutique[[#This Row],[product_id]],A1721:A3896,1,FALSE),0),1,0)</f>
        <v>0</v>
      </c>
    </row>
    <row r="1721" spans="1:25" x14ac:dyDescent="0.3">
      <c r="A1721" t="s">
        <v>1780</v>
      </c>
      <c r="B1721" t="s">
        <v>48</v>
      </c>
      <c r="C1721" t="s">
        <v>67</v>
      </c>
      <c r="D1721" t="s">
        <v>21</v>
      </c>
      <c r="F1721" t="str">
        <f>IF(BBDD_fashion_boutique[[#This Row],[category]]="Accessories","Accesorio",IF(BBDD_fashion_boutique[[#This Row],[size]]="","Desconocido",BBDD_fashion_boutique[[#This Row],[size]]))</f>
        <v>Desconocido</v>
      </c>
      <c r="G1721" t="s">
        <v>72</v>
      </c>
      <c r="H1721" s="2">
        <v>111.81</v>
      </c>
      <c r="I1721">
        <v>0</v>
      </c>
      <c r="J1721" s="5">
        <f>BBDD_fashion_boutique[[#This Row],[markdown_percentage]]/100</f>
        <v>0</v>
      </c>
      <c r="K1721" s="2">
        <v>111.81</v>
      </c>
      <c r="L1721" s="2">
        <f>BBDD_fashion_boutique[[#This Row],[original_price]]-BBDD_fashion_boutique[[#This Row],[current_price]]</f>
        <v>0</v>
      </c>
      <c r="M1721" s="1">
        <v>45525</v>
      </c>
      <c r="N1721" s="1" t="str">
        <f>PROPER(TEXT(BBDD_fashion_boutique[[#This Row],[purchase_date]],"dddd"))</f>
        <v>Miércoles</v>
      </c>
      <c r="O1721" s="1" t="str">
        <f>PROPER(TEXT(BBDD_fashion_boutique[[#This Row],[purchase_date]],"mmmm"))</f>
        <v>Agosto</v>
      </c>
      <c r="P1721" s="4">
        <v>45</v>
      </c>
      <c r="Q1721" s="2">
        <v>1.1000000000000001</v>
      </c>
      <c r="R1721" t="str">
        <f>IF(BBDD_fashion_boutique[[#This Row],[stock_quantity]]&gt;9,"Ok",IF(BBDD_fashion_boutique[[#This Row],[stock_quantity]]=0,"Agotado","Pocas Unidades"))</f>
        <v>Ok</v>
      </c>
      <c r="S1721" s="3">
        <f>IF(BBDD_fashion_boutique[[#This Row],[customer_rating]]="","No valorado",BBDD_fashion_boutique[[#This Row],[customer_rating]])</f>
        <v>1.1000000000000001</v>
      </c>
      <c r="T1721" t="s">
        <v>24</v>
      </c>
      <c r="V1721">
        <f>IF(BBDD_fashion_boutique[[#This Row],[is_returned]]="False",0,1)</f>
        <v>0</v>
      </c>
      <c r="W1721">
        <f>IF(BBDD_fashion_boutique[[#This Row],[is_returned]]="True",0,BBDD_fashion_boutique[[#This Row],[current_price]])</f>
        <v>111.81</v>
      </c>
      <c r="X1721" t="str">
        <f>IF(BBDD_fashion_boutique[[#This Row],[return_reason]]="","No return",BBDD_fashion_boutique[[#This Row],[return_reason]])</f>
        <v>No return</v>
      </c>
      <c r="Y1721">
        <f>IF(IFERROR(VLOOKUP(BBDD_fashion_boutique[[#This Row],[product_id]],A1722:A3897,1,FALSE),0),1,0)</f>
        <v>0</v>
      </c>
    </row>
    <row r="1722" spans="1:25" x14ac:dyDescent="0.3">
      <c r="A1722" t="s">
        <v>1781</v>
      </c>
      <c r="B1722" t="s">
        <v>44</v>
      </c>
      <c r="C1722" t="s">
        <v>37</v>
      </c>
      <c r="D1722" t="s">
        <v>28</v>
      </c>
      <c r="E1722" t="s">
        <v>55</v>
      </c>
      <c r="F1722" t="str">
        <f>IF(BBDD_fashion_boutique[[#This Row],[category]]="Accessories","Accesorio",IF(BBDD_fashion_boutique[[#This Row],[size]]="","Desconocido",BBDD_fashion_boutique[[#This Row],[size]]))</f>
        <v>XXL</v>
      </c>
      <c r="G1722" t="s">
        <v>23</v>
      </c>
      <c r="H1722" s="2">
        <v>70.78</v>
      </c>
      <c r="I1722">
        <v>0</v>
      </c>
      <c r="J1722" s="5">
        <f>BBDD_fashion_boutique[[#This Row],[markdown_percentage]]/100</f>
        <v>0</v>
      </c>
      <c r="K1722" s="2">
        <v>70.78</v>
      </c>
      <c r="L1722" s="2">
        <f>BBDD_fashion_boutique[[#This Row],[original_price]]-BBDD_fashion_boutique[[#This Row],[current_price]]</f>
        <v>0</v>
      </c>
      <c r="M1722" s="1">
        <v>45875</v>
      </c>
      <c r="N1722" s="1" t="str">
        <f>PROPER(TEXT(BBDD_fashion_boutique[[#This Row],[purchase_date]],"dddd"))</f>
        <v>Miércoles</v>
      </c>
      <c r="O1722" s="1" t="str">
        <f>PROPER(TEXT(BBDD_fashion_boutique[[#This Row],[purchase_date]],"mmmm"))</f>
        <v>Agosto</v>
      </c>
      <c r="P1722" s="4">
        <v>39</v>
      </c>
      <c r="Q1722" s="2">
        <v>3.4</v>
      </c>
      <c r="R1722" t="str">
        <f>IF(BBDD_fashion_boutique[[#This Row],[stock_quantity]]&gt;9,"Ok",IF(BBDD_fashion_boutique[[#This Row],[stock_quantity]]=0,"Agotado","Pocas Unidades"))</f>
        <v>Ok</v>
      </c>
      <c r="S1722" s="3">
        <f>IF(BBDD_fashion_boutique[[#This Row],[customer_rating]]="","No valorado",BBDD_fashion_boutique[[#This Row],[customer_rating]])</f>
        <v>3.4</v>
      </c>
      <c r="T1722" t="s">
        <v>41</v>
      </c>
      <c r="U1722" t="s">
        <v>42</v>
      </c>
      <c r="V1722">
        <f>IF(BBDD_fashion_boutique[[#This Row],[is_returned]]="False",0,1)</f>
        <v>1</v>
      </c>
      <c r="W1722">
        <f>IF(BBDD_fashion_boutique[[#This Row],[is_returned]]="True",0,BBDD_fashion_boutique[[#This Row],[current_price]])</f>
        <v>0</v>
      </c>
      <c r="X1722" t="str">
        <f>IF(BBDD_fashion_boutique[[#This Row],[return_reason]]="","No return",BBDD_fashion_boutique[[#This Row],[return_reason]])</f>
        <v>Color Mismatch</v>
      </c>
      <c r="Y1722">
        <f>IF(IFERROR(VLOOKUP(BBDD_fashion_boutique[[#This Row],[product_id]],A1723:A3898,1,FALSE),0),1,0)</f>
        <v>0</v>
      </c>
    </row>
    <row r="1723" spans="1:25" x14ac:dyDescent="0.3">
      <c r="A1723" t="s">
        <v>1782</v>
      </c>
      <c r="B1723" t="s">
        <v>32</v>
      </c>
      <c r="C1723" t="s">
        <v>49</v>
      </c>
      <c r="D1723" t="s">
        <v>28</v>
      </c>
      <c r="F1723" t="str">
        <f>IF(BBDD_fashion_boutique[[#This Row],[category]]="Accessories","Accesorio",IF(BBDD_fashion_boutique[[#This Row],[size]]="","Desconocido",BBDD_fashion_boutique[[#This Row],[size]]))</f>
        <v>Accesorio</v>
      </c>
      <c r="G1723" t="s">
        <v>30</v>
      </c>
      <c r="H1723" s="2">
        <v>76.13</v>
      </c>
      <c r="I1723">
        <v>58.5</v>
      </c>
      <c r="J1723" s="5">
        <f>BBDD_fashion_boutique[[#This Row],[markdown_percentage]]/100</f>
        <v>0.58499999999999996</v>
      </c>
      <c r="K1723" s="2">
        <v>31.59</v>
      </c>
      <c r="L1723" s="2">
        <f>BBDD_fashion_boutique[[#This Row],[original_price]]-BBDD_fashion_boutique[[#This Row],[current_price]]</f>
        <v>44.539999999999992</v>
      </c>
      <c r="M1723" s="1">
        <v>45875</v>
      </c>
      <c r="N1723" s="1" t="str">
        <f>PROPER(TEXT(BBDD_fashion_boutique[[#This Row],[purchase_date]],"dddd"))</f>
        <v>Miércoles</v>
      </c>
      <c r="O1723" s="1" t="str">
        <f>PROPER(TEXT(BBDD_fashion_boutique[[#This Row],[purchase_date]],"mmmm"))</f>
        <v>Agosto</v>
      </c>
      <c r="P1723" s="4">
        <v>40</v>
      </c>
      <c r="Q1723" s="2">
        <v>1.6</v>
      </c>
      <c r="R1723" t="str">
        <f>IF(BBDD_fashion_boutique[[#This Row],[stock_quantity]]&gt;9,"Ok",IF(BBDD_fashion_boutique[[#This Row],[stock_quantity]]=0,"Agotado","Pocas Unidades"))</f>
        <v>Ok</v>
      </c>
      <c r="S1723" s="3">
        <f>IF(BBDD_fashion_boutique[[#This Row],[customer_rating]]="","No valorado",BBDD_fashion_boutique[[#This Row],[customer_rating]])</f>
        <v>1.6</v>
      </c>
      <c r="T1723" t="s">
        <v>24</v>
      </c>
      <c r="V1723">
        <f>IF(BBDD_fashion_boutique[[#This Row],[is_returned]]="False",0,1)</f>
        <v>0</v>
      </c>
      <c r="W1723">
        <f>IF(BBDD_fashion_boutique[[#This Row],[is_returned]]="True",0,BBDD_fashion_boutique[[#This Row],[current_price]])</f>
        <v>31.59</v>
      </c>
      <c r="X1723" t="str">
        <f>IF(BBDD_fashion_boutique[[#This Row],[return_reason]]="","No return",BBDD_fashion_boutique[[#This Row],[return_reason]])</f>
        <v>No return</v>
      </c>
      <c r="Y1723">
        <f>IF(IFERROR(VLOOKUP(BBDD_fashion_boutique[[#This Row],[product_id]],A1724:A3899,1,FALSE),0),1,0)</f>
        <v>0</v>
      </c>
    </row>
    <row r="1724" spans="1:25" x14ac:dyDescent="0.3">
      <c r="A1724" t="s">
        <v>1783</v>
      </c>
      <c r="B1724" t="s">
        <v>44</v>
      </c>
      <c r="C1724" t="s">
        <v>37</v>
      </c>
      <c r="D1724" t="s">
        <v>39</v>
      </c>
      <c r="E1724" t="s">
        <v>61</v>
      </c>
      <c r="F1724" t="str">
        <f>IF(BBDD_fashion_boutique[[#This Row],[category]]="Accessories","Accesorio",IF(BBDD_fashion_boutique[[#This Row],[size]]="","Desconocido",BBDD_fashion_boutique[[#This Row],[size]]))</f>
        <v>XS</v>
      </c>
      <c r="G1724" t="s">
        <v>30</v>
      </c>
      <c r="H1724" s="2">
        <v>71.09</v>
      </c>
      <c r="I1724">
        <v>41.5</v>
      </c>
      <c r="J1724" s="5">
        <f>BBDD_fashion_boutique[[#This Row],[markdown_percentage]]/100</f>
        <v>0.41499999999999998</v>
      </c>
      <c r="K1724" s="2">
        <v>41.59</v>
      </c>
      <c r="L1724" s="2">
        <f>BBDD_fashion_boutique[[#This Row],[original_price]]-BBDD_fashion_boutique[[#This Row],[current_price]]</f>
        <v>29.5</v>
      </c>
      <c r="M1724" s="1">
        <v>45875</v>
      </c>
      <c r="N1724" s="1" t="str">
        <f>PROPER(TEXT(BBDD_fashion_boutique[[#This Row],[purchase_date]],"dddd"))</f>
        <v>Miércoles</v>
      </c>
      <c r="O1724" s="1" t="str">
        <f>PROPER(TEXT(BBDD_fashion_boutique[[#This Row],[purchase_date]],"mmmm"))</f>
        <v>Agosto</v>
      </c>
      <c r="P1724" s="4">
        <v>20</v>
      </c>
      <c r="Q1724" s="2">
        <v>3.1</v>
      </c>
      <c r="R1724" t="str">
        <f>IF(BBDD_fashion_boutique[[#This Row],[stock_quantity]]&gt;9,"Ok",IF(BBDD_fashion_boutique[[#This Row],[stock_quantity]]=0,"Agotado","Pocas Unidades"))</f>
        <v>Ok</v>
      </c>
      <c r="S1724" s="3">
        <f>IF(BBDD_fashion_boutique[[#This Row],[customer_rating]]="","No valorado",BBDD_fashion_boutique[[#This Row],[customer_rating]])</f>
        <v>3.1</v>
      </c>
      <c r="T1724" t="s">
        <v>24</v>
      </c>
      <c r="V1724">
        <f>IF(BBDD_fashion_boutique[[#This Row],[is_returned]]="False",0,1)</f>
        <v>0</v>
      </c>
      <c r="W1724">
        <f>IF(BBDD_fashion_boutique[[#This Row],[is_returned]]="True",0,BBDD_fashion_boutique[[#This Row],[current_price]])</f>
        <v>41.59</v>
      </c>
      <c r="X1724" t="str">
        <f>IF(BBDD_fashion_boutique[[#This Row],[return_reason]]="","No return",BBDD_fashion_boutique[[#This Row],[return_reason]])</f>
        <v>No return</v>
      </c>
      <c r="Y1724">
        <f>IF(IFERROR(VLOOKUP(BBDD_fashion_boutique[[#This Row],[product_id]],A1725:A3900,1,FALSE),0),1,0)</f>
        <v>0</v>
      </c>
    </row>
    <row r="1725" spans="1:25" x14ac:dyDescent="0.3">
      <c r="A1725" t="s">
        <v>1784</v>
      </c>
      <c r="B1725" t="s">
        <v>44</v>
      </c>
      <c r="C1725" t="s">
        <v>49</v>
      </c>
      <c r="D1725" t="s">
        <v>39</v>
      </c>
      <c r="F1725" t="str">
        <f>IF(BBDD_fashion_boutique[[#This Row],[category]]="Accessories","Accesorio",IF(BBDD_fashion_boutique[[#This Row],[size]]="","Desconocido",BBDD_fashion_boutique[[#This Row],[size]]))</f>
        <v>Desconocido</v>
      </c>
      <c r="G1725" t="s">
        <v>46</v>
      </c>
      <c r="H1725" s="2">
        <v>53.64</v>
      </c>
      <c r="I1725">
        <v>55.9</v>
      </c>
      <c r="J1725" s="5">
        <f>BBDD_fashion_boutique[[#This Row],[markdown_percentage]]/100</f>
        <v>0.55899999999999994</v>
      </c>
      <c r="K1725" s="2">
        <v>23.66</v>
      </c>
      <c r="L1725" s="2">
        <f>BBDD_fashion_boutique[[#This Row],[original_price]]-BBDD_fashion_boutique[[#This Row],[current_price]]</f>
        <v>29.98</v>
      </c>
      <c r="M1725" s="1">
        <v>45875</v>
      </c>
      <c r="N1725" s="1" t="str">
        <f>PROPER(TEXT(BBDD_fashion_boutique[[#This Row],[purchase_date]],"dddd"))</f>
        <v>Miércoles</v>
      </c>
      <c r="O1725" s="1" t="str">
        <f>PROPER(TEXT(BBDD_fashion_boutique[[#This Row],[purchase_date]],"mmmm"))</f>
        <v>Agosto</v>
      </c>
      <c r="P1725" s="4">
        <v>10</v>
      </c>
      <c r="Q1725" s="2">
        <v>2.5</v>
      </c>
      <c r="R1725" t="str">
        <f>IF(BBDD_fashion_boutique[[#This Row],[stock_quantity]]&gt;9,"Ok",IF(BBDD_fashion_boutique[[#This Row],[stock_quantity]]=0,"Agotado","Pocas Unidades"))</f>
        <v>Ok</v>
      </c>
      <c r="S1725" s="3">
        <f>IF(BBDD_fashion_boutique[[#This Row],[customer_rating]]="","No valorado",BBDD_fashion_boutique[[#This Row],[customer_rating]])</f>
        <v>2.5</v>
      </c>
      <c r="T1725" t="s">
        <v>24</v>
      </c>
      <c r="V1725">
        <f>IF(BBDD_fashion_boutique[[#This Row],[is_returned]]="False",0,1)</f>
        <v>0</v>
      </c>
      <c r="W1725">
        <f>IF(BBDD_fashion_boutique[[#This Row],[is_returned]]="True",0,BBDD_fashion_boutique[[#This Row],[current_price]])</f>
        <v>23.66</v>
      </c>
      <c r="X1725" t="str">
        <f>IF(BBDD_fashion_boutique[[#This Row],[return_reason]]="","No return",BBDD_fashion_boutique[[#This Row],[return_reason]])</f>
        <v>No return</v>
      </c>
      <c r="Y1725">
        <f>IF(IFERROR(VLOOKUP(BBDD_fashion_boutique[[#This Row],[product_id]],A1726:A3901,1,FALSE),0),1,0)</f>
        <v>0</v>
      </c>
    </row>
    <row r="1726" spans="1:25" x14ac:dyDescent="0.3">
      <c r="A1726" t="s">
        <v>1785</v>
      </c>
      <c r="B1726" t="s">
        <v>35</v>
      </c>
      <c r="C1726" t="s">
        <v>59</v>
      </c>
      <c r="D1726" t="s">
        <v>39</v>
      </c>
      <c r="F1726" t="str">
        <f>IF(BBDD_fashion_boutique[[#This Row],[category]]="Accessories","Accesorio",IF(BBDD_fashion_boutique[[#This Row],[size]]="","Desconocido",BBDD_fashion_boutique[[#This Row],[size]]))</f>
        <v>Desconocido</v>
      </c>
      <c r="G1726" t="s">
        <v>76</v>
      </c>
      <c r="H1726" s="2">
        <v>110.2</v>
      </c>
      <c r="I1726">
        <v>59.7</v>
      </c>
      <c r="J1726" s="5">
        <f>BBDD_fashion_boutique[[#This Row],[markdown_percentage]]/100</f>
        <v>0.59699999999999998</v>
      </c>
      <c r="K1726" s="2">
        <v>44.41</v>
      </c>
      <c r="L1726" s="2">
        <f>BBDD_fashion_boutique[[#This Row],[original_price]]-BBDD_fashion_boutique[[#This Row],[current_price]]</f>
        <v>65.790000000000006</v>
      </c>
      <c r="M1726" s="1">
        <v>45875</v>
      </c>
      <c r="N1726" s="1" t="str">
        <f>PROPER(TEXT(BBDD_fashion_boutique[[#This Row],[purchase_date]],"dddd"))</f>
        <v>Miércoles</v>
      </c>
      <c r="O1726" s="1" t="str">
        <f>PROPER(TEXT(BBDD_fashion_boutique[[#This Row],[purchase_date]],"mmmm"))</f>
        <v>Agosto</v>
      </c>
      <c r="P1726" s="4">
        <v>13</v>
      </c>
      <c r="Q1726" s="2">
        <v>3.5</v>
      </c>
      <c r="R1726" t="str">
        <f>IF(BBDD_fashion_boutique[[#This Row],[stock_quantity]]&gt;9,"Ok",IF(BBDD_fashion_boutique[[#This Row],[stock_quantity]]=0,"Agotado","Pocas Unidades"))</f>
        <v>Ok</v>
      </c>
      <c r="S1726" s="3">
        <f>IF(BBDD_fashion_boutique[[#This Row],[customer_rating]]="","No valorado",BBDD_fashion_boutique[[#This Row],[customer_rating]])</f>
        <v>3.5</v>
      </c>
      <c r="T1726" t="s">
        <v>41</v>
      </c>
      <c r="U1726" t="s">
        <v>42</v>
      </c>
      <c r="V1726">
        <f>IF(BBDD_fashion_boutique[[#This Row],[is_returned]]="False",0,1)</f>
        <v>1</v>
      </c>
      <c r="W1726">
        <f>IF(BBDD_fashion_boutique[[#This Row],[is_returned]]="True",0,BBDD_fashion_boutique[[#This Row],[current_price]])</f>
        <v>0</v>
      </c>
      <c r="X1726" t="str">
        <f>IF(BBDD_fashion_boutique[[#This Row],[return_reason]]="","No return",BBDD_fashion_boutique[[#This Row],[return_reason]])</f>
        <v>Color Mismatch</v>
      </c>
      <c r="Y1726">
        <f>IF(IFERROR(VLOOKUP(BBDD_fashion_boutique[[#This Row],[product_id]],A1727:A3902,1,FALSE),0),1,0)</f>
        <v>0</v>
      </c>
    </row>
    <row r="1727" spans="1:25" x14ac:dyDescent="0.3">
      <c r="A1727" t="s">
        <v>1786</v>
      </c>
      <c r="B1727" t="s">
        <v>35</v>
      </c>
      <c r="C1727" t="s">
        <v>27</v>
      </c>
      <c r="D1727" t="s">
        <v>68</v>
      </c>
      <c r="E1727" t="s">
        <v>55</v>
      </c>
      <c r="F1727" t="str">
        <f>IF(BBDD_fashion_boutique[[#This Row],[category]]="Accessories","Accesorio",IF(BBDD_fashion_boutique[[#This Row],[size]]="","Desconocido",BBDD_fashion_boutique[[#This Row],[size]]))</f>
        <v>XXL</v>
      </c>
      <c r="G1727" t="s">
        <v>52</v>
      </c>
      <c r="H1727" s="2">
        <v>80.63</v>
      </c>
      <c r="I1727">
        <v>17.399999999999999</v>
      </c>
      <c r="J1727" s="5">
        <f>BBDD_fashion_boutique[[#This Row],[markdown_percentage]]/100</f>
        <v>0.17399999999999999</v>
      </c>
      <c r="K1727" s="2">
        <v>66.599999999999994</v>
      </c>
      <c r="L1727" s="2">
        <f>BBDD_fashion_boutique[[#This Row],[original_price]]-BBDD_fashion_boutique[[#This Row],[current_price]]</f>
        <v>14.030000000000001</v>
      </c>
      <c r="M1727" s="1">
        <v>45875</v>
      </c>
      <c r="N1727" s="1" t="str">
        <f>PROPER(TEXT(BBDD_fashion_boutique[[#This Row],[purchase_date]],"dddd"))</f>
        <v>Miércoles</v>
      </c>
      <c r="O1727" s="1" t="str">
        <f>PROPER(TEXT(BBDD_fashion_boutique[[#This Row],[purchase_date]],"mmmm"))</f>
        <v>Agosto</v>
      </c>
      <c r="P1727" s="4">
        <v>6</v>
      </c>
      <c r="R1727" t="str">
        <f>IF(BBDD_fashion_boutique[[#This Row],[stock_quantity]]&gt;9,"Ok",IF(BBDD_fashion_boutique[[#This Row],[stock_quantity]]=0,"Agotado","Pocas Unidades"))</f>
        <v>Pocas Unidades</v>
      </c>
      <c r="S1727" s="3" t="str">
        <f>IF(BBDD_fashion_boutique[[#This Row],[customer_rating]]="","No valorado",BBDD_fashion_boutique[[#This Row],[customer_rating]])</f>
        <v>No valorado</v>
      </c>
      <c r="T1727" t="s">
        <v>41</v>
      </c>
      <c r="U1727" t="s">
        <v>84</v>
      </c>
      <c r="V1727">
        <f>IF(BBDD_fashion_boutique[[#This Row],[is_returned]]="False",0,1)</f>
        <v>1</v>
      </c>
      <c r="W1727">
        <f>IF(BBDD_fashion_boutique[[#This Row],[is_returned]]="True",0,BBDD_fashion_boutique[[#This Row],[current_price]])</f>
        <v>0</v>
      </c>
      <c r="X1727" t="str">
        <f>IF(BBDD_fashion_boutique[[#This Row],[return_reason]]="","No return",BBDD_fashion_boutique[[#This Row],[return_reason]])</f>
        <v>Damaged</v>
      </c>
      <c r="Y1727">
        <f>IF(IFERROR(VLOOKUP(BBDD_fashion_boutique[[#This Row],[product_id]],A1728:A3903,1,FALSE),0),1,0)</f>
        <v>0</v>
      </c>
    </row>
    <row r="1728" spans="1:25" x14ac:dyDescent="0.3">
      <c r="A1728" t="s">
        <v>1787</v>
      </c>
      <c r="B1728" t="s">
        <v>48</v>
      </c>
      <c r="C1728" t="s">
        <v>49</v>
      </c>
      <c r="D1728" t="s">
        <v>21</v>
      </c>
      <c r="E1728" t="s">
        <v>22</v>
      </c>
      <c r="F1728" t="str">
        <f>IF(BBDD_fashion_boutique[[#This Row],[category]]="Accessories","Accesorio",IF(BBDD_fashion_boutique[[#This Row],[size]]="","Desconocido",BBDD_fashion_boutique[[#This Row],[size]]))</f>
        <v>XL</v>
      </c>
      <c r="G1728" t="s">
        <v>52</v>
      </c>
      <c r="H1728" s="2">
        <v>101.09</v>
      </c>
      <c r="I1728">
        <v>24.8</v>
      </c>
      <c r="J1728" s="5">
        <f>BBDD_fashion_boutique[[#This Row],[markdown_percentage]]/100</f>
        <v>0.248</v>
      </c>
      <c r="K1728" s="2">
        <v>76.02</v>
      </c>
      <c r="L1728" s="2">
        <f>BBDD_fashion_boutique[[#This Row],[original_price]]-BBDD_fashion_boutique[[#This Row],[current_price]]</f>
        <v>25.070000000000007</v>
      </c>
      <c r="M1728" s="1">
        <v>45537</v>
      </c>
      <c r="N1728" s="1" t="str">
        <f>PROPER(TEXT(BBDD_fashion_boutique[[#This Row],[purchase_date]],"dddd"))</f>
        <v>Lunes</v>
      </c>
      <c r="O1728" s="1" t="str">
        <f>PROPER(TEXT(BBDD_fashion_boutique[[#This Row],[purchase_date]],"mmmm"))</f>
        <v>Septiembre</v>
      </c>
      <c r="P1728" s="4">
        <v>7</v>
      </c>
      <c r="Q1728" s="2">
        <v>4.5</v>
      </c>
      <c r="R1728" t="str">
        <f>IF(BBDD_fashion_boutique[[#This Row],[stock_quantity]]&gt;9,"Ok",IF(BBDD_fashion_boutique[[#This Row],[stock_quantity]]=0,"Agotado","Pocas Unidades"))</f>
        <v>Pocas Unidades</v>
      </c>
      <c r="S1728" s="3">
        <f>IF(BBDD_fashion_boutique[[#This Row],[customer_rating]]="","No valorado",BBDD_fashion_boutique[[#This Row],[customer_rating]])</f>
        <v>4.5</v>
      </c>
      <c r="T1728" t="s">
        <v>41</v>
      </c>
      <c r="U1728" t="s">
        <v>84</v>
      </c>
      <c r="V1728">
        <f>IF(BBDD_fashion_boutique[[#This Row],[is_returned]]="False",0,1)</f>
        <v>1</v>
      </c>
      <c r="W1728">
        <f>IF(BBDD_fashion_boutique[[#This Row],[is_returned]]="True",0,BBDD_fashion_boutique[[#This Row],[current_price]])</f>
        <v>0</v>
      </c>
      <c r="X1728" t="str">
        <f>IF(BBDD_fashion_boutique[[#This Row],[return_reason]]="","No return",BBDD_fashion_boutique[[#This Row],[return_reason]])</f>
        <v>Damaged</v>
      </c>
      <c r="Y1728">
        <f>IF(IFERROR(VLOOKUP(BBDD_fashion_boutique[[#This Row],[product_id]],A1729:A3904,1,FALSE),0),1,0)</f>
        <v>0</v>
      </c>
    </row>
    <row r="1729" spans="1:25" x14ac:dyDescent="0.3">
      <c r="A1729" t="s">
        <v>1788</v>
      </c>
      <c r="B1729" t="s">
        <v>32</v>
      </c>
      <c r="C1729" t="s">
        <v>20</v>
      </c>
      <c r="D1729" t="s">
        <v>21</v>
      </c>
      <c r="F1729" t="str">
        <f>IF(BBDD_fashion_boutique[[#This Row],[category]]="Accessories","Accesorio",IF(BBDD_fashion_boutique[[#This Row],[size]]="","Desconocido",BBDD_fashion_boutique[[#This Row],[size]]))</f>
        <v>Accesorio</v>
      </c>
      <c r="G1729" t="s">
        <v>70</v>
      </c>
      <c r="H1729" s="2">
        <v>75.48</v>
      </c>
      <c r="I1729">
        <v>0</v>
      </c>
      <c r="J1729" s="5">
        <f>BBDD_fashion_boutique[[#This Row],[markdown_percentage]]/100</f>
        <v>0</v>
      </c>
      <c r="K1729" s="2">
        <v>75.48</v>
      </c>
      <c r="L1729" s="2">
        <f>BBDD_fashion_boutique[[#This Row],[original_price]]-BBDD_fashion_boutique[[#This Row],[current_price]]</f>
        <v>0</v>
      </c>
      <c r="M1729" s="1">
        <v>45804</v>
      </c>
      <c r="N1729" s="1" t="str">
        <f>PROPER(TEXT(BBDD_fashion_boutique[[#This Row],[purchase_date]],"dddd"))</f>
        <v>Martes</v>
      </c>
      <c r="O1729" s="1" t="str">
        <f>PROPER(TEXT(BBDD_fashion_boutique[[#This Row],[purchase_date]],"mmmm"))</f>
        <v>Mayo</v>
      </c>
      <c r="P1729" s="4">
        <v>16</v>
      </c>
      <c r="Q1729" s="2">
        <v>1.4</v>
      </c>
      <c r="R1729" t="str">
        <f>IF(BBDD_fashion_boutique[[#This Row],[stock_quantity]]&gt;9,"Ok",IF(BBDD_fashion_boutique[[#This Row],[stock_quantity]]=0,"Agotado","Pocas Unidades"))</f>
        <v>Ok</v>
      </c>
      <c r="S1729" s="3">
        <f>IF(BBDD_fashion_boutique[[#This Row],[customer_rating]]="","No valorado",BBDD_fashion_boutique[[#This Row],[customer_rating]])</f>
        <v>1.4</v>
      </c>
      <c r="T1729" t="s">
        <v>24</v>
      </c>
      <c r="V1729">
        <f>IF(BBDD_fashion_boutique[[#This Row],[is_returned]]="False",0,1)</f>
        <v>0</v>
      </c>
      <c r="W1729">
        <f>IF(BBDD_fashion_boutique[[#This Row],[is_returned]]="True",0,BBDD_fashion_boutique[[#This Row],[current_price]])</f>
        <v>75.48</v>
      </c>
      <c r="X1729" t="str">
        <f>IF(BBDD_fashion_boutique[[#This Row],[return_reason]]="","No return",BBDD_fashion_boutique[[#This Row],[return_reason]])</f>
        <v>No return</v>
      </c>
      <c r="Y1729">
        <f>IF(IFERROR(VLOOKUP(BBDD_fashion_boutique[[#This Row],[product_id]],A1730:A3905,1,FALSE),0),1,0)</f>
        <v>0</v>
      </c>
    </row>
    <row r="1730" spans="1:25" x14ac:dyDescent="0.3">
      <c r="A1730" t="s">
        <v>1789</v>
      </c>
      <c r="B1730" t="s">
        <v>35</v>
      </c>
      <c r="C1730" t="s">
        <v>37</v>
      </c>
      <c r="D1730" t="s">
        <v>68</v>
      </c>
      <c r="E1730" t="s">
        <v>45</v>
      </c>
      <c r="F1730" t="str">
        <f>IF(BBDD_fashion_boutique[[#This Row],[category]]="Accessories","Accesorio",IF(BBDD_fashion_boutique[[#This Row],[size]]="","Desconocido",BBDD_fashion_boutique[[#This Row],[size]]))</f>
        <v>S</v>
      </c>
      <c r="G1730" t="s">
        <v>76</v>
      </c>
      <c r="H1730" s="2">
        <v>159.94999999999999</v>
      </c>
      <c r="I1730">
        <v>6.4</v>
      </c>
      <c r="J1730" s="5">
        <f>BBDD_fashion_boutique[[#This Row],[markdown_percentage]]/100</f>
        <v>6.4000000000000001E-2</v>
      </c>
      <c r="K1730" s="2">
        <v>149.71</v>
      </c>
      <c r="L1730" s="2">
        <f>BBDD_fashion_boutique[[#This Row],[original_price]]-BBDD_fashion_boutique[[#This Row],[current_price]]</f>
        <v>10.239999999999981</v>
      </c>
      <c r="M1730" s="1">
        <v>45875</v>
      </c>
      <c r="N1730" s="1" t="str">
        <f>PROPER(TEXT(BBDD_fashion_boutique[[#This Row],[purchase_date]],"dddd"))</f>
        <v>Miércoles</v>
      </c>
      <c r="O1730" s="1" t="str">
        <f>PROPER(TEXT(BBDD_fashion_boutique[[#This Row],[purchase_date]],"mmmm"))</f>
        <v>Agosto</v>
      </c>
      <c r="P1730" s="4">
        <v>39</v>
      </c>
      <c r="Q1730" s="2">
        <v>3</v>
      </c>
      <c r="R1730" t="str">
        <f>IF(BBDD_fashion_boutique[[#This Row],[stock_quantity]]&gt;9,"Ok",IF(BBDD_fashion_boutique[[#This Row],[stock_quantity]]=0,"Agotado","Pocas Unidades"))</f>
        <v>Ok</v>
      </c>
      <c r="S1730" s="3">
        <f>IF(BBDD_fashion_boutique[[#This Row],[customer_rating]]="","No valorado",BBDD_fashion_boutique[[#This Row],[customer_rating]])</f>
        <v>3</v>
      </c>
      <c r="T1730" t="s">
        <v>24</v>
      </c>
      <c r="V1730">
        <f>IF(BBDD_fashion_boutique[[#This Row],[is_returned]]="False",0,1)</f>
        <v>0</v>
      </c>
      <c r="W1730">
        <f>IF(BBDD_fashion_boutique[[#This Row],[is_returned]]="True",0,BBDD_fashion_boutique[[#This Row],[current_price]])</f>
        <v>149.71</v>
      </c>
      <c r="X1730" t="str">
        <f>IF(BBDD_fashion_boutique[[#This Row],[return_reason]]="","No return",BBDD_fashion_boutique[[#This Row],[return_reason]])</f>
        <v>No return</v>
      </c>
      <c r="Y1730">
        <f>IF(IFERROR(VLOOKUP(BBDD_fashion_boutique[[#This Row],[product_id]],A1731:A3906,1,FALSE),0),1,0)</f>
        <v>0</v>
      </c>
    </row>
    <row r="1731" spans="1:25" x14ac:dyDescent="0.3">
      <c r="A1731" t="s">
        <v>1790</v>
      </c>
      <c r="B1731" t="s">
        <v>48</v>
      </c>
      <c r="C1731" t="s">
        <v>67</v>
      </c>
      <c r="D1731" t="s">
        <v>68</v>
      </c>
      <c r="E1731" t="s">
        <v>29</v>
      </c>
      <c r="F1731" t="str">
        <f>IF(BBDD_fashion_boutique[[#This Row],[category]]="Accessories","Accesorio",IF(BBDD_fashion_boutique[[#This Row],[size]]="","Desconocido",BBDD_fashion_boutique[[#This Row],[size]]))</f>
        <v>L</v>
      </c>
      <c r="G1731" t="s">
        <v>33</v>
      </c>
      <c r="H1731" s="2">
        <v>61.9</v>
      </c>
      <c r="I1731">
        <v>0</v>
      </c>
      <c r="J1731" s="5">
        <f>BBDD_fashion_boutique[[#This Row],[markdown_percentage]]/100</f>
        <v>0</v>
      </c>
      <c r="K1731" s="2">
        <v>61.9</v>
      </c>
      <c r="L1731" s="2">
        <f>BBDD_fashion_boutique[[#This Row],[original_price]]-BBDD_fashion_boutique[[#This Row],[current_price]]</f>
        <v>0</v>
      </c>
      <c r="M1731" s="1">
        <v>45875</v>
      </c>
      <c r="N1731" s="1" t="str">
        <f>PROPER(TEXT(BBDD_fashion_boutique[[#This Row],[purchase_date]],"dddd"))</f>
        <v>Miércoles</v>
      </c>
      <c r="O1731" s="1" t="str">
        <f>PROPER(TEXT(BBDD_fashion_boutique[[#This Row],[purchase_date]],"mmmm"))</f>
        <v>Agosto</v>
      </c>
      <c r="P1731" s="4">
        <v>29</v>
      </c>
      <c r="Q1731" s="2">
        <v>4.4000000000000004</v>
      </c>
      <c r="R1731" t="str">
        <f>IF(BBDD_fashion_boutique[[#This Row],[stock_quantity]]&gt;9,"Ok",IF(BBDD_fashion_boutique[[#This Row],[stock_quantity]]=0,"Agotado","Pocas Unidades"))</f>
        <v>Ok</v>
      </c>
      <c r="S1731" s="3">
        <f>IF(BBDD_fashion_boutique[[#This Row],[customer_rating]]="","No valorado",BBDD_fashion_boutique[[#This Row],[customer_rating]])</f>
        <v>4.4000000000000004</v>
      </c>
      <c r="T1731" t="s">
        <v>24</v>
      </c>
      <c r="V1731">
        <f>IF(BBDD_fashion_boutique[[#This Row],[is_returned]]="False",0,1)</f>
        <v>0</v>
      </c>
      <c r="W1731">
        <f>IF(BBDD_fashion_boutique[[#This Row],[is_returned]]="True",0,BBDD_fashion_boutique[[#This Row],[current_price]])</f>
        <v>61.9</v>
      </c>
      <c r="X1731" t="str">
        <f>IF(BBDD_fashion_boutique[[#This Row],[return_reason]]="","No return",BBDD_fashion_boutique[[#This Row],[return_reason]])</f>
        <v>No return</v>
      </c>
      <c r="Y1731">
        <f>IF(IFERROR(VLOOKUP(BBDD_fashion_boutique[[#This Row],[product_id]],A1732:A3907,1,FALSE),0),1,0)</f>
        <v>0</v>
      </c>
    </row>
    <row r="1732" spans="1:25" x14ac:dyDescent="0.3">
      <c r="A1732" t="s">
        <v>1791</v>
      </c>
      <c r="B1732" t="s">
        <v>26</v>
      </c>
      <c r="C1732" t="s">
        <v>37</v>
      </c>
      <c r="D1732" t="s">
        <v>39</v>
      </c>
      <c r="E1732" t="s">
        <v>22</v>
      </c>
      <c r="F1732" t="str">
        <f>IF(BBDD_fashion_boutique[[#This Row],[category]]="Accessories","Accesorio",IF(BBDD_fashion_boutique[[#This Row],[size]]="","Desconocido",BBDD_fashion_boutique[[#This Row],[size]]))</f>
        <v>XL</v>
      </c>
      <c r="G1732" t="s">
        <v>72</v>
      </c>
      <c r="H1732" s="2">
        <v>63.45</v>
      </c>
      <c r="I1732">
        <v>12.3</v>
      </c>
      <c r="J1732" s="5">
        <f>BBDD_fashion_boutique[[#This Row],[markdown_percentage]]/100</f>
        <v>0.12300000000000001</v>
      </c>
      <c r="K1732" s="2">
        <v>55.65</v>
      </c>
      <c r="L1732" s="2">
        <f>BBDD_fashion_boutique[[#This Row],[original_price]]-BBDD_fashion_boutique[[#This Row],[current_price]]</f>
        <v>7.8000000000000043</v>
      </c>
      <c r="M1732" s="1">
        <v>45875</v>
      </c>
      <c r="N1732" s="1" t="str">
        <f>PROPER(TEXT(BBDD_fashion_boutique[[#This Row],[purchase_date]],"dddd"))</f>
        <v>Miércoles</v>
      </c>
      <c r="O1732" s="1" t="str">
        <f>PROPER(TEXT(BBDD_fashion_boutique[[#This Row],[purchase_date]],"mmmm"))</f>
        <v>Agosto</v>
      </c>
      <c r="P1732" s="4">
        <v>23</v>
      </c>
      <c r="Q1732" s="2">
        <v>4.9000000000000004</v>
      </c>
      <c r="R1732" t="str">
        <f>IF(BBDD_fashion_boutique[[#This Row],[stock_quantity]]&gt;9,"Ok",IF(BBDD_fashion_boutique[[#This Row],[stock_quantity]]=0,"Agotado","Pocas Unidades"))</f>
        <v>Ok</v>
      </c>
      <c r="S1732" s="3">
        <f>IF(BBDD_fashion_boutique[[#This Row],[customer_rating]]="","No valorado",BBDD_fashion_boutique[[#This Row],[customer_rating]])</f>
        <v>4.9000000000000004</v>
      </c>
      <c r="T1732" t="s">
        <v>24</v>
      </c>
      <c r="V1732">
        <f>IF(BBDD_fashion_boutique[[#This Row],[is_returned]]="False",0,1)</f>
        <v>0</v>
      </c>
      <c r="W1732">
        <f>IF(BBDD_fashion_boutique[[#This Row],[is_returned]]="True",0,BBDD_fashion_boutique[[#This Row],[current_price]])</f>
        <v>55.65</v>
      </c>
      <c r="X1732" t="str">
        <f>IF(BBDD_fashion_boutique[[#This Row],[return_reason]]="","No return",BBDD_fashion_boutique[[#This Row],[return_reason]])</f>
        <v>No return</v>
      </c>
      <c r="Y1732">
        <f>IF(IFERROR(VLOOKUP(BBDD_fashion_boutique[[#This Row],[product_id]],A1733:A3908,1,FALSE),0),1,0)</f>
        <v>0</v>
      </c>
    </row>
    <row r="1733" spans="1:25" x14ac:dyDescent="0.3">
      <c r="A1733" t="s">
        <v>1792</v>
      </c>
      <c r="B1733" t="s">
        <v>26</v>
      </c>
      <c r="C1733" t="s">
        <v>49</v>
      </c>
      <c r="D1733" t="s">
        <v>68</v>
      </c>
      <c r="E1733" t="s">
        <v>45</v>
      </c>
      <c r="F1733" t="str">
        <f>IF(BBDD_fashion_boutique[[#This Row],[category]]="Accessories","Accesorio",IF(BBDD_fashion_boutique[[#This Row],[size]]="","Desconocido",BBDD_fashion_boutique[[#This Row],[size]]))</f>
        <v>S</v>
      </c>
      <c r="G1733" t="s">
        <v>23</v>
      </c>
      <c r="H1733" s="2">
        <v>43.22</v>
      </c>
      <c r="I1733">
        <v>46.7</v>
      </c>
      <c r="J1733" s="5">
        <f>BBDD_fashion_boutique[[#This Row],[markdown_percentage]]/100</f>
        <v>0.46700000000000003</v>
      </c>
      <c r="K1733" s="2">
        <v>23.04</v>
      </c>
      <c r="L1733" s="2">
        <f>BBDD_fashion_boutique[[#This Row],[original_price]]-BBDD_fashion_boutique[[#This Row],[current_price]]</f>
        <v>20.18</v>
      </c>
      <c r="M1733" s="1">
        <v>45875</v>
      </c>
      <c r="N1733" s="1" t="str">
        <f>PROPER(TEXT(BBDD_fashion_boutique[[#This Row],[purchase_date]],"dddd"))</f>
        <v>Miércoles</v>
      </c>
      <c r="O1733" s="1" t="str">
        <f>PROPER(TEXT(BBDD_fashion_boutique[[#This Row],[purchase_date]],"mmmm"))</f>
        <v>Agosto</v>
      </c>
      <c r="P1733" s="4">
        <v>29</v>
      </c>
      <c r="Q1733" s="2">
        <v>1.3</v>
      </c>
      <c r="R1733" t="str">
        <f>IF(BBDD_fashion_boutique[[#This Row],[stock_quantity]]&gt;9,"Ok",IF(BBDD_fashion_boutique[[#This Row],[stock_quantity]]=0,"Agotado","Pocas Unidades"))</f>
        <v>Ok</v>
      </c>
      <c r="S1733" s="3">
        <f>IF(BBDD_fashion_boutique[[#This Row],[customer_rating]]="","No valorado",BBDD_fashion_boutique[[#This Row],[customer_rating]])</f>
        <v>1.3</v>
      </c>
      <c r="T1733" t="s">
        <v>24</v>
      </c>
      <c r="V1733">
        <f>IF(BBDD_fashion_boutique[[#This Row],[is_returned]]="False",0,1)</f>
        <v>0</v>
      </c>
      <c r="W1733">
        <f>IF(BBDD_fashion_boutique[[#This Row],[is_returned]]="True",0,BBDD_fashion_boutique[[#This Row],[current_price]])</f>
        <v>23.04</v>
      </c>
      <c r="X1733" t="str">
        <f>IF(BBDD_fashion_boutique[[#This Row],[return_reason]]="","No return",BBDD_fashion_boutique[[#This Row],[return_reason]])</f>
        <v>No return</v>
      </c>
      <c r="Y1733">
        <f>IF(IFERROR(VLOOKUP(BBDD_fashion_boutique[[#This Row],[product_id]],A1734:A3909,1,FALSE),0),1,0)</f>
        <v>0</v>
      </c>
    </row>
    <row r="1734" spans="1:25" x14ac:dyDescent="0.3">
      <c r="A1734" t="s">
        <v>1793</v>
      </c>
      <c r="B1734" t="s">
        <v>35</v>
      </c>
      <c r="C1734" t="s">
        <v>37</v>
      </c>
      <c r="D1734" t="s">
        <v>28</v>
      </c>
      <c r="E1734" t="s">
        <v>45</v>
      </c>
      <c r="F1734" t="str">
        <f>IF(BBDD_fashion_boutique[[#This Row],[category]]="Accessories","Accesorio",IF(BBDD_fashion_boutique[[#This Row],[size]]="","Desconocido",BBDD_fashion_boutique[[#This Row],[size]]))</f>
        <v>S</v>
      </c>
      <c r="G1734" t="s">
        <v>70</v>
      </c>
      <c r="H1734" s="2">
        <v>64.650000000000006</v>
      </c>
      <c r="I1734">
        <v>26.8</v>
      </c>
      <c r="J1734" s="5">
        <f>BBDD_fashion_boutique[[#This Row],[markdown_percentage]]/100</f>
        <v>0.26800000000000002</v>
      </c>
      <c r="K1734" s="2">
        <v>47.32</v>
      </c>
      <c r="L1734" s="2">
        <f>BBDD_fashion_boutique[[#This Row],[original_price]]-BBDD_fashion_boutique[[#This Row],[current_price]]</f>
        <v>17.330000000000005</v>
      </c>
      <c r="M1734" s="1">
        <v>45875</v>
      </c>
      <c r="N1734" s="1" t="str">
        <f>PROPER(TEXT(BBDD_fashion_boutique[[#This Row],[purchase_date]],"dddd"))</f>
        <v>Miércoles</v>
      </c>
      <c r="O1734" s="1" t="str">
        <f>PROPER(TEXT(BBDD_fashion_boutique[[#This Row],[purchase_date]],"mmmm"))</f>
        <v>Agosto</v>
      </c>
      <c r="P1734" s="4">
        <v>28</v>
      </c>
      <c r="Q1734" s="2">
        <v>4.7</v>
      </c>
      <c r="R1734" t="str">
        <f>IF(BBDD_fashion_boutique[[#This Row],[stock_quantity]]&gt;9,"Ok",IF(BBDD_fashion_boutique[[#This Row],[stock_quantity]]=0,"Agotado","Pocas Unidades"))</f>
        <v>Ok</v>
      </c>
      <c r="S1734" s="3">
        <f>IF(BBDD_fashion_boutique[[#This Row],[customer_rating]]="","No valorado",BBDD_fashion_boutique[[#This Row],[customer_rating]])</f>
        <v>4.7</v>
      </c>
      <c r="T1734" t="s">
        <v>24</v>
      </c>
      <c r="V1734">
        <f>IF(BBDD_fashion_boutique[[#This Row],[is_returned]]="False",0,1)</f>
        <v>0</v>
      </c>
      <c r="W1734">
        <f>IF(BBDD_fashion_boutique[[#This Row],[is_returned]]="True",0,BBDD_fashion_boutique[[#This Row],[current_price]])</f>
        <v>47.32</v>
      </c>
      <c r="X1734" t="str">
        <f>IF(BBDD_fashion_boutique[[#This Row],[return_reason]]="","No return",BBDD_fashion_boutique[[#This Row],[return_reason]])</f>
        <v>No return</v>
      </c>
      <c r="Y1734">
        <f>IF(IFERROR(VLOOKUP(BBDD_fashion_boutique[[#This Row],[product_id]],A1735:A3910,1,FALSE),0),1,0)</f>
        <v>0</v>
      </c>
    </row>
    <row r="1735" spans="1:25" x14ac:dyDescent="0.3">
      <c r="A1735" t="s">
        <v>1794</v>
      </c>
      <c r="B1735" t="s">
        <v>35</v>
      </c>
      <c r="C1735" t="s">
        <v>27</v>
      </c>
      <c r="D1735" t="s">
        <v>21</v>
      </c>
      <c r="E1735" t="s">
        <v>55</v>
      </c>
      <c r="F1735" t="str">
        <f>IF(BBDD_fashion_boutique[[#This Row],[category]]="Accessories","Accesorio",IF(BBDD_fashion_boutique[[#This Row],[size]]="","Desconocido",BBDD_fashion_boutique[[#This Row],[size]]))</f>
        <v>XXL</v>
      </c>
      <c r="G1735" t="s">
        <v>72</v>
      </c>
      <c r="H1735" s="2">
        <v>118.67</v>
      </c>
      <c r="I1735">
        <v>56</v>
      </c>
      <c r="J1735" s="5">
        <f>BBDD_fashion_boutique[[#This Row],[markdown_percentage]]/100</f>
        <v>0.56000000000000005</v>
      </c>
      <c r="K1735" s="2">
        <v>52.21</v>
      </c>
      <c r="L1735" s="2">
        <f>BBDD_fashion_boutique[[#This Row],[original_price]]-BBDD_fashion_boutique[[#This Row],[current_price]]</f>
        <v>66.460000000000008</v>
      </c>
      <c r="M1735" s="1">
        <v>45773</v>
      </c>
      <c r="N1735" s="1" t="str">
        <f>PROPER(TEXT(BBDD_fashion_boutique[[#This Row],[purchase_date]],"dddd"))</f>
        <v>Sábado</v>
      </c>
      <c r="O1735" s="1" t="str">
        <f>PROPER(TEXT(BBDD_fashion_boutique[[#This Row],[purchase_date]],"mmmm"))</f>
        <v>Abril</v>
      </c>
      <c r="P1735" s="4">
        <v>27</v>
      </c>
      <c r="Q1735" s="2">
        <v>3.5</v>
      </c>
      <c r="R1735" t="str">
        <f>IF(BBDD_fashion_boutique[[#This Row],[stock_quantity]]&gt;9,"Ok",IF(BBDD_fashion_boutique[[#This Row],[stock_quantity]]=0,"Agotado","Pocas Unidades"))</f>
        <v>Ok</v>
      </c>
      <c r="S1735" s="3">
        <f>IF(BBDD_fashion_boutique[[#This Row],[customer_rating]]="","No valorado",BBDD_fashion_boutique[[#This Row],[customer_rating]])</f>
        <v>3.5</v>
      </c>
      <c r="T1735" t="s">
        <v>24</v>
      </c>
      <c r="V1735">
        <f>IF(BBDD_fashion_boutique[[#This Row],[is_returned]]="False",0,1)</f>
        <v>0</v>
      </c>
      <c r="W1735">
        <f>IF(BBDD_fashion_boutique[[#This Row],[is_returned]]="True",0,BBDD_fashion_boutique[[#This Row],[current_price]])</f>
        <v>52.21</v>
      </c>
      <c r="X1735" t="str">
        <f>IF(BBDD_fashion_boutique[[#This Row],[return_reason]]="","No return",BBDD_fashion_boutique[[#This Row],[return_reason]])</f>
        <v>No return</v>
      </c>
      <c r="Y1735">
        <f>IF(IFERROR(VLOOKUP(BBDD_fashion_boutique[[#This Row],[product_id]],A1736:A3911,1,FALSE),0),1,0)</f>
        <v>0</v>
      </c>
    </row>
    <row r="1736" spans="1:25" x14ac:dyDescent="0.3">
      <c r="A1736" t="s">
        <v>1795</v>
      </c>
      <c r="B1736" t="s">
        <v>48</v>
      </c>
      <c r="C1736" t="s">
        <v>37</v>
      </c>
      <c r="D1736" t="s">
        <v>21</v>
      </c>
      <c r="E1736" t="s">
        <v>61</v>
      </c>
      <c r="F1736" t="str">
        <f>IF(BBDD_fashion_boutique[[#This Row],[category]]="Accessories","Accesorio",IF(BBDD_fashion_boutique[[#This Row],[size]]="","Desconocido",BBDD_fashion_boutique[[#This Row],[size]]))</f>
        <v>XS</v>
      </c>
      <c r="G1736" t="s">
        <v>40</v>
      </c>
      <c r="H1736" s="2">
        <v>169.32</v>
      </c>
      <c r="I1736">
        <v>0</v>
      </c>
      <c r="J1736" s="5">
        <f>BBDD_fashion_boutique[[#This Row],[markdown_percentage]]/100</f>
        <v>0</v>
      </c>
      <c r="K1736" s="2">
        <v>169.32</v>
      </c>
      <c r="L1736" s="2">
        <f>BBDD_fashion_boutique[[#This Row],[original_price]]-BBDD_fashion_boutique[[#This Row],[current_price]]</f>
        <v>0</v>
      </c>
      <c r="M1736" s="1">
        <v>45643</v>
      </c>
      <c r="N1736" s="1" t="str">
        <f>PROPER(TEXT(BBDD_fashion_boutique[[#This Row],[purchase_date]],"dddd"))</f>
        <v>Martes</v>
      </c>
      <c r="O1736" s="1" t="str">
        <f>PROPER(TEXT(BBDD_fashion_boutique[[#This Row],[purchase_date]],"mmmm"))</f>
        <v>Diciembre</v>
      </c>
      <c r="P1736" s="4">
        <v>19</v>
      </c>
      <c r="Q1736" s="2">
        <v>2.2000000000000002</v>
      </c>
      <c r="R1736" t="str">
        <f>IF(BBDD_fashion_boutique[[#This Row],[stock_quantity]]&gt;9,"Ok",IF(BBDD_fashion_boutique[[#This Row],[stock_quantity]]=0,"Agotado","Pocas Unidades"))</f>
        <v>Ok</v>
      </c>
      <c r="S1736" s="3">
        <f>IF(BBDD_fashion_boutique[[#This Row],[customer_rating]]="","No valorado",BBDD_fashion_boutique[[#This Row],[customer_rating]])</f>
        <v>2.2000000000000002</v>
      </c>
      <c r="T1736" t="s">
        <v>24</v>
      </c>
      <c r="V1736">
        <f>IF(BBDD_fashion_boutique[[#This Row],[is_returned]]="False",0,1)</f>
        <v>0</v>
      </c>
      <c r="W1736">
        <f>IF(BBDD_fashion_boutique[[#This Row],[is_returned]]="True",0,BBDD_fashion_boutique[[#This Row],[current_price]])</f>
        <v>169.32</v>
      </c>
      <c r="X1736" t="str">
        <f>IF(BBDD_fashion_boutique[[#This Row],[return_reason]]="","No return",BBDD_fashion_boutique[[#This Row],[return_reason]])</f>
        <v>No return</v>
      </c>
      <c r="Y1736">
        <f>IF(IFERROR(VLOOKUP(BBDD_fashion_boutique[[#This Row],[product_id]],A1737:A3912,1,FALSE),0),1,0)</f>
        <v>0</v>
      </c>
    </row>
    <row r="1737" spans="1:25" x14ac:dyDescent="0.3">
      <c r="A1737" t="s">
        <v>1796</v>
      </c>
      <c r="B1737" t="s">
        <v>35</v>
      </c>
      <c r="C1737" t="s">
        <v>59</v>
      </c>
      <c r="D1737" t="s">
        <v>21</v>
      </c>
      <c r="E1737" t="s">
        <v>61</v>
      </c>
      <c r="F1737" t="str">
        <f>IF(BBDD_fashion_boutique[[#This Row],[category]]="Accessories","Accesorio",IF(BBDD_fashion_boutique[[#This Row],[size]]="","Desconocido",BBDD_fashion_boutique[[#This Row],[size]]))</f>
        <v>XS</v>
      </c>
      <c r="G1737" t="s">
        <v>46</v>
      </c>
      <c r="H1737" s="2">
        <v>115.77</v>
      </c>
      <c r="I1737">
        <v>0</v>
      </c>
      <c r="J1737" s="5">
        <f>BBDD_fashion_boutique[[#This Row],[markdown_percentage]]/100</f>
        <v>0</v>
      </c>
      <c r="K1737" s="2">
        <v>115.77</v>
      </c>
      <c r="L1737" s="2">
        <f>BBDD_fashion_boutique[[#This Row],[original_price]]-BBDD_fashion_boutique[[#This Row],[current_price]]</f>
        <v>0</v>
      </c>
      <c r="M1737" s="1">
        <v>45620</v>
      </c>
      <c r="N1737" s="1" t="str">
        <f>PROPER(TEXT(BBDD_fashion_boutique[[#This Row],[purchase_date]],"dddd"))</f>
        <v>Domingo</v>
      </c>
      <c r="O1737" s="1" t="str">
        <f>PROPER(TEXT(BBDD_fashion_boutique[[#This Row],[purchase_date]],"mmmm"))</f>
        <v>Noviembre</v>
      </c>
      <c r="P1737" s="4">
        <v>43</v>
      </c>
      <c r="R1737" t="str">
        <f>IF(BBDD_fashion_boutique[[#This Row],[stock_quantity]]&gt;9,"Ok",IF(BBDD_fashion_boutique[[#This Row],[stock_quantity]]=0,"Agotado","Pocas Unidades"))</f>
        <v>Ok</v>
      </c>
      <c r="S1737" s="3" t="str">
        <f>IF(BBDD_fashion_boutique[[#This Row],[customer_rating]]="","No valorado",BBDD_fashion_boutique[[#This Row],[customer_rating]])</f>
        <v>No valorado</v>
      </c>
      <c r="T1737" t="s">
        <v>24</v>
      </c>
      <c r="V1737">
        <f>IF(BBDD_fashion_boutique[[#This Row],[is_returned]]="False",0,1)</f>
        <v>0</v>
      </c>
      <c r="W1737">
        <f>IF(BBDD_fashion_boutique[[#This Row],[is_returned]]="True",0,BBDD_fashion_boutique[[#This Row],[current_price]])</f>
        <v>115.77</v>
      </c>
      <c r="X1737" t="str">
        <f>IF(BBDD_fashion_boutique[[#This Row],[return_reason]]="","No return",BBDD_fashion_boutique[[#This Row],[return_reason]])</f>
        <v>No return</v>
      </c>
      <c r="Y1737">
        <f>IF(IFERROR(VLOOKUP(BBDD_fashion_boutique[[#This Row],[product_id]],A1738:A3913,1,FALSE),0),1,0)</f>
        <v>0</v>
      </c>
    </row>
    <row r="1738" spans="1:25" x14ac:dyDescent="0.3">
      <c r="A1738" t="s">
        <v>1797</v>
      </c>
      <c r="B1738" t="s">
        <v>35</v>
      </c>
      <c r="C1738" t="s">
        <v>49</v>
      </c>
      <c r="D1738" t="s">
        <v>39</v>
      </c>
      <c r="E1738" t="s">
        <v>61</v>
      </c>
      <c r="F1738" t="str">
        <f>IF(BBDD_fashion_boutique[[#This Row],[category]]="Accessories","Accesorio",IF(BBDD_fashion_boutique[[#This Row],[size]]="","Desconocido",BBDD_fashion_boutique[[#This Row],[size]]))</f>
        <v>XS</v>
      </c>
      <c r="G1738" t="s">
        <v>62</v>
      </c>
      <c r="H1738" s="2">
        <v>139.91</v>
      </c>
      <c r="I1738">
        <v>0</v>
      </c>
      <c r="J1738" s="5">
        <f>BBDD_fashion_boutique[[#This Row],[markdown_percentage]]/100</f>
        <v>0</v>
      </c>
      <c r="K1738" s="2">
        <v>139.91</v>
      </c>
      <c r="L1738" s="2">
        <f>BBDD_fashion_boutique[[#This Row],[original_price]]-BBDD_fashion_boutique[[#This Row],[current_price]]</f>
        <v>0</v>
      </c>
      <c r="M1738" s="1">
        <v>45875</v>
      </c>
      <c r="N1738" s="1" t="str">
        <f>PROPER(TEXT(BBDD_fashion_boutique[[#This Row],[purchase_date]],"dddd"))</f>
        <v>Miércoles</v>
      </c>
      <c r="O1738" s="1" t="str">
        <f>PROPER(TEXT(BBDD_fashion_boutique[[#This Row],[purchase_date]],"mmmm"))</f>
        <v>Agosto</v>
      </c>
      <c r="P1738" s="4">
        <v>9</v>
      </c>
      <c r="Q1738" s="2">
        <v>3.7</v>
      </c>
      <c r="R1738" t="str">
        <f>IF(BBDD_fashion_boutique[[#This Row],[stock_quantity]]&gt;9,"Ok",IF(BBDD_fashion_boutique[[#This Row],[stock_quantity]]=0,"Agotado","Pocas Unidades"))</f>
        <v>Pocas Unidades</v>
      </c>
      <c r="S1738" s="3">
        <f>IF(BBDD_fashion_boutique[[#This Row],[customer_rating]]="","No valorado",BBDD_fashion_boutique[[#This Row],[customer_rating]])</f>
        <v>3.7</v>
      </c>
      <c r="T1738" t="s">
        <v>24</v>
      </c>
      <c r="V1738">
        <f>IF(BBDD_fashion_boutique[[#This Row],[is_returned]]="False",0,1)</f>
        <v>0</v>
      </c>
      <c r="W1738">
        <f>IF(BBDD_fashion_boutique[[#This Row],[is_returned]]="True",0,BBDD_fashion_boutique[[#This Row],[current_price]])</f>
        <v>139.91</v>
      </c>
      <c r="X1738" t="str">
        <f>IF(BBDD_fashion_boutique[[#This Row],[return_reason]]="","No return",BBDD_fashion_boutique[[#This Row],[return_reason]])</f>
        <v>No return</v>
      </c>
      <c r="Y1738">
        <f>IF(IFERROR(VLOOKUP(BBDD_fashion_boutique[[#This Row],[product_id]],A1739:A3914,1,FALSE),0),1,0)</f>
        <v>0</v>
      </c>
    </row>
    <row r="1739" spans="1:25" x14ac:dyDescent="0.3">
      <c r="A1739" t="s">
        <v>1798</v>
      </c>
      <c r="B1739" t="s">
        <v>44</v>
      </c>
      <c r="C1739" t="s">
        <v>37</v>
      </c>
      <c r="D1739" t="s">
        <v>68</v>
      </c>
      <c r="E1739" t="s">
        <v>55</v>
      </c>
      <c r="F1739" t="str">
        <f>IF(BBDD_fashion_boutique[[#This Row],[category]]="Accessories","Accesorio",IF(BBDD_fashion_boutique[[#This Row],[size]]="","Desconocido",BBDD_fashion_boutique[[#This Row],[size]]))</f>
        <v>XXL</v>
      </c>
      <c r="G1739" t="s">
        <v>72</v>
      </c>
      <c r="H1739" s="2">
        <v>101.73</v>
      </c>
      <c r="I1739">
        <v>0</v>
      </c>
      <c r="J1739" s="5">
        <f>BBDD_fashion_boutique[[#This Row],[markdown_percentage]]/100</f>
        <v>0</v>
      </c>
      <c r="K1739" s="2">
        <v>101.73</v>
      </c>
      <c r="L1739" s="2">
        <f>BBDD_fashion_boutique[[#This Row],[original_price]]-BBDD_fashion_boutique[[#This Row],[current_price]]</f>
        <v>0</v>
      </c>
      <c r="M1739" s="1">
        <v>45875</v>
      </c>
      <c r="N1739" s="1" t="str">
        <f>PROPER(TEXT(BBDD_fashion_boutique[[#This Row],[purchase_date]],"dddd"))</f>
        <v>Miércoles</v>
      </c>
      <c r="O1739" s="1" t="str">
        <f>PROPER(TEXT(BBDD_fashion_boutique[[#This Row],[purchase_date]],"mmmm"))</f>
        <v>Agosto</v>
      </c>
      <c r="P1739" s="4">
        <v>14</v>
      </c>
      <c r="Q1739" s="2">
        <v>4.7</v>
      </c>
      <c r="R1739" t="str">
        <f>IF(BBDD_fashion_boutique[[#This Row],[stock_quantity]]&gt;9,"Ok",IF(BBDD_fashion_boutique[[#This Row],[stock_quantity]]=0,"Agotado","Pocas Unidades"))</f>
        <v>Ok</v>
      </c>
      <c r="S1739" s="3">
        <f>IF(BBDD_fashion_boutique[[#This Row],[customer_rating]]="","No valorado",BBDD_fashion_boutique[[#This Row],[customer_rating]])</f>
        <v>4.7</v>
      </c>
      <c r="T1739" t="s">
        <v>24</v>
      </c>
      <c r="V1739">
        <f>IF(BBDD_fashion_boutique[[#This Row],[is_returned]]="False",0,1)</f>
        <v>0</v>
      </c>
      <c r="W1739">
        <f>IF(BBDD_fashion_boutique[[#This Row],[is_returned]]="True",0,BBDD_fashion_boutique[[#This Row],[current_price]])</f>
        <v>101.73</v>
      </c>
      <c r="X1739" t="str">
        <f>IF(BBDD_fashion_boutique[[#This Row],[return_reason]]="","No return",BBDD_fashion_boutique[[#This Row],[return_reason]])</f>
        <v>No return</v>
      </c>
      <c r="Y1739">
        <f>IF(IFERROR(VLOOKUP(BBDD_fashion_boutique[[#This Row],[product_id]],A1740:A3915,1,FALSE),0),1,0)</f>
        <v>0</v>
      </c>
    </row>
    <row r="1740" spans="1:25" x14ac:dyDescent="0.3">
      <c r="A1740" t="s">
        <v>1799</v>
      </c>
      <c r="B1740" t="s">
        <v>26</v>
      </c>
      <c r="C1740" t="s">
        <v>81</v>
      </c>
      <c r="D1740" t="s">
        <v>68</v>
      </c>
      <c r="F1740" t="str">
        <f>IF(BBDD_fashion_boutique[[#This Row],[category]]="Accessories","Accesorio",IF(BBDD_fashion_boutique[[#This Row],[size]]="","Desconocido",BBDD_fashion_boutique[[#This Row],[size]]))</f>
        <v>Desconocido</v>
      </c>
      <c r="G1740" t="s">
        <v>30</v>
      </c>
      <c r="H1740" s="2">
        <v>105.85</v>
      </c>
      <c r="I1740">
        <v>0</v>
      </c>
      <c r="J1740" s="5">
        <f>BBDD_fashion_boutique[[#This Row],[markdown_percentage]]/100</f>
        <v>0</v>
      </c>
      <c r="K1740" s="2">
        <v>105.85</v>
      </c>
      <c r="L1740" s="2">
        <f>BBDD_fashion_boutique[[#This Row],[original_price]]-BBDD_fashion_boutique[[#This Row],[current_price]]</f>
        <v>0</v>
      </c>
      <c r="M1740" s="1">
        <v>45875</v>
      </c>
      <c r="N1740" s="1" t="str">
        <f>PROPER(TEXT(BBDD_fashion_boutique[[#This Row],[purchase_date]],"dddd"))</f>
        <v>Miércoles</v>
      </c>
      <c r="O1740" s="1" t="str">
        <f>PROPER(TEXT(BBDD_fashion_boutique[[#This Row],[purchase_date]],"mmmm"))</f>
        <v>Agosto</v>
      </c>
      <c r="P1740" s="4">
        <v>29</v>
      </c>
      <c r="Q1740" s="2">
        <v>2.1</v>
      </c>
      <c r="R1740" t="str">
        <f>IF(BBDD_fashion_boutique[[#This Row],[stock_quantity]]&gt;9,"Ok",IF(BBDD_fashion_boutique[[#This Row],[stock_quantity]]=0,"Agotado","Pocas Unidades"))</f>
        <v>Ok</v>
      </c>
      <c r="S1740" s="3">
        <f>IF(BBDD_fashion_boutique[[#This Row],[customer_rating]]="","No valorado",BBDD_fashion_boutique[[#This Row],[customer_rating]])</f>
        <v>2.1</v>
      </c>
      <c r="T1740" t="s">
        <v>24</v>
      </c>
      <c r="V1740">
        <f>IF(BBDD_fashion_boutique[[#This Row],[is_returned]]="False",0,1)</f>
        <v>0</v>
      </c>
      <c r="W1740">
        <f>IF(BBDD_fashion_boutique[[#This Row],[is_returned]]="True",0,BBDD_fashion_boutique[[#This Row],[current_price]])</f>
        <v>105.85</v>
      </c>
      <c r="X1740" t="str">
        <f>IF(BBDD_fashion_boutique[[#This Row],[return_reason]]="","No return",BBDD_fashion_boutique[[#This Row],[return_reason]])</f>
        <v>No return</v>
      </c>
      <c r="Y1740">
        <f>IF(IFERROR(VLOOKUP(BBDD_fashion_boutique[[#This Row],[product_id]],A1741:A3916,1,FALSE),0),1,0)</f>
        <v>0</v>
      </c>
    </row>
    <row r="1741" spans="1:25" x14ac:dyDescent="0.3">
      <c r="A1741" t="s">
        <v>1800</v>
      </c>
      <c r="B1741" t="s">
        <v>26</v>
      </c>
      <c r="C1741" t="s">
        <v>67</v>
      </c>
      <c r="D1741" t="s">
        <v>21</v>
      </c>
      <c r="E1741" t="s">
        <v>22</v>
      </c>
      <c r="F1741" t="str">
        <f>IF(BBDD_fashion_boutique[[#This Row],[category]]="Accessories","Accesorio",IF(BBDD_fashion_boutique[[#This Row],[size]]="","Desconocido",BBDD_fashion_boutique[[#This Row],[size]]))</f>
        <v>XL</v>
      </c>
      <c r="G1741" t="s">
        <v>46</v>
      </c>
      <c r="H1741" s="2">
        <v>105.37</v>
      </c>
      <c r="I1741">
        <v>0</v>
      </c>
      <c r="J1741" s="5">
        <f>BBDD_fashion_boutique[[#This Row],[markdown_percentage]]/100</f>
        <v>0</v>
      </c>
      <c r="K1741" s="2">
        <v>105.37</v>
      </c>
      <c r="L1741" s="2">
        <f>BBDD_fashion_boutique[[#This Row],[original_price]]-BBDD_fashion_boutique[[#This Row],[current_price]]</f>
        <v>0</v>
      </c>
      <c r="M1741" s="1">
        <v>45762</v>
      </c>
      <c r="N1741" s="1" t="str">
        <f>PROPER(TEXT(BBDD_fashion_boutique[[#This Row],[purchase_date]],"dddd"))</f>
        <v>Martes</v>
      </c>
      <c r="O1741" s="1" t="str">
        <f>PROPER(TEXT(BBDD_fashion_boutique[[#This Row],[purchase_date]],"mmmm"))</f>
        <v>Abril</v>
      </c>
      <c r="P1741" s="4">
        <v>24</v>
      </c>
      <c r="Q1741" s="2">
        <v>1.2</v>
      </c>
      <c r="R1741" t="str">
        <f>IF(BBDD_fashion_boutique[[#This Row],[stock_quantity]]&gt;9,"Ok",IF(BBDD_fashion_boutique[[#This Row],[stock_quantity]]=0,"Agotado","Pocas Unidades"))</f>
        <v>Ok</v>
      </c>
      <c r="S1741" s="3">
        <f>IF(BBDD_fashion_boutique[[#This Row],[customer_rating]]="","No valorado",BBDD_fashion_boutique[[#This Row],[customer_rating]])</f>
        <v>1.2</v>
      </c>
      <c r="T1741" t="s">
        <v>24</v>
      </c>
      <c r="V1741">
        <f>IF(BBDD_fashion_boutique[[#This Row],[is_returned]]="False",0,1)</f>
        <v>0</v>
      </c>
      <c r="W1741">
        <f>IF(BBDD_fashion_boutique[[#This Row],[is_returned]]="True",0,BBDD_fashion_boutique[[#This Row],[current_price]])</f>
        <v>105.37</v>
      </c>
      <c r="X1741" t="str">
        <f>IF(BBDD_fashion_boutique[[#This Row],[return_reason]]="","No return",BBDD_fashion_boutique[[#This Row],[return_reason]])</f>
        <v>No return</v>
      </c>
      <c r="Y1741">
        <f>IF(IFERROR(VLOOKUP(BBDD_fashion_boutique[[#This Row],[product_id]],A1742:A3917,1,FALSE),0),1,0)</f>
        <v>0</v>
      </c>
    </row>
    <row r="1742" spans="1:25" x14ac:dyDescent="0.3">
      <c r="A1742" t="s">
        <v>1801</v>
      </c>
      <c r="B1742" t="s">
        <v>26</v>
      </c>
      <c r="C1742" t="s">
        <v>54</v>
      </c>
      <c r="D1742" t="s">
        <v>68</v>
      </c>
      <c r="E1742" t="s">
        <v>45</v>
      </c>
      <c r="F1742" t="str">
        <f>IF(BBDD_fashion_boutique[[#This Row],[category]]="Accessories","Accesorio",IF(BBDD_fashion_boutique[[#This Row],[size]]="","Desconocido",BBDD_fashion_boutique[[#This Row],[size]]))</f>
        <v>S</v>
      </c>
      <c r="G1742" t="s">
        <v>76</v>
      </c>
      <c r="H1742" s="2">
        <v>44.42</v>
      </c>
      <c r="I1742">
        <v>0</v>
      </c>
      <c r="J1742" s="5">
        <f>BBDD_fashion_boutique[[#This Row],[markdown_percentage]]/100</f>
        <v>0</v>
      </c>
      <c r="K1742" s="2">
        <v>44.42</v>
      </c>
      <c r="L1742" s="2">
        <f>BBDD_fashion_boutique[[#This Row],[original_price]]-BBDD_fashion_boutique[[#This Row],[current_price]]</f>
        <v>0</v>
      </c>
      <c r="M1742" s="1">
        <v>45875</v>
      </c>
      <c r="N1742" s="1" t="str">
        <f>PROPER(TEXT(BBDD_fashion_boutique[[#This Row],[purchase_date]],"dddd"))</f>
        <v>Miércoles</v>
      </c>
      <c r="O1742" s="1" t="str">
        <f>PROPER(TEXT(BBDD_fashion_boutique[[#This Row],[purchase_date]],"mmmm"))</f>
        <v>Agosto</v>
      </c>
      <c r="P1742" s="4">
        <v>49</v>
      </c>
      <c r="R1742" t="str">
        <f>IF(BBDD_fashion_boutique[[#This Row],[stock_quantity]]&gt;9,"Ok",IF(BBDD_fashion_boutique[[#This Row],[stock_quantity]]=0,"Agotado","Pocas Unidades"))</f>
        <v>Ok</v>
      </c>
      <c r="S1742" s="3" t="str">
        <f>IF(BBDD_fashion_boutique[[#This Row],[customer_rating]]="","No valorado",BBDD_fashion_boutique[[#This Row],[customer_rating]])</f>
        <v>No valorado</v>
      </c>
      <c r="T1742" t="s">
        <v>24</v>
      </c>
      <c r="V1742">
        <f>IF(BBDD_fashion_boutique[[#This Row],[is_returned]]="False",0,1)</f>
        <v>0</v>
      </c>
      <c r="W1742">
        <f>IF(BBDD_fashion_boutique[[#This Row],[is_returned]]="True",0,BBDD_fashion_boutique[[#This Row],[current_price]])</f>
        <v>44.42</v>
      </c>
      <c r="X1742" t="str">
        <f>IF(BBDD_fashion_boutique[[#This Row],[return_reason]]="","No return",BBDD_fashion_boutique[[#This Row],[return_reason]])</f>
        <v>No return</v>
      </c>
      <c r="Y1742">
        <f>IF(IFERROR(VLOOKUP(BBDD_fashion_boutique[[#This Row],[product_id]],A1743:A3918,1,FALSE),0),1,0)</f>
        <v>0</v>
      </c>
    </row>
    <row r="1743" spans="1:25" x14ac:dyDescent="0.3">
      <c r="A1743" t="s">
        <v>1802</v>
      </c>
      <c r="B1743" t="s">
        <v>35</v>
      </c>
      <c r="C1743" t="s">
        <v>27</v>
      </c>
      <c r="D1743" t="s">
        <v>21</v>
      </c>
      <c r="E1743" t="s">
        <v>61</v>
      </c>
      <c r="F1743" t="str">
        <f>IF(BBDD_fashion_boutique[[#This Row],[category]]="Accessories","Accesorio",IF(BBDD_fashion_boutique[[#This Row],[size]]="","Desconocido",BBDD_fashion_boutique[[#This Row],[size]]))</f>
        <v>XS</v>
      </c>
      <c r="G1743" t="s">
        <v>46</v>
      </c>
      <c r="H1743" s="2">
        <v>164.86</v>
      </c>
      <c r="I1743">
        <v>14.3</v>
      </c>
      <c r="J1743" s="5">
        <f>BBDD_fashion_boutique[[#This Row],[markdown_percentage]]/100</f>
        <v>0.14300000000000002</v>
      </c>
      <c r="K1743" s="2">
        <v>141.29</v>
      </c>
      <c r="L1743" s="2">
        <f>BBDD_fashion_boutique[[#This Row],[original_price]]-BBDD_fashion_boutique[[#This Row],[current_price]]</f>
        <v>23.570000000000022</v>
      </c>
      <c r="M1743" s="1">
        <v>45730</v>
      </c>
      <c r="N1743" s="1" t="str">
        <f>PROPER(TEXT(BBDD_fashion_boutique[[#This Row],[purchase_date]],"dddd"))</f>
        <v>Viernes</v>
      </c>
      <c r="O1743" s="1" t="str">
        <f>PROPER(TEXT(BBDD_fashion_boutique[[#This Row],[purchase_date]],"mmmm"))</f>
        <v>Marzo</v>
      </c>
      <c r="P1743" s="4">
        <v>7</v>
      </c>
      <c r="Q1743" s="2">
        <v>2.2999999999999998</v>
      </c>
      <c r="R1743" t="str">
        <f>IF(BBDD_fashion_boutique[[#This Row],[stock_quantity]]&gt;9,"Ok",IF(BBDD_fashion_boutique[[#This Row],[stock_quantity]]=0,"Agotado","Pocas Unidades"))</f>
        <v>Pocas Unidades</v>
      </c>
      <c r="S1743" s="3">
        <f>IF(BBDD_fashion_boutique[[#This Row],[customer_rating]]="","No valorado",BBDD_fashion_boutique[[#This Row],[customer_rating]])</f>
        <v>2.2999999999999998</v>
      </c>
      <c r="T1743" t="s">
        <v>24</v>
      </c>
      <c r="V1743">
        <f>IF(BBDD_fashion_boutique[[#This Row],[is_returned]]="False",0,1)</f>
        <v>0</v>
      </c>
      <c r="W1743">
        <f>IF(BBDD_fashion_boutique[[#This Row],[is_returned]]="True",0,BBDD_fashion_boutique[[#This Row],[current_price]])</f>
        <v>141.29</v>
      </c>
      <c r="X1743" t="str">
        <f>IF(BBDD_fashion_boutique[[#This Row],[return_reason]]="","No return",BBDD_fashion_boutique[[#This Row],[return_reason]])</f>
        <v>No return</v>
      </c>
      <c r="Y1743">
        <f>IF(IFERROR(VLOOKUP(BBDD_fashion_boutique[[#This Row],[product_id]],A1744:A3919,1,FALSE),0),1,0)</f>
        <v>0</v>
      </c>
    </row>
    <row r="1744" spans="1:25" x14ac:dyDescent="0.3">
      <c r="A1744" t="s">
        <v>1803</v>
      </c>
      <c r="B1744" t="s">
        <v>35</v>
      </c>
      <c r="C1744" t="s">
        <v>49</v>
      </c>
      <c r="D1744" t="s">
        <v>39</v>
      </c>
      <c r="E1744" t="s">
        <v>55</v>
      </c>
      <c r="F1744" t="str">
        <f>IF(BBDD_fashion_boutique[[#This Row],[category]]="Accessories","Accesorio",IF(BBDD_fashion_boutique[[#This Row],[size]]="","Desconocido",BBDD_fashion_boutique[[#This Row],[size]]))</f>
        <v>XXL</v>
      </c>
      <c r="G1744" t="s">
        <v>33</v>
      </c>
      <c r="H1744" s="2">
        <v>163.88</v>
      </c>
      <c r="I1744">
        <v>5.9</v>
      </c>
      <c r="J1744" s="5">
        <f>BBDD_fashion_boutique[[#This Row],[markdown_percentage]]/100</f>
        <v>5.9000000000000004E-2</v>
      </c>
      <c r="K1744" s="2">
        <v>154.21</v>
      </c>
      <c r="L1744" s="2">
        <f>BBDD_fashion_boutique[[#This Row],[original_price]]-BBDD_fashion_boutique[[#This Row],[current_price]]</f>
        <v>9.6699999999999875</v>
      </c>
      <c r="M1744" s="1">
        <v>45875</v>
      </c>
      <c r="N1744" s="1" t="str">
        <f>PROPER(TEXT(BBDD_fashion_boutique[[#This Row],[purchase_date]],"dddd"))</f>
        <v>Miércoles</v>
      </c>
      <c r="O1744" s="1" t="str">
        <f>PROPER(TEXT(BBDD_fashion_boutique[[#This Row],[purchase_date]],"mmmm"))</f>
        <v>Agosto</v>
      </c>
      <c r="P1744" s="4">
        <v>39</v>
      </c>
      <c r="Q1744" s="2">
        <v>2.6</v>
      </c>
      <c r="R1744" t="str">
        <f>IF(BBDD_fashion_boutique[[#This Row],[stock_quantity]]&gt;9,"Ok",IF(BBDD_fashion_boutique[[#This Row],[stock_quantity]]=0,"Agotado","Pocas Unidades"))</f>
        <v>Ok</v>
      </c>
      <c r="S1744" s="3">
        <f>IF(BBDD_fashion_boutique[[#This Row],[customer_rating]]="","No valorado",BBDD_fashion_boutique[[#This Row],[customer_rating]])</f>
        <v>2.6</v>
      </c>
      <c r="T1744" t="s">
        <v>24</v>
      </c>
      <c r="V1744">
        <f>IF(BBDD_fashion_boutique[[#This Row],[is_returned]]="False",0,1)</f>
        <v>0</v>
      </c>
      <c r="W1744">
        <f>IF(BBDD_fashion_boutique[[#This Row],[is_returned]]="True",0,BBDD_fashion_boutique[[#This Row],[current_price]])</f>
        <v>154.21</v>
      </c>
      <c r="X1744" t="str">
        <f>IF(BBDD_fashion_boutique[[#This Row],[return_reason]]="","No return",BBDD_fashion_boutique[[#This Row],[return_reason]])</f>
        <v>No return</v>
      </c>
      <c r="Y1744">
        <f>IF(IFERROR(VLOOKUP(BBDD_fashion_boutique[[#This Row],[product_id]],A1745:A3920,1,FALSE),0),1,0)</f>
        <v>0</v>
      </c>
    </row>
    <row r="1745" spans="1:25" x14ac:dyDescent="0.3">
      <c r="A1745" t="s">
        <v>1804</v>
      </c>
      <c r="B1745" t="s">
        <v>44</v>
      </c>
      <c r="C1745" t="s">
        <v>20</v>
      </c>
      <c r="D1745" t="s">
        <v>39</v>
      </c>
      <c r="E1745" t="s">
        <v>61</v>
      </c>
      <c r="F1745" t="str">
        <f>IF(BBDD_fashion_boutique[[#This Row],[category]]="Accessories","Accesorio",IF(BBDD_fashion_boutique[[#This Row],[size]]="","Desconocido",BBDD_fashion_boutique[[#This Row],[size]]))</f>
        <v>XS</v>
      </c>
      <c r="G1745" t="s">
        <v>52</v>
      </c>
      <c r="H1745" s="2">
        <v>36.54</v>
      </c>
      <c r="I1745">
        <v>5.3</v>
      </c>
      <c r="J1745" s="5">
        <f>BBDD_fashion_boutique[[#This Row],[markdown_percentage]]/100</f>
        <v>5.2999999999999999E-2</v>
      </c>
      <c r="K1745" s="2">
        <v>34.6</v>
      </c>
      <c r="L1745" s="2">
        <f>BBDD_fashion_boutique[[#This Row],[original_price]]-BBDD_fashion_boutique[[#This Row],[current_price]]</f>
        <v>1.9399999999999977</v>
      </c>
      <c r="M1745" s="1">
        <v>45875</v>
      </c>
      <c r="N1745" s="1" t="str">
        <f>PROPER(TEXT(BBDD_fashion_boutique[[#This Row],[purchase_date]],"dddd"))</f>
        <v>Miércoles</v>
      </c>
      <c r="O1745" s="1" t="str">
        <f>PROPER(TEXT(BBDD_fashion_boutique[[#This Row],[purchase_date]],"mmmm"))</f>
        <v>Agosto</v>
      </c>
      <c r="P1745" s="4">
        <v>13</v>
      </c>
      <c r="Q1745" s="2">
        <v>2.5</v>
      </c>
      <c r="R1745" t="str">
        <f>IF(BBDD_fashion_boutique[[#This Row],[stock_quantity]]&gt;9,"Ok",IF(BBDD_fashion_boutique[[#This Row],[stock_quantity]]=0,"Agotado","Pocas Unidades"))</f>
        <v>Ok</v>
      </c>
      <c r="S1745" s="3">
        <f>IF(BBDD_fashion_boutique[[#This Row],[customer_rating]]="","No valorado",BBDD_fashion_boutique[[#This Row],[customer_rating]])</f>
        <v>2.5</v>
      </c>
      <c r="T1745" t="s">
        <v>24</v>
      </c>
      <c r="V1745">
        <f>IF(BBDD_fashion_boutique[[#This Row],[is_returned]]="False",0,1)</f>
        <v>0</v>
      </c>
      <c r="W1745">
        <f>IF(BBDD_fashion_boutique[[#This Row],[is_returned]]="True",0,BBDD_fashion_boutique[[#This Row],[current_price]])</f>
        <v>34.6</v>
      </c>
      <c r="X1745" t="str">
        <f>IF(BBDD_fashion_boutique[[#This Row],[return_reason]]="","No return",BBDD_fashion_boutique[[#This Row],[return_reason]])</f>
        <v>No return</v>
      </c>
      <c r="Y1745">
        <f>IF(IFERROR(VLOOKUP(BBDD_fashion_boutique[[#This Row],[product_id]],A1746:A3921,1,FALSE),0),1,0)</f>
        <v>0</v>
      </c>
    </row>
    <row r="1746" spans="1:25" x14ac:dyDescent="0.3">
      <c r="A1746" t="s">
        <v>1805</v>
      </c>
      <c r="B1746" t="s">
        <v>48</v>
      </c>
      <c r="C1746" t="s">
        <v>37</v>
      </c>
      <c r="D1746" t="s">
        <v>21</v>
      </c>
      <c r="E1746" t="s">
        <v>64</v>
      </c>
      <c r="F1746" t="str">
        <f>IF(BBDD_fashion_boutique[[#This Row],[category]]="Accessories","Accesorio",IF(BBDD_fashion_boutique[[#This Row],[size]]="","Desconocido",BBDD_fashion_boutique[[#This Row],[size]]))</f>
        <v>M</v>
      </c>
      <c r="G1746" t="s">
        <v>23</v>
      </c>
      <c r="H1746" s="2">
        <v>99.97</v>
      </c>
      <c r="I1746">
        <v>0</v>
      </c>
      <c r="J1746" s="5">
        <f>BBDD_fashion_boutique[[#This Row],[markdown_percentage]]/100</f>
        <v>0</v>
      </c>
      <c r="K1746" s="2">
        <v>99.97</v>
      </c>
      <c r="L1746" s="2">
        <f>BBDD_fashion_boutique[[#This Row],[original_price]]-BBDD_fashion_boutique[[#This Row],[current_price]]</f>
        <v>0</v>
      </c>
      <c r="M1746" s="1">
        <v>45581</v>
      </c>
      <c r="N1746" s="1" t="str">
        <f>PROPER(TEXT(BBDD_fashion_boutique[[#This Row],[purchase_date]],"dddd"))</f>
        <v>Miércoles</v>
      </c>
      <c r="O1746" s="1" t="str">
        <f>PROPER(TEXT(BBDD_fashion_boutique[[#This Row],[purchase_date]],"mmmm"))</f>
        <v>Octubre</v>
      </c>
      <c r="P1746" s="4">
        <v>38</v>
      </c>
      <c r="Q1746" s="2">
        <v>1.4</v>
      </c>
      <c r="R1746" t="str">
        <f>IF(BBDD_fashion_boutique[[#This Row],[stock_quantity]]&gt;9,"Ok",IF(BBDD_fashion_boutique[[#This Row],[stock_quantity]]=0,"Agotado","Pocas Unidades"))</f>
        <v>Ok</v>
      </c>
      <c r="S1746" s="3">
        <f>IF(BBDD_fashion_boutique[[#This Row],[customer_rating]]="","No valorado",BBDD_fashion_boutique[[#This Row],[customer_rating]])</f>
        <v>1.4</v>
      </c>
      <c r="T1746" t="s">
        <v>24</v>
      </c>
      <c r="V1746">
        <f>IF(BBDD_fashion_boutique[[#This Row],[is_returned]]="False",0,1)</f>
        <v>0</v>
      </c>
      <c r="W1746">
        <f>IF(BBDD_fashion_boutique[[#This Row],[is_returned]]="True",0,BBDD_fashion_boutique[[#This Row],[current_price]])</f>
        <v>99.97</v>
      </c>
      <c r="X1746" t="str">
        <f>IF(BBDD_fashion_boutique[[#This Row],[return_reason]]="","No return",BBDD_fashion_boutique[[#This Row],[return_reason]])</f>
        <v>No return</v>
      </c>
      <c r="Y1746">
        <f>IF(IFERROR(VLOOKUP(BBDD_fashion_boutique[[#This Row],[product_id]],A1747:A3922,1,FALSE),0),1,0)</f>
        <v>0</v>
      </c>
    </row>
    <row r="1747" spans="1:25" x14ac:dyDescent="0.3">
      <c r="A1747" t="s">
        <v>1806</v>
      </c>
      <c r="B1747" t="s">
        <v>19</v>
      </c>
      <c r="C1747" t="s">
        <v>59</v>
      </c>
      <c r="D1747" t="s">
        <v>68</v>
      </c>
      <c r="E1747" t="s">
        <v>22</v>
      </c>
      <c r="F1747" t="str">
        <f>IF(BBDD_fashion_boutique[[#This Row],[category]]="Accessories","Accesorio",IF(BBDD_fashion_boutique[[#This Row],[size]]="","Desconocido",BBDD_fashion_boutique[[#This Row],[size]]))</f>
        <v>XL</v>
      </c>
      <c r="G1747" t="s">
        <v>23</v>
      </c>
      <c r="H1747" s="2">
        <v>194.78</v>
      </c>
      <c r="I1747">
        <v>0</v>
      </c>
      <c r="J1747" s="5">
        <f>BBDD_fashion_boutique[[#This Row],[markdown_percentage]]/100</f>
        <v>0</v>
      </c>
      <c r="K1747" s="2">
        <v>194.78</v>
      </c>
      <c r="L1747" s="2">
        <f>BBDD_fashion_boutique[[#This Row],[original_price]]-BBDD_fashion_boutique[[#This Row],[current_price]]</f>
        <v>0</v>
      </c>
      <c r="M1747" s="1">
        <v>45875</v>
      </c>
      <c r="N1747" s="1" t="str">
        <f>PROPER(TEXT(BBDD_fashion_boutique[[#This Row],[purchase_date]],"dddd"))</f>
        <v>Miércoles</v>
      </c>
      <c r="O1747" s="1" t="str">
        <f>PROPER(TEXT(BBDD_fashion_boutique[[#This Row],[purchase_date]],"mmmm"))</f>
        <v>Agosto</v>
      </c>
      <c r="P1747" s="4">
        <v>31</v>
      </c>
      <c r="R1747" t="str">
        <f>IF(BBDD_fashion_boutique[[#This Row],[stock_quantity]]&gt;9,"Ok",IF(BBDD_fashion_boutique[[#This Row],[stock_quantity]]=0,"Agotado","Pocas Unidades"))</f>
        <v>Ok</v>
      </c>
      <c r="S1747" s="3" t="str">
        <f>IF(BBDD_fashion_boutique[[#This Row],[customer_rating]]="","No valorado",BBDD_fashion_boutique[[#This Row],[customer_rating]])</f>
        <v>No valorado</v>
      </c>
      <c r="T1747" t="s">
        <v>24</v>
      </c>
      <c r="V1747">
        <f>IF(BBDD_fashion_boutique[[#This Row],[is_returned]]="False",0,1)</f>
        <v>0</v>
      </c>
      <c r="W1747">
        <f>IF(BBDD_fashion_boutique[[#This Row],[is_returned]]="True",0,BBDD_fashion_boutique[[#This Row],[current_price]])</f>
        <v>194.78</v>
      </c>
      <c r="X1747" t="str">
        <f>IF(BBDD_fashion_boutique[[#This Row],[return_reason]]="","No return",BBDD_fashion_boutique[[#This Row],[return_reason]])</f>
        <v>No return</v>
      </c>
      <c r="Y1747">
        <f>IF(IFERROR(VLOOKUP(BBDD_fashion_boutique[[#This Row],[product_id]],A1748:A3923,1,FALSE),0),1,0)</f>
        <v>0</v>
      </c>
    </row>
    <row r="1748" spans="1:25" x14ac:dyDescent="0.3">
      <c r="A1748" t="s">
        <v>1807</v>
      </c>
      <c r="B1748" t="s">
        <v>19</v>
      </c>
      <c r="C1748" t="s">
        <v>27</v>
      </c>
      <c r="D1748" t="s">
        <v>39</v>
      </c>
      <c r="E1748" t="s">
        <v>61</v>
      </c>
      <c r="F1748" t="str">
        <f>IF(BBDD_fashion_boutique[[#This Row],[category]]="Accessories","Accesorio",IF(BBDD_fashion_boutique[[#This Row],[size]]="","Desconocido",BBDD_fashion_boutique[[#This Row],[size]]))</f>
        <v>XS</v>
      </c>
      <c r="G1748" t="s">
        <v>50</v>
      </c>
      <c r="H1748" s="2">
        <v>208.93</v>
      </c>
      <c r="I1748">
        <v>0</v>
      </c>
      <c r="J1748" s="5">
        <f>BBDD_fashion_boutique[[#This Row],[markdown_percentage]]/100</f>
        <v>0</v>
      </c>
      <c r="K1748" s="2">
        <v>208.93</v>
      </c>
      <c r="L1748" s="2">
        <f>BBDD_fashion_boutique[[#This Row],[original_price]]-BBDD_fashion_boutique[[#This Row],[current_price]]</f>
        <v>0</v>
      </c>
      <c r="M1748" s="1">
        <v>45875</v>
      </c>
      <c r="N1748" s="1" t="str">
        <f>PROPER(TEXT(BBDD_fashion_boutique[[#This Row],[purchase_date]],"dddd"))</f>
        <v>Miércoles</v>
      </c>
      <c r="O1748" s="1" t="str">
        <f>PROPER(TEXT(BBDD_fashion_boutique[[#This Row],[purchase_date]],"mmmm"))</f>
        <v>Agosto</v>
      </c>
      <c r="P1748" s="4">
        <v>12</v>
      </c>
      <c r="Q1748" s="2">
        <v>2.2999999999999998</v>
      </c>
      <c r="R1748" t="str">
        <f>IF(BBDD_fashion_boutique[[#This Row],[stock_quantity]]&gt;9,"Ok",IF(BBDD_fashion_boutique[[#This Row],[stock_quantity]]=0,"Agotado","Pocas Unidades"))</f>
        <v>Ok</v>
      </c>
      <c r="S1748" s="3">
        <f>IF(BBDD_fashion_boutique[[#This Row],[customer_rating]]="","No valorado",BBDD_fashion_boutique[[#This Row],[customer_rating]])</f>
        <v>2.2999999999999998</v>
      </c>
      <c r="T1748" t="s">
        <v>24</v>
      </c>
      <c r="V1748">
        <f>IF(BBDD_fashion_boutique[[#This Row],[is_returned]]="False",0,1)</f>
        <v>0</v>
      </c>
      <c r="W1748">
        <f>IF(BBDD_fashion_boutique[[#This Row],[is_returned]]="True",0,BBDD_fashion_boutique[[#This Row],[current_price]])</f>
        <v>208.93</v>
      </c>
      <c r="X1748" t="str">
        <f>IF(BBDD_fashion_boutique[[#This Row],[return_reason]]="","No return",BBDD_fashion_boutique[[#This Row],[return_reason]])</f>
        <v>No return</v>
      </c>
      <c r="Y1748">
        <f>IF(IFERROR(VLOOKUP(BBDD_fashion_boutique[[#This Row],[product_id]],A1749:A3924,1,FALSE),0),1,0)</f>
        <v>0</v>
      </c>
    </row>
    <row r="1749" spans="1:25" x14ac:dyDescent="0.3">
      <c r="A1749" t="s">
        <v>1808</v>
      </c>
      <c r="B1749" t="s">
        <v>44</v>
      </c>
      <c r="C1749" t="s">
        <v>59</v>
      </c>
      <c r="D1749" t="s">
        <v>21</v>
      </c>
      <c r="E1749" t="s">
        <v>61</v>
      </c>
      <c r="F1749" t="str">
        <f>IF(BBDD_fashion_boutique[[#This Row],[category]]="Accessories","Accesorio",IF(BBDD_fashion_boutique[[#This Row],[size]]="","Desconocido",BBDD_fashion_boutique[[#This Row],[size]]))</f>
        <v>XS</v>
      </c>
      <c r="G1749" t="s">
        <v>23</v>
      </c>
      <c r="H1749" s="2">
        <v>68.459999999999994</v>
      </c>
      <c r="I1749">
        <v>50</v>
      </c>
      <c r="J1749" s="5">
        <f>BBDD_fashion_boutique[[#This Row],[markdown_percentage]]/100</f>
        <v>0.5</v>
      </c>
      <c r="K1749" s="2">
        <v>34.229999999999997</v>
      </c>
      <c r="L1749" s="2">
        <f>BBDD_fashion_boutique[[#This Row],[original_price]]-BBDD_fashion_boutique[[#This Row],[current_price]]</f>
        <v>34.229999999999997</v>
      </c>
      <c r="M1749" s="1">
        <v>45683</v>
      </c>
      <c r="N1749" s="1" t="str">
        <f>PROPER(TEXT(BBDD_fashion_boutique[[#This Row],[purchase_date]],"dddd"))</f>
        <v>Domingo</v>
      </c>
      <c r="O1749" s="1" t="str">
        <f>PROPER(TEXT(BBDD_fashion_boutique[[#This Row],[purchase_date]],"mmmm"))</f>
        <v>Enero</v>
      </c>
      <c r="P1749" s="4">
        <v>24</v>
      </c>
      <c r="Q1749" s="2">
        <v>1.9</v>
      </c>
      <c r="R1749" t="str">
        <f>IF(BBDD_fashion_boutique[[#This Row],[stock_quantity]]&gt;9,"Ok",IF(BBDD_fashion_boutique[[#This Row],[stock_quantity]]=0,"Agotado","Pocas Unidades"))</f>
        <v>Ok</v>
      </c>
      <c r="S1749" s="3">
        <f>IF(BBDD_fashion_boutique[[#This Row],[customer_rating]]="","No valorado",BBDD_fashion_boutique[[#This Row],[customer_rating]])</f>
        <v>1.9</v>
      </c>
      <c r="T1749" t="s">
        <v>24</v>
      </c>
      <c r="V1749">
        <f>IF(BBDD_fashion_boutique[[#This Row],[is_returned]]="False",0,1)</f>
        <v>0</v>
      </c>
      <c r="W1749">
        <f>IF(BBDD_fashion_boutique[[#This Row],[is_returned]]="True",0,BBDD_fashion_boutique[[#This Row],[current_price]])</f>
        <v>34.229999999999997</v>
      </c>
      <c r="X1749" t="str">
        <f>IF(BBDD_fashion_boutique[[#This Row],[return_reason]]="","No return",BBDD_fashion_boutique[[#This Row],[return_reason]])</f>
        <v>No return</v>
      </c>
      <c r="Y1749">
        <f>IF(IFERROR(VLOOKUP(BBDD_fashion_boutique[[#This Row],[product_id]],A1750:A3925,1,FALSE),0),1,0)</f>
        <v>0</v>
      </c>
    </row>
    <row r="1750" spans="1:25" x14ac:dyDescent="0.3">
      <c r="A1750" t="s">
        <v>1809</v>
      </c>
      <c r="B1750" t="s">
        <v>32</v>
      </c>
      <c r="C1750" t="s">
        <v>37</v>
      </c>
      <c r="D1750" t="s">
        <v>28</v>
      </c>
      <c r="F1750" t="str">
        <f>IF(BBDD_fashion_boutique[[#This Row],[category]]="Accessories","Accesorio",IF(BBDD_fashion_boutique[[#This Row],[size]]="","Desconocido",BBDD_fashion_boutique[[#This Row],[size]]))</f>
        <v>Accesorio</v>
      </c>
      <c r="G1750" t="s">
        <v>72</v>
      </c>
      <c r="H1750" s="2">
        <v>30.26</v>
      </c>
      <c r="I1750">
        <v>50</v>
      </c>
      <c r="J1750" s="5">
        <f>BBDD_fashion_boutique[[#This Row],[markdown_percentage]]/100</f>
        <v>0.5</v>
      </c>
      <c r="K1750" s="2">
        <v>15.13</v>
      </c>
      <c r="L1750" s="2">
        <f>BBDD_fashion_boutique[[#This Row],[original_price]]-BBDD_fashion_boutique[[#This Row],[current_price]]</f>
        <v>15.13</v>
      </c>
      <c r="M1750" s="1">
        <v>45875</v>
      </c>
      <c r="N1750" s="1" t="str">
        <f>PROPER(TEXT(BBDD_fashion_boutique[[#This Row],[purchase_date]],"dddd"))</f>
        <v>Miércoles</v>
      </c>
      <c r="O1750" s="1" t="str">
        <f>PROPER(TEXT(BBDD_fashion_boutique[[#This Row],[purchase_date]],"mmmm"))</f>
        <v>Agosto</v>
      </c>
      <c r="P1750" s="4">
        <v>23</v>
      </c>
      <c r="Q1750" s="2">
        <v>1.4</v>
      </c>
      <c r="R1750" t="str">
        <f>IF(BBDD_fashion_boutique[[#This Row],[stock_quantity]]&gt;9,"Ok",IF(BBDD_fashion_boutique[[#This Row],[stock_quantity]]=0,"Agotado","Pocas Unidades"))</f>
        <v>Ok</v>
      </c>
      <c r="S1750" s="3">
        <f>IF(BBDD_fashion_boutique[[#This Row],[customer_rating]]="","No valorado",BBDD_fashion_boutique[[#This Row],[customer_rating]])</f>
        <v>1.4</v>
      </c>
      <c r="T1750" t="s">
        <v>24</v>
      </c>
      <c r="V1750">
        <f>IF(BBDD_fashion_boutique[[#This Row],[is_returned]]="False",0,1)</f>
        <v>0</v>
      </c>
      <c r="W1750">
        <f>IF(BBDD_fashion_boutique[[#This Row],[is_returned]]="True",0,BBDD_fashion_boutique[[#This Row],[current_price]])</f>
        <v>15.13</v>
      </c>
      <c r="X1750" t="str">
        <f>IF(BBDD_fashion_boutique[[#This Row],[return_reason]]="","No return",BBDD_fashion_boutique[[#This Row],[return_reason]])</f>
        <v>No return</v>
      </c>
      <c r="Y1750">
        <f>IF(IFERROR(VLOOKUP(BBDD_fashion_boutique[[#This Row],[product_id]],A1751:A3926,1,FALSE),0),1,0)</f>
        <v>0</v>
      </c>
    </row>
    <row r="1751" spans="1:25" x14ac:dyDescent="0.3">
      <c r="A1751" t="s">
        <v>1810</v>
      </c>
      <c r="B1751" t="s">
        <v>19</v>
      </c>
      <c r="C1751" t="s">
        <v>49</v>
      </c>
      <c r="D1751" t="s">
        <v>68</v>
      </c>
      <c r="E1751" t="s">
        <v>61</v>
      </c>
      <c r="F1751" t="str">
        <f>IF(BBDD_fashion_boutique[[#This Row],[category]]="Accessories","Accesorio",IF(BBDD_fashion_boutique[[#This Row],[size]]="","Desconocido",BBDD_fashion_boutique[[#This Row],[size]]))</f>
        <v>XS</v>
      </c>
      <c r="G1751" t="s">
        <v>52</v>
      </c>
      <c r="H1751" s="2">
        <v>186.66</v>
      </c>
      <c r="I1751">
        <v>30.9</v>
      </c>
      <c r="J1751" s="5">
        <f>BBDD_fashion_boutique[[#This Row],[markdown_percentage]]/100</f>
        <v>0.309</v>
      </c>
      <c r="K1751" s="2">
        <v>128.97999999999999</v>
      </c>
      <c r="L1751" s="2">
        <f>BBDD_fashion_boutique[[#This Row],[original_price]]-BBDD_fashion_boutique[[#This Row],[current_price]]</f>
        <v>57.680000000000007</v>
      </c>
      <c r="M1751" s="1">
        <v>45875</v>
      </c>
      <c r="N1751" s="1" t="str">
        <f>PROPER(TEXT(BBDD_fashion_boutique[[#This Row],[purchase_date]],"dddd"))</f>
        <v>Miércoles</v>
      </c>
      <c r="O1751" s="1" t="str">
        <f>PROPER(TEXT(BBDD_fashion_boutique[[#This Row],[purchase_date]],"mmmm"))</f>
        <v>Agosto</v>
      </c>
      <c r="P1751" s="4">
        <v>7</v>
      </c>
      <c r="Q1751" s="2">
        <v>1</v>
      </c>
      <c r="R1751" t="str">
        <f>IF(BBDD_fashion_boutique[[#This Row],[stock_quantity]]&gt;9,"Ok",IF(BBDD_fashion_boutique[[#This Row],[stock_quantity]]=0,"Agotado","Pocas Unidades"))</f>
        <v>Pocas Unidades</v>
      </c>
      <c r="S1751" s="3">
        <f>IF(BBDD_fashion_boutique[[#This Row],[customer_rating]]="","No valorado",BBDD_fashion_boutique[[#This Row],[customer_rating]])</f>
        <v>1</v>
      </c>
      <c r="T1751" t="s">
        <v>24</v>
      </c>
      <c r="V1751">
        <f>IF(BBDD_fashion_boutique[[#This Row],[is_returned]]="False",0,1)</f>
        <v>0</v>
      </c>
      <c r="W1751">
        <f>IF(BBDD_fashion_boutique[[#This Row],[is_returned]]="True",0,BBDD_fashion_boutique[[#This Row],[current_price]])</f>
        <v>128.97999999999999</v>
      </c>
      <c r="X1751" t="str">
        <f>IF(BBDD_fashion_boutique[[#This Row],[return_reason]]="","No return",BBDD_fashion_boutique[[#This Row],[return_reason]])</f>
        <v>No return</v>
      </c>
      <c r="Y1751">
        <f>IF(IFERROR(VLOOKUP(BBDD_fashion_boutique[[#This Row],[product_id]],A1752:A3927,1,FALSE),0),1,0)</f>
        <v>0</v>
      </c>
    </row>
    <row r="1752" spans="1:25" x14ac:dyDescent="0.3">
      <c r="A1752" t="s">
        <v>1811</v>
      </c>
      <c r="B1752" t="s">
        <v>26</v>
      </c>
      <c r="C1752" t="s">
        <v>20</v>
      </c>
      <c r="D1752" t="s">
        <v>28</v>
      </c>
      <c r="E1752" t="s">
        <v>45</v>
      </c>
      <c r="F1752" t="str">
        <f>IF(BBDD_fashion_boutique[[#This Row],[category]]="Accessories","Accesorio",IF(BBDD_fashion_boutique[[#This Row],[size]]="","Desconocido",BBDD_fashion_boutique[[#This Row],[size]]))</f>
        <v>S</v>
      </c>
      <c r="G1752" t="s">
        <v>33</v>
      </c>
      <c r="H1752" s="2">
        <v>78.05</v>
      </c>
      <c r="I1752">
        <v>48.1</v>
      </c>
      <c r="J1752" s="5">
        <f>BBDD_fashion_boutique[[#This Row],[markdown_percentage]]/100</f>
        <v>0.48100000000000004</v>
      </c>
      <c r="K1752" s="2">
        <v>40.51</v>
      </c>
      <c r="L1752" s="2">
        <f>BBDD_fashion_boutique[[#This Row],[original_price]]-BBDD_fashion_boutique[[#This Row],[current_price]]</f>
        <v>37.54</v>
      </c>
      <c r="M1752" s="1">
        <v>45875</v>
      </c>
      <c r="N1752" s="1" t="str">
        <f>PROPER(TEXT(BBDD_fashion_boutique[[#This Row],[purchase_date]],"dddd"))</f>
        <v>Miércoles</v>
      </c>
      <c r="O1752" s="1" t="str">
        <f>PROPER(TEXT(BBDD_fashion_boutique[[#This Row],[purchase_date]],"mmmm"))</f>
        <v>Agosto</v>
      </c>
      <c r="P1752" s="4">
        <v>36</v>
      </c>
      <c r="Q1752" s="2">
        <v>2.9</v>
      </c>
      <c r="R1752" t="str">
        <f>IF(BBDD_fashion_boutique[[#This Row],[stock_quantity]]&gt;9,"Ok",IF(BBDD_fashion_boutique[[#This Row],[stock_quantity]]=0,"Agotado","Pocas Unidades"))</f>
        <v>Ok</v>
      </c>
      <c r="S1752" s="3">
        <f>IF(BBDD_fashion_boutique[[#This Row],[customer_rating]]="","No valorado",BBDD_fashion_boutique[[#This Row],[customer_rating]])</f>
        <v>2.9</v>
      </c>
      <c r="T1752" t="s">
        <v>41</v>
      </c>
      <c r="U1752" t="s">
        <v>121</v>
      </c>
      <c r="V1752">
        <f>IF(BBDD_fashion_boutique[[#This Row],[is_returned]]="False",0,1)</f>
        <v>1</v>
      </c>
      <c r="W1752">
        <f>IF(BBDD_fashion_boutique[[#This Row],[is_returned]]="True",0,BBDD_fashion_boutique[[#This Row],[current_price]])</f>
        <v>0</v>
      </c>
      <c r="X1752" t="str">
        <f>IF(BBDD_fashion_boutique[[#This Row],[return_reason]]="","No return",BBDD_fashion_boutique[[#This Row],[return_reason]])</f>
        <v>Changed Mind</v>
      </c>
      <c r="Y1752">
        <f>IF(IFERROR(VLOOKUP(BBDD_fashion_boutique[[#This Row],[product_id]],A1753:A3928,1,FALSE),0),1,0)</f>
        <v>0</v>
      </c>
    </row>
    <row r="1753" spans="1:25" x14ac:dyDescent="0.3">
      <c r="A1753" t="s">
        <v>1812</v>
      </c>
      <c r="B1753" t="s">
        <v>26</v>
      </c>
      <c r="C1753" t="s">
        <v>27</v>
      </c>
      <c r="D1753" t="s">
        <v>21</v>
      </c>
      <c r="E1753" t="s">
        <v>64</v>
      </c>
      <c r="F1753" t="str">
        <f>IF(BBDD_fashion_boutique[[#This Row],[category]]="Accessories","Accesorio",IF(BBDD_fashion_boutique[[#This Row],[size]]="","Desconocido",BBDD_fashion_boutique[[#This Row],[size]]))</f>
        <v>M</v>
      </c>
      <c r="G1753" t="s">
        <v>72</v>
      </c>
      <c r="H1753" s="2">
        <v>104.75</v>
      </c>
      <c r="I1753">
        <v>0</v>
      </c>
      <c r="J1753" s="5">
        <f>BBDD_fashion_boutique[[#This Row],[markdown_percentage]]/100</f>
        <v>0</v>
      </c>
      <c r="K1753" s="2">
        <v>104.75</v>
      </c>
      <c r="L1753" s="2">
        <f>BBDD_fashion_boutique[[#This Row],[original_price]]-BBDD_fashion_boutique[[#This Row],[current_price]]</f>
        <v>0</v>
      </c>
      <c r="M1753" s="1">
        <v>45591</v>
      </c>
      <c r="N1753" s="1" t="str">
        <f>PROPER(TEXT(BBDD_fashion_boutique[[#This Row],[purchase_date]],"dddd"))</f>
        <v>Sábado</v>
      </c>
      <c r="O1753" s="1" t="str">
        <f>PROPER(TEXT(BBDD_fashion_boutique[[#This Row],[purchase_date]],"mmmm"))</f>
        <v>Octubre</v>
      </c>
      <c r="P1753" s="4">
        <v>11</v>
      </c>
      <c r="R1753" t="str">
        <f>IF(BBDD_fashion_boutique[[#This Row],[stock_quantity]]&gt;9,"Ok",IF(BBDD_fashion_boutique[[#This Row],[stock_quantity]]=0,"Agotado","Pocas Unidades"))</f>
        <v>Ok</v>
      </c>
      <c r="S1753" s="3" t="str">
        <f>IF(BBDD_fashion_boutique[[#This Row],[customer_rating]]="","No valorado",BBDD_fashion_boutique[[#This Row],[customer_rating]])</f>
        <v>No valorado</v>
      </c>
      <c r="T1753" t="s">
        <v>24</v>
      </c>
      <c r="V1753">
        <f>IF(BBDD_fashion_boutique[[#This Row],[is_returned]]="False",0,1)</f>
        <v>0</v>
      </c>
      <c r="W1753">
        <f>IF(BBDD_fashion_boutique[[#This Row],[is_returned]]="True",0,BBDD_fashion_boutique[[#This Row],[current_price]])</f>
        <v>104.75</v>
      </c>
      <c r="X1753" t="str">
        <f>IF(BBDD_fashion_boutique[[#This Row],[return_reason]]="","No return",BBDD_fashion_boutique[[#This Row],[return_reason]])</f>
        <v>No return</v>
      </c>
      <c r="Y1753">
        <f>IF(IFERROR(VLOOKUP(BBDD_fashion_boutique[[#This Row],[product_id]],A1754:A3929,1,FALSE),0),1,0)</f>
        <v>0</v>
      </c>
    </row>
    <row r="1754" spans="1:25" x14ac:dyDescent="0.3">
      <c r="A1754" t="s">
        <v>1813</v>
      </c>
      <c r="B1754" t="s">
        <v>35</v>
      </c>
      <c r="C1754" t="s">
        <v>27</v>
      </c>
      <c r="D1754" t="s">
        <v>68</v>
      </c>
      <c r="E1754" t="s">
        <v>64</v>
      </c>
      <c r="F1754" t="str">
        <f>IF(BBDD_fashion_boutique[[#This Row],[category]]="Accessories","Accesorio",IF(BBDD_fashion_boutique[[#This Row],[size]]="","Desconocido",BBDD_fashion_boutique[[#This Row],[size]]))</f>
        <v>M</v>
      </c>
      <c r="G1754" t="s">
        <v>76</v>
      </c>
      <c r="H1754" s="2">
        <v>121.33</v>
      </c>
      <c r="I1754">
        <v>0</v>
      </c>
      <c r="J1754" s="5">
        <f>BBDD_fashion_boutique[[#This Row],[markdown_percentage]]/100</f>
        <v>0</v>
      </c>
      <c r="K1754" s="2">
        <v>121.33</v>
      </c>
      <c r="L1754" s="2">
        <f>BBDD_fashion_boutique[[#This Row],[original_price]]-BBDD_fashion_boutique[[#This Row],[current_price]]</f>
        <v>0</v>
      </c>
      <c r="M1754" s="1">
        <v>45875</v>
      </c>
      <c r="N1754" s="1" t="str">
        <f>PROPER(TEXT(BBDD_fashion_boutique[[#This Row],[purchase_date]],"dddd"))</f>
        <v>Miércoles</v>
      </c>
      <c r="O1754" s="1" t="str">
        <f>PROPER(TEXT(BBDD_fashion_boutique[[#This Row],[purchase_date]],"mmmm"))</f>
        <v>Agosto</v>
      </c>
      <c r="P1754" s="4">
        <v>30</v>
      </c>
      <c r="Q1754" s="2">
        <v>4.2</v>
      </c>
      <c r="R1754" t="str">
        <f>IF(BBDD_fashion_boutique[[#This Row],[stock_quantity]]&gt;9,"Ok",IF(BBDD_fashion_boutique[[#This Row],[stock_quantity]]=0,"Agotado","Pocas Unidades"))</f>
        <v>Ok</v>
      </c>
      <c r="S1754" s="3">
        <f>IF(BBDD_fashion_boutique[[#This Row],[customer_rating]]="","No valorado",BBDD_fashion_boutique[[#This Row],[customer_rating]])</f>
        <v>4.2</v>
      </c>
      <c r="T1754" t="s">
        <v>24</v>
      </c>
      <c r="V1754">
        <f>IF(BBDD_fashion_boutique[[#This Row],[is_returned]]="False",0,1)</f>
        <v>0</v>
      </c>
      <c r="W1754">
        <f>IF(BBDD_fashion_boutique[[#This Row],[is_returned]]="True",0,BBDD_fashion_boutique[[#This Row],[current_price]])</f>
        <v>121.33</v>
      </c>
      <c r="X1754" t="str">
        <f>IF(BBDD_fashion_boutique[[#This Row],[return_reason]]="","No return",BBDD_fashion_boutique[[#This Row],[return_reason]])</f>
        <v>No return</v>
      </c>
      <c r="Y1754">
        <f>IF(IFERROR(VLOOKUP(BBDD_fashion_boutique[[#This Row],[product_id]],A1755:A3930,1,FALSE),0),1,0)</f>
        <v>0</v>
      </c>
    </row>
    <row r="1755" spans="1:25" x14ac:dyDescent="0.3">
      <c r="A1755" t="s">
        <v>1814</v>
      </c>
      <c r="B1755" t="s">
        <v>48</v>
      </c>
      <c r="C1755" t="s">
        <v>49</v>
      </c>
      <c r="D1755" t="s">
        <v>39</v>
      </c>
      <c r="E1755" t="s">
        <v>55</v>
      </c>
      <c r="F1755" t="str">
        <f>IF(BBDD_fashion_boutique[[#This Row],[category]]="Accessories","Accesorio",IF(BBDD_fashion_boutique[[#This Row],[size]]="","Desconocido",BBDD_fashion_boutique[[#This Row],[size]]))</f>
        <v>XXL</v>
      </c>
      <c r="G1755" t="s">
        <v>52</v>
      </c>
      <c r="H1755" s="2">
        <v>78.09</v>
      </c>
      <c r="I1755">
        <v>0</v>
      </c>
      <c r="J1755" s="5">
        <f>BBDD_fashion_boutique[[#This Row],[markdown_percentage]]/100</f>
        <v>0</v>
      </c>
      <c r="K1755" s="2">
        <v>78.09</v>
      </c>
      <c r="L1755" s="2">
        <f>BBDD_fashion_boutique[[#This Row],[original_price]]-BBDD_fashion_boutique[[#This Row],[current_price]]</f>
        <v>0</v>
      </c>
      <c r="M1755" s="1">
        <v>45875</v>
      </c>
      <c r="N1755" s="1" t="str">
        <f>PROPER(TEXT(BBDD_fashion_boutique[[#This Row],[purchase_date]],"dddd"))</f>
        <v>Miércoles</v>
      </c>
      <c r="O1755" s="1" t="str">
        <f>PROPER(TEXT(BBDD_fashion_boutique[[#This Row],[purchase_date]],"mmmm"))</f>
        <v>Agosto</v>
      </c>
      <c r="P1755" s="4">
        <v>6</v>
      </c>
      <c r="Q1755" s="2">
        <v>2</v>
      </c>
      <c r="R1755" t="str">
        <f>IF(BBDD_fashion_boutique[[#This Row],[stock_quantity]]&gt;9,"Ok",IF(BBDD_fashion_boutique[[#This Row],[stock_quantity]]=0,"Agotado","Pocas Unidades"))</f>
        <v>Pocas Unidades</v>
      </c>
      <c r="S1755" s="3">
        <f>IF(BBDD_fashion_boutique[[#This Row],[customer_rating]]="","No valorado",BBDD_fashion_boutique[[#This Row],[customer_rating]])</f>
        <v>2</v>
      </c>
      <c r="T1755" t="s">
        <v>24</v>
      </c>
      <c r="V1755">
        <f>IF(BBDD_fashion_boutique[[#This Row],[is_returned]]="False",0,1)</f>
        <v>0</v>
      </c>
      <c r="W1755">
        <f>IF(BBDD_fashion_boutique[[#This Row],[is_returned]]="True",0,BBDD_fashion_boutique[[#This Row],[current_price]])</f>
        <v>78.09</v>
      </c>
      <c r="X1755" t="str">
        <f>IF(BBDD_fashion_boutique[[#This Row],[return_reason]]="","No return",BBDD_fashion_boutique[[#This Row],[return_reason]])</f>
        <v>No return</v>
      </c>
      <c r="Y1755">
        <f>IF(IFERROR(VLOOKUP(BBDD_fashion_boutique[[#This Row],[product_id]],A1756:A3931,1,FALSE),0),1,0)</f>
        <v>0</v>
      </c>
    </row>
    <row r="1756" spans="1:25" x14ac:dyDescent="0.3">
      <c r="A1756" t="s">
        <v>1815</v>
      </c>
      <c r="B1756" t="s">
        <v>26</v>
      </c>
      <c r="C1756" t="s">
        <v>27</v>
      </c>
      <c r="D1756" t="s">
        <v>39</v>
      </c>
      <c r="E1756" t="s">
        <v>55</v>
      </c>
      <c r="F1756" t="str">
        <f>IF(BBDD_fashion_boutique[[#This Row],[category]]="Accessories","Accesorio",IF(BBDD_fashion_boutique[[#This Row],[size]]="","Desconocido",BBDD_fashion_boutique[[#This Row],[size]]))</f>
        <v>XXL</v>
      </c>
      <c r="G1756" t="s">
        <v>23</v>
      </c>
      <c r="H1756" s="2">
        <v>109.19</v>
      </c>
      <c r="I1756">
        <v>0</v>
      </c>
      <c r="J1756" s="5">
        <f>BBDD_fashion_boutique[[#This Row],[markdown_percentage]]/100</f>
        <v>0</v>
      </c>
      <c r="K1756" s="2">
        <v>109.19</v>
      </c>
      <c r="L1756" s="2">
        <f>BBDD_fashion_boutique[[#This Row],[original_price]]-BBDD_fashion_boutique[[#This Row],[current_price]]</f>
        <v>0</v>
      </c>
      <c r="M1756" s="1">
        <v>45875</v>
      </c>
      <c r="N1756" s="1" t="str">
        <f>PROPER(TEXT(BBDD_fashion_boutique[[#This Row],[purchase_date]],"dddd"))</f>
        <v>Miércoles</v>
      </c>
      <c r="O1756" s="1" t="str">
        <f>PROPER(TEXT(BBDD_fashion_boutique[[#This Row],[purchase_date]],"mmmm"))</f>
        <v>Agosto</v>
      </c>
      <c r="P1756" s="4">
        <v>47</v>
      </c>
      <c r="Q1756" s="2">
        <v>4.5</v>
      </c>
      <c r="R1756" t="str">
        <f>IF(BBDD_fashion_boutique[[#This Row],[stock_quantity]]&gt;9,"Ok",IF(BBDD_fashion_boutique[[#This Row],[stock_quantity]]=0,"Agotado","Pocas Unidades"))</f>
        <v>Ok</v>
      </c>
      <c r="S1756" s="3">
        <f>IF(BBDD_fashion_boutique[[#This Row],[customer_rating]]="","No valorado",BBDD_fashion_boutique[[#This Row],[customer_rating]])</f>
        <v>4.5</v>
      </c>
      <c r="T1756" t="s">
        <v>24</v>
      </c>
      <c r="V1756">
        <f>IF(BBDD_fashion_boutique[[#This Row],[is_returned]]="False",0,1)</f>
        <v>0</v>
      </c>
      <c r="W1756">
        <f>IF(BBDD_fashion_boutique[[#This Row],[is_returned]]="True",0,BBDD_fashion_boutique[[#This Row],[current_price]])</f>
        <v>109.19</v>
      </c>
      <c r="X1756" t="str">
        <f>IF(BBDD_fashion_boutique[[#This Row],[return_reason]]="","No return",BBDD_fashion_boutique[[#This Row],[return_reason]])</f>
        <v>No return</v>
      </c>
      <c r="Y1756">
        <f>IF(IFERROR(VLOOKUP(BBDD_fashion_boutique[[#This Row],[product_id]],A1757:A3932,1,FALSE),0),1,0)</f>
        <v>0</v>
      </c>
    </row>
    <row r="1757" spans="1:25" x14ac:dyDescent="0.3">
      <c r="A1757" t="s">
        <v>1816</v>
      </c>
      <c r="B1757" t="s">
        <v>35</v>
      </c>
      <c r="C1757" t="s">
        <v>59</v>
      </c>
      <c r="D1757" t="s">
        <v>28</v>
      </c>
      <c r="E1757" t="s">
        <v>29</v>
      </c>
      <c r="F1757" t="str">
        <f>IF(BBDD_fashion_boutique[[#This Row],[category]]="Accessories","Accesorio",IF(BBDD_fashion_boutique[[#This Row],[size]]="","Desconocido",BBDD_fashion_boutique[[#This Row],[size]]))</f>
        <v>L</v>
      </c>
      <c r="G1757" t="s">
        <v>33</v>
      </c>
      <c r="H1757" s="2">
        <v>126.74</v>
      </c>
      <c r="I1757">
        <v>0</v>
      </c>
      <c r="J1757" s="5">
        <f>BBDD_fashion_boutique[[#This Row],[markdown_percentage]]/100</f>
        <v>0</v>
      </c>
      <c r="K1757" s="2">
        <v>126.74</v>
      </c>
      <c r="L1757" s="2">
        <f>BBDD_fashion_boutique[[#This Row],[original_price]]-BBDD_fashion_boutique[[#This Row],[current_price]]</f>
        <v>0</v>
      </c>
      <c r="M1757" s="1">
        <v>45875</v>
      </c>
      <c r="N1757" s="1" t="str">
        <f>PROPER(TEXT(BBDD_fashion_boutique[[#This Row],[purchase_date]],"dddd"))</f>
        <v>Miércoles</v>
      </c>
      <c r="O1757" s="1" t="str">
        <f>PROPER(TEXT(BBDD_fashion_boutique[[#This Row],[purchase_date]],"mmmm"))</f>
        <v>Agosto</v>
      </c>
      <c r="P1757" s="4">
        <v>2</v>
      </c>
      <c r="Q1757" s="2">
        <v>2.9</v>
      </c>
      <c r="R1757" t="str">
        <f>IF(BBDD_fashion_boutique[[#This Row],[stock_quantity]]&gt;9,"Ok",IF(BBDD_fashion_boutique[[#This Row],[stock_quantity]]=0,"Agotado","Pocas Unidades"))</f>
        <v>Pocas Unidades</v>
      </c>
      <c r="S1757" s="3">
        <f>IF(BBDD_fashion_boutique[[#This Row],[customer_rating]]="","No valorado",BBDD_fashion_boutique[[#This Row],[customer_rating]])</f>
        <v>2.9</v>
      </c>
      <c r="T1757" t="s">
        <v>24</v>
      </c>
      <c r="V1757">
        <f>IF(BBDD_fashion_boutique[[#This Row],[is_returned]]="False",0,1)</f>
        <v>0</v>
      </c>
      <c r="W1757">
        <f>IF(BBDD_fashion_boutique[[#This Row],[is_returned]]="True",0,BBDD_fashion_boutique[[#This Row],[current_price]])</f>
        <v>126.74</v>
      </c>
      <c r="X1757" t="str">
        <f>IF(BBDD_fashion_boutique[[#This Row],[return_reason]]="","No return",BBDD_fashion_boutique[[#This Row],[return_reason]])</f>
        <v>No return</v>
      </c>
      <c r="Y1757">
        <f>IF(IFERROR(VLOOKUP(BBDD_fashion_boutique[[#This Row],[product_id]],A1758:A3933,1,FALSE),0),1,0)</f>
        <v>0</v>
      </c>
    </row>
    <row r="1758" spans="1:25" x14ac:dyDescent="0.3">
      <c r="A1758" t="s">
        <v>1817</v>
      </c>
      <c r="B1758" t="s">
        <v>35</v>
      </c>
      <c r="C1758" t="s">
        <v>54</v>
      </c>
      <c r="D1758" t="s">
        <v>21</v>
      </c>
      <c r="E1758" t="s">
        <v>22</v>
      </c>
      <c r="F1758" t="str">
        <f>IF(BBDD_fashion_boutique[[#This Row],[category]]="Accessories","Accesorio",IF(BBDD_fashion_boutique[[#This Row],[size]]="","Desconocido",BBDD_fashion_boutique[[#This Row],[size]]))</f>
        <v>XL</v>
      </c>
      <c r="G1758" t="s">
        <v>33</v>
      </c>
      <c r="H1758" s="2">
        <v>95.85</v>
      </c>
      <c r="I1758">
        <v>0</v>
      </c>
      <c r="J1758" s="5">
        <f>BBDD_fashion_boutique[[#This Row],[markdown_percentage]]/100</f>
        <v>0</v>
      </c>
      <c r="K1758" s="2">
        <v>95.85</v>
      </c>
      <c r="L1758" s="2">
        <f>BBDD_fashion_boutique[[#This Row],[original_price]]-BBDD_fashion_boutique[[#This Row],[current_price]]</f>
        <v>0</v>
      </c>
      <c r="M1758" s="1">
        <v>45703</v>
      </c>
      <c r="N1758" s="1" t="str">
        <f>PROPER(TEXT(BBDD_fashion_boutique[[#This Row],[purchase_date]],"dddd"))</f>
        <v>Sábado</v>
      </c>
      <c r="O1758" s="1" t="str">
        <f>PROPER(TEXT(BBDD_fashion_boutique[[#This Row],[purchase_date]],"mmmm"))</f>
        <v>Febrero</v>
      </c>
      <c r="P1758" s="4">
        <v>45</v>
      </c>
      <c r="Q1758" s="2">
        <v>5</v>
      </c>
      <c r="R1758" t="str">
        <f>IF(BBDD_fashion_boutique[[#This Row],[stock_quantity]]&gt;9,"Ok",IF(BBDD_fashion_boutique[[#This Row],[stock_quantity]]=0,"Agotado","Pocas Unidades"))</f>
        <v>Ok</v>
      </c>
      <c r="S1758" s="3">
        <f>IF(BBDD_fashion_boutique[[#This Row],[customer_rating]]="","No valorado",BBDD_fashion_boutique[[#This Row],[customer_rating]])</f>
        <v>5</v>
      </c>
      <c r="T1758" t="s">
        <v>24</v>
      </c>
      <c r="V1758">
        <f>IF(BBDD_fashion_boutique[[#This Row],[is_returned]]="False",0,1)</f>
        <v>0</v>
      </c>
      <c r="W1758">
        <f>IF(BBDD_fashion_boutique[[#This Row],[is_returned]]="True",0,BBDD_fashion_boutique[[#This Row],[current_price]])</f>
        <v>95.85</v>
      </c>
      <c r="X1758" t="str">
        <f>IF(BBDD_fashion_boutique[[#This Row],[return_reason]]="","No return",BBDD_fashion_boutique[[#This Row],[return_reason]])</f>
        <v>No return</v>
      </c>
      <c r="Y1758">
        <f>IF(IFERROR(VLOOKUP(BBDD_fashion_boutique[[#This Row],[product_id]],A1759:A3934,1,FALSE),0),1,0)</f>
        <v>0</v>
      </c>
    </row>
    <row r="1759" spans="1:25" x14ac:dyDescent="0.3">
      <c r="A1759" t="s">
        <v>1818</v>
      </c>
      <c r="B1759" t="s">
        <v>19</v>
      </c>
      <c r="C1759" t="s">
        <v>49</v>
      </c>
      <c r="D1759" t="s">
        <v>68</v>
      </c>
      <c r="E1759" t="s">
        <v>45</v>
      </c>
      <c r="F1759" t="str">
        <f>IF(BBDD_fashion_boutique[[#This Row],[category]]="Accessories","Accesorio",IF(BBDD_fashion_boutique[[#This Row],[size]]="","Desconocido",BBDD_fashion_boutique[[#This Row],[size]]))</f>
        <v>S</v>
      </c>
      <c r="G1759" t="s">
        <v>50</v>
      </c>
      <c r="H1759" s="2">
        <v>213.98</v>
      </c>
      <c r="I1759">
        <v>0</v>
      </c>
      <c r="J1759" s="5">
        <f>BBDD_fashion_boutique[[#This Row],[markdown_percentage]]/100</f>
        <v>0</v>
      </c>
      <c r="K1759" s="2">
        <v>213.98</v>
      </c>
      <c r="L1759" s="2">
        <f>BBDD_fashion_boutique[[#This Row],[original_price]]-BBDD_fashion_boutique[[#This Row],[current_price]]</f>
        <v>0</v>
      </c>
      <c r="M1759" s="1">
        <v>45875</v>
      </c>
      <c r="N1759" s="1" t="str">
        <f>PROPER(TEXT(BBDD_fashion_boutique[[#This Row],[purchase_date]],"dddd"))</f>
        <v>Miércoles</v>
      </c>
      <c r="O1759" s="1" t="str">
        <f>PROPER(TEXT(BBDD_fashion_boutique[[#This Row],[purchase_date]],"mmmm"))</f>
        <v>Agosto</v>
      </c>
      <c r="P1759" s="4">
        <v>38</v>
      </c>
      <c r="R1759" t="str">
        <f>IF(BBDD_fashion_boutique[[#This Row],[stock_quantity]]&gt;9,"Ok",IF(BBDD_fashion_boutique[[#This Row],[stock_quantity]]=0,"Agotado","Pocas Unidades"))</f>
        <v>Ok</v>
      </c>
      <c r="S1759" s="3" t="str">
        <f>IF(BBDD_fashion_boutique[[#This Row],[customer_rating]]="","No valorado",BBDD_fashion_boutique[[#This Row],[customer_rating]])</f>
        <v>No valorado</v>
      </c>
      <c r="T1759" t="s">
        <v>24</v>
      </c>
      <c r="V1759">
        <f>IF(BBDD_fashion_boutique[[#This Row],[is_returned]]="False",0,1)</f>
        <v>0</v>
      </c>
      <c r="W1759">
        <f>IF(BBDD_fashion_boutique[[#This Row],[is_returned]]="True",0,BBDD_fashion_boutique[[#This Row],[current_price]])</f>
        <v>213.98</v>
      </c>
      <c r="X1759" t="str">
        <f>IF(BBDD_fashion_boutique[[#This Row],[return_reason]]="","No return",BBDD_fashion_boutique[[#This Row],[return_reason]])</f>
        <v>No return</v>
      </c>
      <c r="Y1759">
        <f>IF(IFERROR(VLOOKUP(BBDD_fashion_boutique[[#This Row],[product_id]],A1760:A3935,1,FALSE),0),1,0)</f>
        <v>0</v>
      </c>
    </row>
    <row r="1760" spans="1:25" x14ac:dyDescent="0.3">
      <c r="A1760" t="s">
        <v>1819</v>
      </c>
      <c r="B1760" t="s">
        <v>35</v>
      </c>
      <c r="C1760" t="s">
        <v>81</v>
      </c>
      <c r="D1760" t="s">
        <v>21</v>
      </c>
      <c r="E1760" t="s">
        <v>55</v>
      </c>
      <c r="F1760" t="str">
        <f>IF(BBDD_fashion_boutique[[#This Row],[category]]="Accessories","Accesorio",IF(BBDD_fashion_boutique[[#This Row],[size]]="","Desconocido",BBDD_fashion_boutique[[#This Row],[size]]))</f>
        <v>XXL</v>
      </c>
      <c r="G1760" t="s">
        <v>62</v>
      </c>
      <c r="H1760" s="2">
        <v>146.22999999999999</v>
      </c>
      <c r="I1760">
        <v>40</v>
      </c>
      <c r="J1760" s="5">
        <f>BBDD_fashion_boutique[[#This Row],[markdown_percentage]]/100</f>
        <v>0.4</v>
      </c>
      <c r="K1760" s="2">
        <v>87.74</v>
      </c>
      <c r="L1760" s="2">
        <f>BBDD_fashion_boutique[[#This Row],[original_price]]-BBDD_fashion_boutique[[#This Row],[current_price]]</f>
        <v>58.489999999999995</v>
      </c>
      <c r="M1760" s="1">
        <v>45684</v>
      </c>
      <c r="N1760" s="1" t="str">
        <f>PROPER(TEXT(BBDD_fashion_boutique[[#This Row],[purchase_date]],"dddd"))</f>
        <v>Lunes</v>
      </c>
      <c r="O1760" s="1" t="str">
        <f>PROPER(TEXT(BBDD_fashion_boutique[[#This Row],[purchase_date]],"mmmm"))</f>
        <v>Enero</v>
      </c>
      <c r="P1760" s="4">
        <v>17</v>
      </c>
      <c r="Q1760" s="2">
        <v>2.6</v>
      </c>
      <c r="R1760" t="str">
        <f>IF(BBDD_fashion_boutique[[#This Row],[stock_quantity]]&gt;9,"Ok",IF(BBDD_fashion_boutique[[#This Row],[stock_quantity]]=0,"Agotado","Pocas Unidades"))</f>
        <v>Ok</v>
      </c>
      <c r="S1760" s="3">
        <f>IF(BBDD_fashion_boutique[[#This Row],[customer_rating]]="","No valorado",BBDD_fashion_boutique[[#This Row],[customer_rating]])</f>
        <v>2.6</v>
      </c>
      <c r="T1760" t="s">
        <v>41</v>
      </c>
      <c r="U1760" t="s">
        <v>89</v>
      </c>
      <c r="V1760">
        <f>IF(BBDD_fashion_boutique[[#This Row],[is_returned]]="False",0,1)</f>
        <v>1</v>
      </c>
      <c r="W1760">
        <f>IF(BBDD_fashion_boutique[[#This Row],[is_returned]]="True",0,BBDD_fashion_boutique[[#This Row],[current_price]])</f>
        <v>0</v>
      </c>
      <c r="X1760" t="str">
        <f>IF(BBDD_fashion_boutique[[#This Row],[return_reason]]="","No return",BBDD_fashion_boutique[[#This Row],[return_reason]])</f>
        <v>Quality Issue</v>
      </c>
      <c r="Y1760">
        <f>IF(IFERROR(VLOOKUP(BBDD_fashion_boutique[[#This Row],[product_id]],A1761:A3936,1,FALSE),0),1,0)</f>
        <v>0</v>
      </c>
    </row>
    <row r="1761" spans="1:25" x14ac:dyDescent="0.3">
      <c r="A1761" t="s">
        <v>1820</v>
      </c>
      <c r="B1761" t="s">
        <v>44</v>
      </c>
      <c r="C1761" t="s">
        <v>49</v>
      </c>
      <c r="D1761" t="s">
        <v>28</v>
      </c>
      <c r="E1761" t="s">
        <v>29</v>
      </c>
      <c r="F1761" t="str">
        <f>IF(BBDD_fashion_boutique[[#This Row],[category]]="Accessories","Accesorio",IF(BBDD_fashion_boutique[[#This Row],[size]]="","Desconocido",BBDD_fashion_boutique[[#This Row],[size]]))</f>
        <v>L</v>
      </c>
      <c r="G1761" t="s">
        <v>30</v>
      </c>
      <c r="H1761" s="2">
        <v>115.57</v>
      </c>
      <c r="I1761">
        <v>16.100000000000001</v>
      </c>
      <c r="J1761" s="5">
        <f>BBDD_fashion_boutique[[#This Row],[markdown_percentage]]/100</f>
        <v>0.161</v>
      </c>
      <c r="K1761" s="2">
        <v>96.96</v>
      </c>
      <c r="L1761" s="2">
        <f>BBDD_fashion_boutique[[#This Row],[original_price]]-BBDD_fashion_boutique[[#This Row],[current_price]]</f>
        <v>18.61</v>
      </c>
      <c r="M1761" s="1">
        <v>45875</v>
      </c>
      <c r="N1761" s="1" t="str">
        <f>PROPER(TEXT(BBDD_fashion_boutique[[#This Row],[purchase_date]],"dddd"))</f>
        <v>Miércoles</v>
      </c>
      <c r="O1761" s="1" t="str">
        <f>PROPER(TEXT(BBDD_fashion_boutique[[#This Row],[purchase_date]],"mmmm"))</f>
        <v>Agosto</v>
      </c>
      <c r="P1761" s="4">
        <v>32</v>
      </c>
      <c r="Q1761" s="2">
        <v>3.1</v>
      </c>
      <c r="R1761" t="str">
        <f>IF(BBDD_fashion_boutique[[#This Row],[stock_quantity]]&gt;9,"Ok",IF(BBDD_fashion_boutique[[#This Row],[stock_quantity]]=0,"Agotado","Pocas Unidades"))</f>
        <v>Ok</v>
      </c>
      <c r="S1761" s="3">
        <f>IF(BBDD_fashion_boutique[[#This Row],[customer_rating]]="","No valorado",BBDD_fashion_boutique[[#This Row],[customer_rating]])</f>
        <v>3.1</v>
      </c>
      <c r="T1761" t="s">
        <v>41</v>
      </c>
      <c r="U1761" t="s">
        <v>79</v>
      </c>
      <c r="V1761">
        <f>IF(BBDD_fashion_boutique[[#This Row],[is_returned]]="False",0,1)</f>
        <v>1</v>
      </c>
      <c r="W1761">
        <f>IF(BBDD_fashion_boutique[[#This Row],[is_returned]]="True",0,BBDD_fashion_boutique[[#This Row],[current_price]])</f>
        <v>0</v>
      </c>
      <c r="X1761" t="str">
        <f>IF(BBDD_fashion_boutique[[#This Row],[return_reason]]="","No return",BBDD_fashion_boutique[[#This Row],[return_reason]])</f>
        <v>Size Issue</v>
      </c>
      <c r="Y1761">
        <f>IF(IFERROR(VLOOKUP(BBDD_fashion_boutique[[#This Row],[product_id]],A1762:A3937,1,FALSE),0),1,0)</f>
        <v>0</v>
      </c>
    </row>
    <row r="1762" spans="1:25" x14ac:dyDescent="0.3">
      <c r="A1762" t="s">
        <v>1821</v>
      </c>
      <c r="B1762" t="s">
        <v>32</v>
      </c>
      <c r="C1762" t="s">
        <v>37</v>
      </c>
      <c r="D1762" t="s">
        <v>21</v>
      </c>
      <c r="F1762" t="str">
        <f>IF(BBDD_fashion_boutique[[#This Row],[category]]="Accessories","Accesorio",IF(BBDD_fashion_boutique[[#This Row],[size]]="","Desconocido",BBDD_fashion_boutique[[#This Row],[size]]))</f>
        <v>Accesorio</v>
      </c>
      <c r="G1762" t="s">
        <v>50</v>
      </c>
      <c r="H1762" s="2">
        <v>66.62</v>
      </c>
      <c r="I1762">
        <v>0</v>
      </c>
      <c r="J1762" s="5">
        <f>BBDD_fashion_boutique[[#This Row],[markdown_percentage]]/100</f>
        <v>0</v>
      </c>
      <c r="K1762" s="2">
        <v>66.62</v>
      </c>
      <c r="L1762" s="2">
        <f>BBDD_fashion_boutique[[#This Row],[original_price]]-BBDD_fashion_boutique[[#This Row],[current_price]]</f>
        <v>0</v>
      </c>
      <c r="M1762" s="1">
        <v>45592</v>
      </c>
      <c r="N1762" s="1" t="str">
        <f>PROPER(TEXT(BBDD_fashion_boutique[[#This Row],[purchase_date]],"dddd"))</f>
        <v>Domingo</v>
      </c>
      <c r="O1762" s="1" t="str">
        <f>PROPER(TEXT(BBDD_fashion_boutique[[#This Row],[purchase_date]],"mmmm"))</f>
        <v>Octubre</v>
      </c>
      <c r="P1762" s="4">
        <v>37</v>
      </c>
      <c r="R1762" t="str">
        <f>IF(BBDD_fashion_boutique[[#This Row],[stock_quantity]]&gt;9,"Ok",IF(BBDD_fashion_boutique[[#This Row],[stock_quantity]]=0,"Agotado","Pocas Unidades"))</f>
        <v>Ok</v>
      </c>
      <c r="S1762" s="3" t="str">
        <f>IF(BBDD_fashion_boutique[[#This Row],[customer_rating]]="","No valorado",BBDD_fashion_boutique[[#This Row],[customer_rating]])</f>
        <v>No valorado</v>
      </c>
      <c r="T1762" t="s">
        <v>24</v>
      </c>
      <c r="V1762">
        <f>IF(BBDD_fashion_boutique[[#This Row],[is_returned]]="False",0,1)</f>
        <v>0</v>
      </c>
      <c r="W1762">
        <f>IF(BBDD_fashion_boutique[[#This Row],[is_returned]]="True",0,BBDD_fashion_boutique[[#This Row],[current_price]])</f>
        <v>66.62</v>
      </c>
      <c r="X1762" t="str">
        <f>IF(BBDD_fashion_boutique[[#This Row],[return_reason]]="","No return",BBDD_fashion_boutique[[#This Row],[return_reason]])</f>
        <v>No return</v>
      </c>
      <c r="Y1762">
        <f>IF(IFERROR(VLOOKUP(BBDD_fashion_boutique[[#This Row],[product_id]],A1763:A3938,1,FALSE),0),1,0)</f>
        <v>0</v>
      </c>
    </row>
    <row r="1763" spans="1:25" x14ac:dyDescent="0.3">
      <c r="A1763" t="s">
        <v>1822</v>
      </c>
      <c r="B1763" t="s">
        <v>48</v>
      </c>
      <c r="C1763" t="s">
        <v>37</v>
      </c>
      <c r="D1763" t="s">
        <v>21</v>
      </c>
      <c r="E1763" t="s">
        <v>61</v>
      </c>
      <c r="F1763" t="str">
        <f>IF(BBDD_fashion_boutique[[#This Row],[category]]="Accessories","Accesorio",IF(BBDD_fashion_boutique[[#This Row],[size]]="","Desconocido",BBDD_fashion_boutique[[#This Row],[size]]))</f>
        <v>XS</v>
      </c>
      <c r="G1763" t="s">
        <v>72</v>
      </c>
      <c r="H1763" s="2">
        <v>60.37</v>
      </c>
      <c r="I1763">
        <v>23.1</v>
      </c>
      <c r="J1763" s="5">
        <f>BBDD_fashion_boutique[[#This Row],[markdown_percentage]]/100</f>
        <v>0.23100000000000001</v>
      </c>
      <c r="K1763" s="2">
        <v>46.42</v>
      </c>
      <c r="L1763" s="2">
        <f>BBDD_fashion_boutique[[#This Row],[original_price]]-BBDD_fashion_boutique[[#This Row],[current_price]]</f>
        <v>13.949999999999996</v>
      </c>
      <c r="M1763" s="1">
        <v>45730</v>
      </c>
      <c r="N1763" s="1" t="str">
        <f>PROPER(TEXT(BBDD_fashion_boutique[[#This Row],[purchase_date]],"dddd"))</f>
        <v>Viernes</v>
      </c>
      <c r="O1763" s="1" t="str">
        <f>PROPER(TEXT(BBDD_fashion_boutique[[#This Row],[purchase_date]],"mmmm"))</f>
        <v>Marzo</v>
      </c>
      <c r="P1763" s="4">
        <v>30</v>
      </c>
      <c r="Q1763" s="2">
        <v>4.8</v>
      </c>
      <c r="R1763" t="str">
        <f>IF(BBDD_fashion_boutique[[#This Row],[stock_quantity]]&gt;9,"Ok",IF(BBDD_fashion_boutique[[#This Row],[stock_quantity]]=0,"Agotado","Pocas Unidades"))</f>
        <v>Ok</v>
      </c>
      <c r="S1763" s="3">
        <f>IF(BBDD_fashion_boutique[[#This Row],[customer_rating]]="","No valorado",BBDD_fashion_boutique[[#This Row],[customer_rating]])</f>
        <v>4.8</v>
      </c>
      <c r="T1763" t="s">
        <v>24</v>
      </c>
      <c r="V1763">
        <f>IF(BBDD_fashion_boutique[[#This Row],[is_returned]]="False",0,1)</f>
        <v>0</v>
      </c>
      <c r="W1763">
        <f>IF(BBDD_fashion_boutique[[#This Row],[is_returned]]="True",0,BBDD_fashion_boutique[[#This Row],[current_price]])</f>
        <v>46.42</v>
      </c>
      <c r="X1763" t="str">
        <f>IF(BBDD_fashion_boutique[[#This Row],[return_reason]]="","No return",BBDD_fashion_boutique[[#This Row],[return_reason]])</f>
        <v>No return</v>
      </c>
      <c r="Y1763">
        <f>IF(IFERROR(VLOOKUP(BBDD_fashion_boutique[[#This Row],[product_id]],A1764:A3939,1,FALSE),0),1,0)</f>
        <v>0</v>
      </c>
    </row>
    <row r="1764" spans="1:25" x14ac:dyDescent="0.3">
      <c r="A1764" t="s">
        <v>1823</v>
      </c>
      <c r="B1764" t="s">
        <v>35</v>
      </c>
      <c r="C1764" t="s">
        <v>54</v>
      </c>
      <c r="D1764" t="s">
        <v>28</v>
      </c>
      <c r="E1764" t="s">
        <v>64</v>
      </c>
      <c r="F1764" t="str">
        <f>IF(BBDD_fashion_boutique[[#This Row],[category]]="Accessories","Accesorio",IF(BBDD_fashion_boutique[[#This Row],[size]]="","Desconocido",BBDD_fashion_boutique[[#This Row],[size]]))</f>
        <v>M</v>
      </c>
      <c r="G1764" t="s">
        <v>50</v>
      </c>
      <c r="H1764" s="2">
        <v>83.2</v>
      </c>
      <c r="I1764">
        <v>57.1</v>
      </c>
      <c r="J1764" s="5">
        <f>BBDD_fashion_boutique[[#This Row],[markdown_percentage]]/100</f>
        <v>0.57100000000000006</v>
      </c>
      <c r="K1764" s="2">
        <v>35.69</v>
      </c>
      <c r="L1764" s="2">
        <f>BBDD_fashion_boutique[[#This Row],[original_price]]-BBDD_fashion_boutique[[#This Row],[current_price]]</f>
        <v>47.510000000000005</v>
      </c>
      <c r="M1764" s="1">
        <v>45875</v>
      </c>
      <c r="N1764" s="1" t="str">
        <f>PROPER(TEXT(BBDD_fashion_boutique[[#This Row],[purchase_date]],"dddd"))</f>
        <v>Miércoles</v>
      </c>
      <c r="O1764" s="1" t="str">
        <f>PROPER(TEXT(BBDD_fashion_boutique[[#This Row],[purchase_date]],"mmmm"))</f>
        <v>Agosto</v>
      </c>
      <c r="P1764" s="4">
        <v>10</v>
      </c>
      <c r="Q1764" s="2">
        <v>3.3</v>
      </c>
      <c r="R1764" t="str">
        <f>IF(BBDD_fashion_boutique[[#This Row],[stock_quantity]]&gt;9,"Ok",IF(BBDD_fashion_boutique[[#This Row],[stock_quantity]]=0,"Agotado","Pocas Unidades"))</f>
        <v>Ok</v>
      </c>
      <c r="S1764" s="3">
        <f>IF(BBDD_fashion_boutique[[#This Row],[customer_rating]]="","No valorado",BBDD_fashion_boutique[[#This Row],[customer_rating]])</f>
        <v>3.3</v>
      </c>
      <c r="T1764" t="s">
        <v>24</v>
      </c>
      <c r="V1764">
        <f>IF(BBDD_fashion_boutique[[#This Row],[is_returned]]="False",0,1)</f>
        <v>0</v>
      </c>
      <c r="W1764">
        <f>IF(BBDD_fashion_boutique[[#This Row],[is_returned]]="True",0,BBDD_fashion_boutique[[#This Row],[current_price]])</f>
        <v>35.69</v>
      </c>
      <c r="X1764" t="str">
        <f>IF(BBDD_fashion_boutique[[#This Row],[return_reason]]="","No return",BBDD_fashion_boutique[[#This Row],[return_reason]])</f>
        <v>No return</v>
      </c>
      <c r="Y1764">
        <f>IF(IFERROR(VLOOKUP(BBDD_fashion_boutique[[#This Row],[product_id]],A1765:A3940,1,FALSE),0),1,0)</f>
        <v>0</v>
      </c>
    </row>
    <row r="1765" spans="1:25" x14ac:dyDescent="0.3">
      <c r="A1765" t="s">
        <v>1824</v>
      </c>
      <c r="B1765" t="s">
        <v>19</v>
      </c>
      <c r="C1765" t="s">
        <v>27</v>
      </c>
      <c r="D1765" t="s">
        <v>68</v>
      </c>
      <c r="E1765" t="s">
        <v>45</v>
      </c>
      <c r="F1765" t="str">
        <f>IF(BBDD_fashion_boutique[[#This Row],[category]]="Accessories","Accesorio",IF(BBDD_fashion_boutique[[#This Row],[size]]="","Desconocido",BBDD_fashion_boutique[[#This Row],[size]]))</f>
        <v>S</v>
      </c>
      <c r="G1765" t="s">
        <v>70</v>
      </c>
      <c r="H1765" s="2">
        <v>204.47</v>
      </c>
      <c r="I1765">
        <v>3.6</v>
      </c>
      <c r="J1765" s="5">
        <f>BBDD_fashion_boutique[[#This Row],[markdown_percentage]]/100</f>
        <v>3.6000000000000004E-2</v>
      </c>
      <c r="K1765" s="2">
        <v>197.11</v>
      </c>
      <c r="L1765" s="2">
        <f>BBDD_fashion_boutique[[#This Row],[original_price]]-BBDD_fashion_boutique[[#This Row],[current_price]]</f>
        <v>7.3599999999999852</v>
      </c>
      <c r="M1765" s="1">
        <v>45875</v>
      </c>
      <c r="N1765" s="1" t="str">
        <f>PROPER(TEXT(BBDD_fashion_boutique[[#This Row],[purchase_date]],"dddd"))</f>
        <v>Miércoles</v>
      </c>
      <c r="O1765" s="1" t="str">
        <f>PROPER(TEXT(BBDD_fashion_boutique[[#This Row],[purchase_date]],"mmmm"))</f>
        <v>Agosto</v>
      </c>
      <c r="P1765" s="4">
        <v>26</v>
      </c>
      <c r="R1765" t="str">
        <f>IF(BBDD_fashion_boutique[[#This Row],[stock_quantity]]&gt;9,"Ok",IF(BBDD_fashion_boutique[[#This Row],[stock_quantity]]=0,"Agotado","Pocas Unidades"))</f>
        <v>Ok</v>
      </c>
      <c r="S1765" s="3" t="str">
        <f>IF(BBDD_fashion_boutique[[#This Row],[customer_rating]]="","No valorado",BBDD_fashion_boutique[[#This Row],[customer_rating]])</f>
        <v>No valorado</v>
      </c>
      <c r="T1765" t="s">
        <v>24</v>
      </c>
      <c r="V1765">
        <f>IF(BBDD_fashion_boutique[[#This Row],[is_returned]]="False",0,1)</f>
        <v>0</v>
      </c>
      <c r="W1765">
        <f>IF(BBDD_fashion_boutique[[#This Row],[is_returned]]="True",0,BBDD_fashion_boutique[[#This Row],[current_price]])</f>
        <v>197.11</v>
      </c>
      <c r="X1765" t="str">
        <f>IF(BBDD_fashion_boutique[[#This Row],[return_reason]]="","No return",BBDD_fashion_boutique[[#This Row],[return_reason]])</f>
        <v>No return</v>
      </c>
      <c r="Y1765">
        <f>IF(IFERROR(VLOOKUP(BBDD_fashion_boutique[[#This Row],[product_id]],A1766:A3941,1,FALSE),0),1,0)</f>
        <v>0</v>
      </c>
    </row>
    <row r="1766" spans="1:25" x14ac:dyDescent="0.3">
      <c r="A1766" t="s">
        <v>1825</v>
      </c>
      <c r="B1766" t="s">
        <v>32</v>
      </c>
      <c r="C1766" t="s">
        <v>49</v>
      </c>
      <c r="D1766" t="s">
        <v>39</v>
      </c>
      <c r="F1766" t="str">
        <f>IF(BBDD_fashion_boutique[[#This Row],[category]]="Accessories","Accesorio",IF(BBDD_fashion_boutique[[#This Row],[size]]="","Desconocido",BBDD_fashion_boutique[[#This Row],[size]]))</f>
        <v>Accesorio</v>
      </c>
      <c r="G1766" t="s">
        <v>72</v>
      </c>
      <c r="H1766" s="2">
        <v>52.73</v>
      </c>
      <c r="I1766">
        <v>0</v>
      </c>
      <c r="J1766" s="5">
        <f>BBDD_fashion_boutique[[#This Row],[markdown_percentage]]/100</f>
        <v>0</v>
      </c>
      <c r="K1766" s="2">
        <v>52.73</v>
      </c>
      <c r="L1766" s="2">
        <f>BBDD_fashion_boutique[[#This Row],[original_price]]-BBDD_fashion_boutique[[#This Row],[current_price]]</f>
        <v>0</v>
      </c>
      <c r="M1766" s="1">
        <v>45875</v>
      </c>
      <c r="N1766" s="1" t="str">
        <f>PROPER(TEXT(BBDD_fashion_boutique[[#This Row],[purchase_date]],"dddd"))</f>
        <v>Miércoles</v>
      </c>
      <c r="O1766" s="1" t="str">
        <f>PROPER(TEXT(BBDD_fashion_boutique[[#This Row],[purchase_date]],"mmmm"))</f>
        <v>Agosto</v>
      </c>
      <c r="P1766" s="4">
        <v>42</v>
      </c>
      <c r="R1766" t="str">
        <f>IF(BBDD_fashion_boutique[[#This Row],[stock_quantity]]&gt;9,"Ok",IF(BBDD_fashion_boutique[[#This Row],[stock_quantity]]=0,"Agotado","Pocas Unidades"))</f>
        <v>Ok</v>
      </c>
      <c r="S1766" s="3" t="str">
        <f>IF(BBDD_fashion_boutique[[#This Row],[customer_rating]]="","No valorado",BBDD_fashion_boutique[[#This Row],[customer_rating]])</f>
        <v>No valorado</v>
      </c>
      <c r="T1766" t="s">
        <v>24</v>
      </c>
      <c r="V1766">
        <f>IF(BBDD_fashion_boutique[[#This Row],[is_returned]]="False",0,1)</f>
        <v>0</v>
      </c>
      <c r="W1766">
        <f>IF(BBDD_fashion_boutique[[#This Row],[is_returned]]="True",0,BBDD_fashion_boutique[[#This Row],[current_price]])</f>
        <v>52.73</v>
      </c>
      <c r="X1766" t="str">
        <f>IF(BBDD_fashion_boutique[[#This Row],[return_reason]]="","No return",BBDD_fashion_boutique[[#This Row],[return_reason]])</f>
        <v>No return</v>
      </c>
      <c r="Y1766">
        <f>IF(IFERROR(VLOOKUP(BBDD_fashion_boutique[[#This Row],[product_id]],A1767:A3942,1,FALSE),0),1,0)</f>
        <v>0</v>
      </c>
    </row>
    <row r="1767" spans="1:25" x14ac:dyDescent="0.3">
      <c r="A1767" t="s">
        <v>1826</v>
      </c>
      <c r="B1767" t="s">
        <v>44</v>
      </c>
      <c r="C1767" t="s">
        <v>81</v>
      </c>
      <c r="D1767" t="s">
        <v>39</v>
      </c>
      <c r="E1767" t="s">
        <v>55</v>
      </c>
      <c r="F1767" t="str">
        <f>IF(BBDD_fashion_boutique[[#This Row],[category]]="Accessories","Accesorio",IF(BBDD_fashion_boutique[[#This Row],[size]]="","Desconocido",BBDD_fashion_boutique[[#This Row],[size]]))</f>
        <v>XXL</v>
      </c>
      <c r="G1767" t="s">
        <v>62</v>
      </c>
      <c r="H1767" s="2">
        <v>61.1</v>
      </c>
      <c r="I1767">
        <v>0</v>
      </c>
      <c r="J1767" s="5">
        <f>BBDD_fashion_boutique[[#This Row],[markdown_percentage]]/100</f>
        <v>0</v>
      </c>
      <c r="K1767" s="2">
        <v>61.1</v>
      </c>
      <c r="L1767" s="2">
        <f>BBDD_fashion_boutique[[#This Row],[original_price]]-BBDD_fashion_boutique[[#This Row],[current_price]]</f>
        <v>0</v>
      </c>
      <c r="M1767" s="1">
        <v>45875</v>
      </c>
      <c r="N1767" s="1" t="str">
        <f>PROPER(TEXT(BBDD_fashion_boutique[[#This Row],[purchase_date]],"dddd"))</f>
        <v>Miércoles</v>
      </c>
      <c r="O1767" s="1" t="str">
        <f>PROPER(TEXT(BBDD_fashion_boutique[[#This Row],[purchase_date]],"mmmm"))</f>
        <v>Agosto</v>
      </c>
      <c r="P1767" s="4">
        <v>30</v>
      </c>
      <c r="Q1767" s="2">
        <v>4.5999999999999996</v>
      </c>
      <c r="R1767" t="str">
        <f>IF(BBDD_fashion_boutique[[#This Row],[stock_quantity]]&gt;9,"Ok",IF(BBDD_fashion_boutique[[#This Row],[stock_quantity]]=0,"Agotado","Pocas Unidades"))</f>
        <v>Ok</v>
      </c>
      <c r="S1767" s="3">
        <f>IF(BBDD_fashion_boutique[[#This Row],[customer_rating]]="","No valorado",BBDD_fashion_boutique[[#This Row],[customer_rating]])</f>
        <v>4.5999999999999996</v>
      </c>
      <c r="T1767" t="s">
        <v>24</v>
      </c>
      <c r="V1767">
        <f>IF(BBDD_fashion_boutique[[#This Row],[is_returned]]="False",0,1)</f>
        <v>0</v>
      </c>
      <c r="W1767">
        <f>IF(BBDD_fashion_boutique[[#This Row],[is_returned]]="True",0,BBDD_fashion_boutique[[#This Row],[current_price]])</f>
        <v>61.1</v>
      </c>
      <c r="X1767" t="str">
        <f>IF(BBDD_fashion_boutique[[#This Row],[return_reason]]="","No return",BBDD_fashion_boutique[[#This Row],[return_reason]])</f>
        <v>No return</v>
      </c>
      <c r="Y1767">
        <f>IF(IFERROR(VLOOKUP(BBDD_fashion_boutique[[#This Row],[product_id]],A1768:A3943,1,FALSE),0),1,0)</f>
        <v>0</v>
      </c>
    </row>
    <row r="1768" spans="1:25" x14ac:dyDescent="0.3">
      <c r="A1768" t="s">
        <v>1827</v>
      </c>
      <c r="B1768" t="s">
        <v>19</v>
      </c>
      <c r="C1768" t="s">
        <v>20</v>
      </c>
      <c r="D1768" t="s">
        <v>68</v>
      </c>
      <c r="E1768" t="s">
        <v>45</v>
      </c>
      <c r="F1768" t="str">
        <f>IF(BBDD_fashion_boutique[[#This Row],[category]]="Accessories","Accesorio",IF(BBDD_fashion_boutique[[#This Row],[size]]="","Desconocido",BBDD_fashion_boutique[[#This Row],[size]]))</f>
        <v>S</v>
      </c>
      <c r="G1768" t="s">
        <v>46</v>
      </c>
      <c r="H1768" s="2">
        <v>227.92</v>
      </c>
      <c r="I1768">
        <v>0</v>
      </c>
      <c r="J1768" s="5">
        <f>BBDD_fashion_boutique[[#This Row],[markdown_percentage]]/100</f>
        <v>0</v>
      </c>
      <c r="K1768" s="2">
        <v>227.92</v>
      </c>
      <c r="L1768" s="2">
        <f>BBDD_fashion_boutique[[#This Row],[original_price]]-BBDD_fashion_boutique[[#This Row],[current_price]]</f>
        <v>0</v>
      </c>
      <c r="M1768" s="1">
        <v>45875</v>
      </c>
      <c r="N1768" s="1" t="str">
        <f>PROPER(TEXT(BBDD_fashion_boutique[[#This Row],[purchase_date]],"dddd"))</f>
        <v>Miércoles</v>
      </c>
      <c r="O1768" s="1" t="str">
        <f>PROPER(TEXT(BBDD_fashion_boutique[[#This Row],[purchase_date]],"mmmm"))</f>
        <v>Agosto</v>
      </c>
      <c r="P1768" s="4">
        <v>34</v>
      </c>
      <c r="R1768" t="str">
        <f>IF(BBDD_fashion_boutique[[#This Row],[stock_quantity]]&gt;9,"Ok",IF(BBDD_fashion_boutique[[#This Row],[stock_quantity]]=0,"Agotado","Pocas Unidades"))</f>
        <v>Ok</v>
      </c>
      <c r="S1768" s="3" t="str">
        <f>IF(BBDD_fashion_boutique[[#This Row],[customer_rating]]="","No valorado",BBDD_fashion_boutique[[#This Row],[customer_rating]])</f>
        <v>No valorado</v>
      </c>
      <c r="T1768" t="s">
        <v>24</v>
      </c>
      <c r="V1768">
        <f>IF(BBDD_fashion_boutique[[#This Row],[is_returned]]="False",0,1)</f>
        <v>0</v>
      </c>
      <c r="W1768">
        <f>IF(BBDD_fashion_boutique[[#This Row],[is_returned]]="True",0,BBDD_fashion_boutique[[#This Row],[current_price]])</f>
        <v>227.92</v>
      </c>
      <c r="X1768" t="str">
        <f>IF(BBDD_fashion_boutique[[#This Row],[return_reason]]="","No return",BBDD_fashion_boutique[[#This Row],[return_reason]])</f>
        <v>No return</v>
      </c>
      <c r="Y1768">
        <f>IF(IFERROR(VLOOKUP(BBDD_fashion_boutique[[#This Row],[product_id]],A1769:A3944,1,FALSE),0),1,0)</f>
        <v>0</v>
      </c>
    </row>
    <row r="1769" spans="1:25" x14ac:dyDescent="0.3">
      <c r="A1769" t="s">
        <v>1828</v>
      </c>
      <c r="B1769" t="s">
        <v>48</v>
      </c>
      <c r="C1769" t="s">
        <v>54</v>
      </c>
      <c r="D1769" t="s">
        <v>39</v>
      </c>
      <c r="E1769" t="s">
        <v>29</v>
      </c>
      <c r="F1769" t="str">
        <f>IF(BBDD_fashion_boutique[[#This Row],[category]]="Accessories","Accesorio",IF(BBDD_fashion_boutique[[#This Row],[size]]="","Desconocido",BBDD_fashion_boutique[[#This Row],[size]]))</f>
        <v>L</v>
      </c>
      <c r="G1769" t="s">
        <v>50</v>
      </c>
      <c r="H1769" s="2">
        <v>111.55</v>
      </c>
      <c r="I1769">
        <v>0</v>
      </c>
      <c r="J1769" s="5">
        <f>BBDD_fashion_boutique[[#This Row],[markdown_percentage]]/100</f>
        <v>0</v>
      </c>
      <c r="K1769" s="2">
        <v>111.55</v>
      </c>
      <c r="L1769" s="2">
        <f>BBDD_fashion_boutique[[#This Row],[original_price]]-BBDD_fashion_boutique[[#This Row],[current_price]]</f>
        <v>0</v>
      </c>
      <c r="M1769" s="1">
        <v>45875</v>
      </c>
      <c r="N1769" s="1" t="str">
        <f>PROPER(TEXT(BBDD_fashion_boutique[[#This Row],[purchase_date]],"dddd"))</f>
        <v>Miércoles</v>
      </c>
      <c r="O1769" s="1" t="str">
        <f>PROPER(TEXT(BBDD_fashion_boutique[[#This Row],[purchase_date]],"mmmm"))</f>
        <v>Agosto</v>
      </c>
      <c r="P1769" s="4">
        <v>14</v>
      </c>
      <c r="R1769" t="str">
        <f>IF(BBDD_fashion_boutique[[#This Row],[stock_quantity]]&gt;9,"Ok",IF(BBDD_fashion_boutique[[#This Row],[stock_quantity]]=0,"Agotado","Pocas Unidades"))</f>
        <v>Ok</v>
      </c>
      <c r="S1769" s="3" t="str">
        <f>IF(BBDD_fashion_boutique[[#This Row],[customer_rating]]="","No valorado",BBDD_fashion_boutique[[#This Row],[customer_rating]])</f>
        <v>No valorado</v>
      </c>
      <c r="T1769" t="s">
        <v>24</v>
      </c>
      <c r="V1769">
        <f>IF(BBDD_fashion_boutique[[#This Row],[is_returned]]="False",0,1)</f>
        <v>0</v>
      </c>
      <c r="W1769">
        <f>IF(BBDD_fashion_boutique[[#This Row],[is_returned]]="True",0,BBDD_fashion_boutique[[#This Row],[current_price]])</f>
        <v>111.55</v>
      </c>
      <c r="X1769" t="str">
        <f>IF(BBDD_fashion_boutique[[#This Row],[return_reason]]="","No return",BBDD_fashion_boutique[[#This Row],[return_reason]])</f>
        <v>No return</v>
      </c>
      <c r="Y1769">
        <f>IF(IFERROR(VLOOKUP(BBDD_fashion_boutique[[#This Row],[product_id]],A1770:A3945,1,FALSE),0),1,0)</f>
        <v>0</v>
      </c>
    </row>
    <row r="1770" spans="1:25" x14ac:dyDescent="0.3">
      <c r="A1770" t="s">
        <v>1829</v>
      </c>
      <c r="B1770" t="s">
        <v>44</v>
      </c>
      <c r="C1770" t="s">
        <v>81</v>
      </c>
      <c r="D1770" t="s">
        <v>39</v>
      </c>
      <c r="E1770" t="s">
        <v>61</v>
      </c>
      <c r="F1770" t="str">
        <f>IF(BBDD_fashion_boutique[[#This Row],[category]]="Accessories","Accesorio",IF(BBDD_fashion_boutique[[#This Row],[size]]="","Desconocido",BBDD_fashion_boutique[[#This Row],[size]]))</f>
        <v>XS</v>
      </c>
      <c r="G1770" t="s">
        <v>30</v>
      </c>
      <c r="H1770" s="2">
        <v>29.09</v>
      </c>
      <c r="I1770">
        <v>29.6</v>
      </c>
      <c r="J1770" s="5">
        <f>BBDD_fashion_boutique[[#This Row],[markdown_percentage]]/100</f>
        <v>0.29600000000000004</v>
      </c>
      <c r="K1770" s="2">
        <v>20.48</v>
      </c>
      <c r="L1770" s="2">
        <f>BBDD_fashion_boutique[[#This Row],[original_price]]-BBDD_fashion_boutique[[#This Row],[current_price]]</f>
        <v>8.61</v>
      </c>
      <c r="M1770" s="1">
        <v>45875</v>
      </c>
      <c r="N1770" s="1" t="str">
        <f>PROPER(TEXT(BBDD_fashion_boutique[[#This Row],[purchase_date]],"dddd"))</f>
        <v>Miércoles</v>
      </c>
      <c r="O1770" s="1" t="str">
        <f>PROPER(TEXT(BBDD_fashion_boutique[[#This Row],[purchase_date]],"mmmm"))</f>
        <v>Agosto</v>
      </c>
      <c r="P1770" s="4">
        <v>25</v>
      </c>
      <c r="Q1770" s="2">
        <v>4.8</v>
      </c>
      <c r="R1770" t="str">
        <f>IF(BBDD_fashion_boutique[[#This Row],[stock_quantity]]&gt;9,"Ok",IF(BBDD_fashion_boutique[[#This Row],[stock_quantity]]=0,"Agotado","Pocas Unidades"))</f>
        <v>Ok</v>
      </c>
      <c r="S1770" s="3">
        <f>IF(BBDD_fashion_boutique[[#This Row],[customer_rating]]="","No valorado",BBDD_fashion_boutique[[#This Row],[customer_rating]])</f>
        <v>4.8</v>
      </c>
      <c r="T1770" t="s">
        <v>24</v>
      </c>
      <c r="V1770">
        <f>IF(BBDD_fashion_boutique[[#This Row],[is_returned]]="False",0,1)</f>
        <v>0</v>
      </c>
      <c r="W1770">
        <f>IF(BBDD_fashion_boutique[[#This Row],[is_returned]]="True",0,BBDD_fashion_boutique[[#This Row],[current_price]])</f>
        <v>20.48</v>
      </c>
      <c r="X1770" t="str">
        <f>IF(BBDD_fashion_boutique[[#This Row],[return_reason]]="","No return",BBDD_fashion_boutique[[#This Row],[return_reason]])</f>
        <v>No return</v>
      </c>
      <c r="Y1770">
        <f>IF(IFERROR(VLOOKUP(BBDD_fashion_boutique[[#This Row],[product_id]],A1771:A3946,1,FALSE),0),1,0)</f>
        <v>0</v>
      </c>
    </row>
    <row r="1771" spans="1:25" x14ac:dyDescent="0.3">
      <c r="A1771" t="s">
        <v>1830</v>
      </c>
      <c r="B1771" t="s">
        <v>48</v>
      </c>
      <c r="C1771" t="s">
        <v>54</v>
      </c>
      <c r="D1771" t="s">
        <v>39</v>
      </c>
      <c r="E1771" t="s">
        <v>64</v>
      </c>
      <c r="F1771" t="str">
        <f>IF(BBDD_fashion_boutique[[#This Row],[category]]="Accessories","Accesorio",IF(BBDD_fashion_boutique[[#This Row],[size]]="","Desconocido",BBDD_fashion_boutique[[#This Row],[size]]))</f>
        <v>M</v>
      </c>
      <c r="G1771" t="s">
        <v>30</v>
      </c>
      <c r="H1771" s="2">
        <v>179.71</v>
      </c>
      <c r="I1771">
        <v>0</v>
      </c>
      <c r="J1771" s="5">
        <f>BBDD_fashion_boutique[[#This Row],[markdown_percentage]]/100</f>
        <v>0</v>
      </c>
      <c r="K1771" s="2">
        <v>179.71</v>
      </c>
      <c r="L1771" s="2">
        <f>BBDD_fashion_boutique[[#This Row],[original_price]]-BBDD_fashion_boutique[[#This Row],[current_price]]</f>
        <v>0</v>
      </c>
      <c r="M1771" s="1">
        <v>45875</v>
      </c>
      <c r="N1771" s="1" t="str">
        <f>PROPER(TEXT(BBDD_fashion_boutique[[#This Row],[purchase_date]],"dddd"))</f>
        <v>Miércoles</v>
      </c>
      <c r="O1771" s="1" t="str">
        <f>PROPER(TEXT(BBDD_fashion_boutique[[#This Row],[purchase_date]],"mmmm"))</f>
        <v>Agosto</v>
      </c>
      <c r="P1771" s="4">
        <v>9</v>
      </c>
      <c r="Q1771" s="2">
        <v>3.9</v>
      </c>
      <c r="R1771" t="str">
        <f>IF(BBDD_fashion_boutique[[#This Row],[stock_quantity]]&gt;9,"Ok",IF(BBDD_fashion_boutique[[#This Row],[stock_quantity]]=0,"Agotado","Pocas Unidades"))</f>
        <v>Pocas Unidades</v>
      </c>
      <c r="S1771" s="3">
        <f>IF(BBDD_fashion_boutique[[#This Row],[customer_rating]]="","No valorado",BBDD_fashion_boutique[[#This Row],[customer_rating]])</f>
        <v>3.9</v>
      </c>
      <c r="T1771" t="s">
        <v>24</v>
      </c>
      <c r="V1771">
        <f>IF(BBDD_fashion_boutique[[#This Row],[is_returned]]="False",0,1)</f>
        <v>0</v>
      </c>
      <c r="W1771">
        <f>IF(BBDD_fashion_boutique[[#This Row],[is_returned]]="True",0,BBDD_fashion_boutique[[#This Row],[current_price]])</f>
        <v>179.71</v>
      </c>
      <c r="X1771" t="str">
        <f>IF(BBDD_fashion_boutique[[#This Row],[return_reason]]="","No return",BBDD_fashion_boutique[[#This Row],[return_reason]])</f>
        <v>No return</v>
      </c>
      <c r="Y1771">
        <f>IF(IFERROR(VLOOKUP(BBDD_fashion_boutique[[#This Row],[product_id]],A1772:A3947,1,FALSE),0),1,0)</f>
        <v>0</v>
      </c>
    </row>
    <row r="1772" spans="1:25" x14ac:dyDescent="0.3">
      <c r="A1772" t="s">
        <v>1831</v>
      </c>
      <c r="B1772" t="s">
        <v>32</v>
      </c>
      <c r="C1772" t="s">
        <v>54</v>
      </c>
      <c r="D1772" t="s">
        <v>68</v>
      </c>
      <c r="F1772" t="str">
        <f>IF(BBDD_fashion_boutique[[#This Row],[category]]="Accessories","Accesorio",IF(BBDD_fashion_boutique[[#This Row],[size]]="","Desconocido",BBDD_fashion_boutique[[#This Row],[size]]))</f>
        <v>Accesorio</v>
      </c>
      <c r="G1772" t="s">
        <v>30</v>
      </c>
      <c r="H1772" s="2">
        <v>52.76</v>
      </c>
      <c r="I1772">
        <v>39.4</v>
      </c>
      <c r="J1772" s="5">
        <f>BBDD_fashion_boutique[[#This Row],[markdown_percentage]]/100</f>
        <v>0.39399999999999996</v>
      </c>
      <c r="K1772" s="2">
        <v>31.97</v>
      </c>
      <c r="L1772" s="2">
        <f>BBDD_fashion_boutique[[#This Row],[original_price]]-BBDD_fashion_boutique[[#This Row],[current_price]]</f>
        <v>20.79</v>
      </c>
      <c r="M1772" s="1">
        <v>45875</v>
      </c>
      <c r="N1772" s="1" t="str">
        <f>PROPER(TEXT(BBDD_fashion_boutique[[#This Row],[purchase_date]],"dddd"))</f>
        <v>Miércoles</v>
      </c>
      <c r="O1772" s="1" t="str">
        <f>PROPER(TEXT(BBDD_fashion_boutique[[#This Row],[purchase_date]],"mmmm"))</f>
        <v>Agosto</v>
      </c>
      <c r="P1772" s="4">
        <v>0</v>
      </c>
      <c r="Q1772" s="2">
        <v>1.4</v>
      </c>
      <c r="R1772" t="str">
        <f>IF(BBDD_fashion_boutique[[#This Row],[stock_quantity]]&gt;9,"Ok",IF(BBDD_fashion_boutique[[#This Row],[stock_quantity]]=0,"Agotado","Pocas Unidades"))</f>
        <v>Agotado</v>
      </c>
      <c r="S1772" s="3">
        <f>IF(BBDD_fashion_boutique[[#This Row],[customer_rating]]="","No valorado",BBDD_fashion_boutique[[#This Row],[customer_rating]])</f>
        <v>1.4</v>
      </c>
      <c r="T1772" t="s">
        <v>24</v>
      </c>
      <c r="V1772">
        <f>IF(BBDD_fashion_boutique[[#This Row],[is_returned]]="False",0,1)</f>
        <v>0</v>
      </c>
      <c r="W1772">
        <f>IF(BBDD_fashion_boutique[[#This Row],[is_returned]]="True",0,BBDD_fashion_boutique[[#This Row],[current_price]])</f>
        <v>31.97</v>
      </c>
      <c r="X1772" t="str">
        <f>IF(BBDD_fashion_boutique[[#This Row],[return_reason]]="","No return",BBDD_fashion_boutique[[#This Row],[return_reason]])</f>
        <v>No return</v>
      </c>
      <c r="Y1772">
        <f>IF(IFERROR(VLOOKUP(BBDD_fashion_boutique[[#This Row],[product_id]],A1773:A3948,1,FALSE),0),1,0)</f>
        <v>0</v>
      </c>
    </row>
    <row r="1773" spans="1:25" x14ac:dyDescent="0.3">
      <c r="A1773" t="s">
        <v>1832</v>
      </c>
      <c r="B1773" t="s">
        <v>32</v>
      </c>
      <c r="C1773" t="s">
        <v>27</v>
      </c>
      <c r="D1773" t="s">
        <v>21</v>
      </c>
      <c r="F1773" t="str">
        <f>IF(BBDD_fashion_boutique[[#This Row],[category]]="Accessories","Accesorio",IF(BBDD_fashion_boutique[[#This Row],[size]]="","Desconocido",BBDD_fashion_boutique[[#This Row],[size]]))</f>
        <v>Accesorio</v>
      </c>
      <c r="G1773" t="s">
        <v>52</v>
      </c>
      <c r="H1773" s="2">
        <v>67.900000000000006</v>
      </c>
      <c r="I1773">
        <v>0</v>
      </c>
      <c r="J1773" s="5">
        <f>BBDD_fashion_boutique[[#This Row],[markdown_percentage]]/100</f>
        <v>0</v>
      </c>
      <c r="K1773" s="2">
        <v>67.900000000000006</v>
      </c>
      <c r="L1773" s="2">
        <f>BBDD_fashion_boutique[[#This Row],[original_price]]-BBDD_fashion_boutique[[#This Row],[current_price]]</f>
        <v>0</v>
      </c>
      <c r="M1773" s="1">
        <v>45657</v>
      </c>
      <c r="N1773" s="1" t="str">
        <f>PROPER(TEXT(BBDD_fashion_boutique[[#This Row],[purchase_date]],"dddd"))</f>
        <v>Martes</v>
      </c>
      <c r="O1773" s="1" t="str">
        <f>PROPER(TEXT(BBDD_fashion_boutique[[#This Row],[purchase_date]],"mmmm"))</f>
        <v>Diciembre</v>
      </c>
      <c r="P1773" s="4">
        <v>1</v>
      </c>
      <c r="Q1773" s="2">
        <v>1.3</v>
      </c>
      <c r="R1773" t="str">
        <f>IF(BBDD_fashion_boutique[[#This Row],[stock_quantity]]&gt;9,"Ok",IF(BBDD_fashion_boutique[[#This Row],[stock_quantity]]=0,"Agotado","Pocas Unidades"))</f>
        <v>Pocas Unidades</v>
      </c>
      <c r="S1773" s="3">
        <f>IF(BBDD_fashion_boutique[[#This Row],[customer_rating]]="","No valorado",BBDD_fashion_boutique[[#This Row],[customer_rating]])</f>
        <v>1.3</v>
      </c>
      <c r="T1773" t="s">
        <v>24</v>
      </c>
      <c r="V1773">
        <f>IF(BBDD_fashion_boutique[[#This Row],[is_returned]]="False",0,1)</f>
        <v>0</v>
      </c>
      <c r="W1773">
        <f>IF(BBDD_fashion_boutique[[#This Row],[is_returned]]="True",0,BBDD_fashion_boutique[[#This Row],[current_price]])</f>
        <v>67.900000000000006</v>
      </c>
      <c r="X1773" t="str">
        <f>IF(BBDD_fashion_boutique[[#This Row],[return_reason]]="","No return",BBDD_fashion_boutique[[#This Row],[return_reason]])</f>
        <v>No return</v>
      </c>
      <c r="Y1773">
        <f>IF(IFERROR(VLOOKUP(BBDD_fashion_boutique[[#This Row],[product_id]],A1774:A3949,1,FALSE),0),1,0)</f>
        <v>0</v>
      </c>
    </row>
    <row r="1774" spans="1:25" x14ac:dyDescent="0.3">
      <c r="A1774" t="s">
        <v>1833</v>
      </c>
      <c r="B1774" t="s">
        <v>32</v>
      </c>
      <c r="C1774" t="s">
        <v>27</v>
      </c>
      <c r="D1774" t="s">
        <v>39</v>
      </c>
      <c r="F1774" t="str">
        <f>IF(BBDD_fashion_boutique[[#This Row],[category]]="Accessories","Accesorio",IF(BBDD_fashion_boutique[[#This Row],[size]]="","Desconocido",BBDD_fashion_boutique[[#This Row],[size]]))</f>
        <v>Accesorio</v>
      </c>
      <c r="G1774" t="s">
        <v>70</v>
      </c>
      <c r="H1774" s="2">
        <v>46.77</v>
      </c>
      <c r="I1774">
        <v>40.799999999999997</v>
      </c>
      <c r="J1774" s="5">
        <f>BBDD_fashion_boutique[[#This Row],[markdown_percentage]]/100</f>
        <v>0.40799999999999997</v>
      </c>
      <c r="K1774" s="2">
        <v>27.69</v>
      </c>
      <c r="L1774" s="2">
        <f>BBDD_fashion_boutique[[#This Row],[original_price]]-BBDD_fashion_boutique[[#This Row],[current_price]]</f>
        <v>19.080000000000002</v>
      </c>
      <c r="M1774" s="1">
        <v>45875</v>
      </c>
      <c r="N1774" s="1" t="str">
        <f>PROPER(TEXT(BBDD_fashion_boutique[[#This Row],[purchase_date]],"dddd"))</f>
        <v>Miércoles</v>
      </c>
      <c r="O1774" s="1" t="str">
        <f>PROPER(TEXT(BBDD_fashion_boutique[[#This Row],[purchase_date]],"mmmm"))</f>
        <v>Agosto</v>
      </c>
      <c r="P1774" s="4">
        <v>25</v>
      </c>
      <c r="Q1774" s="2">
        <v>2.6</v>
      </c>
      <c r="R1774" t="str">
        <f>IF(BBDD_fashion_boutique[[#This Row],[stock_quantity]]&gt;9,"Ok",IF(BBDD_fashion_boutique[[#This Row],[stock_quantity]]=0,"Agotado","Pocas Unidades"))</f>
        <v>Ok</v>
      </c>
      <c r="S1774" s="3">
        <f>IF(BBDD_fashion_boutique[[#This Row],[customer_rating]]="","No valorado",BBDD_fashion_boutique[[#This Row],[customer_rating]])</f>
        <v>2.6</v>
      </c>
      <c r="T1774" t="s">
        <v>24</v>
      </c>
      <c r="V1774">
        <f>IF(BBDD_fashion_boutique[[#This Row],[is_returned]]="False",0,1)</f>
        <v>0</v>
      </c>
      <c r="W1774">
        <f>IF(BBDD_fashion_boutique[[#This Row],[is_returned]]="True",0,BBDD_fashion_boutique[[#This Row],[current_price]])</f>
        <v>27.69</v>
      </c>
      <c r="X1774" t="str">
        <f>IF(BBDD_fashion_boutique[[#This Row],[return_reason]]="","No return",BBDD_fashion_boutique[[#This Row],[return_reason]])</f>
        <v>No return</v>
      </c>
      <c r="Y1774">
        <f>IF(IFERROR(VLOOKUP(BBDD_fashion_boutique[[#This Row],[product_id]],A1775:A3950,1,FALSE),0),1,0)</f>
        <v>0</v>
      </c>
    </row>
    <row r="1775" spans="1:25" x14ac:dyDescent="0.3">
      <c r="A1775" t="s">
        <v>1834</v>
      </c>
      <c r="B1775" t="s">
        <v>26</v>
      </c>
      <c r="C1775" t="s">
        <v>27</v>
      </c>
      <c r="D1775" t="s">
        <v>28</v>
      </c>
      <c r="E1775" t="s">
        <v>22</v>
      </c>
      <c r="F1775" t="str">
        <f>IF(BBDD_fashion_boutique[[#This Row],[category]]="Accessories","Accesorio",IF(BBDD_fashion_boutique[[#This Row],[size]]="","Desconocido",BBDD_fashion_boutique[[#This Row],[size]]))</f>
        <v>XL</v>
      </c>
      <c r="G1775" t="s">
        <v>70</v>
      </c>
      <c r="H1775" s="2">
        <v>91.6</v>
      </c>
      <c r="I1775">
        <v>0</v>
      </c>
      <c r="J1775" s="5">
        <f>BBDD_fashion_boutique[[#This Row],[markdown_percentage]]/100</f>
        <v>0</v>
      </c>
      <c r="K1775" s="2">
        <v>91.6</v>
      </c>
      <c r="L1775" s="2">
        <f>BBDD_fashion_boutique[[#This Row],[original_price]]-BBDD_fashion_boutique[[#This Row],[current_price]]</f>
        <v>0</v>
      </c>
      <c r="M1775" s="1">
        <v>45875</v>
      </c>
      <c r="N1775" s="1" t="str">
        <f>PROPER(TEXT(BBDD_fashion_boutique[[#This Row],[purchase_date]],"dddd"))</f>
        <v>Miércoles</v>
      </c>
      <c r="O1775" s="1" t="str">
        <f>PROPER(TEXT(BBDD_fashion_boutique[[#This Row],[purchase_date]],"mmmm"))</f>
        <v>Agosto</v>
      </c>
      <c r="P1775" s="4">
        <v>6</v>
      </c>
      <c r="Q1775" s="2">
        <v>2.7</v>
      </c>
      <c r="R1775" t="str">
        <f>IF(BBDD_fashion_boutique[[#This Row],[stock_quantity]]&gt;9,"Ok",IF(BBDD_fashion_boutique[[#This Row],[stock_quantity]]=0,"Agotado","Pocas Unidades"))</f>
        <v>Pocas Unidades</v>
      </c>
      <c r="S1775" s="3">
        <f>IF(BBDD_fashion_boutique[[#This Row],[customer_rating]]="","No valorado",BBDD_fashion_boutique[[#This Row],[customer_rating]])</f>
        <v>2.7</v>
      </c>
      <c r="T1775" t="s">
        <v>24</v>
      </c>
      <c r="V1775">
        <f>IF(BBDD_fashion_boutique[[#This Row],[is_returned]]="False",0,1)</f>
        <v>0</v>
      </c>
      <c r="W1775">
        <f>IF(BBDD_fashion_boutique[[#This Row],[is_returned]]="True",0,BBDD_fashion_boutique[[#This Row],[current_price]])</f>
        <v>91.6</v>
      </c>
      <c r="X1775" t="str">
        <f>IF(BBDD_fashion_boutique[[#This Row],[return_reason]]="","No return",BBDD_fashion_boutique[[#This Row],[return_reason]])</f>
        <v>No return</v>
      </c>
      <c r="Y1775">
        <f>IF(IFERROR(VLOOKUP(BBDD_fashion_boutique[[#This Row],[product_id]],A1776:A3951,1,FALSE),0),1,0)</f>
        <v>0</v>
      </c>
    </row>
    <row r="1776" spans="1:25" x14ac:dyDescent="0.3">
      <c r="A1776" t="s">
        <v>1835</v>
      </c>
      <c r="B1776" t="s">
        <v>19</v>
      </c>
      <c r="C1776" t="s">
        <v>27</v>
      </c>
      <c r="D1776" t="s">
        <v>21</v>
      </c>
      <c r="E1776" t="s">
        <v>61</v>
      </c>
      <c r="F1776" t="str">
        <f>IF(BBDD_fashion_boutique[[#This Row],[category]]="Accessories","Accesorio",IF(BBDD_fashion_boutique[[#This Row],[size]]="","Desconocido",BBDD_fashion_boutique[[#This Row],[size]]))</f>
        <v>XS</v>
      </c>
      <c r="G1776" t="s">
        <v>30</v>
      </c>
      <c r="H1776" s="2">
        <v>230.39</v>
      </c>
      <c r="I1776">
        <v>4.2</v>
      </c>
      <c r="J1776" s="5">
        <f>BBDD_fashion_boutique[[#This Row],[markdown_percentage]]/100</f>
        <v>4.2000000000000003E-2</v>
      </c>
      <c r="K1776" s="2">
        <v>220.71</v>
      </c>
      <c r="L1776" s="2">
        <f>BBDD_fashion_boutique[[#This Row],[original_price]]-BBDD_fashion_boutique[[#This Row],[current_price]]</f>
        <v>9.6799999999999784</v>
      </c>
      <c r="M1776" s="1">
        <v>45580</v>
      </c>
      <c r="N1776" s="1" t="str">
        <f>PROPER(TEXT(BBDD_fashion_boutique[[#This Row],[purchase_date]],"dddd"))</f>
        <v>Martes</v>
      </c>
      <c r="O1776" s="1" t="str">
        <f>PROPER(TEXT(BBDD_fashion_boutique[[#This Row],[purchase_date]],"mmmm"))</f>
        <v>Octubre</v>
      </c>
      <c r="P1776" s="4">
        <v>34</v>
      </c>
      <c r="Q1776" s="2">
        <v>3.5</v>
      </c>
      <c r="R1776" t="str">
        <f>IF(BBDD_fashion_boutique[[#This Row],[stock_quantity]]&gt;9,"Ok",IF(BBDD_fashion_boutique[[#This Row],[stock_quantity]]=0,"Agotado","Pocas Unidades"))</f>
        <v>Ok</v>
      </c>
      <c r="S1776" s="3">
        <f>IF(BBDD_fashion_boutique[[#This Row],[customer_rating]]="","No valorado",BBDD_fashion_boutique[[#This Row],[customer_rating]])</f>
        <v>3.5</v>
      </c>
      <c r="T1776" t="s">
        <v>24</v>
      </c>
      <c r="V1776">
        <f>IF(BBDD_fashion_boutique[[#This Row],[is_returned]]="False",0,1)</f>
        <v>0</v>
      </c>
      <c r="W1776">
        <f>IF(BBDD_fashion_boutique[[#This Row],[is_returned]]="True",0,BBDD_fashion_boutique[[#This Row],[current_price]])</f>
        <v>220.71</v>
      </c>
      <c r="X1776" t="str">
        <f>IF(BBDD_fashion_boutique[[#This Row],[return_reason]]="","No return",BBDD_fashion_boutique[[#This Row],[return_reason]])</f>
        <v>No return</v>
      </c>
      <c r="Y1776">
        <f>IF(IFERROR(VLOOKUP(BBDD_fashion_boutique[[#This Row],[product_id]],A1777:A3952,1,FALSE),0),1,0)</f>
        <v>0</v>
      </c>
    </row>
    <row r="1777" spans="1:25" x14ac:dyDescent="0.3">
      <c r="A1777" t="s">
        <v>1836</v>
      </c>
      <c r="B1777" t="s">
        <v>19</v>
      </c>
      <c r="C1777" t="s">
        <v>59</v>
      </c>
      <c r="D1777" t="s">
        <v>39</v>
      </c>
      <c r="E1777" t="s">
        <v>64</v>
      </c>
      <c r="F1777" t="str">
        <f>IF(BBDD_fashion_boutique[[#This Row],[category]]="Accessories","Accesorio",IF(BBDD_fashion_boutique[[#This Row],[size]]="","Desconocido",BBDD_fashion_boutique[[#This Row],[size]]))</f>
        <v>M</v>
      </c>
      <c r="G1777" t="s">
        <v>50</v>
      </c>
      <c r="H1777" s="2">
        <v>118.37</v>
      </c>
      <c r="I1777">
        <v>0</v>
      </c>
      <c r="J1777" s="5">
        <f>BBDD_fashion_boutique[[#This Row],[markdown_percentage]]/100</f>
        <v>0</v>
      </c>
      <c r="K1777" s="2">
        <v>118.37</v>
      </c>
      <c r="L1777" s="2">
        <f>BBDD_fashion_boutique[[#This Row],[original_price]]-BBDD_fashion_boutique[[#This Row],[current_price]]</f>
        <v>0</v>
      </c>
      <c r="M1777" s="1">
        <v>45875</v>
      </c>
      <c r="N1777" s="1" t="str">
        <f>PROPER(TEXT(BBDD_fashion_boutique[[#This Row],[purchase_date]],"dddd"))</f>
        <v>Miércoles</v>
      </c>
      <c r="O1777" s="1" t="str">
        <f>PROPER(TEXT(BBDD_fashion_boutique[[#This Row],[purchase_date]],"mmmm"))</f>
        <v>Agosto</v>
      </c>
      <c r="P1777" s="4">
        <v>45</v>
      </c>
      <c r="R1777" t="str">
        <f>IF(BBDD_fashion_boutique[[#This Row],[stock_quantity]]&gt;9,"Ok",IF(BBDD_fashion_boutique[[#This Row],[stock_quantity]]=0,"Agotado","Pocas Unidades"))</f>
        <v>Ok</v>
      </c>
      <c r="S1777" s="3" t="str">
        <f>IF(BBDD_fashion_boutique[[#This Row],[customer_rating]]="","No valorado",BBDD_fashion_boutique[[#This Row],[customer_rating]])</f>
        <v>No valorado</v>
      </c>
      <c r="T1777" t="s">
        <v>24</v>
      </c>
      <c r="V1777">
        <f>IF(BBDD_fashion_boutique[[#This Row],[is_returned]]="False",0,1)</f>
        <v>0</v>
      </c>
      <c r="W1777">
        <f>IF(BBDD_fashion_boutique[[#This Row],[is_returned]]="True",0,BBDD_fashion_boutique[[#This Row],[current_price]])</f>
        <v>118.37</v>
      </c>
      <c r="X1777" t="str">
        <f>IF(BBDD_fashion_boutique[[#This Row],[return_reason]]="","No return",BBDD_fashion_boutique[[#This Row],[return_reason]])</f>
        <v>No return</v>
      </c>
      <c r="Y1777">
        <f>IF(IFERROR(VLOOKUP(BBDD_fashion_boutique[[#This Row],[product_id]],A1778:A3953,1,FALSE),0),1,0)</f>
        <v>0</v>
      </c>
    </row>
    <row r="1778" spans="1:25" x14ac:dyDescent="0.3">
      <c r="A1778" t="s">
        <v>1837</v>
      </c>
      <c r="B1778" t="s">
        <v>35</v>
      </c>
      <c r="C1778" t="s">
        <v>67</v>
      </c>
      <c r="D1778" t="s">
        <v>28</v>
      </c>
      <c r="E1778" t="s">
        <v>64</v>
      </c>
      <c r="F1778" t="str">
        <f>IF(BBDD_fashion_boutique[[#This Row],[category]]="Accessories","Accesorio",IF(BBDD_fashion_boutique[[#This Row],[size]]="","Desconocido",BBDD_fashion_boutique[[#This Row],[size]]))</f>
        <v>M</v>
      </c>
      <c r="G1778" t="s">
        <v>23</v>
      </c>
      <c r="H1778" s="2">
        <v>81.260000000000005</v>
      </c>
      <c r="I1778">
        <v>32.700000000000003</v>
      </c>
      <c r="J1778" s="5">
        <f>BBDD_fashion_boutique[[#This Row],[markdown_percentage]]/100</f>
        <v>0.32700000000000001</v>
      </c>
      <c r="K1778" s="2">
        <v>54.69</v>
      </c>
      <c r="L1778" s="2">
        <f>BBDD_fashion_boutique[[#This Row],[original_price]]-BBDD_fashion_boutique[[#This Row],[current_price]]</f>
        <v>26.570000000000007</v>
      </c>
      <c r="M1778" s="1">
        <v>45875</v>
      </c>
      <c r="N1778" s="1" t="str">
        <f>PROPER(TEXT(BBDD_fashion_boutique[[#This Row],[purchase_date]],"dddd"))</f>
        <v>Miércoles</v>
      </c>
      <c r="O1778" s="1" t="str">
        <f>PROPER(TEXT(BBDD_fashion_boutique[[#This Row],[purchase_date]],"mmmm"))</f>
        <v>Agosto</v>
      </c>
      <c r="P1778" s="4">
        <v>2</v>
      </c>
      <c r="Q1778" s="2">
        <v>3.3</v>
      </c>
      <c r="R1778" t="str">
        <f>IF(BBDD_fashion_boutique[[#This Row],[stock_quantity]]&gt;9,"Ok",IF(BBDD_fashion_boutique[[#This Row],[stock_quantity]]=0,"Agotado","Pocas Unidades"))</f>
        <v>Pocas Unidades</v>
      </c>
      <c r="S1778" s="3">
        <f>IF(BBDD_fashion_boutique[[#This Row],[customer_rating]]="","No valorado",BBDD_fashion_boutique[[#This Row],[customer_rating]])</f>
        <v>3.3</v>
      </c>
      <c r="T1778" t="s">
        <v>24</v>
      </c>
      <c r="V1778">
        <f>IF(BBDD_fashion_boutique[[#This Row],[is_returned]]="False",0,1)</f>
        <v>0</v>
      </c>
      <c r="W1778">
        <f>IF(BBDD_fashion_boutique[[#This Row],[is_returned]]="True",0,BBDD_fashion_boutique[[#This Row],[current_price]])</f>
        <v>54.69</v>
      </c>
      <c r="X1778" t="str">
        <f>IF(BBDD_fashion_boutique[[#This Row],[return_reason]]="","No return",BBDD_fashion_boutique[[#This Row],[return_reason]])</f>
        <v>No return</v>
      </c>
      <c r="Y1778">
        <f>IF(IFERROR(VLOOKUP(BBDD_fashion_boutique[[#This Row],[product_id]],A1779:A3954,1,FALSE),0),1,0)</f>
        <v>0</v>
      </c>
    </row>
    <row r="1779" spans="1:25" x14ac:dyDescent="0.3">
      <c r="A1779" t="s">
        <v>1838</v>
      </c>
      <c r="B1779" t="s">
        <v>32</v>
      </c>
      <c r="C1779" t="s">
        <v>54</v>
      </c>
      <c r="D1779" t="s">
        <v>39</v>
      </c>
      <c r="F1779" t="str">
        <f>IF(BBDD_fashion_boutique[[#This Row],[category]]="Accessories","Accesorio",IF(BBDD_fashion_boutique[[#This Row],[size]]="","Desconocido",BBDD_fashion_boutique[[#This Row],[size]]))</f>
        <v>Accesorio</v>
      </c>
      <c r="G1779" t="s">
        <v>72</v>
      </c>
      <c r="H1779" s="2">
        <v>57.21</v>
      </c>
      <c r="I1779">
        <v>18</v>
      </c>
      <c r="J1779" s="5">
        <f>BBDD_fashion_boutique[[#This Row],[markdown_percentage]]/100</f>
        <v>0.18</v>
      </c>
      <c r="K1779" s="2">
        <v>46.91</v>
      </c>
      <c r="L1779" s="2">
        <f>BBDD_fashion_boutique[[#This Row],[original_price]]-BBDD_fashion_boutique[[#This Row],[current_price]]</f>
        <v>10.300000000000004</v>
      </c>
      <c r="M1779" s="1">
        <v>45875</v>
      </c>
      <c r="N1779" s="1" t="str">
        <f>PROPER(TEXT(BBDD_fashion_boutique[[#This Row],[purchase_date]],"dddd"))</f>
        <v>Miércoles</v>
      </c>
      <c r="O1779" s="1" t="str">
        <f>PROPER(TEXT(BBDD_fashion_boutique[[#This Row],[purchase_date]],"mmmm"))</f>
        <v>Agosto</v>
      </c>
      <c r="P1779" s="4">
        <v>7</v>
      </c>
      <c r="Q1779" s="2">
        <v>2.5</v>
      </c>
      <c r="R1779" t="str">
        <f>IF(BBDD_fashion_boutique[[#This Row],[stock_quantity]]&gt;9,"Ok",IF(BBDD_fashion_boutique[[#This Row],[stock_quantity]]=0,"Agotado","Pocas Unidades"))</f>
        <v>Pocas Unidades</v>
      </c>
      <c r="S1779" s="3">
        <f>IF(BBDD_fashion_boutique[[#This Row],[customer_rating]]="","No valorado",BBDD_fashion_boutique[[#This Row],[customer_rating]])</f>
        <v>2.5</v>
      </c>
      <c r="T1779" t="s">
        <v>24</v>
      </c>
      <c r="V1779">
        <f>IF(BBDD_fashion_boutique[[#This Row],[is_returned]]="False",0,1)</f>
        <v>0</v>
      </c>
      <c r="W1779">
        <f>IF(BBDD_fashion_boutique[[#This Row],[is_returned]]="True",0,BBDD_fashion_boutique[[#This Row],[current_price]])</f>
        <v>46.91</v>
      </c>
      <c r="X1779" t="str">
        <f>IF(BBDD_fashion_boutique[[#This Row],[return_reason]]="","No return",BBDD_fashion_boutique[[#This Row],[return_reason]])</f>
        <v>No return</v>
      </c>
      <c r="Y1779">
        <f>IF(IFERROR(VLOOKUP(BBDD_fashion_boutique[[#This Row],[product_id]],A1780:A3955,1,FALSE),0),1,0)</f>
        <v>0</v>
      </c>
    </row>
    <row r="1780" spans="1:25" x14ac:dyDescent="0.3">
      <c r="A1780" t="s">
        <v>1839</v>
      </c>
      <c r="B1780" t="s">
        <v>48</v>
      </c>
      <c r="C1780" t="s">
        <v>81</v>
      </c>
      <c r="D1780" t="s">
        <v>68</v>
      </c>
      <c r="E1780" t="s">
        <v>22</v>
      </c>
      <c r="F1780" t="str">
        <f>IF(BBDD_fashion_boutique[[#This Row],[category]]="Accessories","Accesorio",IF(BBDD_fashion_boutique[[#This Row],[size]]="","Desconocido",BBDD_fashion_boutique[[#This Row],[size]]))</f>
        <v>XL</v>
      </c>
      <c r="G1780" t="s">
        <v>76</v>
      </c>
      <c r="H1780" s="2">
        <v>74.53</v>
      </c>
      <c r="I1780">
        <v>0</v>
      </c>
      <c r="J1780" s="5">
        <f>BBDD_fashion_boutique[[#This Row],[markdown_percentage]]/100</f>
        <v>0</v>
      </c>
      <c r="K1780" s="2">
        <v>74.53</v>
      </c>
      <c r="L1780" s="2">
        <f>BBDD_fashion_boutique[[#This Row],[original_price]]-BBDD_fashion_boutique[[#This Row],[current_price]]</f>
        <v>0</v>
      </c>
      <c r="M1780" s="1">
        <v>45875</v>
      </c>
      <c r="N1780" s="1" t="str">
        <f>PROPER(TEXT(BBDD_fashion_boutique[[#This Row],[purchase_date]],"dddd"))</f>
        <v>Miércoles</v>
      </c>
      <c r="O1780" s="1" t="str">
        <f>PROPER(TEXT(BBDD_fashion_boutique[[#This Row],[purchase_date]],"mmmm"))</f>
        <v>Agosto</v>
      </c>
      <c r="P1780" s="4">
        <v>9</v>
      </c>
      <c r="R1780" t="str">
        <f>IF(BBDD_fashion_boutique[[#This Row],[stock_quantity]]&gt;9,"Ok",IF(BBDD_fashion_boutique[[#This Row],[stock_quantity]]=0,"Agotado","Pocas Unidades"))</f>
        <v>Pocas Unidades</v>
      </c>
      <c r="S1780" s="3" t="str">
        <f>IF(BBDD_fashion_boutique[[#This Row],[customer_rating]]="","No valorado",BBDD_fashion_boutique[[#This Row],[customer_rating]])</f>
        <v>No valorado</v>
      </c>
      <c r="T1780" t="s">
        <v>24</v>
      </c>
      <c r="V1780">
        <f>IF(BBDD_fashion_boutique[[#This Row],[is_returned]]="False",0,1)</f>
        <v>0</v>
      </c>
      <c r="W1780">
        <f>IF(BBDD_fashion_boutique[[#This Row],[is_returned]]="True",0,BBDD_fashion_boutique[[#This Row],[current_price]])</f>
        <v>74.53</v>
      </c>
      <c r="X1780" t="str">
        <f>IF(BBDD_fashion_boutique[[#This Row],[return_reason]]="","No return",BBDD_fashion_boutique[[#This Row],[return_reason]])</f>
        <v>No return</v>
      </c>
      <c r="Y1780">
        <f>IF(IFERROR(VLOOKUP(BBDD_fashion_boutique[[#This Row],[product_id]],A1781:A3956,1,FALSE),0),1,0)</f>
        <v>0</v>
      </c>
    </row>
    <row r="1781" spans="1:25" x14ac:dyDescent="0.3">
      <c r="A1781" t="s">
        <v>1840</v>
      </c>
      <c r="B1781" t="s">
        <v>48</v>
      </c>
      <c r="C1781" t="s">
        <v>37</v>
      </c>
      <c r="D1781" t="s">
        <v>68</v>
      </c>
      <c r="E1781" t="s">
        <v>64</v>
      </c>
      <c r="F1781" t="str">
        <f>IF(BBDD_fashion_boutique[[#This Row],[category]]="Accessories","Accesorio",IF(BBDD_fashion_boutique[[#This Row],[size]]="","Desconocido",BBDD_fashion_boutique[[#This Row],[size]]))</f>
        <v>M</v>
      </c>
      <c r="G1781" t="s">
        <v>23</v>
      </c>
      <c r="H1781" s="2">
        <v>69.540000000000006</v>
      </c>
      <c r="I1781">
        <v>0</v>
      </c>
      <c r="J1781" s="5">
        <f>BBDD_fashion_boutique[[#This Row],[markdown_percentage]]/100</f>
        <v>0</v>
      </c>
      <c r="K1781" s="2">
        <v>69.540000000000006</v>
      </c>
      <c r="L1781" s="2">
        <f>BBDD_fashion_boutique[[#This Row],[original_price]]-BBDD_fashion_boutique[[#This Row],[current_price]]</f>
        <v>0</v>
      </c>
      <c r="M1781" s="1">
        <v>45875</v>
      </c>
      <c r="N1781" s="1" t="str">
        <f>PROPER(TEXT(BBDD_fashion_boutique[[#This Row],[purchase_date]],"dddd"))</f>
        <v>Miércoles</v>
      </c>
      <c r="O1781" s="1" t="str">
        <f>PROPER(TEXT(BBDD_fashion_boutique[[#This Row],[purchase_date]],"mmmm"))</f>
        <v>Agosto</v>
      </c>
      <c r="P1781" s="4">
        <v>40</v>
      </c>
      <c r="Q1781" s="2">
        <v>3.2</v>
      </c>
      <c r="R1781" t="str">
        <f>IF(BBDD_fashion_boutique[[#This Row],[stock_quantity]]&gt;9,"Ok",IF(BBDD_fashion_boutique[[#This Row],[stock_quantity]]=0,"Agotado","Pocas Unidades"))</f>
        <v>Ok</v>
      </c>
      <c r="S1781" s="3">
        <f>IF(BBDD_fashion_boutique[[#This Row],[customer_rating]]="","No valorado",BBDD_fashion_boutique[[#This Row],[customer_rating]])</f>
        <v>3.2</v>
      </c>
      <c r="T1781" t="s">
        <v>41</v>
      </c>
      <c r="U1781" t="s">
        <v>79</v>
      </c>
      <c r="V1781">
        <f>IF(BBDD_fashion_boutique[[#This Row],[is_returned]]="False",0,1)</f>
        <v>1</v>
      </c>
      <c r="W1781">
        <f>IF(BBDD_fashion_boutique[[#This Row],[is_returned]]="True",0,BBDD_fashion_boutique[[#This Row],[current_price]])</f>
        <v>0</v>
      </c>
      <c r="X1781" t="str">
        <f>IF(BBDD_fashion_boutique[[#This Row],[return_reason]]="","No return",BBDD_fashion_boutique[[#This Row],[return_reason]])</f>
        <v>Size Issue</v>
      </c>
      <c r="Y1781">
        <f>IF(IFERROR(VLOOKUP(BBDD_fashion_boutique[[#This Row],[product_id]],A1782:A3957,1,FALSE),0),1,0)</f>
        <v>0</v>
      </c>
    </row>
    <row r="1782" spans="1:25" x14ac:dyDescent="0.3">
      <c r="A1782" t="s">
        <v>1841</v>
      </c>
      <c r="B1782" t="s">
        <v>48</v>
      </c>
      <c r="C1782" t="s">
        <v>59</v>
      </c>
      <c r="D1782" t="s">
        <v>68</v>
      </c>
      <c r="E1782" t="s">
        <v>22</v>
      </c>
      <c r="F1782" t="str">
        <f>IF(BBDD_fashion_boutique[[#This Row],[category]]="Accessories","Accesorio",IF(BBDD_fashion_boutique[[#This Row],[size]]="","Desconocido",BBDD_fashion_boutique[[#This Row],[size]]))</f>
        <v>XL</v>
      </c>
      <c r="G1782" t="s">
        <v>76</v>
      </c>
      <c r="H1782" s="2">
        <v>102.71</v>
      </c>
      <c r="I1782">
        <v>55.9</v>
      </c>
      <c r="J1782" s="5">
        <f>BBDD_fashion_boutique[[#This Row],[markdown_percentage]]/100</f>
        <v>0.55899999999999994</v>
      </c>
      <c r="K1782" s="2">
        <v>45.3</v>
      </c>
      <c r="L1782" s="2">
        <f>BBDD_fashion_boutique[[#This Row],[original_price]]-BBDD_fashion_boutique[[#This Row],[current_price]]</f>
        <v>57.41</v>
      </c>
      <c r="M1782" s="1">
        <v>45875</v>
      </c>
      <c r="N1782" s="1" t="str">
        <f>PROPER(TEXT(BBDD_fashion_boutique[[#This Row],[purchase_date]],"dddd"))</f>
        <v>Miércoles</v>
      </c>
      <c r="O1782" s="1" t="str">
        <f>PROPER(TEXT(BBDD_fashion_boutique[[#This Row],[purchase_date]],"mmmm"))</f>
        <v>Agosto</v>
      </c>
      <c r="P1782" s="4">
        <v>31</v>
      </c>
      <c r="Q1782" s="2">
        <v>4.5999999999999996</v>
      </c>
      <c r="R1782" t="str">
        <f>IF(BBDD_fashion_boutique[[#This Row],[stock_quantity]]&gt;9,"Ok",IF(BBDD_fashion_boutique[[#This Row],[stock_quantity]]=0,"Agotado","Pocas Unidades"))</f>
        <v>Ok</v>
      </c>
      <c r="S1782" s="3">
        <f>IF(BBDD_fashion_boutique[[#This Row],[customer_rating]]="","No valorado",BBDD_fashion_boutique[[#This Row],[customer_rating]])</f>
        <v>4.5999999999999996</v>
      </c>
      <c r="T1782" t="s">
        <v>24</v>
      </c>
      <c r="V1782">
        <f>IF(BBDD_fashion_boutique[[#This Row],[is_returned]]="False",0,1)</f>
        <v>0</v>
      </c>
      <c r="W1782">
        <f>IF(BBDD_fashion_boutique[[#This Row],[is_returned]]="True",0,BBDD_fashion_boutique[[#This Row],[current_price]])</f>
        <v>45.3</v>
      </c>
      <c r="X1782" t="str">
        <f>IF(BBDD_fashion_boutique[[#This Row],[return_reason]]="","No return",BBDD_fashion_boutique[[#This Row],[return_reason]])</f>
        <v>No return</v>
      </c>
      <c r="Y1782">
        <f>IF(IFERROR(VLOOKUP(BBDD_fashion_boutique[[#This Row],[product_id]],A1783:A3958,1,FALSE),0),1,0)</f>
        <v>0</v>
      </c>
    </row>
    <row r="1783" spans="1:25" x14ac:dyDescent="0.3">
      <c r="A1783" t="s">
        <v>1842</v>
      </c>
      <c r="B1783" t="s">
        <v>35</v>
      </c>
      <c r="C1783" t="s">
        <v>67</v>
      </c>
      <c r="D1783" t="s">
        <v>68</v>
      </c>
      <c r="E1783" t="s">
        <v>29</v>
      </c>
      <c r="F1783" t="str">
        <f>IF(BBDD_fashion_boutique[[#This Row],[category]]="Accessories","Accesorio",IF(BBDD_fashion_boutique[[#This Row],[size]]="","Desconocido",BBDD_fashion_boutique[[#This Row],[size]]))</f>
        <v>L</v>
      </c>
      <c r="G1783" t="s">
        <v>62</v>
      </c>
      <c r="H1783" s="2">
        <v>117.82</v>
      </c>
      <c r="I1783">
        <v>0</v>
      </c>
      <c r="J1783" s="5">
        <f>BBDD_fashion_boutique[[#This Row],[markdown_percentage]]/100</f>
        <v>0</v>
      </c>
      <c r="K1783" s="2">
        <v>117.82</v>
      </c>
      <c r="L1783" s="2">
        <f>BBDD_fashion_boutique[[#This Row],[original_price]]-BBDD_fashion_boutique[[#This Row],[current_price]]</f>
        <v>0</v>
      </c>
      <c r="M1783" s="1">
        <v>45875</v>
      </c>
      <c r="N1783" s="1" t="str">
        <f>PROPER(TEXT(BBDD_fashion_boutique[[#This Row],[purchase_date]],"dddd"))</f>
        <v>Miércoles</v>
      </c>
      <c r="O1783" s="1" t="str">
        <f>PROPER(TEXT(BBDD_fashion_boutique[[#This Row],[purchase_date]],"mmmm"))</f>
        <v>Agosto</v>
      </c>
      <c r="P1783" s="4">
        <v>7</v>
      </c>
      <c r="Q1783" s="2">
        <v>4.9000000000000004</v>
      </c>
      <c r="R1783" t="str">
        <f>IF(BBDD_fashion_boutique[[#This Row],[stock_quantity]]&gt;9,"Ok",IF(BBDD_fashion_boutique[[#This Row],[stock_quantity]]=0,"Agotado","Pocas Unidades"))</f>
        <v>Pocas Unidades</v>
      </c>
      <c r="S1783" s="3">
        <f>IF(BBDD_fashion_boutique[[#This Row],[customer_rating]]="","No valorado",BBDD_fashion_boutique[[#This Row],[customer_rating]])</f>
        <v>4.9000000000000004</v>
      </c>
      <c r="T1783" t="s">
        <v>24</v>
      </c>
      <c r="V1783">
        <f>IF(BBDD_fashion_boutique[[#This Row],[is_returned]]="False",0,1)</f>
        <v>0</v>
      </c>
      <c r="W1783">
        <f>IF(BBDD_fashion_boutique[[#This Row],[is_returned]]="True",0,BBDD_fashion_boutique[[#This Row],[current_price]])</f>
        <v>117.82</v>
      </c>
      <c r="X1783" t="str">
        <f>IF(BBDD_fashion_boutique[[#This Row],[return_reason]]="","No return",BBDD_fashion_boutique[[#This Row],[return_reason]])</f>
        <v>No return</v>
      </c>
      <c r="Y1783">
        <f>IF(IFERROR(VLOOKUP(BBDD_fashion_boutique[[#This Row],[product_id]],A1784:A3959,1,FALSE),0),1,0)</f>
        <v>0</v>
      </c>
    </row>
    <row r="1784" spans="1:25" x14ac:dyDescent="0.3">
      <c r="A1784" t="s">
        <v>1843</v>
      </c>
      <c r="B1784" t="s">
        <v>32</v>
      </c>
      <c r="C1784" t="s">
        <v>67</v>
      </c>
      <c r="D1784" t="s">
        <v>21</v>
      </c>
      <c r="F1784" t="str">
        <f>IF(BBDD_fashion_boutique[[#This Row],[category]]="Accessories","Accesorio",IF(BBDD_fashion_boutique[[#This Row],[size]]="","Desconocido",BBDD_fashion_boutique[[#This Row],[size]]))</f>
        <v>Accesorio</v>
      </c>
      <c r="G1784" t="s">
        <v>72</v>
      </c>
      <c r="H1784" s="2">
        <v>61.01</v>
      </c>
      <c r="I1784">
        <v>0</v>
      </c>
      <c r="J1784" s="5">
        <f>BBDD_fashion_boutique[[#This Row],[markdown_percentage]]/100</f>
        <v>0</v>
      </c>
      <c r="K1784" s="2">
        <v>61.01</v>
      </c>
      <c r="L1784" s="2">
        <f>BBDD_fashion_boutique[[#This Row],[original_price]]-BBDD_fashion_boutique[[#This Row],[current_price]]</f>
        <v>0</v>
      </c>
      <c r="M1784" s="1">
        <v>45772</v>
      </c>
      <c r="N1784" s="1" t="str">
        <f>PROPER(TEXT(BBDD_fashion_boutique[[#This Row],[purchase_date]],"dddd"))</f>
        <v>Viernes</v>
      </c>
      <c r="O1784" s="1" t="str">
        <f>PROPER(TEXT(BBDD_fashion_boutique[[#This Row],[purchase_date]],"mmmm"))</f>
        <v>Abril</v>
      </c>
      <c r="P1784" s="4">
        <v>30</v>
      </c>
      <c r="Q1784" s="2">
        <v>3.4</v>
      </c>
      <c r="R1784" t="str">
        <f>IF(BBDD_fashion_boutique[[#This Row],[stock_quantity]]&gt;9,"Ok",IF(BBDD_fashion_boutique[[#This Row],[stock_quantity]]=0,"Agotado","Pocas Unidades"))</f>
        <v>Ok</v>
      </c>
      <c r="S1784" s="3">
        <f>IF(BBDD_fashion_boutique[[#This Row],[customer_rating]]="","No valorado",BBDD_fashion_boutique[[#This Row],[customer_rating]])</f>
        <v>3.4</v>
      </c>
      <c r="T1784" t="s">
        <v>24</v>
      </c>
      <c r="V1784">
        <f>IF(BBDD_fashion_boutique[[#This Row],[is_returned]]="False",0,1)</f>
        <v>0</v>
      </c>
      <c r="W1784">
        <f>IF(BBDD_fashion_boutique[[#This Row],[is_returned]]="True",0,BBDD_fashion_boutique[[#This Row],[current_price]])</f>
        <v>61.01</v>
      </c>
      <c r="X1784" t="str">
        <f>IF(BBDD_fashion_boutique[[#This Row],[return_reason]]="","No return",BBDD_fashion_boutique[[#This Row],[return_reason]])</f>
        <v>No return</v>
      </c>
      <c r="Y1784">
        <f>IF(IFERROR(VLOOKUP(BBDD_fashion_boutique[[#This Row],[product_id]],A1785:A3960,1,FALSE),0),1,0)</f>
        <v>0</v>
      </c>
    </row>
    <row r="1785" spans="1:25" x14ac:dyDescent="0.3">
      <c r="A1785" t="s">
        <v>1844</v>
      </c>
      <c r="B1785" t="s">
        <v>19</v>
      </c>
      <c r="C1785" t="s">
        <v>81</v>
      </c>
      <c r="D1785" t="s">
        <v>28</v>
      </c>
      <c r="E1785" t="s">
        <v>22</v>
      </c>
      <c r="F1785" t="str">
        <f>IF(BBDD_fashion_boutique[[#This Row],[category]]="Accessories","Accesorio",IF(BBDD_fashion_boutique[[#This Row],[size]]="","Desconocido",BBDD_fashion_boutique[[#This Row],[size]]))</f>
        <v>XL</v>
      </c>
      <c r="G1785" t="s">
        <v>30</v>
      </c>
      <c r="H1785" s="2">
        <v>222.01</v>
      </c>
      <c r="I1785">
        <v>0</v>
      </c>
      <c r="J1785" s="5">
        <f>BBDD_fashion_boutique[[#This Row],[markdown_percentage]]/100</f>
        <v>0</v>
      </c>
      <c r="K1785" s="2">
        <v>222.01</v>
      </c>
      <c r="L1785" s="2">
        <f>BBDD_fashion_boutique[[#This Row],[original_price]]-BBDD_fashion_boutique[[#This Row],[current_price]]</f>
        <v>0</v>
      </c>
      <c r="M1785" s="1">
        <v>45875</v>
      </c>
      <c r="N1785" s="1" t="str">
        <f>PROPER(TEXT(BBDD_fashion_boutique[[#This Row],[purchase_date]],"dddd"))</f>
        <v>Miércoles</v>
      </c>
      <c r="O1785" s="1" t="str">
        <f>PROPER(TEXT(BBDD_fashion_boutique[[#This Row],[purchase_date]],"mmmm"))</f>
        <v>Agosto</v>
      </c>
      <c r="P1785" s="4">
        <v>27</v>
      </c>
      <c r="Q1785" s="2">
        <v>2.1</v>
      </c>
      <c r="R1785" t="str">
        <f>IF(BBDD_fashion_boutique[[#This Row],[stock_quantity]]&gt;9,"Ok",IF(BBDD_fashion_boutique[[#This Row],[stock_quantity]]=0,"Agotado","Pocas Unidades"))</f>
        <v>Ok</v>
      </c>
      <c r="S1785" s="3">
        <f>IF(BBDD_fashion_boutique[[#This Row],[customer_rating]]="","No valorado",BBDD_fashion_boutique[[#This Row],[customer_rating]])</f>
        <v>2.1</v>
      </c>
      <c r="T1785" t="s">
        <v>24</v>
      </c>
      <c r="V1785">
        <f>IF(BBDD_fashion_boutique[[#This Row],[is_returned]]="False",0,1)</f>
        <v>0</v>
      </c>
      <c r="W1785">
        <f>IF(BBDD_fashion_boutique[[#This Row],[is_returned]]="True",0,BBDD_fashion_boutique[[#This Row],[current_price]])</f>
        <v>222.01</v>
      </c>
      <c r="X1785" t="str">
        <f>IF(BBDD_fashion_boutique[[#This Row],[return_reason]]="","No return",BBDD_fashion_boutique[[#This Row],[return_reason]])</f>
        <v>No return</v>
      </c>
      <c r="Y1785">
        <f>IF(IFERROR(VLOOKUP(BBDD_fashion_boutique[[#This Row],[product_id]],A1786:A3961,1,FALSE),0),1,0)</f>
        <v>0</v>
      </c>
    </row>
    <row r="1786" spans="1:25" x14ac:dyDescent="0.3">
      <c r="A1786" t="s">
        <v>1845</v>
      </c>
      <c r="B1786" t="s">
        <v>19</v>
      </c>
      <c r="C1786" t="s">
        <v>54</v>
      </c>
      <c r="D1786" t="s">
        <v>68</v>
      </c>
      <c r="E1786" t="s">
        <v>29</v>
      </c>
      <c r="F1786" t="str">
        <f>IF(BBDD_fashion_boutique[[#This Row],[category]]="Accessories","Accesorio",IF(BBDD_fashion_boutique[[#This Row],[size]]="","Desconocido",BBDD_fashion_boutique[[#This Row],[size]]))</f>
        <v>L</v>
      </c>
      <c r="G1786" t="s">
        <v>76</v>
      </c>
      <c r="H1786" s="2">
        <v>123.55</v>
      </c>
      <c r="I1786">
        <v>0</v>
      </c>
      <c r="J1786" s="5">
        <f>BBDD_fashion_boutique[[#This Row],[markdown_percentage]]/100</f>
        <v>0</v>
      </c>
      <c r="K1786" s="2">
        <v>123.55</v>
      </c>
      <c r="L1786" s="2">
        <f>BBDD_fashion_boutique[[#This Row],[original_price]]-BBDD_fashion_boutique[[#This Row],[current_price]]</f>
        <v>0</v>
      </c>
      <c r="M1786" s="1">
        <v>45875</v>
      </c>
      <c r="N1786" s="1" t="str">
        <f>PROPER(TEXT(BBDD_fashion_boutique[[#This Row],[purchase_date]],"dddd"))</f>
        <v>Miércoles</v>
      </c>
      <c r="O1786" s="1" t="str">
        <f>PROPER(TEXT(BBDD_fashion_boutique[[#This Row],[purchase_date]],"mmmm"))</f>
        <v>Agosto</v>
      </c>
      <c r="P1786" s="4">
        <v>28</v>
      </c>
      <c r="Q1786" s="2">
        <v>1.2</v>
      </c>
      <c r="R1786" t="str">
        <f>IF(BBDD_fashion_boutique[[#This Row],[stock_quantity]]&gt;9,"Ok",IF(BBDD_fashion_boutique[[#This Row],[stock_quantity]]=0,"Agotado","Pocas Unidades"))</f>
        <v>Ok</v>
      </c>
      <c r="S1786" s="3">
        <f>IF(BBDD_fashion_boutique[[#This Row],[customer_rating]]="","No valorado",BBDD_fashion_boutique[[#This Row],[customer_rating]])</f>
        <v>1.2</v>
      </c>
      <c r="T1786" t="s">
        <v>24</v>
      </c>
      <c r="V1786">
        <f>IF(BBDD_fashion_boutique[[#This Row],[is_returned]]="False",0,1)</f>
        <v>0</v>
      </c>
      <c r="W1786">
        <f>IF(BBDD_fashion_boutique[[#This Row],[is_returned]]="True",0,BBDD_fashion_boutique[[#This Row],[current_price]])</f>
        <v>123.55</v>
      </c>
      <c r="X1786" t="str">
        <f>IF(BBDD_fashion_boutique[[#This Row],[return_reason]]="","No return",BBDD_fashion_boutique[[#This Row],[return_reason]])</f>
        <v>No return</v>
      </c>
      <c r="Y1786">
        <f>IF(IFERROR(VLOOKUP(BBDD_fashion_boutique[[#This Row],[product_id]],A1787:A3962,1,FALSE),0),1,0)</f>
        <v>0</v>
      </c>
    </row>
    <row r="1787" spans="1:25" x14ac:dyDescent="0.3">
      <c r="A1787" t="s">
        <v>1846</v>
      </c>
      <c r="B1787" t="s">
        <v>32</v>
      </c>
      <c r="C1787" t="s">
        <v>20</v>
      </c>
      <c r="D1787" t="s">
        <v>39</v>
      </c>
      <c r="F1787" t="str">
        <f>IF(BBDD_fashion_boutique[[#This Row],[category]]="Accessories","Accesorio",IF(BBDD_fashion_boutique[[#This Row],[size]]="","Desconocido",BBDD_fashion_boutique[[#This Row],[size]]))</f>
        <v>Accesorio</v>
      </c>
      <c r="G1787" t="s">
        <v>33</v>
      </c>
      <c r="H1787" s="2">
        <v>24.65</v>
      </c>
      <c r="I1787">
        <v>0</v>
      </c>
      <c r="J1787" s="5">
        <f>BBDD_fashion_boutique[[#This Row],[markdown_percentage]]/100</f>
        <v>0</v>
      </c>
      <c r="K1787" s="2">
        <v>24.65</v>
      </c>
      <c r="L1787" s="2">
        <f>BBDD_fashion_boutique[[#This Row],[original_price]]-BBDD_fashion_boutique[[#This Row],[current_price]]</f>
        <v>0</v>
      </c>
      <c r="M1787" s="1">
        <v>45875</v>
      </c>
      <c r="N1787" s="1" t="str">
        <f>PROPER(TEXT(BBDD_fashion_boutique[[#This Row],[purchase_date]],"dddd"))</f>
        <v>Miércoles</v>
      </c>
      <c r="O1787" s="1" t="str">
        <f>PROPER(TEXT(BBDD_fashion_boutique[[#This Row],[purchase_date]],"mmmm"))</f>
        <v>Agosto</v>
      </c>
      <c r="P1787" s="4">
        <v>43</v>
      </c>
      <c r="Q1787" s="2">
        <v>1.1000000000000001</v>
      </c>
      <c r="R1787" t="str">
        <f>IF(BBDD_fashion_boutique[[#This Row],[stock_quantity]]&gt;9,"Ok",IF(BBDD_fashion_boutique[[#This Row],[stock_quantity]]=0,"Agotado","Pocas Unidades"))</f>
        <v>Ok</v>
      </c>
      <c r="S1787" s="3">
        <f>IF(BBDD_fashion_boutique[[#This Row],[customer_rating]]="","No valorado",BBDD_fashion_boutique[[#This Row],[customer_rating]])</f>
        <v>1.1000000000000001</v>
      </c>
      <c r="T1787" t="s">
        <v>24</v>
      </c>
      <c r="V1787">
        <f>IF(BBDD_fashion_boutique[[#This Row],[is_returned]]="False",0,1)</f>
        <v>0</v>
      </c>
      <c r="W1787">
        <f>IF(BBDD_fashion_boutique[[#This Row],[is_returned]]="True",0,BBDD_fashion_boutique[[#This Row],[current_price]])</f>
        <v>24.65</v>
      </c>
      <c r="X1787" t="str">
        <f>IF(BBDD_fashion_boutique[[#This Row],[return_reason]]="","No return",BBDD_fashion_boutique[[#This Row],[return_reason]])</f>
        <v>No return</v>
      </c>
      <c r="Y1787">
        <f>IF(IFERROR(VLOOKUP(BBDD_fashion_boutique[[#This Row],[product_id]],A1788:A3963,1,FALSE),0),1,0)</f>
        <v>0</v>
      </c>
    </row>
    <row r="1788" spans="1:25" x14ac:dyDescent="0.3">
      <c r="A1788" t="s">
        <v>1847</v>
      </c>
      <c r="B1788" t="s">
        <v>19</v>
      </c>
      <c r="C1788" t="s">
        <v>37</v>
      </c>
      <c r="D1788" t="s">
        <v>39</v>
      </c>
      <c r="E1788" t="s">
        <v>55</v>
      </c>
      <c r="F1788" t="str">
        <f>IF(BBDD_fashion_boutique[[#This Row],[category]]="Accessories","Accesorio",IF(BBDD_fashion_boutique[[#This Row],[size]]="","Desconocido",BBDD_fashion_boutique[[#This Row],[size]]))</f>
        <v>XXL</v>
      </c>
      <c r="G1788" t="s">
        <v>70</v>
      </c>
      <c r="H1788" s="2">
        <v>168.8</v>
      </c>
      <c r="I1788">
        <v>0</v>
      </c>
      <c r="J1788" s="5">
        <f>BBDD_fashion_boutique[[#This Row],[markdown_percentage]]/100</f>
        <v>0</v>
      </c>
      <c r="K1788" s="2">
        <v>168.8</v>
      </c>
      <c r="L1788" s="2">
        <f>BBDD_fashion_boutique[[#This Row],[original_price]]-BBDD_fashion_boutique[[#This Row],[current_price]]</f>
        <v>0</v>
      </c>
      <c r="M1788" s="1">
        <v>45875</v>
      </c>
      <c r="N1788" s="1" t="str">
        <f>PROPER(TEXT(BBDD_fashion_boutique[[#This Row],[purchase_date]],"dddd"))</f>
        <v>Miércoles</v>
      </c>
      <c r="O1788" s="1" t="str">
        <f>PROPER(TEXT(BBDD_fashion_boutique[[#This Row],[purchase_date]],"mmmm"))</f>
        <v>Agosto</v>
      </c>
      <c r="P1788" s="4">
        <v>1</v>
      </c>
      <c r="Q1788" s="2">
        <v>1</v>
      </c>
      <c r="R1788" t="str">
        <f>IF(BBDD_fashion_boutique[[#This Row],[stock_quantity]]&gt;9,"Ok",IF(BBDD_fashion_boutique[[#This Row],[stock_quantity]]=0,"Agotado","Pocas Unidades"))</f>
        <v>Pocas Unidades</v>
      </c>
      <c r="S1788" s="3">
        <f>IF(BBDD_fashion_boutique[[#This Row],[customer_rating]]="","No valorado",BBDD_fashion_boutique[[#This Row],[customer_rating]])</f>
        <v>1</v>
      </c>
      <c r="T1788" t="s">
        <v>24</v>
      </c>
      <c r="V1788">
        <f>IF(BBDD_fashion_boutique[[#This Row],[is_returned]]="False",0,1)</f>
        <v>0</v>
      </c>
      <c r="W1788">
        <f>IF(BBDD_fashion_boutique[[#This Row],[is_returned]]="True",0,BBDD_fashion_boutique[[#This Row],[current_price]])</f>
        <v>168.8</v>
      </c>
      <c r="X1788" t="str">
        <f>IF(BBDD_fashion_boutique[[#This Row],[return_reason]]="","No return",BBDD_fashion_boutique[[#This Row],[return_reason]])</f>
        <v>No return</v>
      </c>
      <c r="Y1788">
        <f>IF(IFERROR(VLOOKUP(BBDD_fashion_boutique[[#This Row],[product_id]],A1789:A3964,1,FALSE),0),1,0)</f>
        <v>0</v>
      </c>
    </row>
    <row r="1789" spans="1:25" x14ac:dyDescent="0.3">
      <c r="A1789" t="s">
        <v>1848</v>
      </c>
      <c r="B1789" t="s">
        <v>26</v>
      </c>
      <c r="C1789" t="s">
        <v>67</v>
      </c>
      <c r="D1789" t="s">
        <v>39</v>
      </c>
      <c r="E1789" t="s">
        <v>45</v>
      </c>
      <c r="F1789" t="str">
        <f>IF(BBDD_fashion_boutique[[#This Row],[category]]="Accessories","Accesorio",IF(BBDD_fashion_boutique[[#This Row],[size]]="","Desconocido",BBDD_fashion_boutique[[#This Row],[size]]))</f>
        <v>S</v>
      </c>
      <c r="G1789" t="s">
        <v>52</v>
      </c>
      <c r="H1789" s="2">
        <v>39.159999999999997</v>
      </c>
      <c r="I1789">
        <v>40.1</v>
      </c>
      <c r="J1789" s="5">
        <f>BBDD_fashion_boutique[[#This Row],[markdown_percentage]]/100</f>
        <v>0.40100000000000002</v>
      </c>
      <c r="K1789" s="2">
        <v>23.46</v>
      </c>
      <c r="L1789" s="2">
        <f>BBDD_fashion_boutique[[#This Row],[original_price]]-BBDD_fashion_boutique[[#This Row],[current_price]]</f>
        <v>15.699999999999996</v>
      </c>
      <c r="M1789" s="1">
        <v>45875</v>
      </c>
      <c r="N1789" s="1" t="str">
        <f>PROPER(TEXT(BBDD_fashion_boutique[[#This Row],[purchase_date]],"dddd"))</f>
        <v>Miércoles</v>
      </c>
      <c r="O1789" s="1" t="str">
        <f>PROPER(TEXT(BBDD_fashion_boutique[[#This Row],[purchase_date]],"mmmm"))</f>
        <v>Agosto</v>
      </c>
      <c r="P1789" s="4">
        <v>4</v>
      </c>
      <c r="Q1789" s="2">
        <v>2.8</v>
      </c>
      <c r="R1789" t="str">
        <f>IF(BBDD_fashion_boutique[[#This Row],[stock_quantity]]&gt;9,"Ok",IF(BBDD_fashion_boutique[[#This Row],[stock_quantity]]=0,"Agotado","Pocas Unidades"))</f>
        <v>Pocas Unidades</v>
      </c>
      <c r="S1789" s="3">
        <f>IF(BBDD_fashion_boutique[[#This Row],[customer_rating]]="","No valorado",BBDD_fashion_boutique[[#This Row],[customer_rating]])</f>
        <v>2.8</v>
      </c>
      <c r="T1789" t="s">
        <v>24</v>
      </c>
      <c r="V1789">
        <f>IF(BBDD_fashion_boutique[[#This Row],[is_returned]]="False",0,1)</f>
        <v>0</v>
      </c>
      <c r="W1789">
        <f>IF(BBDD_fashion_boutique[[#This Row],[is_returned]]="True",0,BBDD_fashion_boutique[[#This Row],[current_price]])</f>
        <v>23.46</v>
      </c>
      <c r="X1789" t="str">
        <f>IF(BBDD_fashion_boutique[[#This Row],[return_reason]]="","No return",BBDD_fashion_boutique[[#This Row],[return_reason]])</f>
        <v>No return</v>
      </c>
      <c r="Y1789">
        <f>IF(IFERROR(VLOOKUP(BBDD_fashion_boutique[[#This Row],[product_id]],A1790:A3965,1,FALSE),0),1,0)</f>
        <v>0</v>
      </c>
    </row>
    <row r="1790" spans="1:25" x14ac:dyDescent="0.3">
      <c r="A1790" t="s">
        <v>1849</v>
      </c>
      <c r="B1790" t="s">
        <v>44</v>
      </c>
      <c r="C1790" t="s">
        <v>54</v>
      </c>
      <c r="D1790" t="s">
        <v>39</v>
      </c>
      <c r="F1790" t="str">
        <f>IF(BBDD_fashion_boutique[[#This Row],[category]]="Accessories","Accesorio",IF(BBDD_fashion_boutique[[#This Row],[size]]="","Desconocido",BBDD_fashion_boutique[[#This Row],[size]]))</f>
        <v>Desconocido</v>
      </c>
      <c r="G1790" t="s">
        <v>76</v>
      </c>
      <c r="H1790" s="2">
        <v>74.760000000000005</v>
      </c>
      <c r="I1790">
        <v>0</v>
      </c>
      <c r="J1790" s="5">
        <f>BBDD_fashion_boutique[[#This Row],[markdown_percentage]]/100</f>
        <v>0</v>
      </c>
      <c r="K1790" s="2">
        <v>74.760000000000005</v>
      </c>
      <c r="L1790" s="2">
        <f>BBDD_fashion_boutique[[#This Row],[original_price]]-BBDD_fashion_boutique[[#This Row],[current_price]]</f>
        <v>0</v>
      </c>
      <c r="M1790" s="1">
        <v>45875</v>
      </c>
      <c r="N1790" s="1" t="str">
        <f>PROPER(TEXT(BBDD_fashion_boutique[[#This Row],[purchase_date]],"dddd"))</f>
        <v>Miércoles</v>
      </c>
      <c r="O1790" s="1" t="str">
        <f>PROPER(TEXT(BBDD_fashion_boutique[[#This Row],[purchase_date]],"mmmm"))</f>
        <v>Agosto</v>
      </c>
      <c r="P1790" s="4">
        <v>50</v>
      </c>
      <c r="Q1790" s="2">
        <v>4.4000000000000004</v>
      </c>
      <c r="R1790" t="str">
        <f>IF(BBDD_fashion_boutique[[#This Row],[stock_quantity]]&gt;9,"Ok",IF(BBDD_fashion_boutique[[#This Row],[stock_quantity]]=0,"Agotado","Pocas Unidades"))</f>
        <v>Ok</v>
      </c>
      <c r="S1790" s="3">
        <f>IF(BBDD_fashion_boutique[[#This Row],[customer_rating]]="","No valorado",BBDD_fashion_boutique[[#This Row],[customer_rating]])</f>
        <v>4.4000000000000004</v>
      </c>
      <c r="T1790" t="s">
        <v>41</v>
      </c>
      <c r="U1790" t="s">
        <v>42</v>
      </c>
      <c r="V1790">
        <f>IF(BBDD_fashion_boutique[[#This Row],[is_returned]]="False",0,1)</f>
        <v>1</v>
      </c>
      <c r="W1790">
        <f>IF(BBDD_fashion_boutique[[#This Row],[is_returned]]="True",0,BBDD_fashion_boutique[[#This Row],[current_price]])</f>
        <v>0</v>
      </c>
      <c r="X1790" t="str">
        <f>IF(BBDD_fashion_boutique[[#This Row],[return_reason]]="","No return",BBDD_fashion_boutique[[#This Row],[return_reason]])</f>
        <v>Color Mismatch</v>
      </c>
      <c r="Y1790">
        <f>IF(IFERROR(VLOOKUP(BBDD_fashion_boutique[[#This Row],[product_id]],A1791:A3966,1,FALSE),0),1,0)</f>
        <v>0</v>
      </c>
    </row>
    <row r="1791" spans="1:25" x14ac:dyDescent="0.3">
      <c r="A1791" t="s">
        <v>1850</v>
      </c>
      <c r="B1791" t="s">
        <v>32</v>
      </c>
      <c r="C1791" t="s">
        <v>67</v>
      </c>
      <c r="D1791" t="s">
        <v>28</v>
      </c>
      <c r="F1791" t="str">
        <f>IF(BBDD_fashion_boutique[[#This Row],[category]]="Accessories","Accesorio",IF(BBDD_fashion_boutique[[#This Row],[size]]="","Desconocido",BBDD_fashion_boutique[[#This Row],[size]]))</f>
        <v>Accesorio</v>
      </c>
      <c r="G1791" t="s">
        <v>70</v>
      </c>
      <c r="H1791" s="2">
        <v>37</v>
      </c>
      <c r="I1791">
        <v>0</v>
      </c>
      <c r="J1791" s="5">
        <f>BBDD_fashion_boutique[[#This Row],[markdown_percentage]]/100</f>
        <v>0</v>
      </c>
      <c r="K1791" s="2">
        <v>37</v>
      </c>
      <c r="L1791" s="2">
        <f>BBDD_fashion_boutique[[#This Row],[original_price]]-BBDD_fashion_boutique[[#This Row],[current_price]]</f>
        <v>0</v>
      </c>
      <c r="M1791" s="1">
        <v>45875</v>
      </c>
      <c r="N1791" s="1" t="str">
        <f>PROPER(TEXT(BBDD_fashion_boutique[[#This Row],[purchase_date]],"dddd"))</f>
        <v>Miércoles</v>
      </c>
      <c r="O1791" s="1" t="str">
        <f>PROPER(TEXT(BBDD_fashion_boutique[[#This Row],[purchase_date]],"mmmm"))</f>
        <v>Agosto</v>
      </c>
      <c r="P1791" s="4">
        <v>5</v>
      </c>
      <c r="Q1791" s="2">
        <v>4.9000000000000004</v>
      </c>
      <c r="R1791" t="str">
        <f>IF(BBDD_fashion_boutique[[#This Row],[stock_quantity]]&gt;9,"Ok",IF(BBDD_fashion_boutique[[#This Row],[stock_quantity]]=0,"Agotado","Pocas Unidades"))</f>
        <v>Pocas Unidades</v>
      </c>
      <c r="S1791" s="3">
        <f>IF(BBDD_fashion_boutique[[#This Row],[customer_rating]]="","No valorado",BBDD_fashion_boutique[[#This Row],[customer_rating]])</f>
        <v>4.9000000000000004</v>
      </c>
      <c r="T1791" t="s">
        <v>24</v>
      </c>
      <c r="V1791">
        <f>IF(BBDD_fashion_boutique[[#This Row],[is_returned]]="False",0,1)</f>
        <v>0</v>
      </c>
      <c r="W1791">
        <f>IF(BBDD_fashion_boutique[[#This Row],[is_returned]]="True",0,BBDD_fashion_boutique[[#This Row],[current_price]])</f>
        <v>37</v>
      </c>
      <c r="X1791" t="str">
        <f>IF(BBDD_fashion_boutique[[#This Row],[return_reason]]="","No return",BBDD_fashion_boutique[[#This Row],[return_reason]])</f>
        <v>No return</v>
      </c>
      <c r="Y1791">
        <f>IF(IFERROR(VLOOKUP(BBDD_fashion_boutique[[#This Row],[product_id]],A1792:A3967,1,FALSE),0),1,0)</f>
        <v>0</v>
      </c>
    </row>
    <row r="1792" spans="1:25" x14ac:dyDescent="0.3">
      <c r="A1792" t="s">
        <v>1851</v>
      </c>
      <c r="B1792" t="s">
        <v>32</v>
      </c>
      <c r="C1792" t="s">
        <v>49</v>
      </c>
      <c r="D1792" t="s">
        <v>28</v>
      </c>
      <c r="F1792" t="str">
        <f>IF(BBDD_fashion_boutique[[#This Row],[category]]="Accessories","Accesorio",IF(BBDD_fashion_boutique[[#This Row],[size]]="","Desconocido",BBDD_fashion_boutique[[#This Row],[size]]))</f>
        <v>Accesorio</v>
      </c>
      <c r="G1792" t="s">
        <v>33</v>
      </c>
      <c r="H1792" s="2">
        <v>67.38</v>
      </c>
      <c r="I1792">
        <v>0</v>
      </c>
      <c r="J1792" s="5">
        <f>BBDD_fashion_boutique[[#This Row],[markdown_percentage]]/100</f>
        <v>0</v>
      </c>
      <c r="K1792" s="2">
        <v>67.38</v>
      </c>
      <c r="L1792" s="2">
        <f>BBDD_fashion_boutique[[#This Row],[original_price]]-BBDD_fashion_boutique[[#This Row],[current_price]]</f>
        <v>0</v>
      </c>
      <c r="M1792" s="1">
        <v>45875</v>
      </c>
      <c r="N1792" s="1" t="str">
        <f>PROPER(TEXT(BBDD_fashion_boutique[[#This Row],[purchase_date]],"dddd"))</f>
        <v>Miércoles</v>
      </c>
      <c r="O1792" s="1" t="str">
        <f>PROPER(TEXT(BBDD_fashion_boutique[[#This Row],[purchase_date]],"mmmm"))</f>
        <v>Agosto</v>
      </c>
      <c r="P1792" s="4">
        <v>15</v>
      </c>
      <c r="Q1792" s="2">
        <v>1.6</v>
      </c>
      <c r="R1792" t="str">
        <f>IF(BBDD_fashion_boutique[[#This Row],[stock_quantity]]&gt;9,"Ok",IF(BBDD_fashion_boutique[[#This Row],[stock_quantity]]=0,"Agotado","Pocas Unidades"))</f>
        <v>Ok</v>
      </c>
      <c r="S1792" s="3">
        <f>IF(BBDD_fashion_boutique[[#This Row],[customer_rating]]="","No valorado",BBDD_fashion_boutique[[#This Row],[customer_rating]])</f>
        <v>1.6</v>
      </c>
      <c r="T1792" t="s">
        <v>24</v>
      </c>
      <c r="V1792">
        <f>IF(BBDD_fashion_boutique[[#This Row],[is_returned]]="False",0,1)</f>
        <v>0</v>
      </c>
      <c r="W1792">
        <f>IF(BBDD_fashion_boutique[[#This Row],[is_returned]]="True",0,BBDD_fashion_boutique[[#This Row],[current_price]])</f>
        <v>67.38</v>
      </c>
      <c r="X1792" t="str">
        <f>IF(BBDD_fashion_boutique[[#This Row],[return_reason]]="","No return",BBDD_fashion_boutique[[#This Row],[return_reason]])</f>
        <v>No return</v>
      </c>
      <c r="Y1792">
        <f>IF(IFERROR(VLOOKUP(BBDD_fashion_boutique[[#This Row],[product_id]],A1793:A3968,1,FALSE),0),1,0)</f>
        <v>0</v>
      </c>
    </row>
    <row r="1793" spans="1:25" x14ac:dyDescent="0.3">
      <c r="A1793" t="s">
        <v>1852</v>
      </c>
      <c r="B1793" t="s">
        <v>44</v>
      </c>
      <c r="C1793" t="s">
        <v>54</v>
      </c>
      <c r="D1793" t="s">
        <v>68</v>
      </c>
      <c r="E1793" t="s">
        <v>61</v>
      </c>
      <c r="F1793" t="str">
        <f>IF(BBDD_fashion_boutique[[#This Row],[category]]="Accessories","Accesorio",IF(BBDD_fashion_boutique[[#This Row],[size]]="","Desconocido",BBDD_fashion_boutique[[#This Row],[size]]))</f>
        <v>XS</v>
      </c>
      <c r="G1793" t="s">
        <v>40</v>
      </c>
      <c r="H1793" s="2">
        <v>77.44</v>
      </c>
      <c r="I1793">
        <v>1.4</v>
      </c>
      <c r="J1793" s="5">
        <f>BBDD_fashion_boutique[[#This Row],[markdown_percentage]]/100</f>
        <v>1.3999999999999999E-2</v>
      </c>
      <c r="K1793" s="2">
        <v>76.36</v>
      </c>
      <c r="L1793" s="2">
        <f>BBDD_fashion_boutique[[#This Row],[original_price]]-BBDD_fashion_boutique[[#This Row],[current_price]]</f>
        <v>1.0799999999999983</v>
      </c>
      <c r="M1793" s="1">
        <v>45875</v>
      </c>
      <c r="N1793" s="1" t="str">
        <f>PROPER(TEXT(BBDD_fashion_boutique[[#This Row],[purchase_date]],"dddd"))</f>
        <v>Miércoles</v>
      </c>
      <c r="O1793" s="1" t="str">
        <f>PROPER(TEXT(BBDD_fashion_boutique[[#This Row],[purchase_date]],"mmmm"))</f>
        <v>Agosto</v>
      </c>
      <c r="P1793" s="4">
        <v>18</v>
      </c>
      <c r="Q1793" s="2">
        <v>3.3</v>
      </c>
      <c r="R1793" t="str">
        <f>IF(BBDD_fashion_boutique[[#This Row],[stock_quantity]]&gt;9,"Ok",IF(BBDD_fashion_boutique[[#This Row],[stock_quantity]]=0,"Agotado","Pocas Unidades"))</f>
        <v>Ok</v>
      </c>
      <c r="S1793" s="3">
        <f>IF(BBDD_fashion_boutique[[#This Row],[customer_rating]]="","No valorado",BBDD_fashion_boutique[[#This Row],[customer_rating]])</f>
        <v>3.3</v>
      </c>
      <c r="T1793" t="s">
        <v>24</v>
      </c>
      <c r="V1793">
        <f>IF(BBDD_fashion_boutique[[#This Row],[is_returned]]="False",0,1)</f>
        <v>0</v>
      </c>
      <c r="W1793">
        <f>IF(BBDD_fashion_boutique[[#This Row],[is_returned]]="True",0,BBDD_fashion_boutique[[#This Row],[current_price]])</f>
        <v>76.36</v>
      </c>
      <c r="X1793" t="str">
        <f>IF(BBDD_fashion_boutique[[#This Row],[return_reason]]="","No return",BBDD_fashion_boutique[[#This Row],[return_reason]])</f>
        <v>No return</v>
      </c>
      <c r="Y1793">
        <f>IF(IFERROR(VLOOKUP(BBDD_fashion_boutique[[#This Row],[product_id]],A1794:A3969,1,FALSE),0),1,0)</f>
        <v>0</v>
      </c>
    </row>
    <row r="1794" spans="1:25" x14ac:dyDescent="0.3">
      <c r="A1794" t="s">
        <v>1853</v>
      </c>
      <c r="B1794" t="s">
        <v>19</v>
      </c>
      <c r="C1794" t="s">
        <v>54</v>
      </c>
      <c r="D1794" t="s">
        <v>68</v>
      </c>
      <c r="E1794" t="s">
        <v>61</v>
      </c>
      <c r="F1794" t="str">
        <f>IF(BBDD_fashion_boutique[[#This Row],[category]]="Accessories","Accesorio",IF(BBDD_fashion_boutique[[#This Row],[size]]="","Desconocido",BBDD_fashion_boutique[[#This Row],[size]]))</f>
        <v>XS</v>
      </c>
      <c r="G1794" t="s">
        <v>46</v>
      </c>
      <c r="H1794" s="2">
        <v>215.06</v>
      </c>
      <c r="I1794">
        <v>0</v>
      </c>
      <c r="J1794" s="5">
        <f>BBDD_fashion_boutique[[#This Row],[markdown_percentage]]/100</f>
        <v>0</v>
      </c>
      <c r="K1794" s="2">
        <v>215.06</v>
      </c>
      <c r="L1794" s="2">
        <f>BBDD_fashion_boutique[[#This Row],[original_price]]-BBDD_fashion_boutique[[#This Row],[current_price]]</f>
        <v>0</v>
      </c>
      <c r="M1794" s="1">
        <v>45875</v>
      </c>
      <c r="N1794" s="1" t="str">
        <f>PROPER(TEXT(BBDD_fashion_boutique[[#This Row],[purchase_date]],"dddd"))</f>
        <v>Miércoles</v>
      </c>
      <c r="O1794" s="1" t="str">
        <f>PROPER(TEXT(BBDD_fashion_boutique[[#This Row],[purchase_date]],"mmmm"))</f>
        <v>Agosto</v>
      </c>
      <c r="P1794" s="4">
        <v>50</v>
      </c>
      <c r="Q1794" s="2">
        <v>1.6</v>
      </c>
      <c r="R1794" t="str">
        <f>IF(BBDD_fashion_boutique[[#This Row],[stock_quantity]]&gt;9,"Ok",IF(BBDD_fashion_boutique[[#This Row],[stock_quantity]]=0,"Agotado","Pocas Unidades"))</f>
        <v>Ok</v>
      </c>
      <c r="S1794" s="3">
        <f>IF(BBDD_fashion_boutique[[#This Row],[customer_rating]]="","No valorado",BBDD_fashion_boutique[[#This Row],[customer_rating]])</f>
        <v>1.6</v>
      </c>
      <c r="T1794" t="s">
        <v>24</v>
      </c>
      <c r="V1794">
        <f>IF(BBDD_fashion_boutique[[#This Row],[is_returned]]="False",0,1)</f>
        <v>0</v>
      </c>
      <c r="W1794">
        <f>IF(BBDD_fashion_boutique[[#This Row],[is_returned]]="True",0,BBDD_fashion_boutique[[#This Row],[current_price]])</f>
        <v>215.06</v>
      </c>
      <c r="X1794" t="str">
        <f>IF(BBDD_fashion_boutique[[#This Row],[return_reason]]="","No return",BBDD_fashion_boutique[[#This Row],[return_reason]])</f>
        <v>No return</v>
      </c>
      <c r="Y1794">
        <f>IF(IFERROR(VLOOKUP(BBDD_fashion_boutique[[#This Row],[product_id]],A1795:A3970,1,FALSE),0),1,0)</f>
        <v>0</v>
      </c>
    </row>
    <row r="1795" spans="1:25" x14ac:dyDescent="0.3">
      <c r="A1795" t="s">
        <v>1854</v>
      </c>
      <c r="B1795" t="s">
        <v>19</v>
      </c>
      <c r="C1795" t="s">
        <v>37</v>
      </c>
      <c r="D1795" t="s">
        <v>28</v>
      </c>
      <c r="E1795" t="s">
        <v>61</v>
      </c>
      <c r="F1795" t="str">
        <f>IF(BBDD_fashion_boutique[[#This Row],[category]]="Accessories","Accesorio",IF(BBDD_fashion_boutique[[#This Row],[size]]="","Desconocido",BBDD_fashion_boutique[[#This Row],[size]]))</f>
        <v>XS</v>
      </c>
      <c r="G1795" t="s">
        <v>46</v>
      </c>
      <c r="H1795" s="2">
        <v>141.44</v>
      </c>
      <c r="I1795">
        <v>0</v>
      </c>
      <c r="J1795" s="5">
        <f>BBDD_fashion_boutique[[#This Row],[markdown_percentage]]/100</f>
        <v>0</v>
      </c>
      <c r="K1795" s="2">
        <v>141.44</v>
      </c>
      <c r="L1795" s="2">
        <f>BBDD_fashion_boutique[[#This Row],[original_price]]-BBDD_fashion_boutique[[#This Row],[current_price]]</f>
        <v>0</v>
      </c>
      <c r="M1795" s="1">
        <v>45875</v>
      </c>
      <c r="N1795" s="1" t="str">
        <f>PROPER(TEXT(BBDD_fashion_boutique[[#This Row],[purchase_date]],"dddd"))</f>
        <v>Miércoles</v>
      </c>
      <c r="O1795" s="1" t="str">
        <f>PROPER(TEXT(BBDD_fashion_boutique[[#This Row],[purchase_date]],"mmmm"))</f>
        <v>Agosto</v>
      </c>
      <c r="P1795" s="4">
        <v>34</v>
      </c>
      <c r="Q1795" s="2">
        <v>2.4</v>
      </c>
      <c r="R1795" t="str">
        <f>IF(BBDD_fashion_boutique[[#This Row],[stock_quantity]]&gt;9,"Ok",IF(BBDD_fashion_boutique[[#This Row],[stock_quantity]]=0,"Agotado","Pocas Unidades"))</f>
        <v>Ok</v>
      </c>
      <c r="S1795" s="3">
        <f>IF(BBDD_fashion_boutique[[#This Row],[customer_rating]]="","No valorado",BBDD_fashion_boutique[[#This Row],[customer_rating]])</f>
        <v>2.4</v>
      </c>
      <c r="T1795" t="s">
        <v>24</v>
      </c>
      <c r="V1795">
        <f>IF(BBDD_fashion_boutique[[#This Row],[is_returned]]="False",0,1)</f>
        <v>0</v>
      </c>
      <c r="W1795">
        <f>IF(BBDD_fashion_boutique[[#This Row],[is_returned]]="True",0,BBDD_fashion_boutique[[#This Row],[current_price]])</f>
        <v>141.44</v>
      </c>
      <c r="X1795" t="str">
        <f>IF(BBDD_fashion_boutique[[#This Row],[return_reason]]="","No return",BBDD_fashion_boutique[[#This Row],[return_reason]])</f>
        <v>No return</v>
      </c>
      <c r="Y1795">
        <f>IF(IFERROR(VLOOKUP(BBDD_fashion_boutique[[#This Row],[product_id]],A1796:A3971,1,FALSE),0),1,0)</f>
        <v>0</v>
      </c>
    </row>
    <row r="1796" spans="1:25" x14ac:dyDescent="0.3">
      <c r="A1796" t="s">
        <v>1855</v>
      </c>
      <c r="B1796" t="s">
        <v>48</v>
      </c>
      <c r="C1796" t="s">
        <v>59</v>
      </c>
      <c r="D1796" t="s">
        <v>21</v>
      </c>
      <c r="E1796" t="s">
        <v>55</v>
      </c>
      <c r="F1796" t="str">
        <f>IF(BBDD_fashion_boutique[[#This Row],[category]]="Accessories","Accesorio",IF(BBDD_fashion_boutique[[#This Row],[size]]="","Desconocido",BBDD_fashion_boutique[[#This Row],[size]]))</f>
        <v>XXL</v>
      </c>
      <c r="G1796" t="s">
        <v>40</v>
      </c>
      <c r="H1796" s="2">
        <v>151.83000000000001</v>
      </c>
      <c r="I1796">
        <v>0</v>
      </c>
      <c r="J1796" s="5">
        <f>BBDD_fashion_boutique[[#This Row],[markdown_percentage]]/100</f>
        <v>0</v>
      </c>
      <c r="K1796" s="2">
        <v>151.83000000000001</v>
      </c>
      <c r="L1796" s="2">
        <f>BBDD_fashion_boutique[[#This Row],[original_price]]-BBDD_fashion_boutique[[#This Row],[current_price]]</f>
        <v>0</v>
      </c>
      <c r="M1796" s="1">
        <v>45825</v>
      </c>
      <c r="N1796" s="1" t="str">
        <f>PROPER(TEXT(BBDD_fashion_boutique[[#This Row],[purchase_date]],"dddd"))</f>
        <v>Martes</v>
      </c>
      <c r="O1796" s="1" t="str">
        <f>PROPER(TEXT(BBDD_fashion_boutique[[#This Row],[purchase_date]],"mmmm"))</f>
        <v>Junio</v>
      </c>
      <c r="P1796" s="4">
        <v>24</v>
      </c>
      <c r="Q1796" s="2">
        <v>4.3</v>
      </c>
      <c r="R1796" t="str">
        <f>IF(BBDD_fashion_boutique[[#This Row],[stock_quantity]]&gt;9,"Ok",IF(BBDD_fashion_boutique[[#This Row],[stock_quantity]]=0,"Agotado","Pocas Unidades"))</f>
        <v>Ok</v>
      </c>
      <c r="S1796" s="3">
        <f>IF(BBDD_fashion_boutique[[#This Row],[customer_rating]]="","No valorado",BBDD_fashion_boutique[[#This Row],[customer_rating]])</f>
        <v>4.3</v>
      </c>
      <c r="T1796" t="s">
        <v>41</v>
      </c>
      <c r="U1796" t="s">
        <v>131</v>
      </c>
      <c r="V1796">
        <f>IF(BBDD_fashion_boutique[[#This Row],[is_returned]]="False",0,1)</f>
        <v>1</v>
      </c>
      <c r="W1796">
        <f>IF(BBDD_fashion_boutique[[#This Row],[is_returned]]="True",0,BBDD_fashion_boutique[[#This Row],[current_price]])</f>
        <v>0</v>
      </c>
      <c r="X1796" t="str">
        <f>IF(BBDD_fashion_boutique[[#This Row],[return_reason]]="","No return",BBDD_fashion_boutique[[#This Row],[return_reason]])</f>
        <v>Wrong Item</v>
      </c>
      <c r="Y1796">
        <f>IF(IFERROR(VLOOKUP(BBDD_fashion_boutique[[#This Row],[product_id]],A1797:A3972,1,FALSE),0),1,0)</f>
        <v>0</v>
      </c>
    </row>
    <row r="1797" spans="1:25" x14ac:dyDescent="0.3">
      <c r="A1797" t="s">
        <v>1856</v>
      </c>
      <c r="B1797" t="s">
        <v>19</v>
      </c>
      <c r="C1797" t="s">
        <v>67</v>
      </c>
      <c r="D1797" t="s">
        <v>28</v>
      </c>
      <c r="E1797" t="s">
        <v>22</v>
      </c>
      <c r="F1797" t="str">
        <f>IF(BBDD_fashion_boutique[[#This Row],[category]]="Accessories","Accesorio",IF(BBDD_fashion_boutique[[#This Row],[size]]="","Desconocido",BBDD_fashion_boutique[[#This Row],[size]]))</f>
        <v>XL</v>
      </c>
      <c r="G1797" t="s">
        <v>46</v>
      </c>
      <c r="H1797" s="2">
        <v>140.07</v>
      </c>
      <c r="I1797">
        <v>0</v>
      </c>
      <c r="J1797" s="5">
        <f>BBDD_fashion_boutique[[#This Row],[markdown_percentage]]/100</f>
        <v>0</v>
      </c>
      <c r="K1797" s="2">
        <v>140.07</v>
      </c>
      <c r="L1797" s="2">
        <f>BBDD_fashion_boutique[[#This Row],[original_price]]-BBDD_fashion_boutique[[#This Row],[current_price]]</f>
        <v>0</v>
      </c>
      <c r="M1797" s="1">
        <v>45875</v>
      </c>
      <c r="N1797" s="1" t="str">
        <f>PROPER(TEXT(BBDD_fashion_boutique[[#This Row],[purchase_date]],"dddd"))</f>
        <v>Miércoles</v>
      </c>
      <c r="O1797" s="1" t="str">
        <f>PROPER(TEXT(BBDD_fashion_boutique[[#This Row],[purchase_date]],"mmmm"))</f>
        <v>Agosto</v>
      </c>
      <c r="P1797" s="4">
        <v>23</v>
      </c>
      <c r="Q1797" s="2">
        <v>2.7</v>
      </c>
      <c r="R1797" t="str">
        <f>IF(BBDD_fashion_boutique[[#This Row],[stock_quantity]]&gt;9,"Ok",IF(BBDD_fashion_boutique[[#This Row],[stock_quantity]]=0,"Agotado","Pocas Unidades"))</f>
        <v>Ok</v>
      </c>
      <c r="S1797" s="3">
        <f>IF(BBDD_fashion_boutique[[#This Row],[customer_rating]]="","No valorado",BBDD_fashion_boutique[[#This Row],[customer_rating]])</f>
        <v>2.7</v>
      </c>
      <c r="T1797" t="s">
        <v>24</v>
      </c>
      <c r="V1797">
        <f>IF(BBDD_fashion_boutique[[#This Row],[is_returned]]="False",0,1)</f>
        <v>0</v>
      </c>
      <c r="W1797">
        <f>IF(BBDD_fashion_boutique[[#This Row],[is_returned]]="True",0,BBDD_fashion_boutique[[#This Row],[current_price]])</f>
        <v>140.07</v>
      </c>
      <c r="X1797" t="str">
        <f>IF(BBDD_fashion_boutique[[#This Row],[return_reason]]="","No return",BBDD_fashion_boutique[[#This Row],[return_reason]])</f>
        <v>No return</v>
      </c>
      <c r="Y1797">
        <f>IF(IFERROR(VLOOKUP(BBDD_fashion_boutique[[#This Row],[product_id]],A1798:A3973,1,FALSE),0),1,0)</f>
        <v>0</v>
      </c>
    </row>
    <row r="1798" spans="1:25" x14ac:dyDescent="0.3">
      <c r="A1798" t="s">
        <v>1857</v>
      </c>
      <c r="B1798" t="s">
        <v>48</v>
      </c>
      <c r="C1798" t="s">
        <v>49</v>
      </c>
      <c r="D1798" t="s">
        <v>68</v>
      </c>
      <c r="E1798" t="s">
        <v>55</v>
      </c>
      <c r="F1798" t="str">
        <f>IF(BBDD_fashion_boutique[[#This Row],[category]]="Accessories","Accesorio",IF(BBDD_fashion_boutique[[#This Row],[size]]="","Desconocido",BBDD_fashion_boutique[[#This Row],[size]]))</f>
        <v>XXL</v>
      </c>
      <c r="G1798" t="s">
        <v>30</v>
      </c>
      <c r="H1798" s="2">
        <v>94.26</v>
      </c>
      <c r="I1798">
        <v>28.9</v>
      </c>
      <c r="J1798" s="5">
        <f>BBDD_fashion_boutique[[#This Row],[markdown_percentage]]/100</f>
        <v>0.28899999999999998</v>
      </c>
      <c r="K1798" s="2">
        <v>67.02</v>
      </c>
      <c r="L1798" s="2">
        <f>BBDD_fashion_boutique[[#This Row],[original_price]]-BBDD_fashion_boutique[[#This Row],[current_price]]</f>
        <v>27.240000000000009</v>
      </c>
      <c r="M1798" s="1">
        <v>45875</v>
      </c>
      <c r="N1798" s="1" t="str">
        <f>PROPER(TEXT(BBDD_fashion_boutique[[#This Row],[purchase_date]],"dddd"))</f>
        <v>Miércoles</v>
      </c>
      <c r="O1798" s="1" t="str">
        <f>PROPER(TEXT(BBDD_fashion_boutique[[#This Row],[purchase_date]],"mmmm"))</f>
        <v>Agosto</v>
      </c>
      <c r="P1798" s="4">
        <v>44</v>
      </c>
      <c r="Q1798" s="2">
        <v>3.6</v>
      </c>
      <c r="R1798" t="str">
        <f>IF(BBDD_fashion_boutique[[#This Row],[stock_quantity]]&gt;9,"Ok",IF(BBDD_fashion_boutique[[#This Row],[stock_quantity]]=0,"Agotado","Pocas Unidades"))</f>
        <v>Ok</v>
      </c>
      <c r="S1798" s="3">
        <f>IF(BBDD_fashion_boutique[[#This Row],[customer_rating]]="","No valorado",BBDD_fashion_boutique[[#This Row],[customer_rating]])</f>
        <v>3.6</v>
      </c>
      <c r="T1798" t="s">
        <v>24</v>
      </c>
      <c r="V1798">
        <f>IF(BBDD_fashion_boutique[[#This Row],[is_returned]]="False",0,1)</f>
        <v>0</v>
      </c>
      <c r="W1798">
        <f>IF(BBDD_fashion_boutique[[#This Row],[is_returned]]="True",0,BBDD_fashion_boutique[[#This Row],[current_price]])</f>
        <v>67.02</v>
      </c>
      <c r="X1798" t="str">
        <f>IF(BBDD_fashion_boutique[[#This Row],[return_reason]]="","No return",BBDD_fashion_boutique[[#This Row],[return_reason]])</f>
        <v>No return</v>
      </c>
      <c r="Y1798">
        <f>IF(IFERROR(VLOOKUP(BBDD_fashion_boutique[[#This Row],[product_id]],A1799:A3974,1,FALSE),0),1,0)</f>
        <v>0</v>
      </c>
    </row>
    <row r="1799" spans="1:25" x14ac:dyDescent="0.3">
      <c r="A1799" t="s">
        <v>1858</v>
      </c>
      <c r="B1799" t="s">
        <v>32</v>
      </c>
      <c r="C1799" t="s">
        <v>59</v>
      </c>
      <c r="D1799" t="s">
        <v>28</v>
      </c>
      <c r="F1799" t="str">
        <f>IF(BBDD_fashion_boutique[[#This Row],[category]]="Accessories","Accesorio",IF(BBDD_fashion_boutique[[#This Row],[size]]="","Desconocido",BBDD_fashion_boutique[[#This Row],[size]]))</f>
        <v>Accesorio</v>
      </c>
      <c r="G1799" t="s">
        <v>52</v>
      </c>
      <c r="H1799" s="2">
        <v>55.79</v>
      </c>
      <c r="I1799">
        <v>27.3</v>
      </c>
      <c r="J1799" s="5">
        <f>BBDD_fashion_boutique[[#This Row],[markdown_percentage]]/100</f>
        <v>0.27300000000000002</v>
      </c>
      <c r="K1799" s="2">
        <v>40.56</v>
      </c>
      <c r="L1799" s="2">
        <f>BBDD_fashion_boutique[[#This Row],[original_price]]-BBDD_fashion_boutique[[#This Row],[current_price]]</f>
        <v>15.229999999999997</v>
      </c>
      <c r="M1799" s="1">
        <v>45875</v>
      </c>
      <c r="N1799" s="1" t="str">
        <f>PROPER(TEXT(BBDD_fashion_boutique[[#This Row],[purchase_date]],"dddd"))</f>
        <v>Miércoles</v>
      </c>
      <c r="O1799" s="1" t="str">
        <f>PROPER(TEXT(BBDD_fashion_boutique[[#This Row],[purchase_date]],"mmmm"))</f>
        <v>Agosto</v>
      </c>
      <c r="P1799" s="4">
        <v>39</v>
      </c>
      <c r="Q1799" s="2">
        <v>4.9000000000000004</v>
      </c>
      <c r="R1799" t="str">
        <f>IF(BBDD_fashion_boutique[[#This Row],[stock_quantity]]&gt;9,"Ok",IF(BBDD_fashion_boutique[[#This Row],[stock_quantity]]=0,"Agotado","Pocas Unidades"))</f>
        <v>Ok</v>
      </c>
      <c r="S1799" s="3">
        <f>IF(BBDD_fashion_boutique[[#This Row],[customer_rating]]="","No valorado",BBDD_fashion_boutique[[#This Row],[customer_rating]])</f>
        <v>4.9000000000000004</v>
      </c>
      <c r="T1799" t="s">
        <v>24</v>
      </c>
      <c r="V1799">
        <f>IF(BBDD_fashion_boutique[[#This Row],[is_returned]]="False",0,1)</f>
        <v>0</v>
      </c>
      <c r="W1799">
        <f>IF(BBDD_fashion_boutique[[#This Row],[is_returned]]="True",0,BBDD_fashion_boutique[[#This Row],[current_price]])</f>
        <v>40.56</v>
      </c>
      <c r="X1799" t="str">
        <f>IF(BBDD_fashion_boutique[[#This Row],[return_reason]]="","No return",BBDD_fashion_boutique[[#This Row],[return_reason]])</f>
        <v>No return</v>
      </c>
      <c r="Y1799">
        <f>IF(IFERROR(VLOOKUP(BBDD_fashion_boutique[[#This Row],[product_id]],A1800:A3975,1,FALSE),0),1,0)</f>
        <v>0</v>
      </c>
    </row>
    <row r="1800" spans="1:25" x14ac:dyDescent="0.3">
      <c r="A1800" t="s">
        <v>1859</v>
      </c>
      <c r="B1800" t="s">
        <v>32</v>
      </c>
      <c r="C1800" t="s">
        <v>67</v>
      </c>
      <c r="D1800" t="s">
        <v>28</v>
      </c>
      <c r="F1800" t="str">
        <f>IF(BBDD_fashion_boutique[[#This Row],[category]]="Accessories","Accesorio",IF(BBDD_fashion_boutique[[#This Row],[size]]="","Desconocido",BBDD_fashion_boutique[[#This Row],[size]]))</f>
        <v>Accesorio</v>
      </c>
      <c r="G1800" t="s">
        <v>33</v>
      </c>
      <c r="H1800" s="2">
        <v>58.99</v>
      </c>
      <c r="I1800">
        <v>0</v>
      </c>
      <c r="J1800" s="5">
        <f>BBDD_fashion_boutique[[#This Row],[markdown_percentage]]/100</f>
        <v>0</v>
      </c>
      <c r="K1800" s="2">
        <v>58.99</v>
      </c>
      <c r="L1800" s="2">
        <f>BBDD_fashion_boutique[[#This Row],[original_price]]-BBDD_fashion_boutique[[#This Row],[current_price]]</f>
        <v>0</v>
      </c>
      <c r="M1800" s="1">
        <v>45875</v>
      </c>
      <c r="N1800" s="1" t="str">
        <f>PROPER(TEXT(BBDD_fashion_boutique[[#This Row],[purchase_date]],"dddd"))</f>
        <v>Miércoles</v>
      </c>
      <c r="O1800" s="1" t="str">
        <f>PROPER(TEXT(BBDD_fashion_boutique[[#This Row],[purchase_date]],"mmmm"))</f>
        <v>Agosto</v>
      </c>
      <c r="P1800" s="4">
        <v>50</v>
      </c>
      <c r="Q1800" s="2">
        <v>2.7</v>
      </c>
      <c r="R1800" t="str">
        <f>IF(BBDD_fashion_boutique[[#This Row],[stock_quantity]]&gt;9,"Ok",IF(BBDD_fashion_boutique[[#This Row],[stock_quantity]]=0,"Agotado","Pocas Unidades"))</f>
        <v>Ok</v>
      </c>
      <c r="S1800" s="3">
        <f>IF(BBDD_fashion_boutique[[#This Row],[customer_rating]]="","No valorado",BBDD_fashion_boutique[[#This Row],[customer_rating]])</f>
        <v>2.7</v>
      </c>
      <c r="T1800" t="s">
        <v>24</v>
      </c>
      <c r="V1800">
        <f>IF(BBDD_fashion_boutique[[#This Row],[is_returned]]="False",0,1)</f>
        <v>0</v>
      </c>
      <c r="W1800">
        <f>IF(BBDD_fashion_boutique[[#This Row],[is_returned]]="True",0,BBDD_fashion_boutique[[#This Row],[current_price]])</f>
        <v>58.99</v>
      </c>
      <c r="X1800" t="str">
        <f>IF(BBDD_fashion_boutique[[#This Row],[return_reason]]="","No return",BBDD_fashion_boutique[[#This Row],[return_reason]])</f>
        <v>No return</v>
      </c>
      <c r="Y1800">
        <f>IF(IFERROR(VLOOKUP(BBDD_fashion_boutique[[#This Row],[product_id]],A1801:A3976,1,FALSE),0),1,0)</f>
        <v>0</v>
      </c>
    </row>
    <row r="1801" spans="1:25" x14ac:dyDescent="0.3">
      <c r="A1801" t="s">
        <v>1860</v>
      </c>
      <c r="B1801" t="s">
        <v>44</v>
      </c>
      <c r="C1801" t="s">
        <v>81</v>
      </c>
      <c r="D1801" t="s">
        <v>68</v>
      </c>
      <c r="E1801" t="s">
        <v>55</v>
      </c>
      <c r="F1801" t="str">
        <f>IF(BBDD_fashion_boutique[[#This Row],[category]]="Accessories","Accesorio",IF(BBDD_fashion_boutique[[#This Row],[size]]="","Desconocido",BBDD_fashion_boutique[[#This Row],[size]]))</f>
        <v>XXL</v>
      </c>
      <c r="G1801" t="s">
        <v>72</v>
      </c>
      <c r="H1801" s="2">
        <v>61.96</v>
      </c>
      <c r="I1801">
        <v>0</v>
      </c>
      <c r="J1801" s="5">
        <f>BBDD_fashion_boutique[[#This Row],[markdown_percentage]]/100</f>
        <v>0</v>
      </c>
      <c r="K1801" s="2">
        <v>61.96</v>
      </c>
      <c r="L1801" s="2">
        <f>BBDD_fashion_boutique[[#This Row],[original_price]]-BBDD_fashion_boutique[[#This Row],[current_price]]</f>
        <v>0</v>
      </c>
      <c r="M1801" s="1">
        <v>45875</v>
      </c>
      <c r="N1801" s="1" t="str">
        <f>PROPER(TEXT(BBDD_fashion_boutique[[#This Row],[purchase_date]],"dddd"))</f>
        <v>Miércoles</v>
      </c>
      <c r="O1801" s="1" t="str">
        <f>PROPER(TEXT(BBDD_fashion_boutique[[#This Row],[purchase_date]],"mmmm"))</f>
        <v>Agosto</v>
      </c>
      <c r="P1801" s="4">
        <v>13</v>
      </c>
      <c r="Q1801" s="2">
        <v>3.9</v>
      </c>
      <c r="R1801" t="str">
        <f>IF(BBDD_fashion_boutique[[#This Row],[stock_quantity]]&gt;9,"Ok",IF(BBDD_fashion_boutique[[#This Row],[stock_quantity]]=0,"Agotado","Pocas Unidades"))</f>
        <v>Ok</v>
      </c>
      <c r="S1801" s="3">
        <f>IF(BBDD_fashion_boutique[[#This Row],[customer_rating]]="","No valorado",BBDD_fashion_boutique[[#This Row],[customer_rating]])</f>
        <v>3.9</v>
      </c>
      <c r="T1801" t="s">
        <v>24</v>
      </c>
      <c r="V1801">
        <f>IF(BBDD_fashion_boutique[[#This Row],[is_returned]]="False",0,1)</f>
        <v>0</v>
      </c>
      <c r="W1801">
        <f>IF(BBDD_fashion_boutique[[#This Row],[is_returned]]="True",0,BBDD_fashion_boutique[[#This Row],[current_price]])</f>
        <v>61.96</v>
      </c>
      <c r="X1801" t="str">
        <f>IF(BBDD_fashion_boutique[[#This Row],[return_reason]]="","No return",BBDD_fashion_boutique[[#This Row],[return_reason]])</f>
        <v>No return</v>
      </c>
      <c r="Y1801">
        <f>IF(IFERROR(VLOOKUP(BBDD_fashion_boutique[[#This Row],[product_id]],A1802:A3977,1,FALSE),0),1,0)</f>
        <v>0</v>
      </c>
    </row>
    <row r="1802" spans="1:25" x14ac:dyDescent="0.3">
      <c r="A1802" t="s">
        <v>1861</v>
      </c>
      <c r="B1802" t="s">
        <v>44</v>
      </c>
      <c r="C1802" t="s">
        <v>20</v>
      </c>
      <c r="D1802" t="s">
        <v>39</v>
      </c>
      <c r="E1802" t="s">
        <v>29</v>
      </c>
      <c r="F1802" t="str">
        <f>IF(BBDD_fashion_boutique[[#This Row],[category]]="Accessories","Accesorio",IF(BBDD_fashion_boutique[[#This Row],[size]]="","Desconocido",BBDD_fashion_boutique[[#This Row],[size]]))</f>
        <v>L</v>
      </c>
      <c r="G1802" t="s">
        <v>76</v>
      </c>
      <c r="H1802" s="2">
        <v>104.25</v>
      </c>
      <c r="I1802">
        <v>0</v>
      </c>
      <c r="J1802" s="5">
        <f>BBDD_fashion_boutique[[#This Row],[markdown_percentage]]/100</f>
        <v>0</v>
      </c>
      <c r="K1802" s="2">
        <v>104.25</v>
      </c>
      <c r="L1802" s="2">
        <f>BBDD_fashion_boutique[[#This Row],[original_price]]-BBDD_fashion_boutique[[#This Row],[current_price]]</f>
        <v>0</v>
      </c>
      <c r="M1802" s="1">
        <v>45875</v>
      </c>
      <c r="N1802" s="1" t="str">
        <f>PROPER(TEXT(BBDD_fashion_boutique[[#This Row],[purchase_date]],"dddd"))</f>
        <v>Miércoles</v>
      </c>
      <c r="O1802" s="1" t="str">
        <f>PROPER(TEXT(BBDD_fashion_boutique[[#This Row],[purchase_date]],"mmmm"))</f>
        <v>Agosto</v>
      </c>
      <c r="P1802" s="4">
        <v>35</v>
      </c>
      <c r="Q1802" s="2">
        <v>3.1</v>
      </c>
      <c r="R1802" t="str">
        <f>IF(BBDD_fashion_boutique[[#This Row],[stock_quantity]]&gt;9,"Ok",IF(BBDD_fashion_boutique[[#This Row],[stock_quantity]]=0,"Agotado","Pocas Unidades"))</f>
        <v>Ok</v>
      </c>
      <c r="S1802" s="3">
        <f>IF(BBDD_fashion_boutique[[#This Row],[customer_rating]]="","No valorado",BBDD_fashion_boutique[[#This Row],[customer_rating]])</f>
        <v>3.1</v>
      </c>
      <c r="T1802" t="s">
        <v>24</v>
      </c>
      <c r="V1802">
        <f>IF(BBDD_fashion_boutique[[#This Row],[is_returned]]="False",0,1)</f>
        <v>0</v>
      </c>
      <c r="W1802">
        <f>IF(BBDD_fashion_boutique[[#This Row],[is_returned]]="True",0,BBDD_fashion_boutique[[#This Row],[current_price]])</f>
        <v>104.25</v>
      </c>
      <c r="X1802" t="str">
        <f>IF(BBDD_fashion_boutique[[#This Row],[return_reason]]="","No return",BBDD_fashion_boutique[[#This Row],[return_reason]])</f>
        <v>No return</v>
      </c>
      <c r="Y1802">
        <f>IF(IFERROR(VLOOKUP(BBDD_fashion_boutique[[#This Row],[product_id]],A1803:A3978,1,FALSE),0),1,0)</f>
        <v>0</v>
      </c>
    </row>
    <row r="1803" spans="1:25" x14ac:dyDescent="0.3">
      <c r="A1803" t="s">
        <v>1862</v>
      </c>
      <c r="B1803" t="s">
        <v>19</v>
      </c>
      <c r="C1803" t="s">
        <v>54</v>
      </c>
      <c r="D1803" t="s">
        <v>28</v>
      </c>
      <c r="E1803" t="s">
        <v>29</v>
      </c>
      <c r="F1803" t="str">
        <f>IF(BBDD_fashion_boutique[[#This Row],[category]]="Accessories","Accesorio",IF(BBDD_fashion_boutique[[#This Row],[size]]="","Desconocido",BBDD_fashion_boutique[[#This Row],[size]]))</f>
        <v>L</v>
      </c>
      <c r="G1803" t="s">
        <v>46</v>
      </c>
      <c r="H1803" s="2">
        <v>102.68</v>
      </c>
      <c r="I1803">
        <v>0</v>
      </c>
      <c r="J1803" s="5">
        <f>BBDD_fashion_boutique[[#This Row],[markdown_percentage]]/100</f>
        <v>0</v>
      </c>
      <c r="K1803" s="2">
        <v>102.68</v>
      </c>
      <c r="L1803" s="2">
        <f>BBDD_fashion_boutique[[#This Row],[original_price]]-BBDD_fashion_boutique[[#This Row],[current_price]]</f>
        <v>0</v>
      </c>
      <c r="M1803" s="1">
        <v>45875</v>
      </c>
      <c r="N1803" s="1" t="str">
        <f>PROPER(TEXT(BBDD_fashion_boutique[[#This Row],[purchase_date]],"dddd"))</f>
        <v>Miércoles</v>
      </c>
      <c r="O1803" s="1" t="str">
        <f>PROPER(TEXT(BBDD_fashion_boutique[[#This Row],[purchase_date]],"mmmm"))</f>
        <v>Agosto</v>
      </c>
      <c r="P1803" s="4">
        <v>18</v>
      </c>
      <c r="Q1803" s="2">
        <v>1.9</v>
      </c>
      <c r="R1803" t="str">
        <f>IF(BBDD_fashion_boutique[[#This Row],[stock_quantity]]&gt;9,"Ok",IF(BBDD_fashion_boutique[[#This Row],[stock_quantity]]=0,"Agotado","Pocas Unidades"))</f>
        <v>Ok</v>
      </c>
      <c r="S1803" s="3">
        <f>IF(BBDD_fashion_boutique[[#This Row],[customer_rating]]="","No valorado",BBDD_fashion_boutique[[#This Row],[customer_rating]])</f>
        <v>1.9</v>
      </c>
      <c r="T1803" t="s">
        <v>24</v>
      </c>
      <c r="V1803">
        <f>IF(BBDD_fashion_boutique[[#This Row],[is_returned]]="False",0,1)</f>
        <v>0</v>
      </c>
      <c r="W1803">
        <f>IF(BBDD_fashion_boutique[[#This Row],[is_returned]]="True",0,BBDD_fashion_boutique[[#This Row],[current_price]])</f>
        <v>102.68</v>
      </c>
      <c r="X1803" t="str">
        <f>IF(BBDD_fashion_boutique[[#This Row],[return_reason]]="","No return",BBDD_fashion_boutique[[#This Row],[return_reason]])</f>
        <v>No return</v>
      </c>
      <c r="Y1803">
        <f>IF(IFERROR(VLOOKUP(BBDD_fashion_boutique[[#This Row],[product_id]],A1804:A3979,1,FALSE),0),1,0)</f>
        <v>0</v>
      </c>
    </row>
    <row r="1804" spans="1:25" x14ac:dyDescent="0.3">
      <c r="A1804" t="s">
        <v>1863</v>
      </c>
      <c r="B1804" t="s">
        <v>48</v>
      </c>
      <c r="C1804" t="s">
        <v>67</v>
      </c>
      <c r="D1804" t="s">
        <v>28</v>
      </c>
      <c r="E1804" t="s">
        <v>55</v>
      </c>
      <c r="F1804" t="str">
        <f>IF(BBDD_fashion_boutique[[#This Row],[category]]="Accessories","Accesorio",IF(BBDD_fashion_boutique[[#This Row],[size]]="","Desconocido",BBDD_fashion_boutique[[#This Row],[size]]))</f>
        <v>XXL</v>
      </c>
      <c r="G1804" t="s">
        <v>62</v>
      </c>
      <c r="H1804" s="2">
        <v>131.05000000000001</v>
      </c>
      <c r="I1804">
        <v>32.6</v>
      </c>
      <c r="J1804" s="5">
        <f>BBDD_fashion_boutique[[#This Row],[markdown_percentage]]/100</f>
        <v>0.32600000000000001</v>
      </c>
      <c r="K1804" s="2">
        <v>88.33</v>
      </c>
      <c r="L1804" s="2">
        <f>BBDD_fashion_boutique[[#This Row],[original_price]]-BBDD_fashion_boutique[[#This Row],[current_price]]</f>
        <v>42.720000000000013</v>
      </c>
      <c r="M1804" s="1">
        <v>45875</v>
      </c>
      <c r="N1804" s="1" t="str">
        <f>PROPER(TEXT(BBDD_fashion_boutique[[#This Row],[purchase_date]],"dddd"))</f>
        <v>Miércoles</v>
      </c>
      <c r="O1804" s="1" t="str">
        <f>PROPER(TEXT(BBDD_fashion_boutique[[#This Row],[purchase_date]],"mmmm"))</f>
        <v>Agosto</v>
      </c>
      <c r="P1804" s="4">
        <v>9</v>
      </c>
      <c r="R1804" t="str">
        <f>IF(BBDD_fashion_boutique[[#This Row],[stock_quantity]]&gt;9,"Ok",IF(BBDD_fashion_boutique[[#This Row],[stock_quantity]]=0,"Agotado","Pocas Unidades"))</f>
        <v>Pocas Unidades</v>
      </c>
      <c r="S1804" s="3" t="str">
        <f>IF(BBDD_fashion_boutique[[#This Row],[customer_rating]]="","No valorado",BBDD_fashion_boutique[[#This Row],[customer_rating]])</f>
        <v>No valorado</v>
      </c>
      <c r="T1804" t="s">
        <v>24</v>
      </c>
      <c r="V1804">
        <f>IF(BBDD_fashion_boutique[[#This Row],[is_returned]]="False",0,1)</f>
        <v>0</v>
      </c>
      <c r="W1804">
        <f>IF(BBDD_fashion_boutique[[#This Row],[is_returned]]="True",0,BBDD_fashion_boutique[[#This Row],[current_price]])</f>
        <v>88.33</v>
      </c>
      <c r="X1804" t="str">
        <f>IF(BBDD_fashion_boutique[[#This Row],[return_reason]]="","No return",BBDD_fashion_boutique[[#This Row],[return_reason]])</f>
        <v>No return</v>
      </c>
      <c r="Y1804">
        <f>IF(IFERROR(VLOOKUP(BBDD_fashion_boutique[[#This Row],[product_id]],A1805:A3980,1,FALSE),0),1,0)</f>
        <v>0</v>
      </c>
    </row>
    <row r="1805" spans="1:25" x14ac:dyDescent="0.3">
      <c r="A1805" t="s">
        <v>1864</v>
      </c>
      <c r="B1805" t="s">
        <v>19</v>
      </c>
      <c r="C1805" t="s">
        <v>37</v>
      </c>
      <c r="D1805" t="s">
        <v>21</v>
      </c>
      <c r="E1805" t="s">
        <v>61</v>
      </c>
      <c r="F1805" t="str">
        <f>IF(BBDD_fashion_boutique[[#This Row],[category]]="Accessories","Accesorio",IF(BBDD_fashion_boutique[[#This Row],[size]]="","Desconocido",BBDD_fashion_boutique[[#This Row],[size]]))</f>
        <v>XS</v>
      </c>
      <c r="G1805" t="s">
        <v>70</v>
      </c>
      <c r="H1805" s="2">
        <v>139.72999999999999</v>
      </c>
      <c r="I1805">
        <v>54.3</v>
      </c>
      <c r="J1805" s="5">
        <f>BBDD_fashion_boutique[[#This Row],[markdown_percentage]]/100</f>
        <v>0.54299999999999993</v>
      </c>
      <c r="K1805" s="2">
        <v>63.86</v>
      </c>
      <c r="L1805" s="2">
        <f>BBDD_fashion_boutique[[#This Row],[original_price]]-BBDD_fashion_boutique[[#This Row],[current_price]]</f>
        <v>75.86999999999999</v>
      </c>
      <c r="M1805" s="1">
        <v>45743</v>
      </c>
      <c r="N1805" s="1" t="str">
        <f>PROPER(TEXT(BBDD_fashion_boutique[[#This Row],[purchase_date]],"dddd"))</f>
        <v>Jueves</v>
      </c>
      <c r="O1805" s="1" t="str">
        <f>PROPER(TEXT(BBDD_fashion_boutique[[#This Row],[purchase_date]],"mmmm"))</f>
        <v>Marzo</v>
      </c>
      <c r="P1805" s="4">
        <v>38</v>
      </c>
      <c r="R1805" t="str">
        <f>IF(BBDD_fashion_boutique[[#This Row],[stock_quantity]]&gt;9,"Ok",IF(BBDD_fashion_boutique[[#This Row],[stock_quantity]]=0,"Agotado","Pocas Unidades"))</f>
        <v>Ok</v>
      </c>
      <c r="S1805" s="3" t="str">
        <f>IF(BBDD_fashion_boutique[[#This Row],[customer_rating]]="","No valorado",BBDD_fashion_boutique[[#This Row],[customer_rating]])</f>
        <v>No valorado</v>
      </c>
      <c r="T1805" t="s">
        <v>41</v>
      </c>
      <c r="U1805" t="s">
        <v>121</v>
      </c>
      <c r="V1805">
        <f>IF(BBDD_fashion_boutique[[#This Row],[is_returned]]="False",0,1)</f>
        <v>1</v>
      </c>
      <c r="W1805">
        <f>IF(BBDD_fashion_boutique[[#This Row],[is_returned]]="True",0,BBDD_fashion_boutique[[#This Row],[current_price]])</f>
        <v>0</v>
      </c>
      <c r="X1805" t="str">
        <f>IF(BBDD_fashion_boutique[[#This Row],[return_reason]]="","No return",BBDD_fashion_boutique[[#This Row],[return_reason]])</f>
        <v>Changed Mind</v>
      </c>
      <c r="Y1805">
        <f>IF(IFERROR(VLOOKUP(BBDD_fashion_boutique[[#This Row],[product_id]],A1806:A3981,1,FALSE),0),1,0)</f>
        <v>0</v>
      </c>
    </row>
    <row r="1806" spans="1:25" x14ac:dyDescent="0.3">
      <c r="A1806" t="s">
        <v>1865</v>
      </c>
      <c r="B1806" t="s">
        <v>32</v>
      </c>
      <c r="C1806" t="s">
        <v>81</v>
      </c>
      <c r="D1806" t="s">
        <v>28</v>
      </c>
      <c r="F1806" t="str">
        <f>IF(BBDD_fashion_boutique[[#This Row],[category]]="Accessories","Accesorio",IF(BBDD_fashion_boutique[[#This Row],[size]]="","Desconocido",BBDD_fashion_boutique[[#This Row],[size]]))</f>
        <v>Accesorio</v>
      </c>
      <c r="G1806" t="s">
        <v>70</v>
      </c>
      <c r="H1806" s="2">
        <v>17.59</v>
      </c>
      <c r="I1806">
        <v>0</v>
      </c>
      <c r="J1806" s="5">
        <f>BBDD_fashion_boutique[[#This Row],[markdown_percentage]]/100</f>
        <v>0</v>
      </c>
      <c r="K1806" s="2">
        <v>17.59</v>
      </c>
      <c r="L1806" s="2">
        <f>BBDD_fashion_boutique[[#This Row],[original_price]]-BBDD_fashion_boutique[[#This Row],[current_price]]</f>
        <v>0</v>
      </c>
      <c r="M1806" s="1">
        <v>45875</v>
      </c>
      <c r="N1806" s="1" t="str">
        <f>PROPER(TEXT(BBDD_fashion_boutique[[#This Row],[purchase_date]],"dddd"))</f>
        <v>Miércoles</v>
      </c>
      <c r="O1806" s="1" t="str">
        <f>PROPER(TEXT(BBDD_fashion_boutique[[#This Row],[purchase_date]],"mmmm"))</f>
        <v>Agosto</v>
      </c>
      <c r="P1806" s="4">
        <v>14</v>
      </c>
      <c r="R1806" t="str">
        <f>IF(BBDD_fashion_boutique[[#This Row],[stock_quantity]]&gt;9,"Ok",IF(BBDD_fashion_boutique[[#This Row],[stock_quantity]]=0,"Agotado","Pocas Unidades"))</f>
        <v>Ok</v>
      </c>
      <c r="S1806" s="3" t="str">
        <f>IF(BBDD_fashion_boutique[[#This Row],[customer_rating]]="","No valorado",BBDD_fashion_boutique[[#This Row],[customer_rating]])</f>
        <v>No valorado</v>
      </c>
      <c r="T1806" t="s">
        <v>24</v>
      </c>
      <c r="V1806">
        <f>IF(BBDD_fashion_boutique[[#This Row],[is_returned]]="False",0,1)</f>
        <v>0</v>
      </c>
      <c r="W1806">
        <f>IF(BBDD_fashion_boutique[[#This Row],[is_returned]]="True",0,BBDD_fashion_boutique[[#This Row],[current_price]])</f>
        <v>17.59</v>
      </c>
      <c r="X1806" t="str">
        <f>IF(BBDD_fashion_boutique[[#This Row],[return_reason]]="","No return",BBDD_fashion_boutique[[#This Row],[return_reason]])</f>
        <v>No return</v>
      </c>
      <c r="Y1806">
        <f>IF(IFERROR(VLOOKUP(BBDD_fashion_boutique[[#This Row],[product_id]],A1807:A3982,1,FALSE),0),1,0)</f>
        <v>0</v>
      </c>
    </row>
    <row r="1807" spans="1:25" x14ac:dyDescent="0.3">
      <c r="A1807" t="s">
        <v>1866</v>
      </c>
      <c r="B1807" t="s">
        <v>35</v>
      </c>
      <c r="C1807" t="s">
        <v>20</v>
      </c>
      <c r="D1807" t="s">
        <v>39</v>
      </c>
      <c r="E1807" t="s">
        <v>29</v>
      </c>
      <c r="F1807" t="str">
        <f>IF(BBDD_fashion_boutique[[#This Row],[category]]="Accessories","Accesorio",IF(BBDD_fashion_boutique[[#This Row],[size]]="","Desconocido",BBDD_fashion_boutique[[#This Row],[size]]))</f>
        <v>L</v>
      </c>
      <c r="G1807" t="s">
        <v>23</v>
      </c>
      <c r="H1807" s="2">
        <v>115.09</v>
      </c>
      <c r="I1807">
        <v>0</v>
      </c>
      <c r="J1807" s="5">
        <f>BBDD_fashion_boutique[[#This Row],[markdown_percentage]]/100</f>
        <v>0</v>
      </c>
      <c r="K1807" s="2">
        <v>115.09</v>
      </c>
      <c r="L1807" s="2">
        <f>BBDD_fashion_boutique[[#This Row],[original_price]]-BBDD_fashion_boutique[[#This Row],[current_price]]</f>
        <v>0</v>
      </c>
      <c r="M1807" s="1">
        <v>45875</v>
      </c>
      <c r="N1807" s="1" t="str">
        <f>PROPER(TEXT(BBDD_fashion_boutique[[#This Row],[purchase_date]],"dddd"))</f>
        <v>Miércoles</v>
      </c>
      <c r="O1807" s="1" t="str">
        <f>PROPER(TEXT(BBDD_fashion_boutique[[#This Row],[purchase_date]],"mmmm"))</f>
        <v>Agosto</v>
      </c>
      <c r="P1807" s="4">
        <v>10</v>
      </c>
      <c r="Q1807" s="2">
        <v>2.5</v>
      </c>
      <c r="R1807" t="str">
        <f>IF(BBDD_fashion_boutique[[#This Row],[stock_quantity]]&gt;9,"Ok",IF(BBDD_fashion_boutique[[#This Row],[stock_quantity]]=0,"Agotado","Pocas Unidades"))</f>
        <v>Ok</v>
      </c>
      <c r="S1807" s="3">
        <f>IF(BBDD_fashion_boutique[[#This Row],[customer_rating]]="","No valorado",BBDD_fashion_boutique[[#This Row],[customer_rating]])</f>
        <v>2.5</v>
      </c>
      <c r="T1807" t="s">
        <v>24</v>
      </c>
      <c r="V1807">
        <f>IF(BBDD_fashion_boutique[[#This Row],[is_returned]]="False",0,1)</f>
        <v>0</v>
      </c>
      <c r="W1807">
        <f>IF(BBDD_fashion_boutique[[#This Row],[is_returned]]="True",0,BBDD_fashion_boutique[[#This Row],[current_price]])</f>
        <v>115.09</v>
      </c>
      <c r="X1807" t="str">
        <f>IF(BBDD_fashion_boutique[[#This Row],[return_reason]]="","No return",BBDD_fashion_boutique[[#This Row],[return_reason]])</f>
        <v>No return</v>
      </c>
      <c r="Y1807">
        <f>IF(IFERROR(VLOOKUP(BBDD_fashion_boutique[[#This Row],[product_id]],A1808:A3983,1,FALSE),0),1,0)</f>
        <v>0</v>
      </c>
    </row>
    <row r="1808" spans="1:25" x14ac:dyDescent="0.3">
      <c r="A1808" t="s">
        <v>1867</v>
      </c>
      <c r="B1808" t="s">
        <v>32</v>
      </c>
      <c r="C1808" t="s">
        <v>20</v>
      </c>
      <c r="D1808" t="s">
        <v>68</v>
      </c>
      <c r="F1808" t="str">
        <f>IF(BBDD_fashion_boutique[[#This Row],[category]]="Accessories","Accesorio",IF(BBDD_fashion_boutique[[#This Row],[size]]="","Desconocido",BBDD_fashion_boutique[[#This Row],[size]]))</f>
        <v>Accesorio</v>
      </c>
      <c r="G1808" t="s">
        <v>33</v>
      </c>
      <c r="H1808" s="2">
        <v>73.75</v>
      </c>
      <c r="I1808">
        <v>0</v>
      </c>
      <c r="J1808" s="5">
        <f>BBDD_fashion_boutique[[#This Row],[markdown_percentage]]/100</f>
        <v>0</v>
      </c>
      <c r="K1808" s="2">
        <v>73.75</v>
      </c>
      <c r="L1808" s="2">
        <f>BBDD_fashion_boutique[[#This Row],[original_price]]-BBDD_fashion_boutique[[#This Row],[current_price]]</f>
        <v>0</v>
      </c>
      <c r="M1808" s="1">
        <v>45875</v>
      </c>
      <c r="N1808" s="1" t="str">
        <f>PROPER(TEXT(BBDD_fashion_boutique[[#This Row],[purchase_date]],"dddd"))</f>
        <v>Miércoles</v>
      </c>
      <c r="O1808" s="1" t="str">
        <f>PROPER(TEXT(BBDD_fashion_boutique[[#This Row],[purchase_date]],"mmmm"))</f>
        <v>Agosto</v>
      </c>
      <c r="P1808" s="4">
        <v>23</v>
      </c>
      <c r="Q1808" s="2">
        <v>4.5</v>
      </c>
      <c r="R1808" t="str">
        <f>IF(BBDD_fashion_boutique[[#This Row],[stock_quantity]]&gt;9,"Ok",IF(BBDD_fashion_boutique[[#This Row],[stock_quantity]]=0,"Agotado","Pocas Unidades"))</f>
        <v>Ok</v>
      </c>
      <c r="S1808" s="3">
        <f>IF(BBDD_fashion_boutique[[#This Row],[customer_rating]]="","No valorado",BBDD_fashion_boutique[[#This Row],[customer_rating]])</f>
        <v>4.5</v>
      </c>
      <c r="T1808" t="s">
        <v>24</v>
      </c>
      <c r="V1808">
        <f>IF(BBDD_fashion_boutique[[#This Row],[is_returned]]="False",0,1)</f>
        <v>0</v>
      </c>
      <c r="W1808">
        <f>IF(BBDD_fashion_boutique[[#This Row],[is_returned]]="True",0,BBDD_fashion_boutique[[#This Row],[current_price]])</f>
        <v>73.75</v>
      </c>
      <c r="X1808" t="str">
        <f>IF(BBDD_fashion_boutique[[#This Row],[return_reason]]="","No return",BBDD_fashion_boutique[[#This Row],[return_reason]])</f>
        <v>No return</v>
      </c>
      <c r="Y1808">
        <f>IF(IFERROR(VLOOKUP(BBDD_fashion_boutique[[#This Row],[product_id]],A1809:A3984,1,FALSE),0),1,0)</f>
        <v>0</v>
      </c>
    </row>
    <row r="1809" spans="1:25" x14ac:dyDescent="0.3">
      <c r="A1809" t="s">
        <v>1868</v>
      </c>
      <c r="B1809" t="s">
        <v>32</v>
      </c>
      <c r="C1809" t="s">
        <v>59</v>
      </c>
      <c r="D1809" t="s">
        <v>28</v>
      </c>
      <c r="F1809" t="str">
        <f>IF(BBDD_fashion_boutique[[#This Row],[category]]="Accessories","Accesorio",IF(BBDD_fashion_boutique[[#This Row],[size]]="","Desconocido",BBDD_fashion_boutique[[#This Row],[size]]))</f>
        <v>Accesorio</v>
      </c>
      <c r="G1809" t="s">
        <v>70</v>
      </c>
      <c r="H1809" s="2">
        <v>66.77</v>
      </c>
      <c r="I1809">
        <v>0</v>
      </c>
      <c r="J1809" s="5">
        <f>BBDD_fashion_boutique[[#This Row],[markdown_percentage]]/100</f>
        <v>0</v>
      </c>
      <c r="K1809" s="2">
        <v>66.77</v>
      </c>
      <c r="L1809" s="2">
        <f>BBDD_fashion_boutique[[#This Row],[original_price]]-BBDD_fashion_boutique[[#This Row],[current_price]]</f>
        <v>0</v>
      </c>
      <c r="M1809" s="1">
        <v>45875</v>
      </c>
      <c r="N1809" s="1" t="str">
        <f>PROPER(TEXT(BBDD_fashion_boutique[[#This Row],[purchase_date]],"dddd"))</f>
        <v>Miércoles</v>
      </c>
      <c r="O1809" s="1" t="str">
        <f>PROPER(TEXT(BBDD_fashion_boutique[[#This Row],[purchase_date]],"mmmm"))</f>
        <v>Agosto</v>
      </c>
      <c r="P1809" s="4">
        <v>28</v>
      </c>
      <c r="Q1809" s="2">
        <v>5</v>
      </c>
      <c r="R1809" t="str">
        <f>IF(BBDD_fashion_boutique[[#This Row],[stock_quantity]]&gt;9,"Ok",IF(BBDD_fashion_boutique[[#This Row],[stock_quantity]]=0,"Agotado","Pocas Unidades"))</f>
        <v>Ok</v>
      </c>
      <c r="S1809" s="3">
        <f>IF(BBDD_fashion_boutique[[#This Row],[customer_rating]]="","No valorado",BBDD_fashion_boutique[[#This Row],[customer_rating]])</f>
        <v>5</v>
      </c>
      <c r="T1809" t="s">
        <v>41</v>
      </c>
      <c r="U1809" t="s">
        <v>79</v>
      </c>
      <c r="V1809">
        <f>IF(BBDD_fashion_boutique[[#This Row],[is_returned]]="False",0,1)</f>
        <v>1</v>
      </c>
      <c r="W1809">
        <f>IF(BBDD_fashion_boutique[[#This Row],[is_returned]]="True",0,BBDD_fashion_boutique[[#This Row],[current_price]])</f>
        <v>0</v>
      </c>
      <c r="X1809" t="str">
        <f>IF(BBDD_fashion_boutique[[#This Row],[return_reason]]="","No return",BBDD_fashion_boutique[[#This Row],[return_reason]])</f>
        <v>Size Issue</v>
      </c>
      <c r="Y1809">
        <f>IF(IFERROR(VLOOKUP(BBDD_fashion_boutique[[#This Row],[product_id]],A1810:A3985,1,FALSE),0),1,0)</f>
        <v>0</v>
      </c>
    </row>
    <row r="1810" spans="1:25" x14ac:dyDescent="0.3">
      <c r="A1810" t="s">
        <v>1869</v>
      </c>
      <c r="B1810" t="s">
        <v>26</v>
      </c>
      <c r="C1810" t="s">
        <v>54</v>
      </c>
      <c r="D1810" t="s">
        <v>39</v>
      </c>
      <c r="E1810" t="s">
        <v>29</v>
      </c>
      <c r="F1810" t="str">
        <f>IF(BBDD_fashion_boutique[[#This Row],[category]]="Accessories","Accesorio",IF(BBDD_fashion_boutique[[#This Row],[size]]="","Desconocido",BBDD_fashion_boutique[[#This Row],[size]]))</f>
        <v>L</v>
      </c>
      <c r="G1810" t="s">
        <v>40</v>
      </c>
      <c r="H1810" s="2">
        <v>63.92</v>
      </c>
      <c r="I1810">
        <v>0</v>
      </c>
      <c r="J1810" s="5">
        <f>BBDD_fashion_boutique[[#This Row],[markdown_percentage]]/100</f>
        <v>0</v>
      </c>
      <c r="K1810" s="2">
        <v>63.92</v>
      </c>
      <c r="L1810" s="2">
        <f>BBDD_fashion_boutique[[#This Row],[original_price]]-BBDD_fashion_boutique[[#This Row],[current_price]]</f>
        <v>0</v>
      </c>
      <c r="M1810" s="1">
        <v>45875</v>
      </c>
      <c r="N1810" s="1" t="str">
        <f>PROPER(TEXT(BBDD_fashion_boutique[[#This Row],[purchase_date]],"dddd"))</f>
        <v>Miércoles</v>
      </c>
      <c r="O1810" s="1" t="str">
        <f>PROPER(TEXT(BBDD_fashion_boutique[[#This Row],[purchase_date]],"mmmm"))</f>
        <v>Agosto</v>
      </c>
      <c r="P1810" s="4">
        <v>10</v>
      </c>
      <c r="Q1810" s="2">
        <v>4.4000000000000004</v>
      </c>
      <c r="R1810" t="str">
        <f>IF(BBDD_fashion_boutique[[#This Row],[stock_quantity]]&gt;9,"Ok",IF(BBDD_fashion_boutique[[#This Row],[stock_quantity]]=0,"Agotado","Pocas Unidades"))</f>
        <v>Ok</v>
      </c>
      <c r="S1810" s="3">
        <f>IF(BBDD_fashion_boutique[[#This Row],[customer_rating]]="","No valorado",BBDD_fashion_boutique[[#This Row],[customer_rating]])</f>
        <v>4.4000000000000004</v>
      </c>
      <c r="T1810" t="s">
        <v>24</v>
      </c>
      <c r="V1810">
        <f>IF(BBDD_fashion_boutique[[#This Row],[is_returned]]="False",0,1)</f>
        <v>0</v>
      </c>
      <c r="W1810">
        <f>IF(BBDD_fashion_boutique[[#This Row],[is_returned]]="True",0,BBDD_fashion_boutique[[#This Row],[current_price]])</f>
        <v>63.92</v>
      </c>
      <c r="X1810" t="str">
        <f>IF(BBDD_fashion_boutique[[#This Row],[return_reason]]="","No return",BBDD_fashion_boutique[[#This Row],[return_reason]])</f>
        <v>No return</v>
      </c>
      <c r="Y1810">
        <f>IF(IFERROR(VLOOKUP(BBDD_fashion_boutique[[#This Row],[product_id]],A1811:A3986,1,FALSE),0),1,0)</f>
        <v>0</v>
      </c>
    </row>
    <row r="1811" spans="1:25" x14ac:dyDescent="0.3">
      <c r="A1811" t="s">
        <v>1870</v>
      </c>
      <c r="B1811" t="s">
        <v>32</v>
      </c>
      <c r="C1811" t="s">
        <v>54</v>
      </c>
      <c r="D1811" t="s">
        <v>39</v>
      </c>
      <c r="F1811" t="str">
        <f>IF(BBDD_fashion_boutique[[#This Row],[category]]="Accessories","Accesorio",IF(BBDD_fashion_boutique[[#This Row],[size]]="","Desconocido",BBDD_fashion_boutique[[#This Row],[size]]))</f>
        <v>Accesorio</v>
      </c>
      <c r="G1811" t="s">
        <v>52</v>
      </c>
      <c r="H1811" s="2">
        <v>26.26</v>
      </c>
      <c r="I1811">
        <v>0</v>
      </c>
      <c r="J1811" s="5">
        <f>BBDD_fashion_boutique[[#This Row],[markdown_percentage]]/100</f>
        <v>0</v>
      </c>
      <c r="K1811" s="2">
        <v>26.26</v>
      </c>
      <c r="L1811" s="2">
        <f>BBDD_fashion_boutique[[#This Row],[original_price]]-BBDD_fashion_boutique[[#This Row],[current_price]]</f>
        <v>0</v>
      </c>
      <c r="M1811" s="1">
        <v>45875</v>
      </c>
      <c r="N1811" s="1" t="str">
        <f>PROPER(TEXT(BBDD_fashion_boutique[[#This Row],[purchase_date]],"dddd"))</f>
        <v>Miércoles</v>
      </c>
      <c r="O1811" s="1" t="str">
        <f>PROPER(TEXT(BBDD_fashion_boutique[[#This Row],[purchase_date]],"mmmm"))</f>
        <v>Agosto</v>
      </c>
      <c r="P1811" s="4">
        <v>27</v>
      </c>
      <c r="R1811" t="str">
        <f>IF(BBDD_fashion_boutique[[#This Row],[stock_quantity]]&gt;9,"Ok",IF(BBDD_fashion_boutique[[#This Row],[stock_quantity]]=0,"Agotado","Pocas Unidades"))</f>
        <v>Ok</v>
      </c>
      <c r="S1811" s="3" t="str">
        <f>IF(BBDD_fashion_boutique[[#This Row],[customer_rating]]="","No valorado",BBDD_fashion_boutique[[#This Row],[customer_rating]])</f>
        <v>No valorado</v>
      </c>
      <c r="T1811" t="s">
        <v>24</v>
      </c>
      <c r="V1811">
        <f>IF(BBDD_fashion_boutique[[#This Row],[is_returned]]="False",0,1)</f>
        <v>0</v>
      </c>
      <c r="W1811">
        <f>IF(BBDD_fashion_boutique[[#This Row],[is_returned]]="True",0,BBDD_fashion_boutique[[#This Row],[current_price]])</f>
        <v>26.26</v>
      </c>
      <c r="X1811" t="str">
        <f>IF(BBDD_fashion_boutique[[#This Row],[return_reason]]="","No return",BBDD_fashion_boutique[[#This Row],[return_reason]])</f>
        <v>No return</v>
      </c>
      <c r="Y1811">
        <f>IF(IFERROR(VLOOKUP(BBDD_fashion_boutique[[#This Row],[product_id]],A1812:A3987,1,FALSE),0),1,0)</f>
        <v>0</v>
      </c>
    </row>
    <row r="1812" spans="1:25" x14ac:dyDescent="0.3">
      <c r="A1812" t="s">
        <v>1871</v>
      </c>
      <c r="B1812" t="s">
        <v>32</v>
      </c>
      <c r="C1812" t="s">
        <v>54</v>
      </c>
      <c r="D1812" t="s">
        <v>21</v>
      </c>
      <c r="F1812" t="str">
        <f>IF(BBDD_fashion_boutique[[#This Row],[category]]="Accessories","Accesorio",IF(BBDD_fashion_boutique[[#This Row],[size]]="","Desconocido",BBDD_fashion_boutique[[#This Row],[size]]))</f>
        <v>Accesorio</v>
      </c>
      <c r="G1812" t="s">
        <v>40</v>
      </c>
      <c r="H1812" s="2">
        <v>62.58</v>
      </c>
      <c r="I1812">
        <v>8.8000000000000007</v>
      </c>
      <c r="J1812" s="5">
        <f>BBDD_fashion_boutique[[#This Row],[markdown_percentage]]/100</f>
        <v>8.8000000000000009E-2</v>
      </c>
      <c r="K1812" s="2">
        <v>57.07</v>
      </c>
      <c r="L1812" s="2">
        <f>BBDD_fashion_boutique[[#This Row],[original_price]]-BBDD_fashion_boutique[[#This Row],[current_price]]</f>
        <v>5.509999999999998</v>
      </c>
      <c r="M1812" s="1">
        <v>45602</v>
      </c>
      <c r="N1812" s="1" t="str">
        <f>PROPER(TEXT(BBDD_fashion_boutique[[#This Row],[purchase_date]],"dddd"))</f>
        <v>Miércoles</v>
      </c>
      <c r="O1812" s="1" t="str">
        <f>PROPER(TEXT(BBDD_fashion_boutique[[#This Row],[purchase_date]],"mmmm"))</f>
        <v>Noviembre</v>
      </c>
      <c r="P1812" s="4">
        <v>1</v>
      </c>
      <c r="Q1812" s="2">
        <v>1.7</v>
      </c>
      <c r="R1812" t="str">
        <f>IF(BBDD_fashion_boutique[[#This Row],[stock_quantity]]&gt;9,"Ok",IF(BBDD_fashion_boutique[[#This Row],[stock_quantity]]=0,"Agotado","Pocas Unidades"))</f>
        <v>Pocas Unidades</v>
      </c>
      <c r="S1812" s="3">
        <f>IF(BBDD_fashion_boutique[[#This Row],[customer_rating]]="","No valorado",BBDD_fashion_boutique[[#This Row],[customer_rating]])</f>
        <v>1.7</v>
      </c>
      <c r="T1812" t="s">
        <v>24</v>
      </c>
      <c r="V1812">
        <f>IF(BBDD_fashion_boutique[[#This Row],[is_returned]]="False",0,1)</f>
        <v>0</v>
      </c>
      <c r="W1812">
        <f>IF(BBDD_fashion_boutique[[#This Row],[is_returned]]="True",0,BBDD_fashion_boutique[[#This Row],[current_price]])</f>
        <v>57.07</v>
      </c>
      <c r="X1812" t="str">
        <f>IF(BBDD_fashion_boutique[[#This Row],[return_reason]]="","No return",BBDD_fashion_boutique[[#This Row],[return_reason]])</f>
        <v>No return</v>
      </c>
      <c r="Y1812">
        <f>IF(IFERROR(VLOOKUP(BBDD_fashion_boutique[[#This Row],[product_id]],A1813:A3988,1,FALSE),0),1,0)</f>
        <v>0</v>
      </c>
    </row>
    <row r="1813" spans="1:25" x14ac:dyDescent="0.3">
      <c r="A1813" t="s">
        <v>1872</v>
      </c>
      <c r="B1813" t="s">
        <v>35</v>
      </c>
      <c r="C1813" t="s">
        <v>37</v>
      </c>
      <c r="D1813" t="s">
        <v>68</v>
      </c>
      <c r="E1813" t="s">
        <v>45</v>
      </c>
      <c r="F1813" t="str">
        <f>IF(BBDD_fashion_boutique[[#This Row],[category]]="Accessories","Accesorio",IF(BBDD_fashion_boutique[[#This Row],[size]]="","Desconocido",BBDD_fashion_boutique[[#This Row],[size]]))</f>
        <v>S</v>
      </c>
      <c r="G1813" t="s">
        <v>52</v>
      </c>
      <c r="H1813" s="2">
        <v>143.88</v>
      </c>
      <c r="I1813">
        <v>0</v>
      </c>
      <c r="J1813" s="5">
        <f>BBDD_fashion_boutique[[#This Row],[markdown_percentage]]/100</f>
        <v>0</v>
      </c>
      <c r="K1813" s="2">
        <v>143.88</v>
      </c>
      <c r="L1813" s="2">
        <f>BBDD_fashion_boutique[[#This Row],[original_price]]-BBDD_fashion_boutique[[#This Row],[current_price]]</f>
        <v>0</v>
      </c>
      <c r="M1813" s="1">
        <v>45875</v>
      </c>
      <c r="N1813" s="1" t="str">
        <f>PROPER(TEXT(BBDD_fashion_boutique[[#This Row],[purchase_date]],"dddd"))</f>
        <v>Miércoles</v>
      </c>
      <c r="O1813" s="1" t="str">
        <f>PROPER(TEXT(BBDD_fashion_boutique[[#This Row],[purchase_date]],"mmmm"))</f>
        <v>Agosto</v>
      </c>
      <c r="P1813" s="4">
        <v>1</v>
      </c>
      <c r="Q1813" s="2">
        <v>3.1</v>
      </c>
      <c r="R1813" t="str">
        <f>IF(BBDD_fashion_boutique[[#This Row],[stock_quantity]]&gt;9,"Ok",IF(BBDD_fashion_boutique[[#This Row],[stock_quantity]]=0,"Agotado","Pocas Unidades"))</f>
        <v>Pocas Unidades</v>
      </c>
      <c r="S1813" s="3">
        <f>IF(BBDD_fashion_boutique[[#This Row],[customer_rating]]="","No valorado",BBDD_fashion_boutique[[#This Row],[customer_rating]])</f>
        <v>3.1</v>
      </c>
      <c r="T1813" t="s">
        <v>24</v>
      </c>
      <c r="V1813">
        <f>IF(BBDD_fashion_boutique[[#This Row],[is_returned]]="False",0,1)</f>
        <v>0</v>
      </c>
      <c r="W1813">
        <f>IF(BBDD_fashion_boutique[[#This Row],[is_returned]]="True",0,BBDD_fashion_boutique[[#This Row],[current_price]])</f>
        <v>143.88</v>
      </c>
      <c r="X1813" t="str">
        <f>IF(BBDD_fashion_boutique[[#This Row],[return_reason]]="","No return",BBDD_fashion_boutique[[#This Row],[return_reason]])</f>
        <v>No return</v>
      </c>
      <c r="Y1813">
        <f>IF(IFERROR(VLOOKUP(BBDD_fashion_boutique[[#This Row],[product_id]],A1814:A3989,1,FALSE),0),1,0)</f>
        <v>0</v>
      </c>
    </row>
    <row r="1814" spans="1:25" x14ac:dyDescent="0.3">
      <c r="A1814" t="s">
        <v>1873</v>
      </c>
      <c r="B1814" t="s">
        <v>19</v>
      </c>
      <c r="C1814" t="s">
        <v>20</v>
      </c>
      <c r="D1814" t="s">
        <v>21</v>
      </c>
      <c r="E1814" t="s">
        <v>22</v>
      </c>
      <c r="F1814" t="str">
        <f>IF(BBDD_fashion_boutique[[#This Row],[category]]="Accessories","Accesorio",IF(BBDD_fashion_boutique[[#This Row],[size]]="","Desconocido",BBDD_fashion_boutique[[#This Row],[size]]))</f>
        <v>XL</v>
      </c>
      <c r="G1814" t="s">
        <v>50</v>
      </c>
      <c r="H1814" s="2">
        <v>226.24</v>
      </c>
      <c r="I1814">
        <v>1.2</v>
      </c>
      <c r="J1814" s="5">
        <f>BBDD_fashion_boutique[[#This Row],[markdown_percentage]]/100</f>
        <v>1.2E-2</v>
      </c>
      <c r="K1814" s="2">
        <v>223.53</v>
      </c>
      <c r="L1814" s="2">
        <f>BBDD_fashion_boutique[[#This Row],[original_price]]-BBDD_fashion_boutique[[#This Row],[current_price]]</f>
        <v>2.710000000000008</v>
      </c>
      <c r="M1814" s="1">
        <v>45708</v>
      </c>
      <c r="N1814" s="1" t="str">
        <f>PROPER(TEXT(BBDD_fashion_boutique[[#This Row],[purchase_date]],"dddd"))</f>
        <v>Jueves</v>
      </c>
      <c r="O1814" s="1" t="str">
        <f>PROPER(TEXT(BBDD_fashion_boutique[[#This Row],[purchase_date]],"mmmm"))</f>
        <v>Febrero</v>
      </c>
      <c r="P1814" s="4">
        <v>24</v>
      </c>
      <c r="Q1814" s="2">
        <v>4.5</v>
      </c>
      <c r="R1814" t="str">
        <f>IF(BBDD_fashion_boutique[[#This Row],[stock_quantity]]&gt;9,"Ok",IF(BBDD_fashion_boutique[[#This Row],[stock_quantity]]=0,"Agotado","Pocas Unidades"))</f>
        <v>Ok</v>
      </c>
      <c r="S1814" s="3">
        <f>IF(BBDD_fashion_boutique[[#This Row],[customer_rating]]="","No valorado",BBDD_fashion_boutique[[#This Row],[customer_rating]])</f>
        <v>4.5</v>
      </c>
      <c r="T1814" t="s">
        <v>24</v>
      </c>
      <c r="V1814">
        <f>IF(BBDD_fashion_boutique[[#This Row],[is_returned]]="False",0,1)</f>
        <v>0</v>
      </c>
      <c r="W1814">
        <f>IF(BBDD_fashion_boutique[[#This Row],[is_returned]]="True",0,BBDD_fashion_boutique[[#This Row],[current_price]])</f>
        <v>223.53</v>
      </c>
      <c r="X1814" t="str">
        <f>IF(BBDD_fashion_boutique[[#This Row],[return_reason]]="","No return",BBDD_fashion_boutique[[#This Row],[return_reason]])</f>
        <v>No return</v>
      </c>
      <c r="Y1814">
        <f>IF(IFERROR(VLOOKUP(BBDD_fashion_boutique[[#This Row],[product_id]],A1815:A3990,1,FALSE),0),1,0)</f>
        <v>0</v>
      </c>
    </row>
    <row r="1815" spans="1:25" x14ac:dyDescent="0.3">
      <c r="A1815" t="s">
        <v>1874</v>
      </c>
      <c r="B1815" t="s">
        <v>35</v>
      </c>
      <c r="C1815" t="s">
        <v>67</v>
      </c>
      <c r="D1815" t="s">
        <v>21</v>
      </c>
      <c r="E1815" t="s">
        <v>55</v>
      </c>
      <c r="F1815" t="str">
        <f>IF(BBDD_fashion_boutique[[#This Row],[category]]="Accessories","Accesorio",IF(BBDD_fashion_boutique[[#This Row],[size]]="","Desconocido",BBDD_fashion_boutique[[#This Row],[size]]))</f>
        <v>XXL</v>
      </c>
      <c r="G1815" t="s">
        <v>33</v>
      </c>
      <c r="H1815" s="2">
        <v>164.75</v>
      </c>
      <c r="I1815">
        <v>0</v>
      </c>
      <c r="J1815" s="5">
        <f>BBDD_fashion_boutique[[#This Row],[markdown_percentage]]/100</f>
        <v>0</v>
      </c>
      <c r="K1815" s="2">
        <v>164.75</v>
      </c>
      <c r="L1815" s="2">
        <f>BBDD_fashion_boutique[[#This Row],[original_price]]-BBDD_fashion_boutique[[#This Row],[current_price]]</f>
        <v>0</v>
      </c>
      <c r="M1815" s="1">
        <v>45779</v>
      </c>
      <c r="N1815" s="1" t="str">
        <f>PROPER(TEXT(BBDD_fashion_boutique[[#This Row],[purchase_date]],"dddd"))</f>
        <v>Viernes</v>
      </c>
      <c r="O1815" s="1" t="str">
        <f>PROPER(TEXT(BBDD_fashion_boutique[[#This Row],[purchase_date]],"mmmm"))</f>
        <v>Mayo</v>
      </c>
      <c r="P1815" s="4">
        <v>8</v>
      </c>
      <c r="Q1815" s="2">
        <v>3.7</v>
      </c>
      <c r="R1815" t="str">
        <f>IF(BBDD_fashion_boutique[[#This Row],[stock_quantity]]&gt;9,"Ok",IF(BBDD_fashion_boutique[[#This Row],[stock_quantity]]=0,"Agotado","Pocas Unidades"))</f>
        <v>Pocas Unidades</v>
      </c>
      <c r="S1815" s="3">
        <f>IF(BBDD_fashion_boutique[[#This Row],[customer_rating]]="","No valorado",BBDD_fashion_boutique[[#This Row],[customer_rating]])</f>
        <v>3.7</v>
      </c>
      <c r="T1815" t="s">
        <v>24</v>
      </c>
      <c r="V1815">
        <f>IF(BBDD_fashion_boutique[[#This Row],[is_returned]]="False",0,1)</f>
        <v>0</v>
      </c>
      <c r="W1815">
        <f>IF(BBDD_fashion_boutique[[#This Row],[is_returned]]="True",0,BBDD_fashion_boutique[[#This Row],[current_price]])</f>
        <v>164.75</v>
      </c>
      <c r="X1815" t="str">
        <f>IF(BBDD_fashion_boutique[[#This Row],[return_reason]]="","No return",BBDD_fashion_boutique[[#This Row],[return_reason]])</f>
        <v>No return</v>
      </c>
      <c r="Y1815">
        <f>IF(IFERROR(VLOOKUP(BBDD_fashion_boutique[[#This Row],[product_id]],A1816:A3991,1,FALSE),0),1,0)</f>
        <v>0</v>
      </c>
    </row>
    <row r="1816" spans="1:25" x14ac:dyDescent="0.3">
      <c r="A1816" t="s">
        <v>1875</v>
      </c>
      <c r="B1816" t="s">
        <v>44</v>
      </c>
      <c r="C1816" t="s">
        <v>20</v>
      </c>
      <c r="D1816" t="s">
        <v>68</v>
      </c>
      <c r="E1816" t="s">
        <v>29</v>
      </c>
      <c r="F1816" t="str">
        <f>IF(BBDD_fashion_boutique[[#This Row],[category]]="Accessories","Accesorio",IF(BBDD_fashion_boutique[[#This Row],[size]]="","Desconocido",BBDD_fashion_boutique[[#This Row],[size]]))</f>
        <v>L</v>
      </c>
      <c r="G1816" t="s">
        <v>70</v>
      </c>
      <c r="H1816" s="2">
        <v>56.14</v>
      </c>
      <c r="I1816">
        <v>0</v>
      </c>
      <c r="J1816" s="5">
        <f>BBDD_fashion_boutique[[#This Row],[markdown_percentage]]/100</f>
        <v>0</v>
      </c>
      <c r="K1816" s="2">
        <v>56.14</v>
      </c>
      <c r="L1816" s="2">
        <f>BBDD_fashion_boutique[[#This Row],[original_price]]-BBDD_fashion_boutique[[#This Row],[current_price]]</f>
        <v>0</v>
      </c>
      <c r="M1816" s="1">
        <v>45875</v>
      </c>
      <c r="N1816" s="1" t="str">
        <f>PROPER(TEXT(BBDD_fashion_boutique[[#This Row],[purchase_date]],"dddd"))</f>
        <v>Miércoles</v>
      </c>
      <c r="O1816" s="1" t="str">
        <f>PROPER(TEXT(BBDD_fashion_boutique[[#This Row],[purchase_date]],"mmmm"))</f>
        <v>Agosto</v>
      </c>
      <c r="P1816" s="4">
        <v>16</v>
      </c>
      <c r="Q1816" s="2">
        <v>4.3</v>
      </c>
      <c r="R1816" t="str">
        <f>IF(BBDD_fashion_boutique[[#This Row],[stock_quantity]]&gt;9,"Ok",IF(BBDD_fashion_boutique[[#This Row],[stock_quantity]]=0,"Agotado","Pocas Unidades"))</f>
        <v>Ok</v>
      </c>
      <c r="S1816" s="3">
        <f>IF(BBDD_fashion_boutique[[#This Row],[customer_rating]]="","No valorado",BBDD_fashion_boutique[[#This Row],[customer_rating]])</f>
        <v>4.3</v>
      </c>
      <c r="T1816" t="s">
        <v>24</v>
      </c>
      <c r="V1816">
        <f>IF(BBDD_fashion_boutique[[#This Row],[is_returned]]="False",0,1)</f>
        <v>0</v>
      </c>
      <c r="W1816">
        <f>IF(BBDD_fashion_boutique[[#This Row],[is_returned]]="True",0,BBDD_fashion_boutique[[#This Row],[current_price]])</f>
        <v>56.14</v>
      </c>
      <c r="X1816" t="str">
        <f>IF(BBDD_fashion_boutique[[#This Row],[return_reason]]="","No return",BBDD_fashion_boutique[[#This Row],[return_reason]])</f>
        <v>No return</v>
      </c>
      <c r="Y1816">
        <f>IF(IFERROR(VLOOKUP(BBDD_fashion_boutique[[#This Row],[product_id]],A1817:A3992,1,FALSE),0),1,0)</f>
        <v>0</v>
      </c>
    </row>
    <row r="1817" spans="1:25" x14ac:dyDescent="0.3">
      <c r="A1817" t="s">
        <v>1876</v>
      </c>
      <c r="B1817" t="s">
        <v>32</v>
      </c>
      <c r="C1817" t="s">
        <v>54</v>
      </c>
      <c r="D1817" t="s">
        <v>28</v>
      </c>
      <c r="F1817" t="str">
        <f>IF(BBDD_fashion_boutique[[#This Row],[category]]="Accessories","Accesorio",IF(BBDD_fashion_boutique[[#This Row],[size]]="","Desconocido",BBDD_fashion_boutique[[#This Row],[size]]))</f>
        <v>Accesorio</v>
      </c>
      <c r="G1817" t="s">
        <v>23</v>
      </c>
      <c r="H1817" s="2">
        <v>39.96</v>
      </c>
      <c r="I1817">
        <v>0</v>
      </c>
      <c r="J1817" s="5">
        <f>BBDD_fashion_boutique[[#This Row],[markdown_percentage]]/100</f>
        <v>0</v>
      </c>
      <c r="K1817" s="2">
        <v>39.96</v>
      </c>
      <c r="L1817" s="2">
        <f>BBDD_fashion_boutique[[#This Row],[original_price]]-BBDD_fashion_boutique[[#This Row],[current_price]]</f>
        <v>0</v>
      </c>
      <c r="M1817" s="1">
        <v>45875</v>
      </c>
      <c r="N1817" s="1" t="str">
        <f>PROPER(TEXT(BBDD_fashion_boutique[[#This Row],[purchase_date]],"dddd"))</f>
        <v>Miércoles</v>
      </c>
      <c r="O1817" s="1" t="str">
        <f>PROPER(TEXT(BBDD_fashion_boutique[[#This Row],[purchase_date]],"mmmm"))</f>
        <v>Agosto</v>
      </c>
      <c r="P1817" s="4">
        <v>49</v>
      </c>
      <c r="R1817" t="str">
        <f>IF(BBDD_fashion_boutique[[#This Row],[stock_quantity]]&gt;9,"Ok",IF(BBDD_fashion_boutique[[#This Row],[stock_quantity]]=0,"Agotado","Pocas Unidades"))</f>
        <v>Ok</v>
      </c>
      <c r="S1817" s="3" t="str">
        <f>IF(BBDD_fashion_boutique[[#This Row],[customer_rating]]="","No valorado",BBDD_fashion_boutique[[#This Row],[customer_rating]])</f>
        <v>No valorado</v>
      </c>
      <c r="T1817" t="s">
        <v>24</v>
      </c>
      <c r="V1817">
        <f>IF(BBDD_fashion_boutique[[#This Row],[is_returned]]="False",0,1)</f>
        <v>0</v>
      </c>
      <c r="W1817">
        <f>IF(BBDD_fashion_boutique[[#This Row],[is_returned]]="True",0,BBDD_fashion_boutique[[#This Row],[current_price]])</f>
        <v>39.96</v>
      </c>
      <c r="X1817" t="str">
        <f>IF(BBDD_fashion_boutique[[#This Row],[return_reason]]="","No return",BBDD_fashion_boutique[[#This Row],[return_reason]])</f>
        <v>No return</v>
      </c>
      <c r="Y1817">
        <f>IF(IFERROR(VLOOKUP(BBDD_fashion_boutique[[#This Row],[product_id]],A1818:A3993,1,FALSE),0),1,0)</f>
        <v>0</v>
      </c>
    </row>
    <row r="1818" spans="1:25" x14ac:dyDescent="0.3">
      <c r="A1818" t="s">
        <v>1877</v>
      </c>
      <c r="B1818" t="s">
        <v>44</v>
      </c>
      <c r="C1818" t="s">
        <v>59</v>
      </c>
      <c r="D1818" t="s">
        <v>68</v>
      </c>
      <c r="E1818" t="s">
        <v>29</v>
      </c>
      <c r="F1818" t="str">
        <f>IF(BBDD_fashion_boutique[[#This Row],[category]]="Accessories","Accesorio",IF(BBDD_fashion_boutique[[#This Row],[size]]="","Desconocido",BBDD_fashion_boutique[[#This Row],[size]]))</f>
        <v>L</v>
      </c>
      <c r="G1818" t="s">
        <v>70</v>
      </c>
      <c r="H1818" s="2">
        <v>26.5</v>
      </c>
      <c r="I1818">
        <v>57.9</v>
      </c>
      <c r="J1818" s="5">
        <f>BBDD_fashion_boutique[[#This Row],[markdown_percentage]]/100</f>
        <v>0.57899999999999996</v>
      </c>
      <c r="K1818" s="2">
        <v>11.16</v>
      </c>
      <c r="L1818" s="2">
        <f>BBDD_fashion_boutique[[#This Row],[original_price]]-BBDD_fashion_boutique[[#This Row],[current_price]]</f>
        <v>15.34</v>
      </c>
      <c r="M1818" s="1">
        <v>45875</v>
      </c>
      <c r="N1818" s="1" t="str">
        <f>PROPER(TEXT(BBDD_fashion_boutique[[#This Row],[purchase_date]],"dddd"))</f>
        <v>Miércoles</v>
      </c>
      <c r="O1818" s="1" t="str">
        <f>PROPER(TEXT(BBDD_fashion_boutique[[#This Row],[purchase_date]],"mmmm"))</f>
        <v>Agosto</v>
      </c>
      <c r="P1818" s="4">
        <v>8</v>
      </c>
      <c r="Q1818" s="2">
        <v>1.7</v>
      </c>
      <c r="R1818" t="str">
        <f>IF(BBDD_fashion_boutique[[#This Row],[stock_quantity]]&gt;9,"Ok",IF(BBDD_fashion_boutique[[#This Row],[stock_quantity]]=0,"Agotado","Pocas Unidades"))</f>
        <v>Pocas Unidades</v>
      </c>
      <c r="S1818" s="3">
        <f>IF(BBDD_fashion_boutique[[#This Row],[customer_rating]]="","No valorado",BBDD_fashion_boutique[[#This Row],[customer_rating]])</f>
        <v>1.7</v>
      </c>
      <c r="T1818" t="s">
        <v>24</v>
      </c>
      <c r="V1818">
        <f>IF(BBDD_fashion_boutique[[#This Row],[is_returned]]="False",0,1)</f>
        <v>0</v>
      </c>
      <c r="W1818">
        <f>IF(BBDD_fashion_boutique[[#This Row],[is_returned]]="True",0,BBDD_fashion_boutique[[#This Row],[current_price]])</f>
        <v>11.16</v>
      </c>
      <c r="X1818" t="str">
        <f>IF(BBDD_fashion_boutique[[#This Row],[return_reason]]="","No return",BBDD_fashion_boutique[[#This Row],[return_reason]])</f>
        <v>No return</v>
      </c>
      <c r="Y1818">
        <f>IF(IFERROR(VLOOKUP(BBDD_fashion_boutique[[#This Row],[product_id]],A1819:A3994,1,FALSE),0),1,0)</f>
        <v>0</v>
      </c>
    </row>
    <row r="1819" spans="1:25" x14ac:dyDescent="0.3">
      <c r="A1819" t="s">
        <v>1878</v>
      </c>
      <c r="B1819" t="s">
        <v>35</v>
      </c>
      <c r="C1819" t="s">
        <v>54</v>
      </c>
      <c r="D1819" t="s">
        <v>21</v>
      </c>
      <c r="E1819" t="s">
        <v>55</v>
      </c>
      <c r="F1819" t="str">
        <f>IF(BBDD_fashion_boutique[[#This Row],[category]]="Accessories","Accesorio",IF(BBDD_fashion_boutique[[#This Row],[size]]="","Desconocido",BBDD_fashion_boutique[[#This Row],[size]]))</f>
        <v>XXL</v>
      </c>
      <c r="G1819" t="s">
        <v>76</v>
      </c>
      <c r="H1819" s="2">
        <v>118.53</v>
      </c>
      <c r="I1819">
        <v>55</v>
      </c>
      <c r="J1819" s="5">
        <f>BBDD_fashion_boutique[[#This Row],[markdown_percentage]]/100</f>
        <v>0.55000000000000004</v>
      </c>
      <c r="K1819" s="2">
        <v>53.34</v>
      </c>
      <c r="L1819" s="2">
        <f>BBDD_fashion_boutique[[#This Row],[original_price]]-BBDD_fashion_boutique[[#This Row],[current_price]]</f>
        <v>65.19</v>
      </c>
      <c r="M1819" s="1">
        <v>45772</v>
      </c>
      <c r="N1819" s="1" t="str">
        <f>PROPER(TEXT(BBDD_fashion_boutique[[#This Row],[purchase_date]],"dddd"))</f>
        <v>Viernes</v>
      </c>
      <c r="O1819" s="1" t="str">
        <f>PROPER(TEXT(BBDD_fashion_boutique[[#This Row],[purchase_date]],"mmmm"))</f>
        <v>Abril</v>
      </c>
      <c r="P1819" s="4">
        <v>2</v>
      </c>
      <c r="Q1819" s="2">
        <v>4.9000000000000004</v>
      </c>
      <c r="R1819" t="str">
        <f>IF(BBDD_fashion_boutique[[#This Row],[stock_quantity]]&gt;9,"Ok",IF(BBDD_fashion_boutique[[#This Row],[stock_quantity]]=0,"Agotado","Pocas Unidades"))</f>
        <v>Pocas Unidades</v>
      </c>
      <c r="S1819" s="3">
        <f>IF(BBDD_fashion_boutique[[#This Row],[customer_rating]]="","No valorado",BBDD_fashion_boutique[[#This Row],[customer_rating]])</f>
        <v>4.9000000000000004</v>
      </c>
      <c r="T1819" t="s">
        <v>24</v>
      </c>
      <c r="V1819">
        <f>IF(BBDD_fashion_boutique[[#This Row],[is_returned]]="False",0,1)</f>
        <v>0</v>
      </c>
      <c r="W1819">
        <f>IF(BBDD_fashion_boutique[[#This Row],[is_returned]]="True",0,BBDD_fashion_boutique[[#This Row],[current_price]])</f>
        <v>53.34</v>
      </c>
      <c r="X1819" t="str">
        <f>IF(BBDD_fashion_boutique[[#This Row],[return_reason]]="","No return",BBDD_fashion_boutique[[#This Row],[return_reason]])</f>
        <v>No return</v>
      </c>
      <c r="Y1819">
        <f>IF(IFERROR(VLOOKUP(BBDD_fashion_boutique[[#This Row],[product_id]],A1820:A3995,1,FALSE),0),1,0)</f>
        <v>0</v>
      </c>
    </row>
    <row r="1820" spans="1:25" x14ac:dyDescent="0.3">
      <c r="A1820" t="s">
        <v>1879</v>
      </c>
      <c r="B1820" t="s">
        <v>48</v>
      </c>
      <c r="C1820" t="s">
        <v>49</v>
      </c>
      <c r="D1820" t="s">
        <v>68</v>
      </c>
      <c r="E1820" t="s">
        <v>22</v>
      </c>
      <c r="F1820" t="str">
        <f>IF(BBDD_fashion_boutique[[#This Row],[category]]="Accessories","Accesorio",IF(BBDD_fashion_boutique[[#This Row],[size]]="","Desconocido",BBDD_fashion_boutique[[#This Row],[size]]))</f>
        <v>XL</v>
      </c>
      <c r="G1820" t="s">
        <v>72</v>
      </c>
      <c r="H1820" s="2">
        <v>58.08</v>
      </c>
      <c r="I1820">
        <v>0</v>
      </c>
      <c r="J1820" s="5">
        <f>BBDD_fashion_boutique[[#This Row],[markdown_percentage]]/100</f>
        <v>0</v>
      </c>
      <c r="K1820" s="2">
        <v>58.08</v>
      </c>
      <c r="L1820" s="2">
        <f>BBDD_fashion_boutique[[#This Row],[original_price]]-BBDD_fashion_boutique[[#This Row],[current_price]]</f>
        <v>0</v>
      </c>
      <c r="M1820" s="1">
        <v>45875</v>
      </c>
      <c r="N1820" s="1" t="str">
        <f>PROPER(TEXT(BBDD_fashion_boutique[[#This Row],[purchase_date]],"dddd"))</f>
        <v>Miércoles</v>
      </c>
      <c r="O1820" s="1" t="str">
        <f>PROPER(TEXT(BBDD_fashion_boutique[[#This Row],[purchase_date]],"mmmm"))</f>
        <v>Agosto</v>
      </c>
      <c r="P1820" s="4">
        <v>42</v>
      </c>
      <c r="Q1820" s="2">
        <v>1.6</v>
      </c>
      <c r="R1820" t="str">
        <f>IF(BBDD_fashion_boutique[[#This Row],[stock_quantity]]&gt;9,"Ok",IF(BBDD_fashion_boutique[[#This Row],[stock_quantity]]=0,"Agotado","Pocas Unidades"))</f>
        <v>Ok</v>
      </c>
      <c r="S1820" s="3">
        <f>IF(BBDD_fashion_boutique[[#This Row],[customer_rating]]="","No valorado",BBDD_fashion_boutique[[#This Row],[customer_rating]])</f>
        <v>1.6</v>
      </c>
      <c r="T1820" t="s">
        <v>24</v>
      </c>
      <c r="V1820">
        <f>IF(BBDD_fashion_boutique[[#This Row],[is_returned]]="False",0,1)</f>
        <v>0</v>
      </c>
      <c r="W1820">
        <f>IF(BBDD_fashion_boutique[[#This Row],[is_returned]]="True",0,BBDD_fashion_boutique[[#This Row],[current_price]])</f>
        <v>58.08</v>
      </c>
      <c r="X1820" t="str">
        <f>IF(BBDD_fashion_boutique[[#This Row],[return_reason]]="","No return",BBDD_fashion_boutique[[#This Row],[return_reason]])</f>
        <v>No return</v>
      </c>
      <c r="Y1820">
        <f>IF(IFERROR(VLOOKUP(BBDD_fashion_boutique[[#This Row],[product_id]],A1821:A3996,1,FALSE),0),1,0)</f>
        <v>0</v>
      </c>
    </row>
    <row r="1821" spans="1:25" x14ac:dyDescent="0.3">
      <c r="A1821" t="s">
        <v>1880</v>
      </c>
      <c r="B1821" t="s">
        <v>35</v>
      </c>
      <c r="C1821" t="s">
        <v>54</v>
      </c>
      <c r="D1821" t="s">
        <v>68</v>
      </c>
      <c r="E1821" t="s">
        <v>45</v>
      </c>
      <c r="F1821" t="str">
        <f>IF(BBDD_fashion_boutique[[#This Row],[category]]="Accessories","Accesorio",IF(BBDD_fashion_boutique[[#This Row],[size]]="","Desconocido",BBDD_fashion_boutique[[#This Row],[size]]))</f>
        <v>S</v>
      </c>
      <c r="G1821" t="s">
        <v>70</v>
      </c>
      <c r="H1821" s="2">
        <v>138.85</v>
      </c>
      <c r="I1821">
        <v>15</v>
      </c>
      <c r="J1821" s="5">
        <f>BBDD_fashion_boutique[[#This Row],[markdown_percentage]]/100</f>
        <v>0.15</v>
      </c>
      <c r="K1821" s="2">
        <v>118.02</v>
      </c>
      <c r="L1821" s="2">
        <f>BBDD_fashion_boutique[[#This Row],[original_price]]-BBDD_fashion_boutique[[#This Row],[current_price]]</f>
        <v>20.83</v>
      </c>
      <c r="M1821" s="1">
        <v>45875</v>
      </c>
      <c r="N1821" s="1" t="str">
        <f>PROPER(TEXT(BBDD_fashion_boutique[[#This Row],[purchase_date]],"dddd"))</f>
        <v>Miércoles</v>
      </c>
      <c r="O1821" s="1" t="str">
        <f>PROPER(TEXT(BBDD_fashion_boutique[[#This Row],[purchase_date]],"mmmm"))</f>
        <v>Agosto</v>
      </c>
      <c r="P1821" s="4">
        <v>17</v>
      </c>
      <c r="R1821" t="str">
        <f>IF(BBDD_fashion_boutique[[#This Row],[stock_quantity]]&gt;9,"Ok",IF(BBDD_fashion_boutique[[#This Row],[stock_quantity]]=0,"Agotado","Pocas Unidades"))</f>
        <v>Ok</v>
      </c>
      <c r="S1821" s="3" t="str">
        <f>IF(BBDD_fashion_boutique[[#This Row],[customer_rating]]="","No valorado",BBDD_fashion_boutique[[#This Row],[customer_rating]])</f>
        <v>No valorado</v>
      </c>
      <c r="T1821" t="s">
        <v>24</v>
      </c>
      <c r="V1821">
        <f>IF(BBDD_fashion_boutique[[#This Row],[is_returned]]="False",0,1)</f>
        <v>0</v>
      </c>
      <c r="W1821">
        <f>IF(BBDD_fashion_boutique[[#This Row],[is_returned]]="True",0,BBDD_fashion_boutique[[#This Row],[current_price]])</f>
        <v>118.02</v>
      </c>
      <c r="X1821" t="str">
        <f>IF(BBDD_fashion_boutique[[#This Row],[return_reason]]="","No return",BBDD_fashion_boutique[[#This Row],[return_reason]])</f>
        <v>No return</v>
      </c>
      <c r="Y1821">
        <f>IF(IFERROR(VLOOKUP(BBDD_fashion_boutique[[#This Row],[product_id]],A1822:A3997,1,FALSE),0),1,0)</f>
        <v>0</v>
      </c>
    </row>
    <row r="1822" spans="1:25" x14ac:dyDescent="0.3">
      <c r="A1822" t="s">
        <v>1881</v>
      </c>
      <c r="B1822" t="s">
        <v>44</v>
      </c>
      <c r="C1822" t="s">
        <v>37</v>
      </c>
      <c r="D1822" t="s">
        <v>68</v>
      </c>
      <c r="E1822" t="s">
        <v>61</v>
      </c>
      <c r="F1822" t="str">
        <f>IF(BBDD_fashion_boutique[[#This Row],[category]]="Accessories","Accesorio",IF(BBDD_fashion_boutique[[#This Row],[size]]="","Desconocido",BBDD_fashion_boutique[[#This Row],[size]]))</f>
        <v>XS</v>
      </c>
      <c r="G1822" t="s">
        <v>46</v>
      </c>
      <c r="H1822" s="2">
        <v>73.33</v>
      </c>
      <c r="I1822">
        <v>0</v>
      </c>
      <c r="J1822" s="5">
        <f>BBDD_fashion_boutique[[#This Row],[markdown_percentage]]/100</f>
        <v>0</v>
      </c>
      <c r="K1822" s="2">
        <v>73.33</v>
      </c>
      <c r="L1822" s="2">
        <f>BBDD_fashion_boutique[[#This Row],[original_price]]-BBDD_fashion_boutique[[#This Row],[current_price]]</f>
        <v>0</v>
      </c>
      <c r="M1822" s="1">
        <v>45875</v>
      </c>
      <c r="N1822" s="1" t="str">
        <f>PROPER(TEXT(BBDD_fashion_boutique[[#This Row],[purchase_date]],"dddd"))</f>
        <v>Miércoles</v>
      </c>
      <c r="O1822" s="1" t="str">
        <f>PROPER(TEXT(BBDD_fashion_boutique[[#This Row],[purchase_date]],"mmmm"))</f>
        <v>Agosto</v>
      </c>
      <c r="P1822" s="4">
        <v>3</v>
      </c>
      <c r="Q1822" s="2">
        <v>3.1</v>
      </c>
      <c r="R1822" t="str">
        <f>IF(BBDD_fashion_boutique[[#This Row],[stock_quantity]]&gt;9,"Ok",IF(BBDD_fashion_boutique[[#This Row],[stock_quantity]]=0,"Agotado","Pocas Unidades"))</f>
        <v>Pocas Unidades</v>
      </c>
      <c r="S1822" s="3">
        <f>IF(BBDD_fashion_boutique[[#This Row],[customer_rating]]="","No valorado",BBDD_fashion_boutique[[#This Row],[customer_rating]])</f>
        <v>3.1</v>
      </c>
      <c r="T1822" t="s">
        <v>41</v>
      </c>
      <c r="U1822" t="s">
        <v>121</v>
      </c>
      <c r="V1822">
        <f>IF(BBDD_fashion_boutique[[#This Row],[is_returned]]="False",0,1)</f>
        <v>1</v>
      </c>
      <c r="W1822">
        <f>IF(BBDD_fashion_boutique[[#This Row],[is_returned]]="True",0,BBDD_fashion_boutique[[#This Row],[current_price]])</f>
        <v>0</v>
      </c>
      <c r="X1822" t="str">
        <f>IF(BBDD_fashion_boutique[[#This Row],[return_reason]]="","No return",BBDD_fashion_boutique[[#This Row],[return_reason]])</f>
        <v>Changed Mind</v>
      </c>
      <c r="Y1822">
        <f>IF(IFERROR(VLOOKUP(BBDD_fashion_boutique[[#This Row],[product_id]],A1823:A3998,1,FALSE),0),1,0)</f>
        <v>0</v>
      </c>
    </row>
    <row r="1823" spans="1:25" x14ac:dyDescent="0.3">
      <c r="A1823" t="s">
        <v>1882</v>
      </c>
      <c r="B1823" t="s">
        <v>19</v>
      </c>
      <c r="C1823" t="s">
        <v>81</v>
      </c>
      <c r="D1823" t="s">
        <v>28</v>
      </c>
      <c r="E1823" t="s">
        <v>45</v>
      </c>
      <c r="F1823" t="str">
        <f>IF(BBDD_fashion_boutique[[#This Row],[category]]="Accessories","Accesorio",IF(BBDD_fashion_boutique[[#This Row],[size]]="","Desconocido",BBDD_fashion_boutique[[#This Row],[size]]))</f>
        <v>S</v>
      </c>
      <c r="G1823" t="s">
        <v>52</v>
      </c>
      <c r="H1823" s="2">
        <v>167.73</v>
      </c>
      <c r="I1823">
        <v>0</v>
      </c>
      <c r="J1823" s="5">
        <f>BBDD_fashion_boutique[[#This Row],[markdown_percentage]]/100</f>
        <v>0</v>
      </c>
      <c r="K1823" s="2">
        <v>167.73</v>
      </c>
      <c r="L1823" s="2">
        <f>BBDD_fashion_boutique[[#This Row],[original_price]]-BBDD_fashion_boutique[[#This Row],[current_price]]</f>
        <v>0</v>
      </c>
      <c r="M1823" s="1">
        <v>45875</v>
      </c>
      <c r="N1823" s="1" t="str">
        <f>PROPER(TEXT(BBDD_fashion_boutique[[#This Row],[purchase_date]],"dddd"))</f>
        <v>Miércoles</v>
      </c>
      <c r="O1823" s="1" t="str">
        <f>PROPER(TEXT(BBDD_fashion_boutique[[#This Row],[purchase_date]],"mmmm"))</f>
        <v>Agosto</v>
      </c>
      <c r="P1823" s="4">
        <v>4</v>
      </c>
      <c r="Q1823" s="2">
        <v>4.9000000000000004</v>
      </c>
      <c r="R1823" t="str">
        <f>IF(BBDD_fashion_boutique[[#This Row],[stock_quantity]]&gt;9,"Ok",IF(BBDD_fashion_boutique[[#This Row],[stock_quantity]]=0,"Agotado","Pocas Unidades"))</f>
        <v>Pocas Unidades</v>
      </c>
      <c r="S1823" s="3">
        <f>IF(BBDD_fashion_boutique[[#This Row],[customer_rating]]="","No valorado",BBDD_fashion_boutique[[#This Row],[customer_rating]])</f>
        <v>4.9000000000000004</v>
      </c>
      <c r="T1823" t="s">
        <v>24</v>
      </c>
      <c r="V1823">
        <f>IF(BBDD_fashion_boutique[[#This Row],[is_returned]]="False",0,1)</f>
        <v>0</v>
      </c>
      <c r="W1823">
        <f>IF(BBDD_fashion_boutique[[#This Row],[is_returned]]="True",0,BBDD_fashion_boutique[[#This Row],[current_price]])</f>
        <v>167.73</v>
      </c>
      <c r="X1823" t="str">
        <f>IF(BBDD_fashion_boutique[[#This Row],[return_reason]]="","No return",BBDD_fashion_boutique[[#This Row],[return_reason]])</f>
        <v>No return</v>
      </c>
      <c r="Y1823">
        <f>IF(IFERROR(VLOOKUP(BBDD_fashion_boutique[[#This Row],[product_id]],A1824:A3999,1,FALSE),0),1,0)</f>
        <v>0</v>
      </c>
    </row>
    <row r="1824" spans="1:25" x14ac:dyDescent="0.3">
      <c r="A1824" t="s">
        <v>1883</v>
      </c>
      <c r="B1824" t="s">
        <v>26</v>
      </c>
      <c r="C1824" t="s">
        <v>54</v>
      </c>
      <c r="D1824" t="s">
        <v>28</v>
      </c>
      <c r="E1824" t="s">
        <v>55</v>
      </c>
      <c r="F1824" t="str">
        <f>IF(BBDD_fashion_boutique[[#This Row],[category]]="Accessories","Accesorio",IF(BBDD_fashion_boutique[[#This Row],[size]]="","Desconocido",BBDD_fashion_boutique[[#This Row],[size]]))</f>
        <v>XXL</v>
      </c>
      <c r="G1824" t="s">
        <v>33</v>
      </c>
      <c r="H1824" s="2">
        <v>79.47</v>
      </c>
      <c r="I1824">
        <v>0</v>
      </c>
      <c r="J1824" s="5">
        <f>BBDD_fashion_boutique[[#This Row],[markdown_percentage]]/100</f>
        <v>0</v>
      </c>
      <c r="K1824" s="2">
        <v>79.47</v>
      </c>
      <c r="L1824" s="2">
        <f>BBDD_fashion_boutique[[#This Row],[original_price]]-BBDD_fashion_boutique[[#This Row],[current_price]]</f>
        <v>0</v>
      </c>
      <c r="M1824" s="1">
        <v>45875</v>
      </c>
      <c r="N1824" s="1" t="str">
        <f>PROPER(TEXT(BBDD_fashion_boutique[[#This Row],[purchase_date]],"dddd"))</f>
        <v>Miércoles</v>
      </c>
      <c r="O1824" s="1" t="str">
        <f>PROPER(TEXT(BBDD_fashion_boutique[[#This Row],[purchase_date]],"mmmm"))</f>
        <v>Agosto</v>
      </c>
      <c r="P1824" s="4">
        <v>31</v>
      </c>
      <c r="Q1824" s="2">
        <v>3.7</v>
      </c>
      <c r="R1824" t="str">
        <f>IF(BBDD_fashion_boutique[[#This Row],[stock_quantity]]&gt;9,"Ok",IF(BBDD_fashion_boutique[[#This Row],[stock_quantity]]=0,"Agotado","Pocas Unidades"))</f>
        <v>Ok</v>
      </c>
      <c r="S1824" s="3">
        <f>IF(BBDD_fashion_boutique[[#This Row],[customer_rating]]="","No valorado",BBDD_fashion_boutique[[#This Row],[customer_rating]])</f>
        <v>3.7</v>
      </c>
      <c r="T1824" t="s">
        <v>24</v>
      </c>
      <c r="V1824">
        <f>IF(BBDD_fashion_boutique[[#This Row],[is_returned]]="False",0,1)</f>
        <v>0</v>
      </c>
      <c r="W1824">
        <f>IF(BBDD_fashion_boutique[[#This Row],[is_returned]]="True",0,BBDD_fashion_boutique[[#This Row],[current_price]])</f>
        <v>79.47</v>
      </c>
      <c r="X1824" t="str">
        <f>IF(BBDD_fashion_boutique[[#This Row],[return_reason]]="","No return",BBDD_fashion_boutique[[#This Row],[return_reason]])</f>
        <v>No return</v>
      </c>
      <c r="Y1824">
        <f>IF(IFERROR(VLOOKUP(BBDD_fashion_boutique[[#This Row],[product_id]],A1825:A4000,1,FALSE),0),1,0)</f>
        <v>0</v>
      </c>
    </row>
    <row r="1825" spans="1:25" x14ac:dyDescent="0.3">
      <c r="A1825" t="s">
        <v>1884</v>
      </c>
      <c r="B1825" t="s">
        <v>48</v>
      </c>
      <c r="C1825" t="s">
        <v>81</v>
      </c>
      <c r="D1825" t="s">
        <v>68</v>
      </c>
      <c r="E1825" t="s">
        <v>22</v>
      </c>
      <c r="F1825" t="str">
        <f>IF(BBDD_fashion_boutique[[#This Row],[category]]="Accessories","Accesorio",IF(BBDD_fashion_boutique[[#This Row],[size]]="","Desconocido",BBDD_fashion_boutique[[#This Row],[size]]))</f>
        <v>XL</v>
      </c>
      <c r="G1825" t="s">
        <v>40</v>
      </c>
      <c r="H1825" s="2">
        <v>69.12</v>
      </c>
      <c r="I1825">
        <v>49.4</v>
      </c>
      <c r="J1825" s="5">
        <f>BBDD_fashion_boutique[[#This Row],[markdown_percentage]]/100</f>
        <v>0.49399999999999999</v>
      </c>
      <c r="K1825" s="2">
        <v>34.97</v>
      </c>
      <c r="L1825" s="2">
        <f>BBDD_fashion_boutique[[#This Row],[original_price]]-BBDD_fashion_boutique[[#This Row],[current_price]]</f>
        <v>34.150000000000006</v>
      </c>
      <c r="M1825" s="1">
        <v>45875</v>
      </c>
      <c r="N1825" s="1" t="str">
        <f>PROPER(TEXT(BBDD_fashion_boutique[[#This Row],[purchase_date]],"dddd"))</f>
        <v>Miércoles</v>
      </c>
      <c r="O1825" s="1" t="str">
        <f>PROPER(TEXT(BBDD_fashion_boutique[[#This Row],[purchase_date]],"mmmm"))</f>
        <v>Agosto</v>
      </c>
      <c r="P1825" s="4">
        <v>45</v>
      </c>
      <c r="Q1825" s="2">
        <v>2.2999999999999998</v>
      </c>
      <c r="R1825" t="str">
        <f>IF(BBDD_fashion_boutique[[#This Row],[stock_quantity]]&gt;9,"Ok",IF(BBDD_fashion_boutique[[#This Row],[stock_quantity]]=0,"Agotado","Pocas Unidades"))</f>
        <v>Ok</v>
      </c>
      <c r="S1825" s="3">
        <f>IF(BBDD_fashion_boutique[[#This Row],[customer_rating]]="","No valorado",BBDD_fashion_boutique[[#This Row],[customer_rating]])</f>
        <v>2.2999999999999998</v>
      </c>
      <c r="T1825" t="s">
        <v>24</v>
      </c>
      <c r="V1825">
        <f>IF(BBDD_fashion_boutique[[#This Row],[is_returned]]="False",0,1)</f>
        <v>0</v>
      </c>
      <c r="W1825">
        <f>IF(BBDD_fashion_boutique[[#This Row],[is_returned]]="True",0,BBDD_fashion_boutique[[#This Row],[current_price]])</f>
        <v>34.97</v>
      </c>
      <c r="X1825" t="str">
        <f>IF(BBDD_fashion_boutique[[#This Row],[return_reason]]="","No return",BBDD_fashion_boutique[[#This Row],[return_reason]])</f>
        <v>No return</v>
      </c>
      <c r="Y1825">
        <f>IF(IFERROR(VLOOKUP(BBDD_fashion_boutique[[#This Row],[product_id]],A1826:A4001,1,FALSE),0),1,0)</f>
        <v>0</v>
      </c>
    </row>
    <row r="1826" spans="1:25" x14ac:dyDescent="0.3">
      <c r="A1826" t="s">
        <v>1885</v>
      </c>
      <c r="B1826" t="s">
        <v>44</v>
      </c>
      <c r="C1826" t="s">
        <v>49</v>
      </c>
      <c r="D1826" t="s">
        <v>68</v>
      </c>
      <c r="E1826" t="s">
        <v>45</v>
      </c>
      <c r="F1826" t="str">
        <f>IF(BBDD_fashion_boutique[[#This Row],[category]]="Accessories","Accesorio",IF(BBDD_fashion_boutique[[#This Row],[size]]="","Desconocido",BBDD_fashion_boutique[[#This Row],[size]]))</f>
        <v>S</v>
      </c>
      <c r="G1826" t="s">
        <v>72</v>
      </c>
      <c r="H1826" s="2">
        <v>56.18</v>
      </c>
      <c r="I1826">
        <v>6.7</v>
      </c>
      <c r="J1826" s="5">
        <f>BBDD_fashion_boutique[[#This Row],[markdown_percentage]]/100</f>
        <v>6.7000000000000004E-2</v>
      </c>
      <c r="K1826" s="2">
        <v>52.42</v>
      </c>
      <c r="L1826" s="2">
        <f>BBDD_fashion_boutique[[#This Row],[original_price]]-BBDD_fashion_boutique[[#This Row],[current_price]]</f>
        <v>3.759999999999998</v>
      </c>
      <c r="M1826" s="1">
        <v>45875</v>
      </c>
      <c r="N1826" s="1" t="str">
        <f>PROPER(TEXT(BBDD_fashion_boutique[[#This Row],[purchase_date]],"dddd"))</f>
        <v>Miércoles</v>
      </c>
      <c r="O1826" s="1" t="str">
        <f>PROPER(TEXT(BBDD_fashion_boutique[[#This Row],[purchase_date]],"mmmm"))</f>
        <v>Agosto</v>
      </c>
      <c r="P1826" s="4">
        <v>35</v>
      </c>
      <c r="Q1826" s="2">
        <v>2.6</v>
      </c>
      <c r="R1826" t="str">
        <f>IF(BBDD_fashion_boutique[[#This Row],[stock_quantity]]&gt;9,"Ok",IF(BBDD_fashion_boutique[[#This Row],[stock_quantity]]=0,"Agotado","Pocas Unidades"))</f>
        <v>Ok</v>
      </c>
      <c r="S1826" s="3">
        <f>IF(BBDD_fashion_boutique[[#This Row],[customer_rating]]="","No valorado",BBDD_fashion_boutique[[#This Row],[customer_rating]])</f>
        <v>2.6</v>
      </c>
      <c r="T1826" t="s">
        <v>41</v>
      </c>
      <c r="U1826" t="s">
        <v>121</v>
      </c>
      <c r="V1826">
        <f>IF(BBDD_fashion_boutique[[#This Row],[is_returned]]="False",0,1)</f>
        <v>1</v>
      </c>
      <c r="W1826">
        <f>IF(BBDD_fashion_boutique[[#This Row],[is_returned]]="True",0,BBDD_fashion_boutique[[#This Row],[current_price]])</f>
        <v>0</v>
      </c>
      <c r="X1826" t="str">
        <f>IF(BBDD_fashion_boutique[[#This Row],[return_reason]]="","No return",BBDD_fashion_boutique[[#This Row],[return_reason]])</f>
        <v>Changed Mind</v>
      </c>
      <c r="Y1826">
        <f>IF(IFERROR(VLOOKUP(BBDD_fashion_boutique[[#This Row],[product_id]],A1827:A4002,1,FALSE),0),1,0)</f>
        <v>0</v>
      </c>
    </row>
    <row r="1827" spans="1:25" x14ac:dyDescent="0.3">
      <c r="A1827" t="s">
        <v>1886</v>
      </c>
      <c r="B1827" t="s">
        <v>26</v>
      </c>
      <c r="C1827" t="s">
        <v>67</v>
      </c>
      <c r="D1827" t="s">
        <v>28</v>
      </c>
      <c r="E1827" t="s">
        <v>61</v>
      </c>
      <c r="F1827" t="str">
        <f>IF(BBDD_fashion_boutique[[#This Row],[category]]="Accessories","Accesorio",IF(BBDD_fashion_boutique[[#This Row],[size]]="","Desconocido",BBDD_fashion_boutique[[#This Row],[size]]))</f>
        <v>XS</v>
      </c>
      <c r="G1827" t="s">
        <v>46</v>
      </c>
      <c r="H1827" s="2">
        <v>51.28</v>
      </c>
      <c r="I1827">
        <v>48.3</v>
      </c>
      <c r="J1827" s="5">
        <f>BBDD_fashion_boutique[[#This Row],[markdown_percentage]]/100</f>
        <v>0.48299999999999998</v>
      </c>
      <c r="K1827" s="2">
        <v>26.51</v>
      </c>
      <c r="L1827" s="2">
        <f>BBDD_fashion_boutique[[#This Row],[original_price]]-BBDD_fashion_boutique[[#This Row],[current_price]]</f>
        <v>24.77</v>
      </c>
      <c r="M1827" s="1">
        <v>45875</v>
      </c>
      <c r="N1827" s="1" t="str">
        <f>PROPER(TEXT(BBDD_fashion_boutique[[#This Row],[purchase_date]],"dddd"))</f>
        <v>Miércoles</v>
      </c>
      <c r="O1827" s="1" t="str">
        <f>PROPER(TEXT(BBDD_fashion_boutique[[#This Row],[purchase_date]],"mmmm"))</f>
        <v>Agosto</v>
      </c>
      <c r="P1827" s="4">
        <v>9</v>
      </c>
      <c r="Q1827" s="2">
        <v>1.1000000000000001</v>
      </c>
      <c r="R1827" t="str">
        <f>IF(BBDD_fashion_boutique[[#This Row],[stock_quantity]]&gt;9,"Ok",IF(BBDD_fashion_boutique[[#This Row],[stock_quantity]]=0,"Agotado","Pocas Unidades"))</f>
        <v>Pocas Unidades</v>
      </c>
      <c r="S1827" s="3">
        <f>IF(BBDD_fashion_boutique[[#This Row],[customer_rating]]="","No valorado",BBDD_fashion_boutique[[#This Row],[customer_rating]])</f>
        <v>1.1000000000000001</v>
      </c>
      <c r="T1827" t="s">
        <v>41</v>
      </c>
      <c r="U1827" t="s">
        <v>121</v>
      </c>
      <c r="V1827">
        <f>IF(BBDD_fashion_boutique[[#This Row],[is_returned]]="False",0,1)</f>
        <v>1</v>
      </c>
      <c r="W1827">
        <f>IF(BBDD_fashion_boutique[[#This Row],[is_returned]]="True",0,BBDD_fashion_boutique[[#This Row],[current_price]])</f>
        <v>0</v>
      </c>
      <c r="X1827" t="str">
        <f>IF(BBDD_fashion_boutique[[#This Row],[return_reason]]="","No return",BBDD_fashion_boutique[[#This Row],[return_reason]])</f>
        <v>Changed Mind</v>
      </c>
      <c r="Y1827">
        <f>IF(IFERROR(VLOOKUP(BBDD_fashion_boutique[[#This Row],[product_id]],A1828:A4003,1,FALSE),0),1,0)</f>
        <v>0</v>
      </c>
    </row>
    <row r="1828" spans="1:25" x14ac:dyDescent="0.3">
      <c r="A1828" t="s">
        <v>1887</v>
      </c>
      <c r="B1828" t="s">
        <v>19</v>
      </c>
      <c r="C1828" t="s">
        <v>67</v>
      </c>
      <c r="D1828" t="s">
        <v>21</v>
      </c>
      <c r="F1828" t="str">
        <f>IF(BBDD_fashion_boutique[[#This Row],[category]]="Accessories","Accesorio",IF(BBDD_fashion_boutique[[#This Row],[size]]="","Desconocido",BBDD_fashion_boutique[[#This Row],[size]]))</f>
        <v>Desconocido</v>
      </c>
      <c r="G1828" t="s">
        <v>52</v>
      </c>
      <c r="H1828" s="2">
        <v>111.73</v>
      </c>
      <c r="I1828">
        <v>16.8</v>
      </c>
      <c r="J1828" s="5">
        <f>BBDD_fashion_boutique[[#This Row],[markdown_percentage]]/100</f>
        <v>0.16800000000000001</v>
      </c>
      <c r="K1828" s="2">
        <v>92.96</v>
      </c>
      <c r="L1828" s="2">
        <f>BBDD_fashion_boutique[[#This Row],[original_price]]-BBDD_fashion_boutique[[#This Row],[current_price]]</f>
        <v>18.77000000000001</v>
      </c>
      <c r="M1828" s="1">
        <v>45806</v>
      </c>
      <c r="N1828" s="1" t="str">
        <f>PROPER(TEXT(BBDD_fashion_boutique[[#This Row],[purchase_date]],"dddd"))</f>
        <v>Jueves</v>
      </c>
      <c r="O1828" s="1" t="str">
        <f>PROPER(TEXT(BBDD_fashion_boutique[[#This Row],[purchase_date]],"mmmm"))</f>
        <v>Mayo</v>
      </c>
      <c r="P1828" s="4">
        <v>41</v>
      </c>
      <c r="Q1828" s="2">
        <v>1.2</v>
      </c>
      <c r="R1828" t="str">
        <f>IF(BBDD_fashion_boutique[[#This Row],[stock_quantity]]&gt;9,"Ok",IF(BBDD_fashion_boutique[[#This Row],[stock_quantity]]=0,"Agotado","Pocas Unidades"))</f>
        <v>Ok</v>
      </c>
      <c r="S1828" s="3">
        <f>IF(BBDD_fashion_boutique[[#This Row],[customer_rating]]="","No valorado",BBDD_fashion_boutique[[#This Row],[customer_rating]])</f>
        <v>1.2</v>
      </c>
      <c r="T1828" t="s">
        <v>24</v>
      </c>
      <c r="V1828">
        <f>IF(BBDD_fashion_boutique[[#This Row],[is_returned]]="False",0,1)</f>
        <v>0</v>
      </c>
      <c r="W1828">
        <f>IF(BBDD_fashion_boutique[[#This Row],[is_returned]]="True",0,BBDD_fashion_boutique[[#This Row],[current_price]])</f>
        <v>92.96</v>
      </c>
      <c r="X1828" t="str">
        <f>IF(BBDD_fashion_boutique[[#This Row],[return_reason]]="","No return",BBDD_fashion_boutique[[#This Row],[return_reason]])</f>
        <v>No return</v>
      </c>
      <c r="Y1828">
        <f>IF(IFERROR(VLOOKUP(BBDD_fashion_boutique[[#This Row],[product_id]],A1829:A4004,1,FALSE),0),1,0)</f>
        <v>0</v>
      </c>
    </row>
    <row r="1829" spans="1:25" x14ac:dyDescent="0.3">
      <c r="A1829" t="s">
        <v>1888</v>
      </c>
      <c r="B1829" t="s">
        <v>44</v>
      </c>
      <c r="C1829" t="s">
        <v>59</v>
      </c>
      <c r="D1829" t="s">
        <v>39</v>
      </c>
      <c r="E1829" t="s">
        <v>55</v>
      </c>
      <c r="F1829" t="str">
        <f>IF(BBDD_fashion_boutique[[#This Row],[category]]="Accessories","Accesorio",IF(BBDD_fashion_boutique[[#This Row],[size]]="","Desconocido",BBDD_fashion_boutique[[#This Row],[size]]))</f>
        <v>XXL</v>
      </c>
      <c r="G1829" t="s">
        <v>46</v>
      </c>
      <c r="H1829" s="2">
        <v>49.08</v>
      </c>
      <c r="I1829">
        <v>19.899999999999999</v>
      </c>
      <c r="J1829" s="5">
        <f>BBDD_fashion_boutique[[#This Row],[markdown_percentage]]/100</f>
        <v>0.19899999999999998</v>
      </c>
      <c r="K1829" s="2">
        <v>39.31</v>
      </c>
      <c r="L1829" s="2">
        <f>BBDD_fashion_boutique[[#This Row],[original_price]]-BBDD_fashion_boutique[[#This Row],[current_price]]</f>
        <v>9.769999999999996</v>
      </c>
      <c r="M1829" s="1">
        <v>45875</v>
      </c>
      <c r="N1829" s="1" t="str">
        <f>PROPER(TEXT(BBDD_fashion_boutique[[#This Row],[purchase_date]],"dddd"))</f>
        <v>Miércoles</v>
      </c>
      <c r="O1829" s="1" t="str">
        <f>PROPER(TEXT(BBDD_fashion_boutique[[#This Row],[purchase_date]],"mmmm"))</f>
        <v>Agosto</v>
      </c>
      <c r="P1829" s="4">
        <v>46</v>
      </c>
      <c r="Q1829" s="2">
        <v>1</v>
      </c>
      <c r="R1829" t="str">
        <f>IF(BBDD_fashion_boutique[[#This Row],[stock_quantity]]&gt;9,"Ok",IF(BBDD_fashion_boutique[[#This Row],[stock_quantity]]=0,"Agotado","Pocas Unidades"))</f>
        <v>Ok</v>
      </c>
      <c r="S1829" s="3">
        <f>IF(BBDD_fashion_boutique[[#This Row],[customer_rating]]="","No valorado",BBDD_fashion_boutique[[#This Row],[customer_rating]])</f>
        <v>1</v>
      </c>
      <c r="T1829" t="s">
        <v>41</v>
      </c>
      <c r="U1829" t="s">
        <v>121</v>
      </c>
      <c r="V1829">
        <f>IF(BBDD_fashion_boutique[[#This Row],[is_returned]]="False",0,1)</f>
        <v>1</v>
      </c>
      <c r="W1829">
        <f>IF(BBDD_fashion_boutique[[#This Row],[is_returned]]="True",0,BBDD_fashion_boutique[[#This Row],[current_price]])</f>
        <v>0</v>
      </c>
      <c r="X1829" t="str">
        <f>IF(BBDD_fashion_boutique[[#This Row],[return_reason]]="","No return",BBDD_fashion_boutique[[#This Row],[return_reason]])</f>
        <v>Changed Mind</v>
      </c>
      <c r="Y1829">
        <f>IF(IFERROR(VLOOKUP(BBDD_fashion_boutique[[#This Row],[product_id]],A1830:A4005,1,FALSE),0),1,0)</f>
        <v>0</v>
      </c>
    </row>
    <row r="1830" spans="1:25" x14ac:dyDescent="0.3">
      <c r="A1830" t="s">
        <v>1889</v>
      </c>
      <c r="B1830" t="s">
        <v>35</v>
      </c>
      <c r="C1830" t="s">
        <v>81</v>
      </c>
      <c r="D1830" t="s">
        <v>28</v>
      </c>
      <c r="E1830" t="s">
        <v>64</v>
      </c>
      <c r="F1830" t="str">
        <f>IF(BBDD_fashion_boutique[[#This Row],[category]]="Accessories","Accesorio",IF(BBDD_fashion_boutique[[#This Row],[size]]="","Desconocido",BBDD_fashion_boutique[[#This Row],[size]]))</f>
        <v>M</v>
      </c>
      <c r="G1830" t="s">
        <v>30</v>
      </c>
      <c r="H1830" s="2">
        <v>182.47</v>
      </c>
      <c r="I1830">
        <v>27.1</v>
      </c>
      <c r="J1830" s="5">
        <f>BBDD_fashion_boutique[[#This Row],[markdown_percentage]]/100</f>
        <v>0.27100000000000002</v>
      </c>
      <c r="K1830" s="2">
        <v>133.02000000000001</v>
      </c>
      <c r="L1830" s="2">
        <f>BBDD_fashion_boutique[[#This Row],[original_price]]-BBDD_fashion_boutique[[#This Row],[current_price]]</f>
        <v>49.449999999999989</v>
      </c>
      <c r="M1830" s="1">
        <v>45875</v>
      </c>
      <c r="N1830" s="1" t="str">
        <f>PROPER(TEXT(BBDD_fashion_boutique[[#This Row],[purchase_date]],"dddd"))</f>
        <v>Miércoles</v>
      </c>
      <c r="O1830" s="1" t="str">
        <f>PROPER(TEXT(BBDD_fashion_boutique[[#This Row],[purchase_date]],"mmmm"))</f>
        <v>Agosto</v>
      </c>
      <c r="P1830" s="4">
        <v>40</v>
      </c>
      <c r="R1830" t="str">
        <f>IF(BBDD_fashion_boutique[[#This Row],[stock_quantity]]&gt;9,"Ok",IF(BBDD_fashion_boutique[[#This Row],[stock_quantity]]=0,"Agotado","Pocas Unidades"))</f>
        <v>Ok</v>
      </c>
      <c r="S1830" s="3" t="str">
        <f>IF(BBDD_fashion_boutique[[#This Row],[customer_rating]]="","No valorado",BBDD_fashion_boutique[[#This Row],[customer_rating]])</f>
        <v>No valorado</v>
      </c>
      <c r="T1830" t="s">
        <v>24</v>
      </c>
      <c r="V1830">
        <f>IF(BBDD_fashion_boutique[[#This Row],[is_returned]]="False",0,1)</f>
        <v>0</v>
      </c>
      <c r="W1830">
        <f>IF(BBDD_fashion_boutique[[#This Row],[is_returned]]="True",0,BBDD_fashion_boutique[[#This Row],[current_price]])</f>
        <v>133.02000000000001</v>
      </c>
      <c r="X1830" t="str">
        <f>IF(BBDD_fashion_boutique[[#This Row],[return_reason]]="","No return",BBDD_fashion_boutique[[#This Row],[return_reason]])</f>
        <v>No return</v>
      </c>
      <c r="Y1830">
        <f>IF(IFERROR(VLOOKUP(BBDD_fashion_boutique[[#This Row],[product_id]],A1831:A4006,1,FALSE),0),1,0)</f>
        <v>0</v>
      </c>
    </row>
    <row r="1831" spans="1:25" x14ac:dyDescent="0.3">
      <c r="A1831" t="s">
        <v>1890</v>
      </c>
      <c r="B1831" t="s">
        <v>19</v>
      </c>
      <c r="C1831" t="s">
        <v>81</v>
      </c>
      <c r="D1831" t="s">
        <v>68</v>
      </c>
      <c r="E1831" t="s">
        <v>61</v>
      </c>
      <c r="F1831" t="str">
        <f>IF(BBDD_fashion_boutique[[#This Row],[category]]="Accessories","Accesorio",IF(BBDD_fashion_boutique[[#This Row],[size]]="","Desconocido",BBDD_fashion_boutique[[#This Row],[size]]))</f>
        <v>XS</v>
      </c>
      <c r="G1831" t="s">
        <v>72</v>
      </c>
      <c r="H1831" s="2">
        <v>241.22</v>
      </c>
      <c r="I1831">
        <v>5.9</v>
      </c>
      <c r="J1831" s="5">
        <f>BBDD_fashion_boutique[[#This Row],[markdown_percentage]]/100</f>
        <v>5.9000000000000004E-2</v>
      </c>
      <c r="K1831" s="2">
        <v>226.99</v>
      </c>
      <c r="L1831" s="2">
        <f>BBDD_fashion_boutique[[#This Row],[original_price]]-BBDD_fashion_boutique[[#This Row],[current_price]]</f>
        <v>14.22999999999999</v>
      </c>
      <c r="M1831" s="1">
        <v>45875</v>
      </c>
      <c r="N1831" s="1" t="str">
        <f>PROPER(TEXT(BBDD_fashion_boutique[[#This Row],[purchase_date]],"dddd"))</f>
        <v>Miércoles</v>
      </c>
      <c r="O1831" s="1" t="str">
        <f>PROPER(TEXT(BBDD_fashion_boutique[[#This Row],[purchase_date]],"mmmm"))</f>
        <v>Agosto</v>
      </c>
      <c r="P1831" s="4">
        <v>13</v>
      </c>
      <c r="Q1831" s="2">
        <v>1.2</v>
      </c>
      <c r="R1831" t="str">
        <f>IF(BBDD_fashion_boutique[[#This Row],[stock_quantity]]&gt;9,"Ok",IF(BBDD_fashion_boutique[[#This Row],[stock_quantity]]=0,"Agotado","Pocas Unidades"))</f>
        <v>Ok</v>
      </c>
      <c r="S1831" s="3">
        <f>IF(BBDD_fashion_boutique[[#This Row],[customer_rating]]="","No valorado",BBDD_fashion_boutique[[#This Row],[customer_rating]])</f>
        <v>1.2</v>
      </c>
      <c r="T1831" t="s">
        <v>24</v>
      </c>
      <c r="V1831">
        <f>IF(BBDD_fashion_boutique[[#This Row],[is_returned]]="False",0,1)</f>
        <v>0</v>
      </c>
      <c r="W1831">
        <f>IF(BBDD_fashion_boutique[[#This Row],[is_returned]]="True",0,BBDD_fashion_boutique[[#This Row],[current_price]])</f>
        <v>226.99</v>
      </c>
      <c r="X1831" t="str">
        <f>IF(BBDD_fashion_boutique[[#This Row],[return_reason]]="","No return",BBDD_fashion_boutique[[#This Row],[return_reason]])</f>
        <v>No return</v>
      </c>
      <c r="Y1831">
        <f>IF(IFERROR(VLOOKUP(BBDD_fashion_boutique[[#This Row],[product_id]],A1832:A4007,1,FALSE),0),1,0)</f>
        <v>0</v>
      </c>
    </row>
    <row r="1832" spans="1:25" x14ac:dyDescent="0.3">
      <c r="A1832" t="s">
        <v>1891</v>
      </c>
      <c r="B1832" t="s">
        <v>48</v>
      </c>
      <c r="C1832" t="s">
        <v>59</v>
      </c>
      <c r="D1832" t="s">
        <v>21</v>
      </c>
      <c r="E1832" t="s">
        <v>55</v>
      </c>
      <c r="F1832" t="str">
        <f>IF(BBDD_fashion_boutique[[#This Row],[category]]="Accessories","Accesorio",IF(BBDD_fashion_boutique[[#This Row],[size]]="","Desconocido",BBDD_fashion_boutique[[#This Row],[size]]))</f>
        <v>XXL</v>
      </c>
      <c r="G1832" t="s">
        <v>50</v>
      </c>
      <c r="H1832" s="2">
        <v>78.3</v>
      </c>
      <c r="I1832">
        <v>0</v>
      </c>
      <c r="J1832" s="5">
        <f>BBDD_fashion_boutique[[#This Row],[markdown_percentage]]/100</f>
        <v>0</v>
      </c>
      <c r="K1832" s="2">
        <v>78.3</v>
      </c>
      <c r="L1832" s="2">
        <f>BBDD_fashion_boutique[[#This Row],[original_price]]-BBDD_fashion_boutique[[#This Row],[current_price]]</f>
        <v>0</v>
      </c>
      <c r="M1832" s="1">
        <v>45730</v>
      </c>
      <c r="N1832" s="1" t="str">
        <f>PROPER(TEXT(BBDD_fashion_boutique[[#This Row],[purchase_date]],"dddd"))</f>
        <v>Viernes</v>
      </c>
      <c r="O1832" s="1" t="str">
        <f>PROPER(TEXT(BBDD_fashion_boutique[[#This Row],[purchase_date]],"mmmm"))</f>
        <v>Marzo</v>
      </c>
      <c r="P1832" s="4">
        <v>19</v>
      </c>
      <c r="Q1832" s="2">
        <v>3</v>
      </c>
      <c r="R1832" t="str">
        <f>IF(BBDD_fashion_boutique[[#This Row],[stock_quantity]]&gt;9,"Ok",IF(BBDD_fashion_boutique[[#This Row],[stock_quantity]]=0,"Agotado","Pocas Unidades"))</f>
        <v>Ok</v>
      </c>
      <c r="S1832" s="3">
        <f>IF(BBDD_fashion_boutique[[#This Row],[customer_rating]]="","No valorado",BBDD_fashion_boutique[[#This Row],[customer_rating]])</f>
        <v>3</v>
      </c>
      <c r="T1832" t="s">
        <v>24</v>
      </c>
      <c r="V1832">
        <f>IF(BBDD_fashion_boutique[[#This Row],[is_returned]]="False",0,1)</f>
        <v>0</v>
      </c>
      <c r="W1832">
        <f>IF(BBDD_fashion_boutique[[#This Row],[is_returned]]="True",0,BBDD_fashion_boutique[[#This Row],[current_price]])</f>
        <v>78.3</v>
      </c>
      <c r="X1832" t="str">
        <f>IF(BBDD_fashion_boutique[[#This Row],[return_reason]]="","No return",BBDD_fashion_boutique[[#This Row],[return_reason]])</f>
        <v>No return</v>
      </c>
      <c r="Y1832">
        <f>IF(IFERROR(VLOOKUP(BBDD_fashion_boutique[[#This Row],[product_id]],A1833:A4008,1,FALSE),0),1,0)</f>
        <v>0</v>
      </c>
    </row>
    <row r="1833" spans="1:25" x14ac:dyDescent="0.3">
      <c r="A1833" t="s">
        <v>1892</v>
      </c>
      <c r="B1833" t="s">
        <v>35</v>
      </c>
      <c r="C1833" t="s">
        <v>37</v>
      </c>
      <c r="D1833" t="s">
        <v>28</v>
      </c>
      <c r="E1833" t="s">
        <v>64</v>
      </c>
      <c r="F1833" t="str">
        <f>IF(BBDD_fashion_boutique[[#This Row],[category]]="Accessories","Accesorio",IF(BBDD_fashion_boutique[[#This Row],[size]]="","Desconocido",BBDD_fashion_boutique[[#This Row],[size]]))</f>
        <v>M</v>
      </c>
      <c r="G1833" t="s">
        <v>72</v>
      </c>
      <c r="H1833" s="2">
        <v>73.930000000000007</v>
      </c>
      <c r="I1833">
        <v>0</v>
      </c>
      <c r="J1833" s="5">
        <f>BBDD_fashion_boutique[[#This Row],[markdown_percentage]]/100</f>
        <v>0</v>
      </c>
      <c r="K1833" s="2">
        <v>73.930000000000007</v>
      </c>
      <c r="L1833" s="2">
        <f>BBDD_fashion_boutique[[#This Row],[original_price]]-BBDD_fashion_boutique[[#This Row],[current_price]]</f>
        <v>0</v>
      </c>
      <c r="M1833" s="1">
        <v>45875</v>
      </c>
      <c r="N1833" s="1" t="str">
        <f>PROPER(TEXT(BBDD_fashion_boutique[[#This Row],[purchase_date]],"dddd"))</f>
        <v>Miércoles</v>
      </c>
      <c r="O1833" s="1" t="str">
        <f>PROPER(TEXT(BBDD_fashion_boutique[[#This Row],[purchase_date]],"mmmm"))</f>
        <v>Agosto</v>
      </c>
      <c r="P1833" s="4">
        <v>0</v>
      </c>
      <c r="R1833" t="str">
        <f>IF(BBDD_fashion_boutique[[#This Row],[stock_quantity]]&gt;9,"Ok",IF(BBDD_fashion_boutique[[#This Row],[stock_quantity]]=0,"Agotado","Pocas Unidades"))</f>
        <v>Agotado</v>
      </c>
      <c r="S1833" s="3" t="str">
        <f>IF(BBDD_fashion_boutique[[#This Row],[customer_rating]]="","No valorado",BBDD_fashion_boutique[[#This Row],[customer_rating]])</f>
        <v>No valorado</v>
      </c>
      <c r="T1833" t="s">
        <v>24</v>
      </c>
      <c r="V1833">
        <f>IF(BBDD_fashion_boutique[[#This Row],[is_returned]]="False",0,1)</f>
        <v>0</v>
      </c>
      <c r="W1833">
        <f>IF(BBDD_fashion_boutique[[#This Row],[is_returned]]="True",0,BBDD_fashion_boutique[[#This Row],[current_price]])</f>
        <v>73.930000000000007</v>
      </c>
      <c r="X1833" t="str">
        <f>IF(BBDD_fashion_boutique[[#This Row],[return_reason]]="","No return",BBDD_fashion_boutique[[#This Row],[return_reason]])</f>
        <v>No return</v>
      </c>
      <c r="Y1833">
        <f>IF(IFERROR(VLOOKUP(BBDD_fashion_boutique[[#This Row],[product_id]],A1834:A4009,1,FALSE),0),1,0)</f>
        <v>0</v>
      </c>
    </row>
    <row r="1834" spans="1:25" x14ac:dyDescent="0.3">
      <c r="A1834" t="s">
        <v>1893</v>
      </c>
      <c r="B1834" t="s">
        <v>44</v>
      </c>
      <c r="C1834" t="s">
        <v>54</v>
      </c>
      <c r="D1834" t="s">
        <v>68</v>
      </c>
      <c r="E1834" t="s">
        <v>55</v>
      </c>
      <c r="F1834" t="str">
        <f>IF(BBDD_fashion_boutique[[#This Row],[category]]="Accessories","Accesorio",IF(BBDD_fashion_boutique[[#This Row],[size]]="","Desconocido",BBDD_fashion_boutique[[#This Row],[size]]))</f>
        <v>XXL</v>
      </c>
      <c r="G1834" t="s">
        <v>52</v>
      </c>
      <c r="H1834" s="2">
        <v>97.5</v>
      </c>
      <c r="I1834">
        <v>0</v>
      </c>
      <c r="J1834" s="5">
        <f>BBDD_fashion_boutique[[#This Row],[markdown_percentage]]/100</f>
        <v>0</v>
      </c>
      <c r="K1834" s="2">
        <v>97.5</v>
      </c>
      <c r="L1834" s="2">
        <f>BBDD_fashion_boutique[[#This Row],[original_price]]-BBDD_fashion_boutique[[#This Row],[current_price]]</f>
        <v>0</v>
      </c>
      <c r="M1834" s="1">
        <v>45875</v>
      </c>
      <c r="N1834" s="1" t="str">
        <f>PROPER(TEXT(BBDD_fashion_boutique[[#This Row],[purchase_date]],"dddd"))</f>
        <v>Miércoles</v>
      </c>
      <c r="O1834" s="1" t="str">
        <f>PROPER(TEXT(BBDD_fashion_boutique[[#This Row],[purchase_date]],"mmmm"))</f>
        <v>Agosto</v>
      </c>
      <c r="P1834" s="4">
        <v>43</v>
      </c>
      <c r="Q1834" s="2">
        <v>1.6</v>
      </c>
      <c r="R1834" t="str">
        <f>IF(BBDD_fashion_boutique[[#This Row],[stock_quantity]]&gt;9,"Ok",IF(BBDD_fashion_boutique[[#This Row],[stock_quantity]]=0,"Agotado","Pocas Unidades"))</f>
        <v>Ok</v>
      </c>
      <c r="S1834" s="3">
        <f>IF(BBDD_fashion_boutique[[#This Row],[customer_rating]]="","No valorado",BBDD_fashion_boutique[[#This Row],[customer_rating]])</f>
        <v>1.6</v>
      </c>
      <c r="T1834" t="s">
        <v>24</v>
      </c>
      <c r="V1834">
        <f>IF(BBDD_fashion_boutique[[#This Row],[is_returned]]="False",0,1)</f>
        <v>0</v>
      </c>
      <c r="W1834">
        <f>IF(BBDD_fashion_boutique[[#This Row],[is_returned]]="True",0,BBDD_fashion_boutique[[#This Row],[current_price]])</f>
        <v>97.5</v>
      </c>
      <c r="X1834" t="str">
        <f>IF(BBDD_fashion_boutique[[#This Row],[return_reason]]="","No return",BBDD_fashion_boutique[[#This Row],[return_reason]])</f>
        <v>No return</v>
      </c>
      <c r="Y1834">
        <f>IF(IFERROR(VLOOKUP(BBDD_fashion_boutique[[#This Row],[product_id]],A1835:A4010,1,FALSE),0),1,0)</f>
        <v>0</v>
      </c>
    </row>
    <row r="1835" spans="1:25" x14ac:dyDescent="0.3">
      <c r="A1835" t="s">
        <v>1894</v>
      </c>
      <c r="B1835" t="s">
        <v>26</v>
      </c>
      <c r="C1835" t="s">
        <v>59</v>
      </c>
      <c r="D1835" t="s">
        <v>68</v>
      </c>
      <c r="E1835" t="s">
        <v>61</v>
      </c>
      <c r="F1835" t="str">
        <f>IF(BBDD_fashion_boutique[[#This Row],[category]]="Accessories","Accesorio",IF(BBDD_fashion_boutique[[#This Row],[size]]="","Desconocido",BBDD_fashion_boutique[[#This Row],[size]]))</f>
        <v>XS</v>
      </c>
      <c r="G1835" t="s">
        <v>52</v>
      </c>
      <c r="H1835" s="2">
        <v>38.9</v>
      </c>
      <c r="I1835">
        <v>0</v>
      </c>
      <c r="J1835" s="5">
        <f>BBDD_fashion_boutique[[#This Row],[markdown_percentage]]/100</f>
        <v>0</v>
      </c>
      <c r="K1835" s="2">
        <v>38.9</v>
      </c>
      <c r="L1835" s="2">
        <f>BBDD_fashion_boutique[[#This Row],[original_price]]-BBDD_fashion_boutique[[#This Row],[current_price]]</f>
        <v>0</v>
      </c>
      <c r="M1835" s="1">
        <v>45875</v>
      </c>
      <c r="N1835" s="1" t="str">
        <f>PROPER(TEXT(BBDD_fashion_boutique[[#This Row],[purchase_date]],"dddd"))</f>
        <v>Miércoles</v>
      </c>
      <c r="O1835" s="1" t="str">
        <f>PROPER(TEXT(BBDD_fashion_boutique[[#This Row],[purchase_date]],"mmmm"))</f>
        <v>Agosto</v>
      </c>
      <c r="P1835" s="4">
        <v>1</v>
      </c>
      <c r="Q1835" s="2">
        <v>5</v>
      </c>
      <c r="R1835" t="str">
        <f>IF(BBDD_fashion_boutique[[#This Row],[stock_quantity]]&gt;9,"Ok",IF(BBDD_fashion_boutique[[#This Row],[stock_quantity]]=0,"Agotado","Pocas Unidades"))</f>
        <v>Pocas Unidades</v>
      </c>
      <c r="S1835" s="3">
        <f>IF(BBDD_fashion_boutique[[#This Row],[customer_rating]]="","No valorado",BBDD_fashion_boutique[[#This Row],[customer_rating]])</f>
        <v>5</v>
      </c>
      <c r="T1835" t="s">
        <v>24</v>
      </c>
      <c r="V1835">
        <f>IF(BBDD_fashion_boutique[[#This Row],[is_returned]]="False",0,1)</f>
        <v>0</v>
      </c>
      <c r="W1835">
        <f>IF(BBDD_fashion_boutique[[#This Row],[is_returned]]="True",0,BBDD_fashion_boutique[[#This Row],[current_price]])</f>
        <v>38.9</v>
      </c>
      <c r="X1835" t="str">
        <f>IF(BBDD_fashion_boutique[[#This Row],[return_reason]]="","No return",BBDD_fashion_boutique[[#This Row],[return_reason]])</f>
        <v>No return</v>
      </c>
      <c r="Y1835">
        <f>IF(IFERROR(VLOOKUP(BBDD_fashion_boutique[[#This Row],[product_id]],A1836:A4011,1,FALSE),0),1,0)</f>
        <v>0</v>
      </c>
    </row>
    <row r="1836" spans="1:25" x14ac:dyDescent="0.3">
      <c r="A1836" t="s">
        <v>1895</v>
      </c>
      <c r="B1836" t="s">
        <v>35</v>
      </c>
      <c r="C1836" t="s">
        <v>37</v>
      </c>
      <c r="D1836" t="s">
        <v>68</v>
      </c>
      <c r="E1836" t="s">
        <v>45</v>
      </c>
      <c r="F1836" t="str">
        <f>IF(BBDD_fashion_boutique[[#This Row],[category]]="Accessories","Accesorio",IF(BBDD_fashion_boutique[[#This Row],[size]]="","Desconocido",BBDD_fashion_boutique[[#This Row],[size]]))</f>
        <v>S</v>
      </c>
      <c r="G1836" t="s">
        <v>50</v>
      </c>
      <c r="H1836" s="2">
        <v>95.52</v>
      </c>
      <c r="I1836">
        <v>0</v>
      </c>
      <c r="J1836" s="5">
        <f>BBDD_fashion_boutique[[#This Row],[markdown_percentage]]/100</f>
        <v>0</v>
      </c>
      <c r="K1836" s="2">
        <v>95.52</v>
      </c>
      <c r="L1836" s="2">
        <f>BBDD_fashion_boutique[[#This Row],[original_price]]-BBDD_fashion_boutique[[#This Row],[current_price]]</f>
        <v>0</v>
      </c>
      <c r="M1836" s="1">
        <v>45875</v>
      </c>
      <c r="N1836" s="1" t="str">
        <f>PROPER(TEXT(BBDD_fashion_boutique[[#This Row],[purchase_date]],"dddd"))</f>
        <v>Miércoles</v>
      </c>
      <c r="O1836" s="1" t="str">
        <f>PROPER(TEXT(BBDD_fashion_boutique[[#This Row],[purchase_date]],"mmmm"))</f>
        <v>Agosto</v>
      </c>
      <c r="P1836" s="4">
        <v>47</v>
      </c>
      <c r="Q1836" s="2">
        <v>3.9</v>
      </c>
      <c r="R1836" t="str">
        <f>IF(BBDD_fashion_boutique[[#This Row],[stock_quantity]]&gt;9,"Ok",IF(BBDD_fashion_boutique[[#This Row],[stock_quantity]]=0,"Agotado","Pocas Unidades"))</f>
        <v>Ok</v>
      </c>
      <c r="S1836" s="3">
        <f>IF(BBDD_fashion_boutique[[#This Row],[customer_rating]]="","No valorado",BBDD_fashion_boutique[[#This Row],[customer_rating]])</f>
        <v>3.9</v>
      </c>
      <c r="T1836" t="s">
        <v>24</v>
      </c>
      <c r="V1836">
        <f>IF(BBDD_fashion_boutique[[#This Row],[is_returned]]="False",0,1)</f>
        <v>0</v>
      </c>
      <c r="W1836">
        <f>IF(BBDD_fashion_boutique[[#This Row],[is_returned]]="True",0,BBDD_fashion_boutique[[#This Row],[current_price]])</f>
        <v>95.52</v>
      </c>
      <c r="X1836" t="str">
        <f>IF(BBDD_fashion_boutique[[#This Row],[return_reason]]="","No return",BBDD_fashion_boutique[[#This Row],[return_reason]])</f>
        <v>No return</v>
      </c>
      <c r="Y1836">
        <f>IF(IFERROR(VLOOKUP(BBDD_fashion_boutique[[#This Row],[product_id]],A1837:A4012,1,FALSE),0),1,0)</f>
        <v>0</v>
      </c>
    </row>
    <row r="1837" spans="1:25" x14ac:dyDescent="0.3">
      <c r="A1837" t="s">
        <v>1896</v>
      </c>
      <c r="B1837" t="s">
        <v>19</v>
      </c>
      <c r="C1837" t="s">
        <v>20</v>
      </c>
      <c r="D1837" t="s">
        <v>39</v>
      </c>
      <c r="E1837" t="s">
        <v>64</v>
      </c>
      <c r="F1837" t="str">
        <f>IF(BBDD_fashion_boutique[[#This Row],[category]]="Accessories","Accesorio",IF(BBDD_fashion_boutique[[#This Row],[size]]="","Desconocido",BBDD_fashion_boutique[[#This Row],[size]]))</f>
        <v>M</v>
      </c>
      <c r="G1837" t="s">
        <v>23</v>
      </c>
      <c r="H1837" s="2">
        <v>158.63999999999999</v>
      </c>
      <c r="I1837">
        <v>50.2</v>
      </c>
      <c r="J1837" s="5">
        <f>BBDD_fashion_boutique[[#This Row],[markdown_percentage]]/100</f>
        <v>0.502</v>
      </c>
      <c r="K1837" s="2">
        <v>79</v>
      </c>
      <c r="L1837" s="2">
        <f>BBDD_fashion_boutique[[#This Row],[original_price]]-BBDD_fashion_boutique[[#This Row],[current_price]]</f>
        <v>79.639999999999986</v>
      </c>
      <c r="M1837" s="1">
        <v>45875</v>
      </c>
      <c r="N1837" s="1" t="str">
        <f>PROPER(TEXT(BBDD_fashion_boutique[[#This Row],[purchase_date]],"dddd"))</f>
        <v>Miércoles</v>
      </c>
      <c r="O1837" s="1" t="str">
        <f>PROPER(TEXT(BBDD_fashion_boutique[[#This Row],[purchase_date]],"mmmm"))</f>
        <v>Agosto</v>
      </c>
      <c r="P1837" s="4">
        <v>7</v>
      </c>
      <c r="Q1837" s="2">
        <v>3</v>
      </c>
      <c r="R1837" t="str">
        <f>IF(BBDD_fashion_boutique[[#This Row],[stock_quantity]]&gt;9,"Ok",IF(BBDD_fashion_boutique[[#This Row],[stock_quantity]]=0,"Agotado","Pocas Unidades"))</f>
        <v>Pocas Unidades</v>
      </c>
      <c r="S1837" s="3">
        <f>IF(BBDD_fashion_boutique[[#This Row],[customer_rating]]="","No valorado",BBDD_fashion_boutique[[#This Row],[customer_rating]])</f>
        <v>3</v>
      </c>
      <c r="T1837" t="s">
        <v>41</v>
      </c>
      <c r="U1837" t="s">
        <v>121</v>
      </c>
      <c r="V1837">
        <f>IF(BBDD_fashion_boutique[[#This Row],[is_returned]]="False",0,1)</f>
        <v>1</v>
      </c>
      <c r="W1837">
        <f>IF(BBDD_fashion_boutique[[#This Row],[is_returned]]="True",0,BBDD_fashion_boutique[[#This Row],[current_price]])</f>
        <v>0</v>
      </c>
      <c r="X1837" t="str">
        <f>IF(BBDD_fashion_boutique[[#This Row],[return_reason]]="","No return",BBDD_fashion_boutique[[#This Row],[return_reason]])</f>
        <v>Changed Mind</v>
      </c>
      <c r="Y1837">
        <f>IF(IFERROR(VLOOKUP(BBDD_fashion_boutique[[#This Row],[product_id]],A1838:A4013,1,FALSE),0),1,0)</f>
        <v>0</v>
      </c>
    </row>
    <row r="1838" spans="1:25" x14ac:dyDescent="0.3">
      <c r="A1838" t="s">
        <v>1897</v>
      </c>
      <c r="B1838" t="s">
        <v>26</v>
      </c>
      <c r="C1838" t="s">
        <v>49</v>
      </c>
      <c r="D1838" t="s">
        <v>39</v>
      </c>
      <c r="E1838" t="s">
        <v>22</v>
      </c>
      <c r="F1838" t="str">
        <f>IF(BBDD_fashion_boutique[[#This Row],[category]]="Accessories","Accesorio",IF(BBDD_fashion_boutique[[#This Row],[size]]="","Desconocido",BBDD_fashion_boutique[[#This Row],[size]]))</f>
        <v>XL</v>
      </c>
      <c r="G1838" t="s">
        <v>70</v>
      </c>
      <c r="H1838" s="2">
        <v>26.11</v>
      </c>
      <c r="I1838">
        <v>0</v>
      </c>
      <c r="J1838" s="5">
        <f>BBDD_fashion_boutique[[#This Row],[markdown_percentage]]/100</f>
        <v>0</v>
      </c>
      <c r="K1838" s="2">
        <v>26.11</v>
      </c>
      <c r="L1838" s="2">
        <f>BBDD_fashion_boutique[[#This Row],[original_price]]-BBDD_fashion_boutique[[#This Row],[current_price]]</f>
        <v>0</v>
      </c>
      <c r="M1838" s="1">
        <v>45875</v>
      </c>
      <c r="N1838" s="1" t="str">
        <f>PROPER(TEXT(BBDD_fashion_boutique[[#This Row],[purchase_date]],"dddd"))</f>
        <v>Miércoles</v>
      </c>
      <c r="O1838" s="1" t="str">
        <f>PROPER(TEXT(BBDD_fashion_boutique[[#This Row],[purchase_date]],"mmmm"))</f>
        <v>Agosto</v>
      </c>
      <c r="P1838" s="4">
        <v>41</v>
      </c>
      <c r="Q1838" s="2">
        <v>4.3</v>
      </c>
      <c r="R1838" t="str">
        <f>IF(BBDD_fashion_boutique[[#This Row],[stock_quantity]]&gt;9,"Ok",IF(BBDD_fashion_boutique[[#This Row],[stock_quantity]]=0,"Agotado","Pocas Unidades"))</f>
        <v>Ok</v>
      </c>
      <c r="S1838" s="3">
        <f>IF(BBDD_fashion_boutique[[#This Row],[customer_rating]]="","No valorado",BBDD_fashion_boutique[[#This Row],[customer_rating]])</f>
        <v>4.3</v>
      </c>
      <c r="T1838" t="s">
        <v>24</v>
      </c>
      <c r="V1838">
        <f>IF(BBDD_fashion_boutique[[#This Row],[is_returned]]="False",0,1)</f>
        <v>0</v>
      </c>
      <c r="W1838">
        <f>IF(BBDD_fashion_boutique[[#This Row],[is_returned]]="True",0,BBDD_fashion_boutique[[#This Row],[current_price]])</f>
        <v>26.11</v>
      </c>
      <c r="X1838" t="str">
        <f>IF(BBDD_fashion_boutique[[#This Row],[return_reason]]="","No return",BBDD_fashion_boutique[[#This Row],[return_reason]])</f>
        <v>No return</v>
      </c>
      <c r="Y1838">
        <f>IF(IFERROR(VLOOKUP(BBDD_fashion_boutique[[#This Row],[product_id]],A1839:A4014,1,FALSE),0),1,0)</f>
        <v>0</v>
      </c>
    </row>
    <row r="1839" spans="1:25" x14ac:dyDescent="0.3">
      <c r="A1839" t="s">
        <v>1898</v>
      </c>
      <c r="B1839" t="s">
        <v>35</v>
      </c>
      <c r="C1839" t="s">
        <v>81</v>
      </c>
      <c r="D1839" t="s">
        <v>21</v>
      </c>
      <c r="F1839" t="str">
        <f>IF(BBDD_fashion_boutique[[#This Row],[category]]="Accessories","Accesorio",IF(BBDD_fashion_boutique[[#This Row],[size]]="","Desconocido",BBDD_fashion_boutique[[#This Row],[size]]))</f>
        <v>Desconocido</v>
      </c>
      <c r="G1839" t="s">
        <v>40</v>
      </c>
      <c r="H1839" s="2">
        <v>107.09</v>
      </c>
      <c r="I1839">
        <v>43.1</v>
      </c>
      <c r="J1839" s="5">
        <f>BBDD_fashion_boutique[[#This Row],[markdown_percentage]]/100</f>
        <v>0.43099999999999999</v>
      </c>
      <c r="K1839" s="2">
        <v>60.93</v>
      </c>
      <c r="L1839" s="2">
        <f>BBDD_fashion_boutique[[#This Row],[original_price]]-BBDD_fashion_boutique[[#This Row],[current_price]]</f>
        <v>46.160000000000004</v>
      </c>
      <c r="M1839" s="1">
        <v>45702</v>
      </c>
      <c r="N1839" s="1" t="str">
        <f>PROPER(TEXT(BBDD_fashion_boutique[[#This Row],[purchase_date]],"dddd"))</f>
        <v>Viernes</v>
      </c>
      <c r="O1839" s="1" t="str">
        <f>PROPER(TEXT(BBDD_fashion_boutique[[#This Row],[purchase_date]],"mmmm"))</f>
        <v>Febrero</v>
      </c>
      <c r="P1839" s="4">
        <v>16</v>
      </c>
      <c r="Q1839" s="2">
        <v>4.7</v>
      </c>
      <c r="R1839" t="str">
        <f>IF(BBDD_fashion_boutique[[#This Row],[stock_quantity]]&gt;9,"Ok",IF(BBDD_fashion_boutique[[#This Row],[stock_quantity]]=0,"Agotado","Pocas Unidades"))</f>
        <v>Ok</v>
      </c>
      <c r="S1839" s="3">
        <f>IF(BBDD_fashion_boutique[[#This Row],[customer_rating]]="","No valorado",BBDD_fashion_boutique[[#This Row],[customer_rating]])</f>
        <v>4.7</v>
      </c>
      <c r="T1839" t="s">
        <v>41</v>
      </c>
      <c r="U1839" t="s">
        <v>121</v>
      </c>
      <c r="V1839">
        <f>IF(BBDD_fashion_boutique[[#This Row],[is_returned]]="False",0,1)</f>
        <v>1</v>
      </c>
      <c r="W1839">
        <f>IF(BBDD_fashion_boutique[[#This Row],[is_returned]]="True",0,BBDD_fashion_boutique[[#This Row],[current_price]])</f>
        <v>0</v>
      </c>
      <c r="X1839" t="str">
        <f>IF(BBDD_fashion_boutique[[#This Row],[return_reason]]="","No return",BBDD_fashion_boutique[[#This Row],[return_reason]])</f>
        <v>Changed Mind</v>
      </c>
      <c r="Y1839">
        <f>IF(IFERROR(VLOOKUP(BBDD_fashion_boutique[[#This Row],[product_id]],A1840:A4015,1,FALSE),0),1,0)</f>
        <v>0</v>
      </c>
    </row>
    <row r="1840" spans="1:25" x14ac:dyDescent="0.3">
      <c r="A1840" t="s">
        <v>1899</v>
      </c>
      <c r="B1840" t="s">
        <v>32</v>
      </c>
      <c r="C1840" t="s">
        <v>67</v>
      </c>
      <c r="D1840" t="s">
        <v>68</v>
      </c>
      <c r="F1840" t="str">
        <f>IF(BBDD_fashion_boutique[[#This Row],[category]]="Accessories","Accesorio",IF(BBDD_fashion_boutique[[#This Row],[size]]="","Desconocido",BBDD_fashion_boutique[[#This Row],[size]]))</f>
        <v>Accesorio</v>
      </c>
      <c r="G1840" t="s">
        <v>33</v>
      </c>
      <c r="H1840" s="2">
        <v>71.42</v>
      </c>
      <c r="I1840">
        <v>38</v>
      </c>
      <c r="J1840" s="5">
        <f>BBDD_fashion_boutique[[#This Row],[markdown_percentage]]/100</f>
        <v>0.38</v>
      </c>
      <c r="K1840" s="2">
        <v>44.28</v>
      </c>
      <c r="L1840" s="2">
        <f>BBDD_fashion_boutique[[#This Row],[original_price]]-BBDD_fashion_boutique[[#This Row],[current_price]]</f>
        <v>27.14</v>
      </c>
      <c r="M1840" s="1">
        <v>45875</v>
      </c>
      <c r="N1840" s="1" t="str">
        <f>PROPER(TEXT(BBDD_fashion_boutique[[#This Row],[purchase_date]],"dddd"))</f>
        <v>Miércoles</v>
      </c>
      <c r="O1840" s="1" t="str">
        <f>PROPER(TEXT(BBDD_fashion_boutique[[#This Row],[purchase_date]],"mmmm"))</f>
        <v>Agosto</v>
      </c>
      <c r="P1840" s="4">
        <v>49</v>
      </c>
      <c r="Q1840" s="2">
        <v>2.8</v>
      </c>
      <c r="R1840" t="str">
        <f>IF(BBDD_fashion_boutique[[#This Row],[stock_quantity]]&gt;9,"Ok",IF(BBDD_fashion_boutique[[#This Row],[stock_quantity]]=0,"Agotado","Pocas Unidades"))</f>
        <v>Ok</v>
      </c>
      <c r="S1840" s="3">
        <f>IF(BBDD_fashion_boutique[[#This Row],[customer_rating]]="","No valorado",BBDD_fashion_boutique[[#This Row],[customer_rating]])</f>
        <v>2.8</v>
      </c>
      <c r="T1840" t="s">
        <v>24</v>
      </c>
      <c r="V1840">
        <f>IF(BBDD_fashion_boutique[[#This Row],[is_returned]]="False",0,1)</f>
        <v>0</v>
      </c>
      <c r="W1840">
        <f>IF(BBDD_fashion_boutique[[#This Row],[is_returned]]="True",0,BBDD_fashion_boutique[[#This Row],[current_price]])</f>
        <v>44.28</v>
      </c>
      <c r="X1840" t="str">
        <f>IF(BBDD_fashion_boutique[[#This Row],[return_reason]]="","No return",BBDD_fashion_boutique[[#This Row],[return_reason]])</f>
        <v>No return</v>
      </c>
      <c r="Y1840">
        <f>IF(IFERROR(VLOOKUP(BBDD_fashion_boutique[[#This Row],[product_id]],A1841:A4016,1,FALSE),0),1,0)</f>
        <v>0</v>
      </c>
    </row>
    <row r="1841" spans="1:25" x14ac:dyDescent="0.3">
      <c r="A1841" t="s">
        <v>1900</v>
      </c>
      <c r="B1841" t="s">
        <v>35</v>
      </c>
      <c r="C1841" t="s">
        <v>20</v>
      </c>
      <c r="D1841" t="s">
        <v>68</v>
      </c>
      <c r="E1841" t="s">
        <v>22</v>
      </c>
      <c r="F1841" t="str">
        <f>IF(BBDD_fashion_boutique[[#This Row],[category]]="Accessories","Accesorio",IF(BBDD_fashion_boutique[[#This Row],[size]]="","Desconocido",BBDD_fashion_boutique[[#This Row],[size]]))</f>
        <v>XL</v>
      </c>
      <c r="G1841" t="s">
        <v>23</v>
      </c>
      <c r="H1841" s="2">
        <v>124.56</v>
      </c>
      <c r="I1841">
        <v>0</v>
      </c>
      <c r="J1841" s="5">
        <f>BBDD_fashion_boutique[[#This Row],[markdown_percentage]]/100</f>
        <v>0</v>
      </c>
      <c r="K1841" s="2">
        <v>124.56</v>
      </c>
      <c r="L1841" s="2">
        <f>BBDD_fashion_boutique[[#This Row],[original_price]]-BBDD_fashion_boutique[[#This Row],[current_price]]</f>
        <v>0</v>
      </c>
      <c r="M1841" s="1">
        <v>45875</v>
      </c>
      <c r="N1841" s="1" t="str">
        <f>PROPER(TEXT(BBDD_fashion_boutique[[#This Row],[purchase_date]],"dddd"))</f>
        <v>Miércoles</v>
      </c>
      <c r="O1841" s="1" t="str">
        <f>PROPER(TEXT(BBDD_fashion_boutique[[#This Row],[purchase_date]],"mmmm"))</f>
        <v>Agosto</v>
      </c>
      <c r="P1841" s="4">
        <v>18</v>
      </c>
      <c r="Q1841" s="2">
        <v>3</v>
      </c>
      <c r="R1841" t="str">
        <f>IF(BBDD_fashion_boutique[[#This Row],[stock_quantity]]&gt;9,"Ok",IF(BBDD_fashion_boutique[[#This Row],[stock_quantity]]=0,"Agotado","Pocas Unidades"))</f>
        <v>Ok</v>
      </c>
      <c r="S1841" s="3">
        <f>IF(BBDD_fashion_boutique[[#This Row],[customer_rating]]="","No valorado",BBDD_fashion_boutique[[#This Row],[customer_rating]])</f>
        <v>3</v>
      </c>
      <c r="T1841" t="s">
        <v>24</v>
      </c>
      <c r="V1841">
        <f>IF(BBDD_fashion_boutique[[#This Row],[is_returned]]="False",0,1)</f>
        <v>0</v>
      </c>
      <c r="W1841">
        <f>IF(BBDD_fashion_boutique[[#This Row],[is_returned]]="True",0,BBDD_fashion_boutique[[#This Row],[current_price]])</f>
        <v>124.56</v>
      </c>
      <c r="X1841" t="str">
        <f>IF(BBDD_fashion_boutique[[#This Row],[return_reason]]="","No return",BBDD_fashion_boutique[[#This Row],[return_reason]])</f>
        <v>No return</v>
      </c>
      <c r="Y1841">
        <f>IF(IFERROR(VLOOKUP(BBDD_fashion_boutique[[#This Row],[product_id]],A1842:A4017,1,FALSE),0),1,0)</f>
        <v>0</v>
      </c>
    </row>
    <row r="1842" spans="1:25" x14ac:dyDescent="0.3">
      <c r="A1842" t="s">
        <v>1901</v>
      </c>
      <c r="B1842" t="s">
        <v>44</v>
      </c>
      <c r="C1842" t="s">
        <v>27</v>
      </c>
      <c r="D1842" t="s">
        <v>68</v>
      </c>
      <c r="E1842" t="s">
        <v>29</v>
      </c>
      <c r="F1842" t="str">
        <f>IF(BBDD_fashion_boutique[[#This Row],[category]]="Accessories","Accesorio",IF(BBDD_fashion_boutique[[#This Row],[size]]="","Desconocido",BBDD_fashion_boutique[[#This Row],[size]]))</f>
        <v>L</v>
      </c>
      <c r="G1842" t="s">
        <v>72</v>
      </c>
      <c r="H1842" s="2">
        <v>30.91</v>
      </c>
      <c r="I1842">
        <v>0</v>
      </c>
      <c r="J1842" s="5">
        <f>BBDD_fashion_boutique[[#This Row],[markdown_percentage]]/100</f>
        <v>0</v>
      </c>
      <c r="K1842" s="2">
        <v>30.91</v>
      </c>
      <c r="L1842" s="2">
        <f>BBDD_fashion_boutique[[#This Row],[original_price]]-BBDD_fashion_boutique[[#This Row],[current_price]]</f>
        <v>0</v>
      </c>
      <c r="M1842" s="1">
        <v>45875</v>
      </c>
      <c r="N1842" s="1" t="str">
        <f>PROPER(TEXT(BBDD_fashion_boutique[[#This Row],[purchase_date]],"dddd"))</f>
        <v>Miércoles</v>
      </c>
      <c r="O1842" s="1" t="str">
        <f>PROPER(TEXT(BBDD_fashion_boutique[[#This Row],[purchase_date]],"mmmm"))</f>
        <v>Agosto</v>
      </c>
      <c r="P1842" s="4">
        <v>45</v>
      </c>
      <c r="Q1842" s="2">
        <v>1.8</v>
      </c>
      <c r="R1842" t="str">
        <f>IF(BBDD_fashion_boutique[[#This Row],[stock_quantity]]&gt;9,"Ok",IF(BBDD_fashion_boutique[[#This Row],[stock_quantity]]=0,"Agotado","Pocas Unidades"))</f>
        <v>Ok</v>
      </c>
      <c r="S1842" s="3">
        <f>IF(BBDD_fashion_boutique[[#This Row],[customer_rating]]="","No valorado",BBDD_fashion_boutique[[#This Row],[customer_rating]])</f>
        <v>1.8</v>
      </c>
      <c r="T1842" t="s">
        <v>24</v>
      </c>
      <c r="V1842">
        <f>IF(BBDD_fashion_boutique[[#This Row],[is_returned]]="False",0,1)</f>
        <v>0</v>
      </c>
      <c r="W1842">
        <f>IF(BBDD_fashion_boutique[[#This Row],[is_returned]]="True",0,BBDD_fashion_boutique[[#This Row],[current_price]])</f>
        <v>30.91</v>
      </c>
      <c r="X1842" t="str">
        <f>IF(BBDD_fashion_boutique[[#This Row],[return_reason]]="","No return",BBDD_fashion_boutique[[#This Row],[return_reason]])</f>
        <v>No return</v>
      </c>
      <c r="Y1842">
        <f>IF(IFERROR(VLOOKUP(BBDD_fashion_boutique[[#This Row],[product_id]],A1843:A4018,1,FALSE),0),1,0)</f>
        <v>0</v>
      </c>
    </row>
    <row r="1843" spans="1:25" x14ac:dyDescent="0.3">
      <c r="A1843" t="s">
        <v>1902</v>
      </c>
      <c r="B1843" t="s">
        <v>26</v>
      </c>
      <c r="C1843" t="s">
        <v>20</v>
      </c>
      <c r="D1843" t="s">
        <v>28</v>
      </c>
      <c r="E1843" t="s">
        <v>61</v>
      </c>
      <c r="F1843" t="str">
        <f>IF(BBDD_fashion_boutique[[#This Row],[category]]="Accessories","Accesorio",IF(BBDD_fashion_boutique[[#This Row],[size]]="","Desconocido",BBDD_fashion_boutique[[#This Row],[size]]))</f>
        <v>XS</v>
      </c>
      <c r="G1843" t="s">
        <v>62</v>
      </c>
      <c r="H1843" s="2">
        <v>53.37</v>
      </c>
      <c r="I1843">
        <v>0</v>
      </c>
      <c r="J1843" s="5">
        <f>BBDD_fashion_boutique[[#This Row],[markdown_percentage]]/100</f>
        <v>0</v>
      </c>
      <c r="K1843" s="2">
        <v>53.37</v>
      </c>
      <c r="L1843" s="2">
        <f>BBDD_fashion_boutique[[#This Row],[original_price]]-BBDD_fashion_boutique[[#This Row],[current_price]]</f>
        <v>0</v>
      </c>
      <c r="M1843" s="1">
        <v>45875</v>
      </c>
      <c r="N1843" s="1" t="str">
        <f>PROPER(TEXT(BBDD_fashion_boutique[[#This Row],[purchase_date]],"dddd"))</f>
        <v>Miércoles</v>
      </c>
      <c r="O1843" s="1" t="str">
        <f>PROPER(TEXT(BBDD_fashion_boutique[[#This Row],[purchase_date]],"mmmm"))</f>
        <v>Agosto</v>
      </c>
      <c r="P1843" s="4">
        <v>15</v>
      </c>
      <c r="Q1843" s="2">
        <v>1.1000000000000001</v>
      </c>
      <c r="R1843" t="str">
        <f>IF(BBDD_fashion_boutique[[#This Row],[stock_quantity]]&gt;9,"Ok",IF(BBDD_fashion_boutique[[#This Row],[stock_quantity]]=0,"Agotado","Pocas Unidades"))</f>
        <v>Ok</v>
      </c>
      <c r="S1843" s="3">
        <f>IF(BBDD_fashion_boutique[[#This Row],[customer_rating]]="","No valorado",BBDD_fashion_boutique[[#This Row],[customer_rating]])</f>
        <v>1.1000000000000001</v>
      </c>
      <c r="T1843" t="s">
        <v>24</v>
      </c>
      <c r="V1843">
        <f>IF(BBDD_fashion_boutique[[#This Row],[is_returned]]="False",0,1)</f>
        <v>0</v>
      </c>
      <c r="W1843">
        <f>IF(BBDD_fashion_boutique[[#This Row],[is_returned]]="True",0,BBDD_fashion_boutique[[#This Row],[current_price]])</f>
        <v>53.37</v>
      </c>
      <c r="X1843" t="str">
        <f>IF(BBDD_fashion_boutique[[#This Row],[return_reason]]="","No return",BBDD_fashion_boutique[[#This Row],[return_reason]])</f>
        <v>No return</v>
      </c>
      <c r="Y1843">
        <f>IF(IFERROR(VLOOKUP(BBDD_fashion_boutique[[#This Row],[product_id]],A1844:A4019,1,FALSE),0),1,0)</f>
        <v>0</v>
      </c>
    </row>
    <row r="1844" spans="1:25" x14ac:dyDescent="0.3">
      <c r="A1844" t="s">
        <v>1903</v>
      </c>
      <c r="B1844" t="s">
        <v>35</v>
      </c>
      <c r="C1844" t="s">
        <v>67</v>
      </c>
      <c r="D1844" t="s">
        <v>68</v>
      </c>
      <c r="E1844" t="s">
        <v>22</v>
      </c>
      <c r="F1844" t="str">
        <f>IF(BBDD_fashion_boutique[[#This Row],[category]]="Accessories","Accesorio",IF(BBDD_fashion_boutique[[#This Row],[size]]="","Desconocido",BBDD_fashion_boutique[[#This Row],[size]]))</f>
        <v>XL</v>
      </c>
      <c r="G1844" t="s">
        <v>52</v>
      </c>
      <c r="H1844" s="2">
        <v>159.16</v>
      </c>
      <c r="I1844">
        <v>0</v>
      </c>
      <c r="J1844" s="5">
        <f>BBDD_fashion_boutique[[#This Row],[markdown_percentage]]/100</f>
        <v>0</v>
      </c>
      <c r="K1844" s="2">
        <v>159.16</v>
      </c>
      <c r="L1844" s="2">
        <f>BBDD_fashion_boutique[[#This Row],[original_price]]-BBDD_fashion_boutique[[#This Row],[current_price]]</f>
        <v>0</v>
      </c>
      <c r="M1844" s="1">
        <v>45875</v>
      </c>
      <c r="N1844" s="1" t="str">
        <f>PROPER(TEXT(BBDD_fashion_boutique[[#This Row],[purchase_date]],"dddd"))</f>
        <v>Miércoles</v>
      </c>
      <c r="O1844" s="1" t="str">
        <f>PROPER(TEXT(BBDD_fashion_boutique[[#This Row],[purchase_date]],"mmmm"))</f>
        <v>Agosto</v>
      </c>
      <c r="P1844" s="4">
        <v>40</v>
      </c>
      <c r="R1844" t="str">
        <f>IF(BBDD_fashion_boutique[[#This Row],[stock_quantity]]&gt;9,"Ok",IF(BBDD_fashion_boutique[[#This Row],[stock_quantity]]=0,"Agotado","Pocas Unidades"))</f>
        <v>Ok</v>
      </c>
      <c r="S1844" s="3" t="str">
        <f>IF(BBDD_fashion_boutique[[#This Row],[customer_rating]]="","No valorado",BBDD_fashion_boutique[[#This Row],[customer_rating]])</f>
        <v>No valorado</v>
      </c>
      <c r="T1844" t="s">
        <v>41</v>
      </c>
      <c r="U1844" t="s">
        <v>121</v>
      </c>
      <c r="V1844">
        <f>IF(BBDD_fashion_boutique[[#This Row],[is_returned]]="False",0,1)</f>
        <v>1</v>
      </c>
      <c r="W1844">
        <f>IF(BBDD_fashion_boutique[[#This Row],[is_returned]]="True",0,BBDD_fashion_boutique[[#This Row],[current_price]])</f>
        <v>0</v>
      </c>
      <c r="X1844" t="str">
        <f>IF(BBDD_fashion_boutique[[#This Row],[return_reason]]="","No return",BBDD_fashion_boutique[[#This Row],[return_reason]])</f>
        <v>Changed Mind</v>
      </c>
      <c r="Y1844">
        <f>IF(IFERROR(VLOOKUP(BBDD_fashion_boutique[[#This Row],[product_id]],A1845:A4020,1,FALSE),0),1,0)</f>
        <v>0</v>
      </c>
    </row>
    <row r="1845" spans="1:25" x14ac:dyDescent="0.3">
      <c r="A1845" t="s">
        <v>1904</v>
      </c>
      <c r="B1845" t="s">
        <v>48</v>
      </c>
      <c r="C1845" t="s">
        <v>49</v>
      </c>
      <c r="D1845" t="s">
        <v>39</v>
      </c>
      <c r="E1845" t="s">
        <v>45</v>
      </c>
      <c r="F1845" t="str">
        <f>IF(BBDD_fashion_boutique[[#This Row],[category]]="Accessories","Accesorio",IF(BBDD_fashion_boutique[[#This Row],[size]]="","Desconocido",BBDD_fashion_boutique[[#This Row],[size]]))</f>
        <v>S</v>
      </c>
      <c r="G1845" t="s">
        <v>30</v>
      </c>
      <c r="H1845" s="2">
        <v>169.64</v>
      </c>
      <c r="I1845">
        <v>0</v>
      </c>
      <c r="J1845" s="5">
        <f>BBDD_fashion_boutique[[#This Row],[markdown_percentage]]/100</f>
        <v>0</v>
      </c>
      <c r="K1845" s="2">
        <v>169.64</v>
      </c>
      <c r="L1845" s="2">
        <f>BBDD_fashion_boutique[[#This Row],[original_price]]-BBDD_fashion_boutique[[#This Row],[current_price]]</f>
        <v>0</v>
      </c>
      <c r="M1845" s="1">
        <v>45875</v>
      </c>
      <c r="N1845" s="1" t="str">
        <f>PROPER(TEXT(BBDD_fashion_boutique[[#This Row],[purchase_date]],"dddd"))</f>
        <v>Miércoles</v>
      </c>
      <c r="O1845" s="1" t="str">
        <f>PROPER(TEXT(BBDD_fashion_boutique[[#This Row],[purchase_date]],"mmmm"))</f>
        <v>Agosto</v>
      </c>
      <c r="P1845" s="4">
        <v>5</v>
      </c>
      <c r="Q1845" s="2">
        <v>1.6</v>
      </c>
      <c r="R1845" t="str">
        <f>IF(BBDD_fashion_boutique[[#This Row],[stock_quantity]]&gt;9,"Ok",IF(BBDD_fashion_boutique[[#This Row],[stock_quantity]]=0,"Agotado","Pocas Unidades"))</f>
        <v>Pocas Unidades</v>
      </c>
      <c r="S1845" s="3">
        <f>IF(BBDD_fashion_boutique[[#This Row],[customer_rating]]="","No valorado",BBDD_fashion_boutique[[#This Row],[customer_rating]])</f>
        <v>1.6</v>
      </c>
      <c r="T1845" t="s">
        <v>24</v>
      </c>
      <c r="V1845">
        <f>IF(BBDD_fashion_boutique[[#This Row],[is_returned]]="False",0,1)</f>
        <v>0</v>
      </c>
      <c r="W1845">
        <f>IF(BBDD_fashion_boutique[[#This Row],[is_returned]]="True",0,BBDD_fashion_boutique[[#This Row],[current_price]])</f>
        <v>169.64</v>
      </c>
      <c r="X1845" t="str">
        <f>IF(BBDD_fashion_boutique[[#This Row],[return_reason]]="","No return",BBDD_fashion_boutique[[#This Row],[return_reason]])</f>
        <v>No return</v>
      </c>
      <c r="Y1845">
        <f>IF(IFERROR(VLOOKUP(BBDD_fashion_boutique[[#This Row],[product_id]],A1846:A4021,1,FALSE),0),1,0)</f>
        <v>0</v>
      </c>
    </row>
    <row r="1846" spans="1:25" x14ac:dyDescent="0.3">
      <c r="A1846" t="s">
        <v>1905</v>
      </c>
      <c r="B1846" t="s">
        <v>32</v>
      </c>
      <c r="C1846" t="s">
        <v>67</v>
      </c>
      <c r="D1846" t="s">
        <v>68</v>
      </c>
      <c r="F1846" t="str">
        <f>IF(BBDD_fashion_boutique[[#This Row],[category]]="Accessories","Accesorio",IF(BBDD_fashion_boutique[[#This Row],[size]]="","Desconocido",BBDD_fashion_boutique[[#This Row],[size]]))</f>
        <v>Accesorio</v>
      </c>
      <c r="G1846" t="s">
        <v>50</v>
      </c>
      <c r="H1846" s="2">
        <v>59.94</v>
      </c>
      <c r="I1846">
        <v>0</v>
      </c>
      <c r="J1846" s="5">
        <f>BBDD_fashion_boutique[[#This Row],[markdown_percentage]]/100</f>
        <v>0</v>
      </c>
      <c r="K1846" s="2">
        <v>59.94</v>
      </c>
      <c r="L1846" s="2">
        <f>BBDD_fashion_boutique[[#This Row],[original_price]]-BBDD_fashion_boutique[[#This Row],[current_price]]</f>
        <v>0</v>
      </c>
      <c r="M1846" s="1">
        <v>45875</v>
      </c>
      <c r="N1846" s="1" t="str">
        <f>PROPER(TEXT(BBDD_fashion_boutique[[#This Row],[purchase_date]],"dddd"))</f>
        <v>Miércoles</v>
      </c>
      <c r="O1846" s="1" t="str">
        <f>PROPER(TEXT(BBDD_fashion_boutique[[#This Row],[purchase_date]],"mmmm"))</f>
        <v>Agosto</v>
      </c>
      <c r="P1846" s="4">
        <v>7</v>
      </c>
      <c r="Q1846" s="2">
        <v>4</v>
      </c>
      <c r="R1846" t="str">
        <f>IF(BBDD_fashion_boutique[[#This Row],[stock_quantity]]&gt;9,"Ok",IF(BBDD_fashion_boutique[[#This Row],[stock_quantity]]=0,"Agotado","Pocas Unidades"))</f>
        <v>Pocas Unidades</v>
      </c>
      <c r="S1846" s="3">
        <f>IF(BBDD_fashion_boutique[[#This Row],[customer_rating]]="","No valorado",BBDD_fashion_boutique[[#This Row],[customer_rating]])</f>
        <v>4</v>
      </c>
      <c r="T1846" t="s">
        <v>24</v>
      </c>
      <c r="V1846">
        <f>IF(BBDD_fashion_boutique[[#This Row],[is_returned]]="False",0,1)</f>
        <v>0</v>
      </c>
      <c r="W1846">
        <f>IF(BBDD_fashion_boutique[[#This Row],[is_returned]]="True",0,BBDD_fashion_boutique[[#This Row],[current_price]])</f>
        <v>59.94</v>
      </c>
      <c r="X1846" t="str">
        <f>IF(BBDD_fashion_boutique[[#This Row],[return_reason]]="","No return",BBDD_fashion_boutique[[#This Row],[return_reason]])</f>
        <v>No return</v>
      </c>
      <c r="Y1846">
        <f>IF(IFERROR(VLOOKUP(BBDD_fashion_boutique[[#This Row],[product_id]],A1847:A4022,1,FALSE),0),1,0)</f>
        <v>0</v>
      </c>
    </row>
    <row r="1847" spans="1:25" x14ac:dyDescent="0.3">
      <c r="A1847" t="s">
        <v>1906</v>
      </c>
      <c r="B1847" t="s">
        <v>48</v>
      </c>
      <c r="C1847" t="s">
        <v>67</v>
      </c>
      <c r="D1847" t="s">
        <v>39</v>
      </c>
      <c r="E1847" t="s">
        <v>22</v>
      </c>
      <c r="F1847" t="str">
        <f>IF(BBDD_fashion_boutique[[#This Row],[category]]="Accessories","Accesorio",IF(BBDD_fashion_boutique[[#This Row],[size]]="","Desconocido",BBDD_fashion_boutique[[#This Row],[size]]))</f>
        <v>XL</v>
      </c>
      <c r="G1847" t="s">
        <v>72</v>
      </c>
      <c r="H1847" s="2">
        <v>92.59</v>
      </c>
      <c r="I1847">
        <v>0</v>
      </c>
      <c r="J1847" s="5">
        <f>BBDD_fashion_boutique[[#This Row],[markdown_percentage]]/100</f>
        <v>0</v>
      </c>
      <c r="K1847" s="2">
        <v>92.59</v>
      </c>
      <c r="L1847" s="2">
        <f>BBDD_fashion_boutique[[#This Row],[original_price]]-BBDD_fashion_boutique[[#This Row],[current_price]]</f>
        <v>0</v>
      </c>
      <c r="M1847" s="1">
        <v>45875</v>
      </c>
      <c r="N1847" s="1" t="str">
        <f>PROPER(TEXT(BBDD_fashion_boutique[[#This Row],[purchase_date]],"dddd"))</f>
        <v>Miércoles</v>
      </c>
      <c r="O1847" s="1" t="str">
        <f>PROPER(TEXT(BBDD_fashion_boutique[[#This Row],[purchase_date]],"mmmm"))</f>
        <v>Agosto</v>
      </c>
      <c r="P1847" s="4">
        <v>29</v>
      </c>
      <c r="Q1847" s="2">
        <v>3.5</v>
      </c>
      <c r="R1847" t="str">
        <f>IF(BBDD_fashion_boutique[[#This Row],[stock_quantity]]&gt;9,"Ok",IF(BBDD_fashion_boutique[[#This Row],[stock_quantity]]=0,"Agotado","Pocas Unidades"))</f>
        <v>Ok</v>
      </c>
      <c r="S1847" s="3">
        <f>IF(BBDD_fashion_boutique[[#This Row],[customer_rating]]="","No valorado",BBDD_fashion_boutique[[#This Row],[customer_rating]])</f>
        <v>3.5</v>
      </c>
      <c r="T1847" t="s">
        <v>41</v>
      </c>
      <c r="U1847" t="s">
        <v>79</v>
      </c>
      <c r="V1847">
        <f>IF(BBDD_fashion_boutique[[#This Row],[is_returned]]="False",0,1)</f>
        <v>1</v>
      </c>
      <c r="W1847">
        <f>IF(BBDD_fashion_boutique[[#This Row],[is_returned]]="True",0,BBDD_fashion_boutique[[#This Row],[current_price]])</f>
        <v>0</v>
      </c>
      <c r="X1847" t="str">
        <f>IF(BBDD_fashion_boutique[[#This Row],[return_reason]]="","No return",BBDD_fashion_boutique[[#This Row],[return_reason]])</f>
        <v>Size Issue</v>
      </c>
      <c r="Y1847">
        <f>IF(IFERROR(VLOOKUP(BBDD_fashion_boutique[[#This Row],[product_id]],A1848:A4023,1,FALSE),0),1,0)</f>
        <v>0</v>
      </c>
    </row>
    <row r="1848" spans="1:25" x14ac:dyDescent="0.3">
      <c r="A1848" t="s">
        <v>1907</v>
      </c>
      <c r="B1848" t="s">
        <v>44</v>
      </c>
      <c r="C1848" t="s">
        <v>54</v>
      </c>
      <c r="D1848" t="s">
        <v>21</v>
      </c>
      <c r="E1848" t="s">
        <v>45</v>
      </c>
      <c r="F1848" t="str">
        <f>IF(BBDD_fashion_boutique[[#This Row],[category]]="Accessories","Accesorio",IF(BBDD_fashion_boutique[[#This Row],[size]]="","Desconocido",BBDD_fashion_boutique[[#This Row],[size]]))</f>
        <v>S</v>
      </c>
      <c r="G1848" t="s">
        <v>40</v>
      </c>
      <c r="H1848" s="2">
        <v>64.069999999999993</v>
      </c>
      <c r="I1848">
        <v>0</v>
      </c>
      <c r="J1848" s="5">
        <f>BBDD_fashion_boutique[[#This Row],[markdown_percentage]]/100</f>
        <v>0</v>
      </c>
      <c r="K1848" s="2">
        <v>64.069999999999993</v>
      </c>
      <c r="L1848" s="2">
        <f>BBDD_fashion_boutique[[#This Row],[original_price]]-BBDD_fashion_boutique[[#This Row],[current_price]]</f>
        <v>0</v>
      </c>
      <c r="M1848" s="1">
        <v>45734</v>
      </c>
      <c r="N1848" s="1" t="str">
        <f>PROPER(TEXT(BBDD_fashion_boutique[[#This Row],[purchase_date]],"dddd"))</f>
        <v>Martes</v>
      </c>
      <c r="O1848" s="1" t="str">
        <f>PROPER(TEXT(BBDD_fashion_boutique[[#This Row],[purchase_date]],"mmmm"))</f>
        <v>Marzo</v>
      </c>
      <c r="P1848" s="4">
        <v>10</v>
      </c>
      <c r="R1848" t="str">
        <f>IF(BBDD_fashion_boutique[[#This Row],[stock_quantity]]&gt;9,"Ok",IF(BBDD_fashion_boutique[[#This Row],[stock_quantity]]=0,"Agotado","Pocas Unidades"))</f>
        <v>Ok</v>
      </c>
      <c r="S1848" s="3" t="str">
        <f>IF(BBDD_fashion_boutique[[#This Row],[customer_rating]]="","No valorado",BBDD_fashion_boutique[[#This Row],[customer_rating]])</f>
        <v>No valorado</v>
      </c>
      <c r="T1848" t="s">
        <v>24</v>
      </c>
      <c r="V1848">
        <f>IF(BBDD_fashion_boutique[[#This Row],[is_returned]]="False",0,1)</f>
        <v>0</v>
      </c>
      <c r="W1848">
        <f>IF(BBDD_fashion_boutique[[#This Row],[is_returned]]="True",0,BBDD_fashion_boutique[[#This Row],[current_price]])</f>
        <v>64.069999999999993</v>
      </c>
      <c r="X1848" t="str">
        <f>IF(BBDD_fashion_boutique[[#This Row],[return_reason]]="","No return",BBDD_fashion_boutique[[#This Row],[return_reason]])</f>
        <v>No return</v>
      </c>
      <c r="Y1848">
        <f>IF(IFERROR(VLOOKUP(BBDD_fashion_boutique[[#This Row],[product_id]],A1849:A4024,1,FALSE),0),1,0)</f>
        <v>0</v>
      </c>
    </row>
    <row r="1849" spans="1:25" x14ac:dyDescent="0.3">
      <c r="A1849" t="s">
        <v>1908</v>
      </c>
      <c r="B1849" t="s">
        <v>48</v>
      </c>
      <c r="C1849" t="s">
        <v>81</v>
      </c>
      <c r="D1849" t="s">
        <v>39</v>
      </c>
      <c r="E1849" t="s">
        <v>61</v>
      </c>
      <c r="F1849" t="str">
        <f>IF(BBDD_fashion_boutique[[#This Row],[category]]="Accessories","Accesorio",IF(BBDD_fashion_boutique[[#This Row],[size]]="","Desconocido",BBDD_fashion_boutique[[#This Row],[size]]))</f>
        <v>XS</v>
      </c>
      <c r="G1849" t="s">
        <v>50</v>
      </c>
      <c r="H1849" s="2">
        <v>127.87</v>
      </c>
      <c r="I1849">
        <v>54.6</v>
      </c>
      <c r="J1849" s="5">
        <f>BBDD_fashion_boutique[[#This Row],[markdown_percentage]]/100</f>
        <v>0.54600000000000004</v>
      </c>
      <c r="K1849" s="2">
        <v>58.05</v>
      </c>
      <c r="L1849" s="2">
        <f>BBDD_fashion_boutique[[#This Row],[original_price]]-BBDD_fashion_boutique[[#This Row],[current_price]]</f>
        <v>69.820000000000007</v>
      </c>
      <c r="M1849" s="1">
        <v>45875</v>
      </c>
      <c r="N1849" s="1" t="str">
        <f>PROPER(TEXT(BBDD_fashion_boutique[[#This Row],[purchase_date]],"dddd"))</f>
        <v>Miércoles</v>
      </c>
      <c r="O1849" s="1" t="str">
        <f>PROPER(TEXT(BBDD_fashion_boutique[[#This Row],[purchase_date]],"mmmm"))</f>
        <v>Agosto</v>
      </c>
      <c r="P1849" s="4">
        <v>14</v>
      </c>
      <c r="Q1849" s="2">
        <v>4.4000000000000004</v>
      </c>
      <c r="R1849" t="str">
        <f>IF(BBDD_fashion_boutique[[#This Row],[stock_quantity]]&gt;9,"Ok",IF(BBDD_fashion_boutique[[#This Row],[stock_quantity]]=0,"Agotado","Pocas Unidades"))</f>
        <v>Ok</v>
      </c>
      <c r="S1849" s="3">
        <f>IF(BBDD_fashion_boutique[[#This Row],[customer_rating]]="","No valorado",BBDD_fashion_boutique[[#This Row],[customer_rating]])</f>
        <v>4.4000000000000004</v>
      </c>
      <c r="T1849" t="s">
        <v>24</v>
      </c>
      <c r="V1849">
        <f>IF(BBDD_fashion_boutique[[#This Row],[is_returned]]="False",0,1)</f>
        <v>0</v>
      </c>
      <c r="W1849">
        <f>IF(BBDD_fashion_boutique[[#This Row],[is_returned]]="True",0,BBDD_fashion_boutique[[#This Row],[current_price]])</f>
        <v>58.05</v>
      </c>
      <c r="X1849" t="str">
        <f>IF(BBDD_fashion_boutique[[#This Row],[return_reason]]="","No return",BBDD_fashion_boutique[[#This Row],[return_reason]])</f>
        <v>No return</v>
      </c>
      <c r="Y1849">
        <f>IF(IFERROR(VLOOKUP(BBDD_fashion_boutique[[#This Row],[product_id]],A1850:A4025,1,FALSE),0),1,0)</f>
        <v>0</v>
      </c>
    </row>
    <row r="1850" spans="1:25" x14ac:dyDescent="0.3">
      <c r="A1850" t="s">
        <v>1909</v>
      </c>
      <c r="B1850" t="s">
        <v>44</v>
      </c>
      <c r="C1850" t="s">
        <v>37</v>
      </c>
      <c r="D1850" t="s">
        <v>39</v>
      </c>
      <c r="E1850" t="s">
        <v>64</v>
      </c>
      <c r="F1850" t="str">
        <f>IF(BBDD_fashion_boutique[[#This Row],[category]]="Accessories","Accesorio",IF(BBDD_fashion_boutique[[#This Row],[size]]="","Desconocido",BBDD_fashion_boutique[[#This Row],[size]]))</f>
        <v>M</v>
      </c>
      <c r="G1850" t="s">
        <v>50</v>
      </c>
      <c r="H1850" s="2">
        <v>32.46</v>
      </c>
      <c r="I1850">
        <v>12.9</v>
      </c>
      <c r="J1850" s="5">
        <f>BBDD_fashion_boutique[[#This Row],[markdown_percentage]]/100</f>
        <v>0.129</v>
      </c>
      <c r="K1850" s="2">
        <v>28.27</v>
      </c>
      <c r="L1850" s="2">
        <f>BBDD_fashion_boutique[[#This Row],[original_price]]-BBDD_fashion_boutique[[#This Row],[current_price]]</f>
        <v>4.1900000000000013</v>
      </c>
      <c r="M1850" s="1">
        <v>45875</v>
      </c>
      <c r="N1850" s="1" t="str">
        <f>PROPER(TEXT(BBDD_fashion_boutique[[#This Row],[purchase_date]],"dddd"))</f>
        <v>Miércoles</v>
      </c>
      <c r="O1850" s="1" t="str">
        <f>PROPER(TEXT(BBDD_fashion_boutique[[#This Row],[purchase_date]],"mmmm"))</f>
        <v>Agosto</v>
      </c>
      <c r="P1850" s="4">
        <v>9</v>
      </c>
      <c r="R1850" t="str">
        <f>IF(BBDD_fashion_boutique[[#This Row],[stock_quantity]]&gt;9,"Ok",IF(BBDD_fashion_boutique[[#This Row],[stock_quantity]]=0,"Agotado","Pocas Unidades"))</f>
        <v>Pocas Unidades</v>
      </c>
      <c r="S1850" s="3" t="str">
        <f>IF(BBDD_fashion_boutique[[#This Row],[customer_rating]]="","No valorado",BBDD_fashion_boutique[[#This Row],[customer_rating]])</f>
        <v>No valorado</v>
      </c>
      <c r="T1850" t="s">
        <v>24</v>
      </c>
      <c r="V1850">
        <f>IF(BBDD_fashion_boutique[[#This Row],[is_returned]]="False",0,1)</f>
        <v>0</v>
      </c>
      <c r="W1850">
        <f>IF(BBDD_fashion_boutique[[#This Row],[is_returned]]="True",0,BBDD_fashion_boutique[[#This Row],[current_price]])</f>
        <v>28.27</v>
      </c>
      <c r="X1850" t="str">
        <f>IF(BBDD_fashion_boutique[[#This Row],[return_reason]]="","No return",BBDD_fashion_boutique[[#This Row],[return_reason]])</f>
        <v>No return</v>
      </c>
      <c r="Y1850">
        <f>IF(IFERROR(VLOOKUP(BBDD_fashion_boutique[[#This Row],[product_id]],A1851:A4026,1,FALSE),0),1,0)</f>
        <v>0</v>
      </c>
    </row>
    <row r="1851" spans="1:25" x14ac:dyDescent="0.3">
      <c r="A1851" t="s">
        <v>1910</v>
      </c>
      <c r="B1851" t="s">
        <v>44</v>
      </c>
      <c r="C1851" t="s">
        <v>54</v>
      </c>
      <c r="D1851" t="s">
        <v>68</v>
      </c>
      <c r="E1851" t="s">
        <v>55</v>
      </c>
      <c r="F1851" t="str">
        <f>IF(BBDD_fashion_boutique[[#This Row],[category]]="Accessories","Accesorio",IF(BBDD_fashion_boutique[[#This Row],[size]]="","Desconocido",BBDD_fashion_boutique[[#This Row],[size]]))</f>
        <v>XXL</v>
      </c>
      <c r="G1851" t="s">
        <v>30</v>
      </c>
      <c r="H1851" s="2">
        <v>40.31</v>
      </c>
      <c r="I1851">
        <v>43</v>
      </c>
      <c r="J1851" s="5">
        <f>BBDD_fashion_boutique[[#This Row],[markdown_percentage]]/100</f>
        <v>0.43</v>
      </c>
      <c r="K1851" s="2">
        <v>22.98</v>
      </c>
      <c r="L1851" s="2">
        <f>BBDD_fashion_boutique[[#This Row],[original_price]]-BBDD_fashion_boutique[[#This Row],[current_price]]</f>
        <v>17.330000000000002</v>
      </c>
      <c r="M1851" s="1">
        <v>45875</v>
      </c>
      <c r="N1851" s="1" t="str">
        <f>PROPER(TEXT(BBDD_fashion_boutique[[#This Row],[purchase_date]],"dddd"))</f>
        <v>Miércoles</v>
      </c>
      <c r="O1851" s="1" t="str">
        <f>PROPER(TEXT(BBDD_fashion_boutique[[#This Row],[purchase_date]],"mmmm"))</f>
        <v>Agosto</v>
      </c>
      <c r="P1851" s="4">
        <v>30</v>
      </c>
      <c r="Q1851" s="2">
        <v>3.5</v>
      </c>
      <c r="R1851" t="str">
        <f>IF(BBDD_fashion_boutique[[#This Row],[stock_quantity]]&gt;9,"Ok",IF(BBDD_fashion_boutique[[#This Row],[stock_quantity]]=0,"Agotado","Pocas Unidades"))</f>
        <v>Ok</v>
      </c>
      <c r="S1851" s="3">
        <f>IF(BBDD_fashion_boutique[[#This Row],[customer_rating]]="","No valorado",BBDD_fashion_boutique[[#This Row],[customer_rating]])</f>
        <v>3.5</v>
      </c>
      <c r="T1851" t="s">
        <v>41</v>
      </c>
      <c r="U1851" t="s">
        <v>42</v>
      </c>
      <c r="V1851">
        <f>IF(BBDD_fashion_boutique[[#This Row],[is_returned]]="False",0,1)</f>
        <v>1</v>
      </c>
      <c r="W1851">
        <f>IF(BBDD_fashion_boutique[[#This Row],[is_returned]]="True",0,BBDD_fashion_boutique[[#This Row],[current_price]])</f>
        <v>0</v>
      </c>
      <c r="X1851" t="str">
        <f>IF(BBDD_fashion_boutique[[#This Row],[return_reason]]="","No return",BBDD_fashion_boutique[[#This Row],[return_reason]])</f>
        <v>Color Mismatch</v>
      </c>
      <c r="Y1851">
        <f>IF(IFERROR(VLOOKUP(BBDD_fashion_boutique[[#This Row],[product_id]],A1852:A4027,1,FALSE),0),1,0)</f>
        <v>0</v>
      </c>
    </row>
    <row r="1852" spans="1:25" x14ac:dyDescent="0.3">
      <c r="A1852" t="s">
        <v>1911</v>
      </c>
      <c r="B1852" t="s">
        <v>32</v>
      </c>
      <c r="C1852" t="s">
        <v>59</v>
      </c>
      <c r="D1852" t="s">
        <v>28</v>
      </c>
      <c r="F1852" t="str">
        <f>IF(BBDD_fashion_boutique[[#This Row],[category]]="Accessories","Accesorio",IF(BBDD_fashion_boutique[[#This Row],[size]]="","Desconocido",BBDD_fashion_boutique[[#This Row],[size]]))</f>
        <v>Accesorio</v>
      </c>
      <c r="G1852" t="s">
        <v>52</v>
      </c>
      <c r="H1852" s="2">
        <v>51.3</v>
      </c>
      <c r="I1852">
        <v>6.1</v>
      </c>
      <c r="J1852" s="5">
        <f>BBDD_fashion_boutique[[#This Row],[markdown_percentage]]/100</f>
        <v>6.0999999999999999E-2</v>
      </c>
      <c r="K1852" s="2">
        <v>48.17</v>
      </c>
      <c r="L1852" s="2">
        <f>BBDD_fashion_boutique[[#This Row],[original_price]]-BBDD_fashion_boutique[[#This Row],[current_price]]</f>
        <v>3.1299999999999955</v>
      </c>
      <c r="M1852" s="1">
        <v>45875</v>
      </c>
      <c r="N1852" s="1" t="str">
        <f>PROPER(TEXT(BBDD_fashion_boutique[[#This Row],[purchase_date]],"dddd"))</f>
        <v>Miércoles</v>
      </c>
      <c r="O1852" s="1" t="str">
        <f>PROPER(TEXT(BBDD_fashion_boutique[[#This Row],[purchase_date]],"mmmm"))</f>
        <v>Agosto</v>
      </c>
      <c r="P1852" s="4">
        <v>31</v>
      </c>
      <c r="R1852" t="str">
        <f>IF(BBDD_fashion_boutique[[#This Row],[stock_quantity]]&gt;9,"Ok",IF(BBDD_fashion_boutique[[#This Row],[stock_quantity]]=0,"Agotado","Pocas Unidades"))</f>
        <v>Ok</v>
      </c>
      <c r="S1852" s="3" t="str">
        <f>IF(BBDD_fashion_boutique[[#This Row],[customer_rating]]="","No valorado",BBDD_fashion_boutique[[#This Row],[customer_rating]])</f>
        <v>No valorado</v>
      </c>
      <c r="T1852" t="s">
        <v>24</v>
      </c>
      <c r="V1852">
        <f>IF(BBDD_fashion_boutique[[#This Row],[is_returned]]="False",0,1)</f>
        <v>0</v>
      </c>
      <c r="W1852">
        <f>IF(BBDD_fashion_boutique[[#This Row],[is_returned]]="True",0,BBDD_fashion_boutique[[#This Row],[current_price]])</f>
        <v>48.17</v>
      </c>
      <c r="X1852" t="str">
        <f>IF(BBDD_fashion_boutique[[#This Row],[return_reason]]="","No return",BBDD_fashion_boutique[[#This Row],[return_reason]])</f>
        <v>No return</v>
      </c>
      <c r="Y1852">
        <f>IF(IFERROR(VLOOKUP(BBDD_fashion_boutique[[#This Row],[product_id]],A1853:A4028,1,FALSE),0),1,0)</f>
        <v>0</v>
      </c>
    </row>
    <row r="1853" spans="1:25" x14ac:dyDescent="0.3">
      <c r="A1853" t="s">
        <v>1912</v>
      </c>
      <c r="B1853" t="s">
        <v>44</v>
      </c>
      <c r="C1853" t="s">
        <v>67</v>
      </c>
      <c r="D1853" t="s">
        <v>28</v>
      </c>
      <c r="E1853" t="s">
        <v>61</v>
      </c>
      <c r="F1853" t="str">
        <f>IF(BBDD_fashion_boutique[[#This Row],[category]]="Accessories","Accesorio",IF(BBDD_fashion_boutique[[#This Row],[size]]="","Desconocido",BBDD_fashion_boutique[[#This Row],[size]]))</f>
        <v>XS</v>
      </c>
      <c r="G1853" t="s">
        <v>30</v>
      </c>
      <c r="H1853" s="2">
        <v>28.62</v>
      </c>
      <c r="I1853">
        <v>0</v>
      </c>
      <c r="J1853" s="5">
        <f>BBDD_fashion_boutique[[#This Row],[markdown_percentage]]/100</f>
        <v>0</v>
      </c>
      <c r="K1853" s="2">
        <v>28.62</v>
      </c>
      <c r="L1853" s="2">
        <f>BBDD_fashion_boutique[[#This Row],[original_price]]-BBDD_fashion_boutique[[#This Row],[current_price]]</f>
        <v>0</v>
      </c>
      <c r="M1853" s="1">
        <v>45875</v>
      </c>
      <c r="N1853" s="1" t="str">
        <f>PROPER(TEXT(BBDD_fashion_boutique[[#This Row],[purchase_date]],"dddd"))</f>
        <v>Miércoles</v>
      </c>
      <c r="O1853" s="1" t="str">
        <f>PROPER(TEXT(BBDD_fashion_boutique[[#This Row],[purchase_date]],"mmmm"))</f>
        <v>Agosto</v>
      </c>
      <c r="P1853" s="4">
        <v>41</v>
      </c>
      <c r="Q1853" s="2">
        <v>4</v>
      </c>
      <c r="R1853" t="str">
        <f>IF(BBDD_fashion_boutique[[#This Row],[stock_quantity]]&gt;9,"Ok",IF(BBDD_fashion_boutique[[#This Row],[stock_quantity]]=0,"Agotado","Pocas Unidades"))</f>
        <v>Ok</v>
      </c>
      <c r="S1853" s="3">
        <f>IF(BBDD_fashion_boutique[[#This Row],[customer_rating]]="","No valorado",BBDD_fashion_boutique[[#This Row],[customer_rating]])</f>
        <v>4</v>
      </c>
      <c r="T1853" t="s">
        <v>24</v>
      </c>
      <c r="V1853">
        <f>IF(BBDD_fashion_boutique[[#This Row],[is_returned]]="False",0,1)</f>
        <v>0</v>
      </c>
      <c r="W1853">
        <f>IF(BBDD_fashion_boutique[[#This Row],[is_returned]]="True",0,BBDD_fashion_boutique[[#This Row],[current_price]])</f>
        <v>28.62</v>
      </c>
      <c r="X1853" t="str">
        <f>IF(BBDD_fashion_boutique[[#This Row],[return_reason]]="","No return",BBDD_fashion_boutique[[#This Row],[return_reason]])</f>
        <v>No return</v>
      </c>
      <c r="Y1853">
        <f>IF(IFERROR(VLOOKUP(BBDD_fashion_boutique[[#This Row],[product_id]],A1854:A4029,1,FALSE),0),1,0)</f>
        <v>0</v>
      </c>
    </row>
    <row r="1854" spans="1:25" x14ac:dyDescent="0.3">
      <c r="A1854" t="s">
        <v>1913</v>
      </c>
      <c r="B1854" t="s">
        <v>32</v>
      </c>
      <c r="C1854" t="s">
        <v>67</v>
      </c>
      <c r="D1854" t="s">
        <v>39</v>
      </c>
      <c r="F1854" t="str">
        <f>IF(BBDD_fashion_boutique[[#This Row],[category]]="Accessories","Accesorio",IF(BBDD_fashion_boutique[[#This Row],[size]]="","Desconocido",BBDD_fashion_boutique[[#This Row],[size]]))</f>
        <v>Accesorio</v>
      </c>
      <c r="G1854" t="s">
        <v>52</v>
      </c>
      <c r="H1854" s="2">
        <v>59.03</v>
      </c>
      <c r="I1854">
        <v>6.4</v>
      </c>
      <c r="J1854" s="5">
        <f>BBDD_fashion_boutique[[#This Row],[markdown_percentage]]/100</f>
        <v>6.4000000000000001E-2</v>
      </c>
      <c r="K1854" s="2">
        <v>55.25</v>
      </c>
      <c r="L1854" s="2">
        <f>BBDD_fashion_boutique[[#This Row],[original_price]]-BBDD_fashion_boutique[[#This Row],[current_price]]</f>
        <v>3.7800000000000011</v>
      </c>
      <c r="M1854" s="1">
        <v>45875</v>
      </c>
      <c r="N1854" s="1" t="str">
        <f>PROPER(TEXT(BBDD_fashion_boutique[[#This Row],[purchase_date]],"dddd"))</f>
        <v>Miércoles</v>
      </c>
      <c r="O1854" s="1" t="str">
        <f>PROPER(TEXT(BBDD_fashion_boutique[[#This Row],[purchase_date]],"mmmm"))</f>
        <v>Agosto</v>
      </c>
      <c r="P1854" s="4">
        <v>45</v>
      </c>
      <c r="R1854" t="str">
        <f>IF(BBDD_fashion_boutique[[#This Row],[stock_quantity]]&gt;9,"Ok",IF(BBDD_fashion_boutique[[#This Row],[stock_quantity]]=0,"Agotado","Pocas Unidades"))</f>
        <v>Ok</v>
      </c>
      <c r="S1854" s="3" t="str">
        <f>IF(BBDD_fashion_boutique[[#This Row],[customer_rating]]="","No valorado",BBDD_fashion_boutique[[#This Row],[customer_rating]])</f>
        <v>No valorado</v>
      </c>
      <c r="T1854" t="s">
        <v>24</v>
      </c>
      <c r="V1854">
        <f>IF(BBDD_fashion_boutique[[#This Row],[is_returned]]="False",0,1)</f>
        <v>0</v>
      </c>
      <c r="W1854">
        <f>IF(BBDD_fashion_boutique[[#This Row],[is_returned]]="True",0,BBDD_fashion_boutique[[#This Row],[current_price]])</f>
        <v>55.25</v>
      </c>
      <c r="X1854" t="str">
        <f>IF(BBDD_fashion_boutique[[#This Row],[return_reason]]="","No return",BBDD_fashion_boutique[[#This Row],[return_reason]])</f>
        <v>No return</v>
      </c>
      <c r="Y1854">
        <f>IF(IFERROR(VLOOKUP(BBDD_fashion_boutique[[#This Row],[product_id]],A1855:A4030,1,FALSE),0),1,0)</f>
        <v>0</v>
      </c>
    </row>
    <row r="1855" spans="1:25" x14ac:dyDescent="0.3">
      <c r="A1855" t="s">
        <v>1914</v>
      </c>
      <c r="B1855" t="s">
        <v>26</v>
      </c>
      <c r="C1855" t="s">
        <v>59</v>
      </c>
      <c r="D1855" t="s">
        <v>68</v>
      </c>
      <c r="E1855" t="s">
        <v>45</v>
      </c>
      <c r="F1855" t="str">
        <f>IF(BBDD_fashion_boutique[[#This Row],[category]]="Accessories","Accesorio",IF(BBDD_fashion_boutique[[#This Row],[size]]="","Desconocido",BBDD_fashion_boutique[[#This Row],[size]]))</f>
        <v>S</v>
      </c>
      <c r="G1855" t="s">
        <v>76</v>
      </c>
      <c r="H1855" s="2">
        <v>99.65</v>
      </c>
      <c r="I1855">
        <v>7.4</v>
      </c>
      <c r="J1855" s="5">
        <f>BBDD_fashion_boutique[[#This Row],[markdown_percentage]]/100</f>
        <v>7.400000000000001E-2</v>
      </c>
      <c r="K1855" s="2">
        <v>92.28</v>
      </c>
      <c r="L1855" s="2">
        <f>BBDD_fashion_boutique[[#This Row],[original_price]]-BBDD_fashion_boutique[[#This Row],[current_price]]</f>
        <v>7.3700000000000045</v>
      </c>
      <c r="M1855" s="1">
        <v>45875</v>
      </c>
      <c r="N1855" s="1" t="str">
        <f>PROPER(TEXT(BBDD_fashion_boutique[[#This Row],[purchase_date]],"dddd"))</f>
        <v>Miércoles</v>
      </c>
      <c r="O1855" s="1" t="str">
        <f>PROPER(TEXT(BBDD_fashion_boutique[[#This Row],[purchase_date]],"mmmm"))</f>
        <v>Agosto</v>
      </c>
      <c r="P1855" s="4">
        <v>31</v>
      </c>
      <c r="Q1855" s="2">
        <v>3.8</v>
      </c>
      <c r="R1855" t="str">
        <f>IF(BBDD_fashion_boutique[[#This Row],[stock_quantity]]&gt;9,"Ok",IF(BBDD_fashion_boutique[[#This Row],[stock_quantity]]=0,"Agotado","Pocas Unidades"))</f>
        <v>Ok</v>
      </c>
      <c r="S1855" s="3">
        <f>IF(BBDD_fashion_boutique[[#This Row],[customer_rating]]="","No valorado",BBDD_fashion_boutique[[#This Row],[customer_rating]])</f>
        <v>3.8</v>
      </c>
      <c r="T1855" t="s">
        <v>24</v>
      </c>
      <c r="V1855">
        <f>IF(BBDD_fashion_boutique[[#This Row],[is_returned]]="False",0,1)</f>
        <v>0</v>
      </c>
      <c r="W1855">
        <f>IF(BBDD_fashion_boutique[[#This Row],[is_returned]]="True",0,BBDD_fashion_boutique[[#This Row],[current_price]])</f>
        <v>92.28</v>
      </c>
      <c r="X1855" t="str">
        <f>IF(BBDD_fashion_boutique[[#This Row],[return_reason]]="","No return",BBDD_fashion_boutique[[#This Row],[return_reason]])</f>
        <v>No return</v>
      </c>
      <c r="Y1855">
        <f>IF(IFERROR(VLOOKUP(BBDD_fashion_boutique[[#This Row],[product_id]],A1856:A4031,1,FALSE),0),1,0)</f>
        <v>0</v>
      </c>
    </row>
    <row r="1856" spans="1:25" x14ac:dyDescent="0.3">
      <c r="A1856" t="s">
        <v>1915</v>
      </c>
      <c r="B1856" t="s">
        <v>48</v>
      </c>
      <c r="C1856" t="s">
        <v>81</v>
      </c>
      <c r="D1856" t="s">
        <v>28</v>
      </c>
      <c r="F1856" t="str">
        <f>IF(BBDD_fashion_boutique[[#This Row],[category]]="Accessories","Accesorio",IF(BBDD_fashion_boutique[[#This Row],[size]]="","Desconocido",BBDD_fashion_boutique[[#This Row],[size]]))</f>
        <v>Desconocido</v>
      </c>
      <c r="G1856" t="s">
        <v>50</v>
      </c>
      <c r="H1856" s="2">
        <v>128.55000000000001</v>
      </c>
      <c r="I1856">
        <v>0</v>
      </c>
      <c r="J1856" s="5">
        <f>BBDD_fashion_boutique[[#This Row],[markdown_percentage]]/100</f>
        <v>0</v>
      </c>
      <c r="K1856" s="2">
        <v>128.55000000000001</v>
      </c>
      <c r="L1856" s="2">
        <f>BBDD_fashion_boutique[[#This Row],[original_price]]-BBDD_fashion_boutique[[#This Row],[current_price]]</f>
        <v>0</v>
      </c>
      <c r="M1856" s="1">
        <v>45875</v>
      </c>
      <c r="N1856" s="1" t="str">
        <f>PROPER(TEXT(BBDD_fashion_boutique[[#This Row],[purchase_date]],"dddd"))</f>
        <v>Miércoles</v>
      </c>
      <c r="O1856" s="1" t="str">
        <f>PROPER(TEXT(BBDD_fashion_boutique[[#This Row],[purchase_date]],"mmmm"))</f>
        <v>Agosto</v>
      </c>
      <c r="P1856" s="4">
        <v>1</v>
      </c>
      <c r="Q1856" s="2">
        <v>3.7</v>
      </c>
      <c r="R1856" t="str">
        <f>IF(BBDD_fashion_boutique[[#This Row],[stock_quantity]]&gt;9,"Ok",IF(BBDD_fashion_boutique[[#This Row],[stock_quantity]]=0,"Agotado","Pocas Unidades"))</f>
        <v>Pocas Unidades</v>
      </c>
      <c r="S1856" s="3">
        <f>IF(BBDD_fashion_boutique[[#This Row],[customer_rating]]="","No valorado",BBDD_fashion_boutique[[#This Row],[customer_rating]])</f>
        <v>3.7</v>
      </c>
      <c r="T1856" t="s">
        <v>24</v>
      </c>
      <c r="V1856">
        <f>IF(BBDD_fashion_boutique[[#This Row],[is_returned]]="False",0,1)</f>
        <v>0</v>
      </c>
      <c r="W1856">
        <f>IF(BBDD_fashion_boutique[[#This Row],[is_returned]]="True",0,BBDD_fashion_boutique[[#This Row],[current_price]])</f>
        <v>128.55000000000001</v>
      </c>
      <c r="X1856" t="str">
        <f>IF(BBDD_fashion_boutique[[#This Row],[return_reason]]="","No return",BBDD_fashion_boutique[[#This Row],[return_reason]])</f>
        <v>No return</v>
      </c>
      <c r="Y1856">
        <f>IF(IFERROR(VLOOKUP(BBDD_fashion_boutique[[#This Row],[product_id]],A1857:A4032,1,FALSE),0),1,0)</f>
        <v>0</v>
      </c>
    </row>
    <row r="1857" spans="1:25" x14ac:dyDescent="0.3">
      <c r="A1857" t="s">
        <v>1916</v>
      </c>
      <c r="B1857" t="s">
        <v>44</v>
      </c>
      <c r="C1857" t="s">
        <v>49</v>
      </c>
      <c r="D1857" t="s">
        <v>21</v>
      </c>
      <c r="E1857" t="s">
        <v>29</v>
      </c>
      <c r="F1857" t="str">
        <f>IF(BBDD_fashion_boutique[[#This Row],[category]]="Accessories","Accesorio",IF(BBDD_fashion_boutique[[#This Row],[size]]="","Desconocido",BBDD_fashion_boutique[[#This Row],[size]]))</f>
        <v>L</v>
      </c>
      <c r="G1857" t="s">
        <v>72</v>
      </c>
      <c r="H1857" s="2">
        <v>78.09</v>
      </c>
      <c r="I1857">
        <v>56.3</v>
      </c>
      <c r="J1857" s="5">
        <f>BBDD_fashion_boutique[[#This Row],[markdown_percentage]]/100</f>
        <v>0.56299999999999994</v>
      </c>
      <c r="K1857" s="2">
        <v>34.130000000000003</v>
      </c>
      <c r="L1857" s="2">
        <f>BBDD_fashion_boutique[[#This Row],[original_price]]-BBDD_fashion_boutique[[#This Row],[current_price]]</f>
        <v>43.96</v>
      </c>
      <c r="M1857" s="1">
        <v>45770</v>
      </c>
      <c r="N1857" s="1" t="str">
        <f>PROPER(TEXT(BBDD_fashion_boutique[[#This Row],[purchase_date]],"dddd"))</f>
        <v>Miércoles</v>
      </c>
      <c r="O1857" s="1" t="str">
        <f>PROPER(TEXT(BBDD_fashion_boutique[[#This Row],[purchase_date]],"mmmm"))</f>
        <v>Abril</v>
      </c>
      <c r="P1857" s="4">
        <v>20</v>
      </c>
      <c r="Q1857" s="2">
        <v>1.3</v>
      </c>
      <c r="R1857" t="str">
        <f>IF(BBDD_fashion_boutique[[#This Row],[stock_quantity]]&gt;9,"Ok",IF(BBDD_fashion_boutique[[#This Row],[stock_quantity]]=0,"Agotado","Pocas Unidades"))</f>
        <v>Ok</v>
      </c>
      <c r="S1857" s="3">
        <f>IF(BBDD_fashion_boutique[[#This Row],[customer_rating]]="","No valorado",BBDD_fashion_boutique[[#This Row],[customer_rating]])</f>
        <v>1.3</v>
      </c>
      <c r="T1857" t="s">
        <v>24</v>
      </c>
      <c r="V1857">
        <f>IF(BBDD_fashion_boutique[[#This Row],[is_returned]]="False",0,1)</f>
        <v>0</v>
      </c>
      <c r="W1857">
        <f>IF(BBDD_fashion_boutique[[#This Row],[is_returned]]="True",0,BBDD_fashion_boutique[[#This Row],[current_price]])</f>
        <v>34.130000000000003</v>
      </c>
      <c r="X1857" t="str">
        <f>IF(BBDD_fashion_boutique[[#This Row],[return_reason]]="","No return",BBDD_fashion_boutique[[#This Row],[return_reason]])</f>
        <v>No return</v>
      </c>
      <c r="Y1857">
        <f>IF(IFERROR(VLOOKUP(BBDD_fashion_boutique[[#This Row],[product_id]],A1858:A4033,1,FALSE),0),1,0)</f>
        <v>0</v>
      </c>
    </row>
    <row r="1858" spans="1:25" x14ac:dyDescent="0.3">
      <c r="A1858" t="s">
        <v>1917</v>
      </c>
      <c r="B1858" t="s">
        <v>44</v>
      </c>
      <c r="C1858" t="s">
        <v>49</v>
      </c>
      <c r="D1858" t="s">
        <v>68</v>
      </c>
      <c r="E1858" t="s">
        <v>55</v>
      </c>
      <c r="F1858" t="str">
        <f>IF(BBDD_fashion_boutique[[#This Row],[category]]="Accessories","Accesorio",IF(BBDD_fashion_boutique[[#This Row],[size]]="","Desconocido",BBDD_fashion_boutique[[#This Row],[size]]))</f>
        <v>XXL</v>
      </c>
      <c r="G1858" t="s">
        <v>70</v>
      </c>
      <c r="H1858" s="2">
        <v>108.89</v>
      </c>
      <c r="I1858">
        <v>0</v>
      </c>
      <c r="J1858" s="5">
        <f>BBDD_fashion_boutique[[#This Row],[markdown_percentage]]/100</f>
        <v>0</v>
      </c>
      <c r="K1858" s="2">
        <v>108.89</v>
      </c>
      <c r="L1858" s="2">
        <f>BBDD_fashion_boutique[[#This Row],[original_price]]-BBDD_fashion_boutique[[#This Row],[current_price]]</f>
        <v>0</v>
      </c>
      <c r="M1858" s="1">
        <v>45875</v>
      </c>
      <c r="N1858" s="1" t="str">
        <f>PROPER(TEXT(BBDD_fashion_boutique[[#This Row],[purchase_date]],"dddd"))</f>
        <v>Miércoles</v>
      </c>
      <c r="O1858" s="1" t="str">
        <f>PROPER(TEXT(BBDD_fashion_boutique[[#This Row],[purchase_date]],"mmmm"))</f>
        <v>Agosto</v>
      </c>
      <c r="P1858" s="4">
        <v>50</v>
      </c>
      <c r="Q1858" s="2">
        <v>2.9</v>
      </c>
      <c r="R1858" t="str">
        <f>IF(BBDD_fashion_boutique[[#This Row],[stock_quantity]]&gt;9,"Ok",IF(BBDD_fashion_boutique[[#This Row],[stock_quantity]]=0,"Agotado","Pocas Unidades"))</f>
        <v>Ok</v>
      </c>
      <c r="S1858" s="3">
        <f>IF(BBDD_fashion_boutique[[#This Row],[customer_rating]]="","No valorado",BBDD_fashion_boutique[[#This Row],[customer_rating]])</f>
        <v>2.9</v>
      </c>
      <c r="T1858" t="s">
        <v>24</v>
      </c>
      <c r="V1858">
        <f>IF(BBDD_fashion_boutique[[#This Row],[is_returned]]="False",0,1)</f>
        <v>0</v>
      </c>
      <c r="W1858">
        <f>IF(BBDD_fashion_boutique[[#This Row],[is_returned]]="True",0,BBDD_fashion_boutique[[#This Row],[current_price]])</f>
        <v>108.89</v>
      </c>
      <c r="X1858" t="str">
        <f>IF(BBDD_fashion_boutique[[#This Row],[return_reason]]="","No return",BBDD_fashion_boutique[[#This Row],[return_reason]])</f>
        <v>No return</v>
      </c>
      <c r="Y1858">
        <f>IF(IFERROR(VLOOKUP(BBDD_fashion_boutique[[#This Row],[product_id]],A1859:A4034,1,FALSE),0),1,0)</f>
        <v>0</v>
      </c>
    </row>
    <row r="1859" spans="1:25" x14ac:dyDescent="0.3">
      <c r="A1859" t="s">
        <v>1918</v>
      </c>
      <c r="B1859" t="s">
        <v>44</v>
      </c>
      <c r="C1859" t="s">
        <v>59</v>
      </c>
      <c r="D1859" t="s">
        <v>21</v>
      </c>
      <c r="F1859" t="str">
        <f>IF(BBDD_fashion_boutique[[#This Row],[category]]="Accessories","Accesorio",IF(BBDD_fashion_boutique[[#This Row],[size]]="","Desconocido",BBDD_fashion_boutique[[#This Row],[size]]))</f>
        <v>Desconocido</v>
      </c>
      <c r="G1859" t="s">
        <v>46</v>
      </c>
      <c r="H1859" s="2">
        <v>35.21</v>
      </c>
      <c r="I1859">
        <v>14.7</v>
      </c>
      <c r="J1859" s="5">
        <f>BBDD_fashion_boutique[[#This Row],[markdown_percentage]]/100</f>
        <v>0.14699999999999999</v>
      </c>
      <c r="K1859" s="2">
        <v>30.03</v>
      </c>
      <c r="L1859" s="2">
        <f>BBDD_fashion_boutique[[#This Row],[original_price]]-BBDD_fashion_boutique[[#This Row],[current_price]]</f>
        <v>5.18</v>
      </c>
      <c r="M1859" s="1">
        <v>45649</v>
      </c>
      <c r="N1859" s="1" t="str">
        <f>PROPER(TEXT(BBDD_fashion_boutique[[#This Row],[purchase_date]],"dddd"))</f>
        <v>Lunes</v>
      </c>
      <c r="O1859" s="1" t="str">
        <f>PROPER(TEXT(BBDD_fashion_boutique[[#This Row],[purchase_date]],"mmmm"))</f>
        <v>Diciembre</v>
      </c>
      <c r="P1859" s="4">
        <v>15</v>
      </c>
      <c r="Q1859" s="2">
        <v>3.1</v>
      </c>
      <c r="R1859" t="str">
        <f>IF(BBDD_fashion_boutique[[#This Row],[stock_quantity]]&gt;9,"Ok",IF(BBDD_fashion_boutique[[#This Row],[stock_quantity]]=0,"Agotado","Pocas Unidades"))</f>
        <v>Ok</v>
      </c>
      <c r="S1859" s="3">
        <f>IF(BBDD_fashion_boutique[[#This Row],[customer_rating]]="","No valorado",BBDD_fashion_boutique[[#This Row],[customer_rating]])</f>
        <v>3.1</v>
      </c>
      <c r="T1859" t="s">
        <v>41</v>
      </c>
      <c r="U1859" t="s">
        <v>89</v>
      </c>
      <c r="V1859">
        <f>IF(BBDD_fashion_boutique[[#This Row],[is_returned]]="False",0,1)</f>
        <v>1</v>
      </c>
      <c r="W1859">
        <f>IF(BBDD_fashion_boutique[[#This Row],[is_returned]]="True",0,BBDD_fashion_boutique[[#This Row],[current_price]])</f>
        <v>0</v>
      </c>
      <c r="X1859" t="str">
        <f>IF(BBDD_fashion_boutique[[#This Row],[return_reason]]="","No return",BBDD_fashion_boutique[[#This Row],[return_reason]])</f>
        <v>Quality Issue</v>
      </c>
      <c r="Y1859">
        <f>IF(IFERROR(VLOOKUP(BBDD_fashion_boutique[[#This Row],[product_id]],A1860:A4035,1,FALSE),0),1,0)</f>
        <v>0</v>
      </c>
    </row>
    <row r="1860" spans="1:25" x14ac:dyDescent="0.3">
      <c r="A1860" t="s">
        <v>1919</v>
      </c>
      <c r="B1860" t="s">
        <v>48</v>
      </c>
      <c r="C1860" t="s">
        <v>67</v>
      </c>
      <c r="D1860" t="s">
        <v>68</v>
      </c>
      <c r="E1860" t="s">
        <v>55</v>
      </c>
      <c r="F1860" t="str">
        <f>IF(BBDD_fashion_boutique[[#This Row],[category]]="Accessories","Accesorio",IF(BBDD_fashion_boutique[[#This Row],[size]]="","Desconocido",BBDD_fashion_boutique[[#This Row],[size]]))</f>
        <v>XXL</v>
      </c>
      <c r="G1860" t="s">
        <v>76</v>
      </c>
      <c r="H1860" s="2">
        <v>129.16</v>
      </c>
      <c r="I1860">
        <v>34</v>
      </c>
      <c r="J1860" s="5">
        <f>BBDD_fashion_boutique[[#This Row],[markdown_percentage]]/100</f>
        <v>0.34</v>
      </c>
      <c r="K1860" s="2">
        <v>85.25</v>
      </c>
      <c r="L1860" s="2">
        <f>BBDD_fashion_boutique[[#This Row],[original_price]]-BBDD_fashion_boutique[[#This Row],[current_price]]</f>
        <v>43.91</v>
      </c>
      <c r="M1860" s="1">
        <v>45875</v>
      </c>
      <c r="N1860" s="1" t="str">
        <f>PROPER(TEXT(BBDD_fashion_boutique[[#This Row],[purchase_date]],"dddd"))</f>
        <v>Miércoles</v>
      </c>
      <c r="O1860" s="1" t="str">
        <f>PROPER(TEXT(BBDD_fashion_boutique[[#This Row],[purchase_date]],"mmmm"))</f>
        <v>Agosto</v>
      </c>
      <c r="P1860" s="4">
        <v>24</v>
      </c>
      <c r="Q1860" s="2">
        <v>1.7</v>
      </c>
      <c r="R1860" t="str">
        <f>IF(BBDD_fashion_boutique[[#This Row],[stock_quantity]]&gt;9,"Ok",IF(BBDD_fashion_boutique[[#This Row],[stock_quantity]]=0,"Agotado","Pocas Unidades"))</f>
        <v>Ok</v>
      </c>
      <c r="S1860" s="3">
        <f>IF(BBDD_fashion_boutique[[#This Row],[customer_rating]]="","No valorado",BBDD_fashion_boutique[[#This Row],[customer_rating]])</f>
        <v>1.7</v>
      </c>
      <c r="T1860" t="s">
        <v>24</v>
      </c>
      <c r="V1860">
        <f>IF(BBDD_fashion_boutique[[#This Row],[is_returned]]="False",0,1)</f>
        <v>0</v>
      </c>
      <c r="W1860">
        <f>IF(BBDD_fashion_boutique[[#This Row],[is_returned]]="True",0,BBDD_fashion_boutique[[#This Row],[current_price]])</f>
        <v>85.25</v>
      </c>
      <c r="X1860" t="str">
        <f>IF(BBDD_fashion_boutique[[#This Row],[return_reason]]="","No return",BBDD_fashion_boutique[[#This Row],[return_reason]])</f>
        <v>No return</v>
      </c>
      <c r="Y1860">
        <f>IF(IFERROR(VLOOKUP(BBDD_fashion_boutique[[#This Row],[product_id]],A1861:A4036,1,FALSE),0),1,0)</f>
        <v>0</v>
      </c>
    </row>
    <row r="1861" spans="1:25" x14ac:dyDescent="0.3">
      <c r="A1861" t="s">
        <v>1920</v>
      </c>
      <c r="B1861" t="s">
        <v>48</v>
      </c>
      <c r="C1861" t="s">
        <v>59</v>
      </c>
      <c r="D1861" t="s">
        <v>68</v>
      </c>
      <c r="E1861" t="s">
        <v>45</v>
      </c>
      <c r="F1861" t="str">
        <f>IF(BBDD_fashion_boutique[[#This Row],[category]]="Accessories","Accesorio",IF(BBDD_fashion_boutique[[#This Row],[size]]="","Desconocido",BBDD_fashion_boutique[[#This Row],[size]]))</f>
        <v>S</v>
      </c>
      <c r="G1861" t="s">
        <v>46</v>
      </c>
      <c r="H1861" s="2">
        <v>142.43</v>
      </c>
      <c r="I1861">
        <v>0</v>
      </c>
      <c r="J1861" s="5">
        <f>BBDD_fashion_boutique[[#This Row],[markdown_percentage]]/100</f>
        <v>0</v>
      </c>
      <c r="K1861" s="2">
        <v>142.43</v>
      </c>
      <c r="L1861" s="2">
        <f>BBDD_fashion_boutique[[#This Row],[original_price]]-BBDD_fashion_boutique[[#This Row],[current_price]]</f>
        <v>0</v>
      </c>
      <c r="M1861" s="1">
        <v>45875</v>
      </c>
      <c r="N1861" s="1" t="str">
        <f>PROPER(TEXT(BBDD_fashion_boutique[[#This Row],[purchase_date]],"dddd"))</f>
        <v>Miércoles</v>
      </c>
      <c r="O1861" s="1" t="str">
        <f>PROPER(TEXT(BBDD_fashion_boutique[[#This Row],[purchase_date]],"mmmm"))</f>
        <v>Agosto</v>
      </c>
      <c r="P1861" s="4">
        <v>15</v>
      </c>
      <c r="Q1861" s="2">
        <v>4.0999999999999996</v>
      </c>
      <c r="R1861" t="str">
        <f>IF(BBDD_fashion_boutique[[#This Row],[stock_quantity]]&gt;9,"Ok",IF(BBDD_fashion_boutique[[#This Row],[stock_quantity]]=0,"Agotado","Pocas Unidades"))</f>
        <v>Ok</v>
      </c>
      <c r="S1861" s="3">
        <f>IF(BBDD_fashion_boutique[[#This Row],[customer_rating]]="","No valorado",BBDD_fashion_boutique[[#This Row],[customer_rating]])</f>
        <v>4.0999999999999996</v>
      </c>
      <c r="T1861" t="s">
        <v>41</v>
      </c>
      <c r="U1861" t="s">
        <v>79</v>
      </c>
      <c r="V1861">
        <f>IF(BBDD_fashion_boutique[[#This Row],[is_returned]]="False",0,1)</f>
        <v>1</v>
      </c>
      <c r="W1861">
        <f>IF(BBDD_fashion_boutique[[#This Row],[is_returned]]="True",0,BBDD_fashion_boutique[[#This Row],[current_price]])</f>
        <v>0</v>
      </c>
      <c r="X1861" t="str">
        <f>IF(BBDD_fashion_boutique[[#This Row],[return_reason]]="","No return",BBDD_fashion_boutique[[#This Row],[return_reason]])</f>
        <v>Size Issue</v>
      </c>
      <c r="Y1861">
        <f>IF(IFERROR(VLOOKUP(BBDD_fashion_boutique[[#This Row],[product_id]],A1862:A4037,1,FALSE),0),1,0)</f>
        <v>0</v>
      </c>
    </row>
    <row r="1862" spans="1:25" x14ac:dyDescent="0.3">
      <c r="A1862" t="s">
        <v>1921</v>
      </c>
      <c r="B1862" t="s">
        <v>32</v>
      </c>
      <c r="C1862" t="s">
        <v>81</v>
      </c>
      <c r="D1862" t="s">
        <v>21</v>
      </c>
      <c r="F1862" t="str">
        <f>IF(BBDD_fashion_boutique[[#This Row],[category]]="Accessories","Accesorio",IF(BBDD_fashion_boutique[[#This Row],[size]]="","Desconocido",BBDD_fashion_boutique[[#This Row],[size]]))</f>
        <v>Accesorio</v>
      </c>
      <c r="G1862" t="s">
        <v>70</v>
      </c>
      <c r="H1862" s="2">
        <v>45.19</v>
      </c>
      <c r="I1862">
        <v>0</v>
      </c>
      <c r="J1862" s="5">
        <f>BBDD_fashion_boutique[[#This Row],[markdown_percentage]]/100</f>
        <v>0</v>
      </c>
      <c r="K1862" s="2">
        <v>45.19</v>
      </c>
      <c r="L1862" s="2">
        <f>BBDD_fashion_boutique[[#This Row],[original_price]]-BBDD_fashion_boutique[[#This Row],[current_price]]</f>
        <v>0</v>
      </c>
      <c r="M1862" s="1">
        <v>45716</v>
      </c>
      <c r="N1862" s="1" t="str">
        <f>PROPER(TEXT(BBDD_fashion_boutique[[#This Row],[purchase_date]],"dddd"))</f>
        <v>Viernes</v>
      </c>
      <c r="O1862" s="1" t="str">
        <f>PROPER(TEXT(BBDD_fashion_boutique[[#This Row],[purchase_date]],"mmmm"))</f>
        <v>Febrero</v>
      </c>
      <c r="P1862" s="4">
        <v>38</v>
      </c>
      <c r="Q1862" s="2">
        <v>1.6</v>
      </c>
      <c r="R1862" t="str">
        <f>IF(BBDD_fashion_boutique[[#This Row],[stock_quantity]]&gt;9,"Ok",IF(BBDD_fashion_boutique[[#This Row],[stock_quantity]]=0,"Agotado","Pocas Unidades"))</f>
        <v>Ok</v>
      </c>
      <c r="S1862" s="3">
        <f>IF(BBDD_fashion_boutique[[#This Row],[customer_rating]]="","No valorado",BBDD_fashion_boutique[[#This Row],[customer_rating]])</f>
        <v>1.6</v>
      </c>
      <c r="T1862" t="s">
        <v>41</v>
      </c>
      <c r="U1862" t="s">
        <v>131</v>
      </c>
      <c r="V1862">
        <f>IF(BBDD_fashion_boutique[[#This Row],[is_returned]]="False",0,1)</f>
        <v>1</v>
      </c>
      <c r="W1862">
        <f>IF(BBDD_fashion_boutique[[#This Row],[is_returned]]="True",0,BBDD_fashion_boutique[[#This Row],[current_price]])</f>
        <v>0</v>
      </c>
      <c r="X1862" t="str">
        <f>IF(BBDD_fashion_boutique[[#This Row],[return_reason]]="","No return",BBDD_fashion_boutique[[#This Row],[return_reason]])</f>
        <v>Wrong Item</v>
      </c>
      <c r="Y1862">
        <f>IF(IFERROR(VLOOKUP(BBDD_fashion_boutique[[#This Row],[product_id]],A1863:A4038,1,FALSE),0),1,0)</f>
        <v>0</v>
      </c>
    </row>
    <row r="1863" spans="1:25" x14ac:dyDescent="0.3">
      <c r="A1863" t="s">
        <v>1922</v>
      </c>
      <c r="B1863" t="s">
        <v>44</v>
      </c>
      <c r="C1863" t="s">
        <v>54</v>
      </c>
      <c r="D1863" t="s">
        <v>39</v>
      </c>
      <c r="E1863" t="s">
        <v>45</v>
      </c>
      <c r="F1863" t="str">
        <f>IF(BBDD_fashion_boutique[[#This Row],[category]]="Accessories","Accesorio",IF(BBDD_fashion_boutique[[#This Row],[size]]="","Desconocido",BBDD_fashion_boutique[[#This Row],[size]]))</f>
        <v>S</v>
      </c>
      <c r="G1863" t="s">
        <v>72</v>
      </c>
      <c r="H1863" s="2">
        <v>47.66</v>
      </c>
      <c r="I1863">
        <v>0</v>
      </c>
      <c r="J1863" s="5">
        <f>BBDD_fashion_boutique[[#This Row],[markdown_percentage]]/100</f>
        <v>0</v>
      </c>
      <c r="K1863" s="2">
        <v>47.66</v>
      </c>
      <c r="L1863" s="2">
        <f>BBDD_fashion_boutique[[#This Row],[original_price]]-BBDD_fashion_boutique[[#This Row],[current_price]]</f>
        <v>0</v>
      </c>
      <c r="M1863" s="1">
        <v>45875</v>
      </c>
      <c r="N1863" s="1" t="str">
        <f>PROPER(TEXT(BBDD_fashion_boutique[[#This Row],[purchase_date]],"dddd"))</f>
        <v>Miércoles</v>
      </c>
      <c r="O1863" s="1" t="str">
        <f>PROPER(TEXT(BBDD_fashion_boutique[[#This Row],[purchase_date]],"mmmm"))</f>
        <v>Agosto</v>
      </c>
      <c r="P1863" s="4">
        <v>0</v>
      </c>
      <c r="Q1863" s="2">
        <v>4.8</v>
      </c>
      <c r="R1863" t="str">
        <f>IF(BBDD_fashion_boutique[[#This Row],[stock_quantity]]&gt;9,"Ok",IF(BBDD_fashion_boutique[[#This Row],[stock_quantity]]=0,"Agotado","Pocas Unidades"))</f>
        <v>Agotado</v>
      </c>
      <c r="S1863" s="3">
        <f>IF(BBDD_fashion_boutique[[#This Row],[customer_rating]]="","No valorado",BBDD_fashion_boutique[[#This Row],[customer_rating]])</f>
        <v>4.8</v>
      </c>
      <c r="T1863" t="s">
        <v>41</v>
      </c>
      <c r="U1863" t="s">
        <v>79</v>
      </c>
      <c r="V1863">
        <f>IF(BBDD_fashion_boutique[[#This Row],[is_returned]]="False",0,1)</f>
        <v>1</v>
      </c>
      <c r="W1863">
        <f>IF(BBDD_fashion_boutique[[#This Row],[is_returned]]="True",0,BBDD_fashion_boutique[[#This Row],[current_price]])</f>
        <v>0</v>
      </c>
      <c r="X1863" t="str">
        <f>IF(BBDD_fashion_boutique[[#This Row],[return_reason]]="","No return",BBDD_fashion_boutique[[#This Row],[return_reason]])</f>
        <v>Size Issue</v>
      </c>
      <c r="Y1863">
        <f>IF(IFERROR(VLOOKUP(BBDD_fashion_boutique[[#This Row],[product_id]],A1864:A4039,1,FALSE),0),1,0)</f>
        <v>0</v>
      </c>
    </row>
    <row r="1864" spans="1:25" x14ac:dyDescent="0.3">
      <c r="A1864" t="s">
        <v>1923</v>
      </c>
      <c r="B1864" t="s">
        <v>44</v>
      </c>
      <c r="C1864" t="s">
        <v>27</v>
      </c>
      <c r="D1864" t="s">
        <v>68</v>
      </c>
      <c r="E1864" t="s">
        <v>61</v>
      </c>
      <c r="F1864" t="str">
        <f>IF(BBDD_fashion_boutique[[#This Row],[category]]="Accessories","Accesorio",IF(BBDD_fashion_boutique[[#This Row],[size]]="","Desconocido",BBDD_fashion_boutique[[#This Row],[size]]))</f>
        <v>XS</v>
      </c>
      <c r="G1864" t="s">
        <v>62</v>
      </c>
      <c r="H1864" s="2">
        <v>115.05</v>
      </c>
      <c r="I1864">
        <v>40</v>
      </c>
      <c r="J1864" s="5">
        <f>BBDD_fashion_boutique[[#This Row],[markdown_percentage]]/100</f>
        <v>0.4</v>
      </c>
      <c r="K1864" s="2">
        <v>69.03</v>
      </c>
      <c r="L1864" s="2">
        <f>BBDD_fashion_boutique[[#This Row],[original_price]]-BBDD_fashion_boutique[[#This Row],[current_price]]</f>
        <v>46.019999999999996</v>
      </c>
      <c r="M1864" s="1">
        <v>45875</v>
      </c>
      <c r="N1864" s="1" t="str">
        <f>PROPER(TEXT(BBDD_fashion_boutique[[#This Row],[purchase_date]],"dddd"))</f>
        <v>Miércoles</v>
      </c>
      <c r="O1864" s="1" t="str">
        <f>PROPER(TEXT(BBDD_fashion_boutique[[#This Row],[purchase_date]],"mmmm"))</f>
        <v>Agosto</v>
      </c>
      <c r="P1864" s="4">
        <v>48</v>
      </c>
      <c r="Q1864" s="2">
        <v>3.1</v>
      </c>
      <c r="R1864" t="str">
        <f>IF(BBDD_fashion_boutique[[#This Row],[stock_quantity]]&gt;9,"Ok",IF(BBDD_fashion_boutique[[#This Row],[stock_quantity]]=0,"Agotado","Pocas Unidades"))</f>
        <v>Ok</v>
      </c>
      <c r="S1864" s="3">
        <f>IF(BBDD_fashion_boutique[[#This Row],[customer_rating]]="","No valorado",BBDD_fashion_boutique[[#This Row],[customer_rating]])</f>
        <v>3.1</v>
      </c>
      <c r="T1864" t="s">
        <v>24</v>
      </c>
      <c r="V1864">
        <f>IF(BBDD_fashion_boutique[[#This Row],[is_returned]]="False",0,1)</f>
        <v>0</v>
      </c>
      <c r="W1864">
        <f>IF(BBDD_fashion_boutique[[#This Row],[is_returned]]="True",0,BBDD_fashion_boutique[[#This Row],[current_price]])</f>
        <v>69.03</v>
      </c>
      <c r="X1864" t="str">
        <f>IF(BBDD_fashion_boutique[[#This Row],[return_reason]]="","No return",BBDD_fashion_boutique[[#This Row],[return_reason]])</f>
        <v>No return</v>
      </c>
      <c r="Y1864">
        <f>IF(IFERROR(VLOOKUP(BBDD_fashion_boutique[[#This Row],[product_id]],A1865:A4040,1,FALSE),0),1,0)</f>
        <v>0</v>
      </c>
    </row>
    <row r="1865" spans="1:25" x14ac:dyDescent="0.3">
      <c r="A1865" t="s">
        <v>1924</v>
      </c>
      <c r="B1865" t="s">
        <v>44</v>
      </c>
      <c r="C1865" t="s">
        <v>37</v>
      </c>
      <c r="D1865" t="s">
        <v>68</v>
      </c>
      <c r="E1865" t="s">
        <v>22</v>
      </c>
      <c r="F1865" t="str">
        <f>IF(BBDD_fashion_boutique[[#This Row],[category]]="Accessories","Accesorio",IF(BBDD_fashion_boutique[[#This Row],[size]]="","Desconocido",BBDD_fashion_boutique[[#This Row],[size]]))</f>
        <v>XL</v>
      </c>
      <c r="G1865" t="s">
        <v>76</v>
      </c>
      <c r="H1865" s="2">
        <v>87.84</v>
      </c>
      <c r="I1865">
        <v>0</v>
      </c>
      <c r="J1865" s="5">
        <f>BBDD_fashion_boutique[[#This Row],[markdown_percentage]]/100</f>
        <v>0</v>
      </c>
      <c r="K1865" s="2">
        <v>87.84</v>
      </c>
      <c r="L1865" s="2">
        <f>BBDD_fashion_boutique[[#This Row],[original_price]]-BBDD_fashion_boutique[[#This Row],[current_price]]</f>
        <v>0</v>
      </c>
      <c r="M1865" s="1">
        <v>45875</v>
      </c>
      <c r="N1865" s="1" t="str">
        <f>PROPER(TEXT(BBDD_fashion_boutique[[#This Row],[purchase_date]],"dddd"))</f>
        <v>Miércoles</v>
      </c>
      <c r="O1865" s="1" t="str">
        <f>PROPER(TEXT(BBDD_fashion_boutique[[#This Row],[purchase_date]],"mmmm"))</f>
        <v>Agosto</v>
      </c>
      <c r="P1865" s="4">
        <v>29</v>
      </c>
      <c r="Q1865" s="2">
        <v>1.3</v>
      </c>
      <c r="R1865" t="str">
        <f>IF(BBDD_fashion_boutique[[#This Row],[stock_quantity]]&gt;9,"Ok",IF(BBDD_fashion_boutique[[#This Row],[stock_quantity]]=0,"Agotado","Pocas Unidades"))</f>
        <v>Ok</v>
      </c>
      <c r="S1865" s="3">
        <f>IF(BBDD_fashion_boutique[[#This Row],[customer_rating]]="","No valorado",BBDD_fashion_boutique[[#This Row],[customer_rating]])</f>
        <v>1.3</v>
      </c>
      <c r="T1865" t="s">
        <v>24</v>
      </c>
      <c r="V1865">
        <f>IF(BBDD_fashion_boutique[[#This Row],[is_returned]]="False",0,1)</f>
        <v>0</v>
      </c>
      <c r="W1865">
        <f>IF(BBDD_fashion_boutique[[#This Row],[is_returned]]="True",0,BBDD_fashion_boutique[[#This Row],[current_price]])</f>
        <v>87.84</v>
      </c>
      <c r="X1865" t="str">
        <f>IF(BBDD_fashion_boutique[[#This Row],[return_reason]]="","No return",BBDD_fashion_boutique[[#This Row],[return_reason]])</f>
        <v>No return</v>
      </c>
      <c r="Y1865">
        <f>IF(IFERROR(VLOOKUP(BBDD_fashion_boutique[[#This Row],[product_id]],A1866:A4041,1,FALSE),0),1,0)</f>
        <v>0</v>
      </c>
    </row>
    <row r="1866" spans="1:25" x14ac:dyDescent="0.3">
      <c r="A1866" t="s">
        <v>1925</v>
      </c>
      <c r="B1866" t="s">
        <v>48</v>
      </c>
      <c r="C1866" t="s">
        <v>81</v>
      </c>
      <c r="D1866" t="s">
        <v>39</v>
      </c>
      <c r="E1866" t="s">
        <v>45</v>
      </c>
      <c r="F1866" t="str">
        <f>IF(BBDD_fashion_boutique[[#This Row],[category]]="Accessories","Accesorio",IF(BBDD_fashion_boutique[[#This Row],[size]]="","Desconocido",BBDD_fashion_boutique[[#This Row],[size]]))</f>
        <v>S</v>
      </c>
      <c r="G1866" t="s">
        <v>50</v>
      </c>
      <c r="H1866" s="2">
        <v>73.42</v>
      </c>
      <c r="I1866">
        <v>35</v>
      </c>
      <c r="J1866" s="5">
        <f>BBDD_fashion_boutique[[#This Row],[markdown_percentage]]/100</f>
        <v>0.35</v>
      </c>
      <c r="K1866" s="2">
        <v>47.72</v>
      </c>
      <c r="L1866" s="2">
        <f>BBDD_fashion_boutique[[#This Row],[original_price]]-BBDD_fashion_boutique[[#This Row],[current_price]]</f>
        <v>25.700000000000003</v>
      </c>
      <c r="M1866" s="1">
        <v>45875</v>
      </c>
      <c r="N1866" s="1" t="str">
        <f>PROPER(TEXT(BBDD_fashion_boutique[[#This Row],[purchase_date]],"dddd"))</f>
        <v>Miércoles</v>
      </c>
      <c r="O1866" s="1" t="str">
        <f>PROPER(TEXT(BBDD_fashion_boutique[[#This Row],[purchase_date]],"mmmm"))</f>
        <v>Agosto</v>
      </c>
      <c r="P1866" s="4">
        <v>44</v>
      </c>
      <c r="R1866" t="str">
        <f>IF(BBDD_fashion_boutique[[#This Row],[stock_quantity]]&gt;9,"Ok",IF(BBDD_fashion_boutique[[#This Row],[stock_quantity]]=0,"Agotado","Pocas Unidades"))</f>
        <v>Ok</v>
      </c>
      <c r="S1866" s="3" t="str">
        <f>IF(BBDD_fashion_boutique[[#This Row],[customer_rating]]="","No valorado",BBDD_fashion_boutique[[#This Row],[customer_rating]])</f>
        <v>No valorado</v>
      </c>
      <c r="T1866" t="s">
        <v>24</v>
      </c>
      <c r="V1866">
        <f>IF(BBDD_fashion_boutique[[#This Row],[is_returned]]="False",0,1)</f>
        <v>0</v>
      </c>
      <c r="W1866">
        <f>IF(BBDD_fashion_boutique[[#This Row],[is_returned]]="True",0,BBDD_fashion_boutique[[#This Row],[current_price]])</f>
        <v>47.72</v>
      </c>
      <c r="X1866" t="str">
        <f>IF(BBDD_fashion_boutique[[#This Row],[return_reason]]="","No return",BBDD_fashion_boutique[[#This Row],[return_reason]])</f>
        <v>No return</v>
      </c>
      <c r="Y1866">
        <f>IF(IFERROR(VLOOKUP(BBDD_fashion_boutique[[#This Row],[product_id]],A1867:A4042,1,FALSE),0),1,0)</f>
        <v>0</v>
      </c>
    </row>
    <row r="1867" spans="1:25" x14ac:dyDescent="0.3">
      <c r="A1867" t="s">
        <v>1926</v>
      </c>
      <c r="B1867" t="s">
        <v>35</v>
      </c>
      <c r="C1867" t="s">
        <v>67</v>
      </c>
      <c r="D1867" t="s">
        <v>39</v>
      </c>
      <c r="E1867" t="s">
        <v>29</v>
      </c>
      <c r="F1867" t="str">
        <f>IF(BBDD_fashion_boutique[[#This Row],[category]]="Accessories","Accesorio",IF(BBDD_fashion_boutique[[#This Row],[size]]="","Desconocido",BBDD_fashion_boutique[[#This Row],[size]]))</f>
        <v>L</v>
      </c>
      <c r="G1867" t="s">
        <v>70</v>
      </c>
      <c r="H1867" s="2">
        <v>181.58</v>
      </c>
      <c r="I1867">
        <v>21.6</v>
      </c>
      <c r="J1867" s="5">
        <f>BBDD_fashion_boutique[[#This Row],[markdown_percentage]]/100</f>
        <v>0.21600000000000003</v>
      </c>
      <c r="K1867" s="2">
        <v>142.36000000000001</v>
      </c>
      <c r="L1867" s="2">
        <f>BBDD_fashion_boutique[[#This Row],[original_price]]-BBDD_fashion_boutique[[#This Row],[current_price]]</f>
        <v>39.22</v>
      </c>
      <c r="M1867" s="1">
        <v>45875</v>
      </c>
      <c r="N1867" s="1" t="str">
        <f>PROPER(TEXT(BBDD_fashion_boutique[[#This Row],[purchase_date]],"dddd"))</f>
        <v>Miércoles</v>
      </c>
      <c r="O1867" s="1" t="str">
        <f>PROPER(TEXT(BBDD_fashion_boutique[[#This Row],[purchase_date]],"mmmm"))</f>
        <v>Agosto</v>
      </c>
      <c r="P1867" s="4">
        <v>14</v>
      </c>
      <c r="Q1867" s="2">
        <v>4.7</v>
      </c>
      <c r="R1867" t="str">
        <f>IF(BBDD_fashion_boutique[[#This Row],[stock_quantity]]&gt;9,"Ok",IF(BBDD_fashion_boutique[[#This Row],[stock_quantity]]=0,"Agotado","Pocas Unidades"))</f>
        <v>Ok</v>
      </c>
      <c r="S1867" s="3">
        <f>IF(BBDD_fashion_boutique[[#This Row],[customer_rating]]="","No valorado",BBDD_fashion_boutique[[#This Row],[customer_rating]])</f>
        <v>4.7</v>
      </c>
      <c r="T1867" t="s">
        <v>24</v>
      </c>
      <c r="V1867">
        <f>IF(BBDD_fashion_boutique[[#This Row],[is_returned]]="False",0,1)</f>
        <v>0</v>
      </c>
      <c r="W1867">
        <f>IF(BBDD_fashion_boutique[[#This Row],[is_returned]]="True",0,BBDD_fashion_boutique[[#This Row],[current_price]])</f>
        <v>142.36000000000001</v>
      </c>
      <c r="X1867" t="str">
        <f>IF(BBDD_fashion_boutique[[#This Row],[return_reason]]="","No return",BBDD_fashion_boutique[[#This Row],[return_reason]])</f>
        <v>No return</v>
      </c>
      <c r="Y1867">
        <f>IF(IFERROR(VLOOKUP(BBDD_fashion_boutique[[#This Row],[product_id]],A1868:A4043,1,FALSE),0),1,0)</f>
        <v>0</v>
      </c>
    </row>
    <row r="1868" spans="1:25" x14ac:dyDescent="0.3">
      <c r="A1868" t="s">
        <v>1927</v>
      </c>
      <c r="B1868" t="s">
        <v>26</v>
      </c>
      <c r="C1868" t="s">
        <v>54</v>
      </c>
      <c r="D1868" t="s">
        <v>21</v>
      </c>
      <c r="E1868" t="s">
        <v>29</v>
      </c>
      <c r="F1868" t="str">
        <f>IF(BBDD_fashion_boutique[[#This Row],[category]]="Accessories","Accesorio",IF(BBDD_fashion_boutique[[#This Row],[size]]="","Desconocido",BBDD_fashion_boutique[[#This Row],[size]]))</f>
        <v>L</v>
      </c>
      <c r="G1868" t="s">
        <v>33</v>
      </c>
      <c r="H1868" s="2">
        <v>71.680000000000007</v>
      </c>
      <c r="I1868">
        <v>0</v>
      </c>
      <c r="J1868" s="5">
        <f>BBDD_fashion_boutique[[#This Row],[markdown_percentage]]/100</f>
        <v>0</v>
      </c>
      <c r="K1868" s="2">
        <v>71.680000000000007</v>
      </c>
      <c r="L1868" s="2">
        <f>BBDD_fashion_boutique[[#This Row],[original_price]]-BBDD_fashion_boutique[[#This Row],[current_price]]</f>
        <v>0</v>
      </c>
      <c r="M1868" s="1">
        <v>45874</v>
      </c>
      <c r="N1868" s="1" t="str">
        <f>PROPER(TEXT(BBDD_fashion_boutique[[#This Row],[purchase_date]],"dddd"))</f>
        <v>Martes</v>
      </c>
      <c r="O1868" s="1" t="str">
        <f>PROPER(TEXT(BBDD_fashion_boutique[[#This Row],[purchase_date]],"mmmm"))</f>
        <v>Agosto</v>
      </c>
      <c r="P1868" s="4">
        <v>0</v>
      </c>
      <c r="Q1868" s="2">
        <v>1.5</v>
      </c>
      <c r="R1868" t="str">
        <f>IF(BBDD_fashion_boutique[[#This Row],[stock_quantity]]&gt;9,"Ok",IF(BBDD_fashion_boutique[[#This Row],[stock_quantity]]=0,"Agotado","Pocas Unidades"))</f>
        <v>Agotado</v>
      </c>
      <c r="S1868" s="3">
        <f>IF(BBDD_fashion_boutique[[#This Row],[customer_rating]]="","No valorado",BBDD_fashion_boutique[[#This Row],[customer_rating]])</f>
        <v>1.5</v>
      </c>
      <c r="T1868" t="s">
        <v>24</v>
      </c>
      <c r="V1868">
        <f>IF(BBDD_fashion_boutique[[#This Row],[is_returned]]="False",0,1)</f>
        <v>0</v>
      </c>
      <c r="W1868">
        <f>IF(BBDD_fashion_boutique[[#This Row],[is_returned]]="True",0,BBDD_fashion_boutique[[#This Row],[current_price]])</f>
        <v>71.680000000000007</v>
      </c>
      <c r="X1868" t="str">
        <f>IF(BBDD_fashion_boutique[[#This Row],[return_reason]]="","No return",BBDD_fashion_boutique[[#This Row],[return_reason]])</f>
        <v>No return</v>
      </c>
      <c r="Y1868">
        <f>IF(IFERROR(VLOOKUP(BBDD_fashion_boutique[[#This Row],[product_id]],A1869:A4044,1,FALSE),0),1,0)</f>
        <v>0</v>
      </c>
    </row>
    <row r="1869" spans="1:25" x14ac:dyDescent="0.3">
      <c r="A1869" t="s">
        <v>1928</v>
      </c>
      <c r="B1869" t="s">
        <v>26</v>
      </c>
      <c r="C1869" t="s">
        <v>37</v>
      </c>
      <c r="D1869" t="s">
        <v>28</v>
      </c>
      <c r="E1869" t="s">
        <v>55</v>
      </c>
      <c r="F1869" t="str">
        <f>IF(BBDD_fashion_boutique[[#This Row],[category]]="Accessories","Accesorio",IF(BBDD_fashion_boutique[[#This Row],[size]]="","Desconocido",BBDD_fashion_boutique[[#This Row],[size]]))</f>
        <v>XXL</v>
      </c>
      <c r="G1869" t="s">
        <v>62</v>
      </c>
      <c r="H1869" s="2">
        <v>25.63</v>
      </c>
      <c r="I1869">
        <v>0</v>
      </c>
      <c r="J1869" s="5">
        <f>BBDD_fashion_boutique[[#This Row],[markdown_percentage]]/100</f>
        <v>0</v>
      </c>
      <c r="K1869" s="2">
        <v>25.63</v>
      </c>
      <c r="L1869" s="2">
        <f>BBDD_fashion_boutique[[#This Row],[original_price]]-BBDD_fashion_boutique[[#This Row],[current_price]]</f>
        <v>0</v>
      </c>
      <c r="M1869" s="1">
        <v>45875</v>
      </c>
      <c r="N1869" s="1" t="str">
        <f>PROPER(TEXT(BBDD_fashion_boutique[[#This Row],[purchase_date]],"dddd"))</f>
        <v>Miércoles</v>
      </c>
      <c r="O1869" s="1" t="str">
        <f>PROPER(TEXT(BBDD_fashion_boutique[[#This Row],[purchase_date]],"mmmm"))</f>
        <v>Agosto</v>
      </c>
      <c r="P1869" s="4">
        <v>27</v>
      </c>
      <c r="Q1869" s="2">
        <v>1.2</v>
      </c>
      <c r="R1869" t="str">
        <f>IF(BBDD_fashion_boutique[[#This Row],[stock_quantity]]&gt;9,"Ok",IF(BBDD_fashion_boutique[[#This Row],[stock_quantity]]=0,"Agotado","Pocas Unidades"))</f>
        <v>Ok</v>
      </c>
      <c r="S1869" s="3">
        <f>IF(BBDD_fashion_boutique[[#This Row],[customer_rating]]="","No valorado",BBDD_fashion_boutique[[#This Row],[customer_rating]])</f>
        <v>1.2</v>
      </c>
      <c r="T1869" t="s">
        <v>24</v>
      </c>
      <c r="V1869">
        <f>IF(BBDD_fashion_boutique[[#This Row],[is_returned]]="False",0,1)</f>
        <v>0</v>
      </c>
      <c r="W1869">
        <f>IF(BBDD_fashion_boutique[[#This Row],[is_returned]]="True",0,BBDD_fashion_boutique[[#This Row],[current_price]])</f>
        <v>25.63</v>
      </c>
      <c r="X1869" t="str">
        <f>IF(BBDD_fashion_boutique[[#This Row],[return_reason]]="","No return",BBDD_fashion_boutique[[#This Row],[return_reason]])</f>
        <v>No return</v>
      </c>
      <c r="Y1869">
        <f>IF(IFERROR(VLOOKUP(BBDD_fashion_boutique[[#This Row],[product_id]],A1870:A4045,1,FALSE),0),1,0)</f>
        <v>0</v>
      </c>
    </row>
    <row r="1870" spans="1:25" x14ac:dyDescent="0.3">
      <c r="A1870" t="s">
        <v>1929</v>
      </c>
      <c r="B1870" t="s">
        <v>26</v>
      </c>
      <c r="C1870" t="s">
        <v>81</v>
      </c>
      <c r="D1870" t="s">
        <v>28</v>
      </c>
      <c r="F1870" t="str">
        <f>IF(BBDD_fashion_boutique[[#This Row],[category]]="Accessories","Accesorio",IF(BBDD_fashion_boutique[[#This Row],[size]]="","Desconocido",BBDD_fashion_boutique[[#This Row],[size]]))</f>
        <v>Desconocido</v>
      </c>
      <c r="G1870" t="s">
        <v>76</v>
      </c>
      <c r="H1870" s="2">
        <v>31.34</v>
      </c>
      <c r="I1870">
        <v>48.5</v>
      </c>
      <c r="J1870" s="5">
        <f>BBDD_fashion_boutique[[#This Row],[markdown_percentage]]/100</f>
        <v>0.48499999999999999</v>
      </c>
      <c r="K1870" s="2">
        <v>16.14</v>
      </c>
      <c r="L1870" s="2">
        <f>BBDD_fashion_boutique[[#This Row],[original_price]]-BBDD_fashion_boutique[[#This Row],[current_price]]</f>
        <v>15.2</v>
      </c>
      <c r="M1870" s="1">
        <v>45875</v>
      </c>
      <c r="N1870" s="1" t="str">
        <f>PROPER(TEXT(BBDD_fashion_boutique[[#This Row],[purchase_date]],"dddd"))</f>
        <v>Miércoles</v>
      </c>
      <c r="O1870" s="1" t="str">
        <f>PROPER(TEXT(BBDD_fashion_boutique[[#This Row],[purchase_date]],"mmmm"))</f>
        <v>Agosto</v>
      </c>
      <c r="P1870" s="4">
        <v>36</v>
      </c>
      <c r="Q1870" s="2">
        <v>1.6</v>
      </c>
      <c r="R1870" t="str">
        <f>IF(BBDD_fashion_boutique[[#This Row],[stock_quantity]]&gt;9,"Ok",IF(BBDD_fashion_boutique[[#This Row],[stock_quantity]]=0,"Agotado","Pocas Unidades"))</f>
        <v>Ok</v>
      </c>
      <c r="S1870" s="3">
        <f>IF(BBDD_fashion_boutique[[#This Row],[customer_rating]]="","No valorado",BBDD_fashion_boutique[[#This Row],[customer_rating]])</f>
        <v>1.6</v>
      </c>
      <c r="T1870" t="s">
        <v>41</v>
      </c>
      <c r="U1870" t="s">
        <v>79</v>
      </c>
      <c r="V1870">
        <f>IF(BBDD_fashion_boutique[[#This Row],[is_returned]]="False",0,1)</f>
        <v>1</v>
      </c>
      <c r="W1870">
        <f>IF(BBDD_fashion_boutique[[#This Row],[is_returned]]="True",0,BBDD_fashion_boutique[[#This Row],[current_price]])</f>
        <v>0</v>
      </c>
      <c r="X1870" t="str">
        <f>IF(BBDD_fashion_boutique[[#This Row],[return_reason]]="","No return",BBDD_fashion_boutique[[#This Row],[return_reason]])</f>
        <v>Size Issue</v>
      </c>
      <c r="Y1870">
        <f>IF(IFERROR(VLOOKUP(BBDD_fashion_boutique[[#This Row],[product_id]],A1871:A4046,1,FALSE),0),1,0)</f>
        <v>0</v>
      </c>
    </row>
    <row r="1871" spans="1:25" x14ac:dyDescent="0.3">
      <c r="A1871" t="s">
        <v>1930</v>
      </c>
      <c r="B1871" t="s">
        <v>48</v>
      </c>
      <c r="C1871" t="s">
        <v>54</v>
      </c>
      <c r="D1871" t="s">
        <v>39</v>
      </c>
      <c r="E1871" t="s">
        <v>29</v>
      </c>
      <c r="F1871" t="str">
        <f>IF(BBDD_fashion_boutique[[#This Row],[category]]="Accessories","Accesorio",IF(BBDD_fashion_boutique[[#This Row],[size]]="","Desconocido",BBDD_fashion_boutique[[#This Row],[size]]))</f>
        <v>L</v>
      </c>
      <c r="G1871" t="s">
        <v>62</v>
      </c>
      <c r="H1871" s="2">
        <v>98.91</v>
      </c>
      <c r="I1871">
        <v>33.799999999999997</v>
      </c>
      <c r="J1871" s="5">
        <f>BBDD_fashion_boutique[[#This Row],[markdown_percentage]]/100</f>
        <v>0.33799999999999997</v>
      </c>
      <c r="K1871" s="2">
        <v>65.48</v>
      </c>
      <c r="L1871" s="2">
        <f>BBDD_fashion_boutique[[#This Row],[original_price]]-BBDD_fashion_boutique[[#This Row],[current_price]]</f>
        <v>33.429999999999993</v>
      </c>
      <c r="M1871" s="1">
        <v>45875</v>
      </c>
      <c r="N1871" s="1" t="str">
        <f>PROPER(TEXT(BBDD_fashion_boutique[[#This Row],[purchase_date]],"dddd"))</f>
        <v>Miércoles</v>
      </c>
      <c r="O1871" s="1" t="str">
        <f>PROPER(TEXT(BBDD_fashion_boutique[[#This Row],[purchase_date]],"mmmm"))</f>
        <v>Agosto</v>
      </c>
      <c r="P1871" s="4">
        <v>33</v>
      </c>
      <c r="R1871" t="str">
        <f>IF(BBDD_fashion_boutique[[#This Row],[stock_quantity]]&gt;9,"Ok",IF(BBDD_fashion_boutique[[#This Row],[stock_quantity]]=0,"Agotado","Pocas Unidades"))</f>
        <v>Ok</v>
      </c>
      <c r="S1871" s="3" t="str">
        <f>IF(BBDD_fashion_boutique[[#This Row],[customer_rating]]="","No valorado",BBDD_fashion_boutique[[#This Row],[customer_rating]])</f>
        <v>No valorado</v>
      </c>
      <c r="T1871" t="s">
        <v>41</v>
      </c>
      <c r="U1871" t="s">
        <v>42</v>
      </c>
      <c r="V1871">
        <f>IF(BBDD_fashion_boutique[[#This Row],[is_returned]]="False",0,1)</f>
        <v>1</v>
      </c>
      <c r="W1871">
        <f>IF(BBDD_fashion_boutique[[#This Row],[is_returned]]="True",0,BBDD_fashion_boutique[[#This Row],[current_price]])</f>
        <v>0</v>
      </c>
      <c r="X1871" t="str">
        <f>IF(BBDD_fashion_boutique[[#This Row],[return_reason]]="","No return",BBDD_fashion_boutique[[#This Row],[return_reason]])</f>
        <v>Color Mismatch</v>
      </c>
      <c r="Y1871">
        <f>IF(IFERROR(VLOOKUP(BBDD_fashion_boutique[[#This Row],[product_id]],A1872:A4047,1,FALSE),0),1,0)</f>
        <v>0</v>
      </c>
    </row>
    <row r="1872" spans="1:25" x14ac:dyDescent="0.3">
      <c r="A1872" t="s">
        <v>1931</v>
      </c>
      <c r="B1872" t="s">
        <v>32</v>
      </c>
      <c r="C1872" t="s">
        <v>20</v>
      </c>
      <c r="D1872" t="s">
        <v>28</v>
      </c>
      <c r="F1872" t="str">
        <f>IF(BBDD_fashion_boutique[[#This Row],[category]]="Accessories","Accesorio",IF(BBDD_fashion_boutique[[#This Row],[size]]="","Desconocido",BBDD_fashion_boutique[[#This Row],[size]]))</f>
        <v>Accesorio</v>
      </c>
      <c r="G1872" t="s">
        <v>23</v>
      </c>
      <c r="H1872" s="2">
        <v>43.33</v>
      </c>
      <c r="I1872">
        <v>7.8</v>
      </c>
      <c r="J1872" s="5">
        <f>BBDD_fashion_boutique[[#This Row],[markdown_percentage]]/100</f>
        <v>7.8E-2</v>
      </c>
      <c r="K1872" s="2">
        <v>39.950000000000003</v>
      </c>
      <c r="L1872" s="2">
        <f>BBDD_fashion_boutique[[#This Row],[original_price]]-BBDD_fashion_boutique[[#This Row],[current_price]]</f>
        <v>3.3799999999999955</v>
      </c>
      <c r="M1872" s="1">
        <v>45875</v>
      </c>
      <c r="N1872" s="1" t="str">
        <f>PROPER(TEXT(BBDD_fashion_boutique[[#This Row],[purchase_date]],"dddd"))</f>
        <v>Miércoles</v>
      </c>
      <c r="O1872" s="1" t="str">
        <f>PROPER(TEXT(BBDD_fashion_boutique[[#This Row],[purchase_date]],"mmmm"))</f>
        <v>Agosto</v>
      </c>
      <c r="P1872" s="4">
        <v>4</v>
      </c>
      <c r="Q1872" s="2">
        <v>1.3</v>
      </c>
      <c r="R1872" t="str">
        <f>IF(BBDD_fashion_boutique[[#This Row],[stock_quantity]]&gt;9,"Ok",IF(BBDD_fashion_boutique[[#This Row],[stock_quantity]]=0,"Agotado","Pocas Unidades"))</f>
        <v>Pocas Unidades</v>
      </c>
      <c r="S1872" s="3">
        <f>IF(BBDD_fashion_boutique[[#This Row],[customer_rating]]="","No valorado",BBDD_fashion_boutique[[#This Row],[customer_rating]])</f>
        <v>1.3</v>
      </c>
      <c r="T1872" t="s">
        <v>24</v>
      </c>
      <c r="V1872">
        <f>IF(BBDD_fashion_boutique[[#This Row],[is_returned]]="False",0,1)</f>
        <v>0</v>
      </c>
      <c r="W1872">
        <f>IF(BBDD_fashion_boutique[[#This Row],[is_returned]]="True",0,BBDD_fashion_boutique[[#This Row],[current_price]])</f>
        <v>39.950000000000003</v>
      </c>
      <c r="X1872" t="str">
        <f>IF(BBDD_fashion_boutique[[#This Row],[return_reason]]="","No return",BBDD_fashion_boutique[[#This Row],[return_reason]])</f>
        <v>No return</v>
      </c>
      <c r="Y1872">
        <f>IF(IFERROR(VLOOKUP(BBDD_fashion_boutique[[#This Row],[product_id]],A1873:A4048,1,FALSE),0),1,0)</f>
        <v>0</v>
      </c>
    </row>
    <row r="1873" spans="1:25" x14ac:dyDescent="0.3">
      <c r="A1873" t="s">
        <v>1932</v>
      </c>
      <c r="B1873" t="s">
        <v>35</v>
      </c>
      <c r="C1873" t="s">
        <v>67</v>
      </c>
      <c r="D1873" t="s">
        <v>68</v>
      </c>
      <c r="E1873" t="s">
        <v>64</v>
      </c>
      <c r="F1873" t="str">
        <f>IF(BBDD_fashion_boutique[[#This Row],[category]]="Accessories","Accesorio",IF(BBDD_fashion_boutique[[#This Row],[size]]="","Desconocido",BBDD_fashion_boutique[[#This Row],[size]]))</f>
        <v>M</v>
      </c>
      <c r="G1873" t="s">
        <v>33</v>
      </c>
      <c r="H1873" s="2">
        <v>70.709999999999994</v>
      </c>
      <c r="I1873">
        <v>0</v>
      </c>
      <c r="J1873" s="5">
        <f>BBDD_fashion_boutique[[#This Row],[markdown_percentage]]/100</f>
        <v>0</v>
      </c>
      <c r="K1873" s="2">
        <v>70.709999999999994</v>
      </c>
      <c r="L1873" s="2">
        <f>BBDD_fashion_boutique[[#This Row],[original_price]]-BBDD_fashion_boutique[[#This Row],[current_price]]</f>
        <v>0</v>
      </c>
      <c r="M1873" s="1">
        <v>45875</v>
      </c>
      <c r="N1873" s="1" t="str">
        <f>PROPER(TEXT(BBDD_fashion_boutique[[#This Row],[purchase_date]],"dddd"))</f>
        <v>Miércoles</v>
      </c>
      <c r="O1873" s="1" t="str">
        <f>PROPER(TEXT(BBDD_fashion_boutique[[#This Row],[purchase_date]],"mmmm"))</f>
        <v>Agosto</v>
      </c>
      <c r="P1873" s="4">
        <v>8</v>
      </c>
      <c r="Q1873" s="2">
        <v>2.2999999999999998</v>
      </c>
      <c r="R1873" t="str">
        <f>IF(BBDD_fashion_boutique[[#This Row],[stock_quantity]]&gt;9,"Ok",IF(BBDD_fashion_boutique[[#This Row],[stock_quantity]]=0,"Agotado","Pocas Unidades"))</f>
        <v>Pocas Unidades</v>
      </c>
      <c r="S1873" s="3">
        <f>IF(BBDD_fashion_boutique[[#This Row],[customer_rating]]="","No valorado",BBDD_fashion_boutique[[#This Row],[customer_rating]])</f>
        <v>2.2999999999999998</v>
      </c>
      <c r="T1873" t="s">
        <v>24</v>
      </c>
      <c r="V1873">
        <f>IF(BBDD_fashion_boutique[[#This Row],[is_returned]]="False",0,1)</f>
        <v>0</v>
      </c>
      <c r="W1873">
        <f>IF(BBDD_fashion_boutique[[#This Row],[is_returned]]="True",0,BBDD_fashion_boutique[[#This Row],[current_price]])</f>
        <v>70.709999999999994</v>
      </c>
      <c r="X1873" t="str">
        <f>IF(BBDD_fashion_boutique[[#This Row],[return_reason]]="","No return",BBDD_fashion_boutique[[#This Row],[return_reason]])</f>
        <v>No return</v>
      </c>
      <c r="Y1873">
        <f>IF(IFERROR(VLOOKUP(BBDD_fashion_boutique[[#This Row],[product_id]],A1874:A4049,1,FALSE),0),1,0)</f>
        <v>0</v>
      </c>
    </row>
    <row r="1874" spans="1:25" x14ac:dyDescent="0.3">
      <c r="A1874" t="s">
        <v>1933</v>
      </c>
      <c r="B1874" t="s">
        <v>19</v>
      </c>
      <c r="C1874" t="s">
        <v>54</v>
      </c>
      <c r="D1874" t="s">
        <v>28</v>
      </c>
      <c r="E1874" t="s">
        <v>45</v>
      </c>
      <c r="F1874" t="str">
        <f>IF(BBDD_fashion_boutique[[#This Row],[category]]="Accessories","Accesorio",IF(BBDD_fashion_boutique[[#This Row],[size]]="","Desconocido",BBDD_fashion_boutique[[#This Row],[size]]))</f>
        <v>S</v>
      </c>
      <c r="G1874" t="s">
        <v>72</v>
      </c>
      <c r="H1874" s="2">
        <v>215.99</v>
      </c>
      <c r="I1874">
        <v>38.1</v>
      </c>
      <c r="J1874" s="5">
        <f>BBDD_fashion_boutique[[#This Row],[markdown_percentage]]/100</f>
        <v>0.38100000000000001</v>
      </c>
      <c r="K1874" s="2">
        <v>133.69999999999999</v>
      </c>
      <c r="L1874" s="2">
        <f>BBDD_fashion_boutique[[#This Row],[original_price]]-BBDD_fashion_boutique[[#This Row],[current_price]]</f>
        <v>82.29000000000002</v>
      </c>
      <c r="M1874" s="1">
        <v>45875</v>
      </c>
      <c r="N1874" s="1" t="str">
        <f>PROPER(TEXT(BBDD_fashion_boutique[[#This Row],[purchase_date]],"dddd"))</f>
        <v>Miércoles</v>
      </c>
      <c r="O1874" s="1" t="str">
        <f>PROPER(TEXT(BBDD_fashion_boutique[[#This Row],[purchase_date]],"mmmm"))</f>
        <v>Agosto</v>
      </c>
      <c r="P1874" s="4">
        <v>14</v>
      </c>
      <c r="Q1874" s="2">
        <v>3.9</v>
      </c>
      <c r="R1874" t="str">
        <f>IF(BBDD_fashion_boutique[[#This Row],[stock_quantity]]&gt;9,"Ok",IF(BBDD_fashion_boutique[[#This Row],[stock_quantity]]=0,"Agotado","Pocas Unidades"))</f>
        <v>Ok</v>
      </c>
      <c r="S1874" s="3">
        <f>IF(BBDD_fashion_boutique[[#This Row],[customer_rating]]="","No valorado",BBDD_fashion_boutique[[#This Row],[customer_rating]])</f>
        <v>3.9</v>
      </c>
      <c r="T1874" t="s">
        <v>24</v>
      </c>
      <c r="V1874">
        <f>IF(BBDD_fashion_boutique[[#This Row],[is_returned]]="False",0,1)</f>
        <v>0</v>
      </c>
      <c r="W1874">
        <f>IF(BBDD_fashion_boutique[[#This Row],[is_returned]]="True",0,BBDD_fashion_boutique[[#This Row],[current_price]])</f>
        <v>133.69999999999999</v>
      </c>
      <c r="X1874" t="str">
        <f>IF(BBDD_fashion_boutique[[#This Row],[return_reason]]="","No return",BBDD_fashion_boutique[[#This Row],[return_reason]])</f>
        <v>No return</v>
      </c>
      <c r="Y1874">
        <f>IF(IFERROR(VLOOKUP(BBDD_fashion_boutique[[#This Row],[product_id]],A1875:A4050,1,FALSE),0),1,0)</f>
        <v>0</v>
      </c>
    </row>
    <row r="1875" spans="1:25" x14ac:dyDescent="0.3">
      <c r="A1875" t="s">
        <v>1934</v>
      </c>
      <c r="B1875" t="s">
        <v>48</v>
      </c>
      <c r="C1875" t="s">
        <v>37</v>
      </c>
      <c r="D1875" t="s">
        <v>28</v>
      </c>
      <c r="E1875" t="s">
        <v>22</v>
      </c>
      <c r="F1875" t="str">
        <f>IF(BBDD_fashion_boutique[[#This Row],[category]]="Accessories","Accesorio",IF(BBDD_fashion_boutique[[#This Row],[size]]="","Desconocido",BBDD_fashion_boutique[[#This Row],[size]]))</f>
        <v>XL</v>
      </c>
      <c r="G1875" t="s">
        <v>52</v>
      </c>
      <c r="H1875" s="2">
        <v>145.57</v>
      </c>
      <c r="I1875">
        <v>5.0999999999999996</v>
      </c>
      <c r="J1875" s="5">
        <f>BBDD_fashion_boutique[[#This Row],[markdown_percentage]]/100</f>
        <v>5.0999999999999997E-2</v>
      </c>
      <c r="K1875" s="2">
        <v>138.15</v>
      </c>
      <c r="L1875" s="2">
        <f>BBDD_fashion_boutique[[#This Row],[original_price]]-BBDD_fashion_boutique[[#This Row],[current_price]]</f>
        <v>7.4199999999999875</v>
      </c>
      <c r="M1875" s="1">
        <v>45875</v>
      </c>
      <c r="N1875" s="1" t="str">
        <f>PROPER(TEXT(BBDD_fashion_boutique[[#This Row],[purchase_date]],"dddd"))</f>
        <v>Miércoles</v>
      </c>
      <c r="O1875" s="1" t="str">
        <f>PROPER(TEXT(BBDD_fashion_boutique[[#This Row],[purchase_date]],"mmmm"))</f>
        <v>Agosto</v>
      </c>
      <c r="P1875" s="4">
        <v>8</v>
      </c>
      <c r="Q1875" s="2">
        <v>4.4000000000000004</v>
      </c>
      <c r="R1875" t="str">
        <f>IF(BBDD_fashion_boutique[[#This Row],[stock_quantity]]&gt;9,"Ok",IF(BBDD_fashion_boutique[[#This Row],[stock_quantity]]=0,"Agotado","Pocas Unidades"))</f>
        <v>Pocas Unidades</v>
      </c>
      <c r="S1875" s="3">
        <f>IF(BBDD_fashion_boutique[[#This Row],[customer_rating]]="","No valorado",BBDD_fashion_boutique[[#This Row],[customer_rating]])</f>
        <v>4.4000000000000004</v>
      </c>
      <c r="T1875" t="s">
        <v>24</v>
      </c>
      <c r="V1875">
        <f>IF(BBDD_fashion_boutique[[#This Row],[is_returned]]="False",0,1)</f>
        <v>0</v>
      </c>
      <c r="W1875">
        <f>IF(BBDD_fashion_boutique[[#This Row],[is_returned]]="True",0,BBDD_fashion_boutique[[#This Row],[current_price]])</f>
        <v>138.15</v>
      </c>
      <c r="X1875" t="str">
        <f>IF(BBDD_fashion_boutique[[#This Row],[return_reason]]="","No return",BBDD_fashion_boutique[[#This Row],[return_reason]])</f>
        <v>No return</v>
      </c>
      <c r="Y1875">
        <f>IF(IFERROR(VLOOKUP(BBDD_fashion_boutique[[#This Row],[product_id]],A1876:A4051,1,FALSE),0),1,0)</f>
        <v>0</v>
      </c>
    </row>
    <row r="1876" spans="1:25" x14ac:dyDescent="0.3">
      <c r="A1876" t="s">
        <v>1935</v>
      </c>
      <c r="B1876" t="s">
        <v>35</v>
      </c>
      <c r="C1876" t="s">
        <v>37</v>
      </c>
      <c r="D1876" t="s">
        <v>39</v>
      </c>
      <c r="E1876" t="s">
        <v>61</v>
      </c>
      <c r="F1876" t="str">
        <f>IF(BBDD_fashion_boutique[[#This Row],[category]]="Accessories","Accesorio",IF(BBDD_fashion_boutique[[#This Row],[size]]="","Desconocido",BBDD_fashion_boutique[[#This Row],[size]]))</f>
        <v>XS</v>
      </c>
      <c r="G1876" t="s">
        <v>70</v>
      </c>
      <c r="H1876" s="2">
        <v>195.03</v>
      </c>
      <c r="I1876">
        <v>0</v>
      </c>
      <c r="J1876" s="5">
        <f>BBDD_fashion_boutique[[#This Row],[markdown_percentage]]/100</f>
        <v>0</v>
      </c>
      <c r="K1876" s="2">
        <v>195.03</v>
      </c>
      <c r="L1876" s="2">
        <f>BBDD_fashion_boutique[[#This Row],[original_price]]-BBDD_fashion_boutique[[#This Row],[current_price]]</f>
        <v>0</v>
      </c>
      <c r="M1876" s="1">
        <v>45875</v>
      </c>
      <c r="N1876" s="1" t="str">
        <f>PROPER(TEXT(BBDD_fashion_boutique[[#This Row],[purchase_date]],"dddd"))</f>
        <v>Miércoles</v>
      </c>
      <c r="O1876" s="1" t="str">
        <f>PROPER(TEXT(BBDD_fashion_boutique[[#This Row],[purchase_date]],"mmmm"))</f>
        <v>Agosto</v>
      </c>
      <c r="P1876" s="4">
        <v>44</v>
      </c>
      <c r="Q1876" s="2">
        <v>4.4000000000000004</v>
      </c>
      <c r="R1876" t="str">
        <f>IF(BBDD_fashion_boutique[[#This Row],[stock_quantity]]&gt;9,"Ok",IF(BBDD_fashion_boutique[[#This Row],[stock_quantity]]=0,"Agotado","Pocas Unidades"))</f>
        <v>Ok</v>
      </c>
      <c r="S1876" s="3">
        <f>IF(BBDD_fashion_boutique[[#This Row],[customer_rating]]="","No valorado",BBDD_fashion_boutique[[#This Row],[customer_rating]])</f>
        <v>4.4000000000000004</v>
      </c>
      <c r="T1876" t="s">
        <v>24</v>
      </c>
      <c r="V1876">
        <f>IF(BBDD_fashion_boutique[[#This Row],[is_returned]]="False",0,1)</f>
        <v>0</v>
      </c>
      <c r="W1876">
        <f>IF(BBDD_fashion_boutique[[#This Row],[is_returned]]="True",0,BBDD_fashion_boutique[[#This Row],[current_price]])</f>
        <v>195.03</v>
      </c>
      <c r="X1876" t="str">
        <f>IF(BBDD_fashion_boutique[[#This Row],[return_reason]]="","No return",BBDD_fashion_boutique[[#This Row],[return_reason]])</f>
        <v>No return</v>
      </c>
      <c r="Y1876">
        <f>IF(IFERROR(VLOOKUP(BBDD_fashion_boutique[[#This Row],[product_id]],A1877:A4052,1,FALSE),0),1,0)</f>
        <v>0</v>
      </c>
    </row>
    <row r="1877" spans="1:25" x14ac:dyDescent="0.3">
      <c r="A1877" t="s">
        <v>1936</v>
      </c>
      <c r="B1877" t="s">
        <v>44</v>
      </c>
      <c r="C1877" t="s">
        <v>59</v>
      </c>
      <c r="D1877" t="s">
        <v>28</v>
      </c>
      <c r="E1877" t="s">
        <v>61</v>
      </c>
      <c r="F1877" t="str">
        <f>IF(BBDD_fashion_boutique[[#This Row],[category]]="Accessories","Accesorio",IF(BBDD_fashion_boutique[[#This Row],[size]]="","Desconocido",BBDD_fashion_boutique[[#This Row],[size]]))</f>
        <v>XS</v>
      </c>
      <c r="G1877" t="s">
        <v>33</v>
      </c>
      <c r="H1877" s="2">
        <v>74.88</v>
      </c>
      <c r="I1877">
        <v>9.6999999999999993</v>
      </c>
      <c r="J1877" s="5">
        <f>BBDD_fashion_boutique[[#This Row],[markdown_percentage]]/100</f>
        <v>9.6999999999999989E-2</v>
      </c>
      <c r="K1877" s="2">
        <v>67.62</v>
      </c>
      <c r="L1877" s="2">
        <f>BBDD_fashion_boutique[[#This Row],[original_price]]-BBDD_fashion_boutique[[#This Row],[current_price]]</f>
        <v>7.2599999999999909</v>
      </c>
      <c r="M1877" s="1">
        <v>45875</v>
      </c>
      <c r="N1877" s="1" t="str">
        <f>PROPER(TEXT(BBDD_fashion_boutique[[#This Row],[purchase_date]],"dddd"))</f>
        <v>Miércoles</v>
      </c>
      <c r="O1877" s="1" t="str">
        <f>PROPER(TEXT(BBDD_fashion_boutique[[#This Row],[purchase_date]],"mmmm"))</f>
        <v>Agosto</v>
      </c>
      <c r="P1877" s="4">
        <v>23</v>
      </c>
      <c r="Q1877" s="2">
        <v>2.6</v>
      </c>
      <c r="R1877" t="str">
        <f>IF(BBDD_fashion_boutique[[#This Row],[stock_quantity]]&gt;9,"Ok",IF(BBDD_fashion_boutique[[#This Row],[stock_quantity]]=0,"Agotado","Pocas Unidades"))</f>
        <v>Ok</v>
      </c>
      <c r="S1877" s="3">
        <f>IF(BBDD_fashion_boutique[[#This Row],[customer_rating]]="","No valorado",BBDD_fashion_boutique[[#This Row],[customer_rating]])</f>
        <v>2.6</v>
      </c>
      <c r="T1877" t="s">
        <v>24</v>
      </c>
      <c r="V1877">
        <f>IF(BBDD_fashion_boutique[[#This Row],[is_returned]]="False",0,1)</f>
        <v>0</v>
      </c>
      <c r="W1877">
        <f>IF(BBDD_fashion_boutique[[#This Row],[is_returned]]="True",0,BBDD_fashion_boutique[[#This Row],[current_price]])</f>
        <v>67.62</v>
      </c>
      <c r="X1877" t="str">
        <f>IF(BBDD_fashion_boutique[[#This Row],[return_reason]]="","No return",BBDD_fashion_boutique[[#This Row],[return_reason]])</f>
        <v>No return</v>
      </c>
      <c r="Y1877">
        <f>IF(IFERROR(VLOOKUP(BBDD_fashion_boutique[[#This Row],[product_id]],A1878:A4053,1,FALSE),0),1,0)</f>
        <v>0</v>
      </c>
    </row>
    <row r="1878" spans="1:25" x14ac:dyDescent="0.3">
      <c r="A1878" t="s">
        <v>1937</v>
      </c>
      <c r="B1878" t="s">
        <v>26</v>
      </c>
      <c r="C1878" t="s">
        <v>67</v>
      </c>
      <c r="D1878" t="s">
        <v>21</v>
      </c>
      <c r="E1878" t="s">
        <v>29</v>
      </c>
      <c r="F1878" t="str">
        <f>IF(BBDD_fashion_boutique[[#This Row],[category]]="Accessories","Accesorio",IF(BBDD_fashion_boutique[[#This Row],[size]]="","Desconocido",BBDD_fashion_boutique[[#This Row],[size]]))</f>
        <v>L</v>
      </c>
      <c r="G1878" t="s">
        <v>30</v>
      </c>
      <c r="H1878" s="2">
        <v>50.3</v>
      </c>
      <c r="I1878">
        <v>0</v>
      </c>
      <c r="J1878" s="5">
        <f>BBDD_fashion_boutique[[#This Row],[markdown_percentage]]/100</f>
        <v>0</v>
      </c>
      <c r="K1878" s="2">
        <v>50.3</v>
      </c>
      <c r="L1878" s="2">
        <f>BBDD_fashion_boutique[[#This Row],[original_price]]-BBDD_fashion_boutique[[#This Row],[current_price]]</f>
        <v>0</v>
      </c>
      <c r="M1878" s="1">
        <v>45522</v>
      </c>
      <c r="N1878" s="1" t="str">
        <f>PROPER(TEXT(BBDD_fashion_boutique[[#This Row],[purchase_date]],"dddd"))</f>
        <v>Domingo</v>
      </c>
      <c r="O1878" s="1" t="str">
        <f>PROPER(TEXT(BBDD_fashion_boutique[[#This Row],[purchase_date]],"mmmm"))</f>
        <v>Agosto</v>
      </c>
      <c r="P1878" s="4">
        <v>23</v>
      </c>
      <c r="Q1878" s="2">
        <v>1.3</v>
      </c>
      <c r="R1878" t="str">
        <f>IF(BBDD_fashion_boutique[[#This Row],[stock_quantity]]&gt;9,"Ok",IF(BBDD_fashion_boutique[[#This Row],[stock_quantity]]=0,"Agotado","Pocas Unidades"))</f>
        <v>Ok</v>
      </c>
      <c r="S1878" s="3">
        <f>IF(BBDD_fashion_boutique[[#This Row],[customer_rating]]="","No valorado",BBDD_fashion_boutique[[#This Row],[customer_rating]])</f>
        <v>1.3</v>
      </c>
      <c r="T1878" t="s">
        <v>24</v>
      </c>
      <c r="V1878">
        <f>IF(BBDD_fashion_boutique[[#This Row],[is_returned]]="False",0,1)</f>
        <v>0</v>
      </c>
      <c r="W1878">
        <f>IF(BBDD_fashion_boutique[[#This Row],[is_returned]]="True",0,BBDD_fashion_boutique[[#This Row],[current_price]])</f>
        <v>50.3</v>
      </c>
      <c r="X1878" t="str">
        <f>IF(BBDD_fashion_boutique[[#This Row],[return_reason]]="","No return",BBDD_fashion_boutique[[#This Row],[return_reason]])</f>
        <v>No return</v>
      </c>
      <c r="Y1878">
        <f>IF(IFERROR(VLOOKUP(BBDD_fashion_boutique[[#This Row],[product_id]],A1879:A4054,1,FALSE),0),1,0)</f>
        <v>0</v>
      </c>
    </row>
    <row r="1879" spans="1:25" x14ac:dyDescent="0.3">
      <c r="A1879" t="s">
        <v>1938</v>
      </c>
      <c r="B1879" t="s">
        <v>19</v>
      </c>
      <c r="C1879" t="s">
        <v>59</v>
      </c>
      <c r="D1879" t="s">
        <v>68</v>
      </c>
      <c r="E1879" t="s">
        <v>55</v>
      </c>
      <c r="F1879" t="str">
        <f>IF(BBDD_fashion_boutique[[#This Row],[category]]="Accessories","Accesorio",IF(BBDD_fashion_boutique[[#This Row],[size]]="","Desconocido",BBDD_fashion_boutique[[#This Row],[size]]))</f>
        <v>XXL</v>
      </c>
      <c r="G1879" t="s">
        <v>23</v>
      </c>
      <c r="H1879" s="2">
        <v>130.65</v>
      </c>
      <c r="I1879">
        <v>0</v>
      </c>
      <c r="J1879" s="5">
        <f>BBDD_fashion_boutique[[#This Row],[markdown_percentage]]/100</f>
        <v>0</v>
      </c>
      <c r="K1879" s="2">
        <v>130.65</v>
      </c>
      <c r="L1879" s="2">
        <f>BBDD_fashion_boutique[[#This Row],[original_price]]-BBDD_fashion_boutique[[#This Row],[current_price]]</f>
        <v>0</v>
      </c>
      <c r="M1879" s="1">
        <v>45875</v>
      </c>
      <c r="N1879" s="1" t="str">
        <f>PROPER(TEXT(BBDD_fashion_boutique[[#This Row],[purchase_date]],"dddd"))</f>
        <v>Miércoles</v>
      </c>
      <c r="O1879" s="1" t="str">
        <f>PROPER(TEXT(BBDD_fashion_boutique[[#This Row],[purchase_date]],"mmmm"))</f>
        <v>Agosto</v>
      </c>
      <c r="P1879" s="4">
        <v>20</v>
      </c>
      <c r="Q1879" s="2">
        <v>2.6</v>
      </c>
      <c r="R1879" t="str">
        <f>IF(BBDD_fashion_boutique[[#This Row],[stock_quantity]]&gt;9,"Ok",IF(BBDD_fashion_boutique[[#This Row],[stock_quantity]]=0,"Agotado","Pocas Unidades"))</f>
        <v>Ok</v>
      </c>
      <c r="S1879" s="3">
        <f>IF(BBDD_fashion_boutique[[#This Row],[customer_rating]]="","No valorado",BBDD_fashion_boutique[[#This Row],[customer_rating]])</f>
        <v>2.6</v>
      </c>
      <c r="T1879" t="s">
        <v>24</v>
      </c>
      <c r="V1879">
        <f>IF(BBDD_fashion_boutique[[#This Row],[is_returned]]="False",0,1)</f>
        <v>0</v>
      </c>
      <c r="W1879">
        <f>IF(BBDD_fashion_boutique[[#This Row],[is_returned]]="True",0,BBDD_fashion_boutique[[#This Row],[current_price]])</f>
        <v>130.65</v>
      </c>
      <c r="X1879" t="str">
        <f>IF(BBDD_fashion_boutique[[#This Row],[return_reason]]="","No return",BBDD_fashion_boutique[[#This Row],[return_reason]])</f>
        <v>No return</v>
      </c>
      <c r="Y1879">
        <f>IF(IFERROR(VLOOKUP(BBDD_fashion_boutique[[#This Row],[product_id]],A1880:A4055,1,FALSE),0),1,0)</f>
        <v>0</v>
      </c>
    </row>
    <row r="1880" spans="1:25" x14ac:dyDescent="0.3">
      <c r="A1880" t="s">
        <v>1939</v>
      </c>
      <c r="B1880" t="s">
        <v>48</v>
      </c>
      <c r="C1880" t="s">
        <v>81</v>
      </c>
      <c r="D1880" t="s">
        <v>21</v>
      </c>
      <c r="E1880" t="s">
        <v>55</v>
      </c>
      <c r="F1880" t="str">
        <f>IF(BBDD_fashion_boutique[[#This Row],[category]]="Accessories","Accesorio",IF(BBDD_fashion_boutique[[#This Row],[size]]="","Desconocido",BBDD_fashion_boutique[[#This Row],[size]]))</f>
        <v>XXL</v>
      </c>
      <c r="G1880" t="s">
        <v>52</v>
      </c>
      <c r="H1880" s="2">
        <v>94.56</v>
      </c>
      <c r="I1880">
        <v>40.299999999999997</v>
      </c>
      <c r="J1880" s="5">
        <f>BBDD_fashion_boutique[[#This Row],[markdown_percentage]]/100</f>
        <v>0.40299999999999997</v>
      </c>
      <c r="K1880" s="2">
        <v>56.45</v>
      </c>
      <c r="L1880" s="2">
        <f>BBDD_fashion_boutique[[#This Row],[original_price]]-BBDD_fashion_boutique[[#This Row],[current_price]]</f>
        <v>38.11</v>
      </c>
      <c r="M1880" s="1">
        <v>45822</v>
      </c>
      <c r="N1880" s="1" t="str">
        <f>PROPER(TEXT(BBDD_fashion_boutique[[#This Row],[purchase_date]],"dddd"))</f>
        <v>Sábado</v>
      </c>
      <c r="O1880" s="1" t="str">
        <f>PROPER(TEXT(BBDD_fashion_boutique[[#This Row],[purchase_date]],"mmmm"))</f>
        <v>Junio</v>
      </c>
      <c r="P1880" s="4">
        <v>41</v>
      </c>
      <c r="Q1880" s="2">
        <v>4.7</v>
      </c>
      <c r="R1880" t="str">
        <f>IF(BBDD_fashion_boutique[[#This Row],[stock_quantity]]&gt;9,"Ok",IF(BBDD_fashion_boutique[[#This Row],[stock_quantity]]=0,"Agotado","Pocas Unidades"))</f>
        <v>Ok</v>
      </c>
      <c r="S1880" s="3">
        <f>IF(BBDD_fashion_boutique[[#This Row],[customer_rating]]="","No valorado",BBDD_fashion_boutique[[#This Row],[customer_rating]])</f>
        <v>4.7</v>
      </c>
      <c r="T1880" t="s">
        <v>24</v>
      </c>
      <c r="V1880">
        <f>IF(BBDD_fashion_boutique[[#This Row],[is_returned]]="False",0,1)</f>
        <v>0</v>
      </c>
      <c r="W1880">
        <f>IF(BBDD_fashion_boutique[[#This Row],[is_returned]]="True",0,BBDD_fashion_boutique[[#This Row],[current_price]])</f>
        <v>56.45</v>
      </c>
      <c r="X1880" t="str">
        <f>IF(BBDD_fashion_boutique[[#This Row],[return_reason]]="","No return",BBDD_fashion_boutique[[#This Row],[return_reason]])</f>
        <v>No return</v>
      </c>
      <c r="Y1880">
        <f>IF(IFERROR(VLOOKUP(BBDD_fashion_boutique[[#This Row],[product_id]],A1881:A4056,1,FALSE),0),1,0)</f>
        <v>0</v>
      </c>
    </row>
    <row r="1881" spans="1:25" x14ac:dyDescent="0.3">
      <c r="A1881" t="s">
        <v>1940</v>
      </c>
      <c r="B1881" t="s">
        <v>19</v>
      </c>
      <c r="C1881" t="s">
        <v>27</v>
      </c>
      <c r="D1881" t="s">
        <v>21</v>
      </c>
      <c r="E1881" t="s">
        <v>45</v>
      </c>
      <c r="F1881" t="str">
        <f>IF(BBDD_fashion_boutique[[#This Row],[category]]="Accessories","Accesorio",IF(BBDD_fashion_boutique[[#This Row],[size]]="","Desconocido",BBDD_fashion_boutique[[#This Row],[size]]))</f>
        <v>S</v>
      </c>
      <c r="G1881" t="s">
        <v>76</v>
      </c>
      <c r="H1881" s="2">
        <v>138.97999999999999</v>
      </c>
      <c r="I1881">
        <v>10.199999999999999</v>
      </c>
      <c r="J1881" s="5">
        <f>BBDD_fashion_boutique[[#This Row],[markdown_percentage]]/100</f>
        <v>0.10199999999999999</v>
      </c>
      <c r="K1881" s="2">
        <v>124.8</v>
      </c>
      <c r="L1881" s="2">
        <f>BBDD_fashion_boutique[[#This Row],[original_price]]-BBDD_fashion_boutique[[#This Row],[current_price]]</f>
        <v>14.179999999999993</v>
      </c>
      <c r="M1881" s="1">
        <v>45860</v>
      </c>
      <c r="N1881" s="1" t="str">
        <f>PROPER(TEXT(BBDD_fashion_boutique[[#This Row],[purchase_date]],"dddd"))</f>
        <v>Martes</v>
      </c>
      <c r="O1881" s="1" t="str">
        <f>PROPER(TEXT(BBDD_fashion_boutique[[#This Row],[purchase_date]],"mmmm"))</f>
        <v>Julio</v>
      </c>
      <c r="P1881" s="4">
        <v>36</v>
      </c>
      <c r="Q1881" s="2">
        <v>1.4</v>
      </c>
      <c r="R1881" t="str">
        <f>IF(BBDD_fashion_boutique[[#This Row],[stock_quantity]]&gt;9,"Ok",IF(BBDD_fashion_boutique[[#This Row],[stock_quantity]]=0,"Agotado","Pocas Unidades"))</f>
        <v>Ok</v>
      </c>
      <c r="S1881" s="3">
        <f>IF(BBDD_fashion_boutique[[#This Row],[customer_rating]]="","No valorado",BBDD_fashion_boutique[[#This Row],[customer_rating]])</f>
        <v>1.4</v>
      </c>
      <c r="T1881" t="s">
        <v>24</v>
      </c>
      <c r="V1881">
        <f>IF(BBDD_fashion_boutique[[#This Row],[is_returned]]="False",0,1)</f>
        <v>0</v>
      </c>
      <c r="W1881">
        <f>IF(BBDD_fashion_boutique[[#This Row],[is_returned]]="True",0,BBDD_fashion_boutique[[#This Row],[current_price]])</f>
        <v>124.8</v>
      </c>
      <c r="X1881" t="str">
        <f>IF(BBDD_fashion_boutique[[#This Row],[return_reason]]="","No return",BBDD_fashion_boutique[[#This Row],[return_reason]])</f>
        <v>No return</v>
      </c>
      <c r="Y1881">
        <f>IF(IFERROR(VLOOKUP(BBDD_fashion_boutique[[#This Row],[product_id]],A1882:A4057,1,FALSE),0),1,0)</f>
        <v>0</v>
      </c>
    </row>
    <row r="1882" spans="1:25" x14ac:dyDescent="0.3">
      <c r="A1882" t="s">
        <v>1941</v>
      </c>
      <c r="B1882" t="s">
        <v>32</v>
      </c>
      <c r="C1882" t="s">
        <v>54</v>
      </c>
      <c r="D1882" t="s">
        <v>28</v>
      </c>
      <c r="F1882" t="str">
        <f>IF(BBDD_fashion_boutique[[#This Row],[category]]="Accessories","Accesorio",IF(BBDD_fashion_boutique[[#This Row],[size]]="","Desconocido",BBDD_fashion_boutique[[#This Row],[size]]))</f>
        <v>Accesorio</v>
      </c>
      <c r="G1882" t="s">
        <v>52</v>
      </c>
      <c r="H1882" s="2">
        <v>52.57</v>
      </c>
      <c r="I1882">
        <v>0</v>
      </c>
      <c r="J1882" s="5">
        <f>BBDD_fashion_boutique[[#This Row],[markdown_percentage]]/100</f>
        <v>0</v>
      </c>
      <c r="K1882" s="2">
        <v>52.57</v>
      </c>
      <c r="L1882" s="2">
        <f>BBDD_fashion_boutique[[#This Row],[original_price]]-BBDD_fashion_boutique[[#This Row],[current_price]]</f>
        <v>0</v>
      </c>
      <c r="M1882" s="1">
        <v>45875</v>
      </c>
      <c r="N1882" s="1" t="str">
        <f>PROPER(TEXT(BBDD_fashion_boutique[[#This Row],[purchase_date]],"dddd"))</f>
        <v>Miércoles</v>
      </c>
      <c r="O1882" s="1" t="str">
        <f>PROPER(TEXT(BBDD_fashion_boutique[[#This Row],[purchase_date]],"mmmm"))</f>
        <v>Agosto</v>
      </c>
      <c r="P1882" s="4">
        <v>50</v>
      </c>
      <c r="Q1882" s="2">
        <v>2.5</v>
      </c>
      <c r="R1882" t="str">
        <f>IF(BBDD_fashion_boutique[[#This Row],[stock_quantity]]&gt;9,"Ok",IF(BBDD_fashion_boutique[[#This Row],[stock_quantity]]=0,"Agotado","Pocas Unidades"))</f>
        <v>Ok</v>
      </c>
      <c r="S1882" s="3">
        <f>IF(BBDD_fashion_boutique[[#This Row],[customer_rating]]="","No valorado",BBDD_fashion_boutique[[#This Row],[customer_rating]])</f>
        <v>2.5</v>
      </c>
      <c r="T1882" t="s">
        <v>41</v>
      </c>
      <c r="U1882" t="s">
        <v>84</v>
      </c>
      <c r="V1882">
        <f>IF(BBDD_fashion_boutique[[#This Row],[is_returned]]="False",0,1)</f>
        <v>1</v>
      </c>
      <c r="W1882">
        <f>IF(BBDD_fashion_boutique[[#This Row],[is_returned]]="True",0,BBDD_fashion_boutique[[#This Row],[current_price]])</f>
        <v>0</v>
      </c>
      <c r="X1882" t="str">
        <f>IF(BBDD_fashion_boutique[[#This Row],[return_reason]]="","No return",BBDD_fashion_boutique[[#This Row],[return_reason]])</f>
        <v>Damaged</v>
      </c>
      <c r="Y1882">
        <f>IF(IFERROR(VLOOKUP(BBDD_fashion_boutique[[#This Row],[product_id]],A1883:A4058,1,FALSE),0),1,0)</f>
        <v>0</v>
      </c>
    </row>
    <row r="1883" spans="1:25" x14ac:dyDescent="0.3">
      <c r="A1883" t="s">
        <v>1942</v>
      </c>
      <c r="B1883" t="s">
        <v>19</v>
      </c>
      <c r="C1883" t="s">
        <v>54</v>
      </c>
      <c r="D1883" t="s">
        <v>21</v>
      </c>
      <c r="F1883" t="str">
        <f>IF(BBDD_fashion_boutique[[#This Row],[category]]="Accessories","Accesorio",IF(BBDD_fashion_boutique[[#This Row],[size]]="","Desconocido",BBDD_fashion_boutique[[#This Row],[size]]))</f>
        <v>Desconocido</v>
      </c>
      <c r="G1883" t="s">
        <v>40</v>
      </c>
      <c r="H1883" s="2">
        <v>151.62</v>
      </c>
      <c r="I1883">
        <v>0</v>
      </c>
      <c r="J1883" s="5">
        <f>BBDD_fashion_boutique[[#This Row],[markdown_percentage]]/100</f>
        <v>0</v>
      </c>
      <c r="K1883" s="2">
        <v>151.62</v>
      </c>
      <c r="L1883" s="2">
        <f>BBDD_fashion_boutique[[#This Row],[original_price]]-BBDD_fashion_boutique[[#This Row],[current_price]]</f>
        <v>0</v>
      </c>
      <c r="M1883" s="1">
        <v>45849</v>
      </c>
      <c r="N1883" s="1" t="str">
        <f>PROPER(TEXT(BBDD_fashion_boutique[[#This Row],[purchase_date]],"dddd"))</f>
        <v>Viernes</v>
      </c>
      <c r="O1883" s="1" t="str">
        <f>PROPER(TEXT(BBDD_fashion_boutique[[#This Row],[purchase_date]],"mmmm"))</f>
        <v>Julio</v>
      </c>
      <c r="P1883" s="4">
        <v>41</v>
      </c>
      <c r="Q1883" s="2">
        <v>3.5</v>
      </c>
      <c r="R1883" t="str">
        <f>IF(BBDD_fashion_boutique[[#This Row],[stock_quantity]]&gt;9,"Ok",IF(BBDD_fashion_boutique[[#This Row],[stock_quantity]]=0,"Agotado","Pocas Unidades"))</f>
        <v>Ok</v>
      </c>
      <c r="S1883" s="3">
        <f>IF(BBDD_fashion_boutique[[#This Row],[customer_rating]]="","No valorado",BBDD_fashion_boutique[[#This Row],[customer_rating]])</f>
        <v>3.5</v>
      </c>
      <c r="T1883" t="s">
        <v>24</v>
      </c>
      <c r="V1883">
        <f>IF(BBDD_fashion_boutique[[#This Row],[is_returned]]="False",0,1)</f>
        <v>0</v>
      </c>
      <c r="W1883">
        <f>IF(BBDD_fashion_boutique[[#This Row],[is_returned]]="True",0,BBDD_fashion_boutique[[#This Row],[current_price]])</f>
        <v>151.62</v>
      </c>
      <c r="X1883" t="str">
        <f>IF(BBDD_fashion_boutique[[#This Row],[return_reason]]="","No return",BBDD_fashion_boutique[[#This Row],[return_reason]])</f>
        <v>No return</v>
      </c>
      <c r="Y1883">
        <f>IF(IFERROR(VLOOKUP(BBDD_fashion_boutique[[#This Row],[product_id]],A1884:A4059,1,FALSE),0),1,0)</f>
        <v>0</v>
      </c>
    </row>
    <row r="1884" spans="1:25" x14ac:dyDescent="0.3">
      <c r="A1884" t="s">
        <v>1943</v>
      </c>
      <c r="B1884" t="s">
        <v>32</v>
      </c>
      <c r="C1884" t="s">
        <v>27</v>
      </c>
      <c r="D1884" t="s">
        <v>21</v>
      </c>
      <c r="F1884" t="str">
        <f>IF(BBDD_fashion_boutique[[#This Row],[category]]="Accessories","Accesorio",IF(BBDD_fashion_boutique[[#This Row],[size]]="","Desconocido",BBDD_fashion_boutique[[#This Row],[size]]))</f>
        <v>Accesorio</v>
      </c>
      <c r="G1884" t="s">
        <v>50</v>
      </c>
      <c r="H1884" s="2">
        <v>26.7</v>
      </c>
      <c r="I1884">
        <v>0</v>
      </c>
      <c r="J1884" s="5">
        <f>BBDD_fashion_boutique[[#This Row],[markdown_percentage]]/100</f>
        <v>0</v>
      </c>
      <c r="K1884" s="2">
        <v>26.7</v>
      </c>
      <c r="L1884" s="2">
        <f>BBDD_fashion_boutique[[#This Row],[original_price]]-BBDD_fashion_boutique[[#This Row],[current_price]]</f>
        <v>0</v>
      </c>
      <c r="M1884" s="1">
        <v>45804</v>
      </c>
      <c r="N1884" s="1" t="str">
        <f>PROPER(TEXT(BBDD_fashion_boutique[[#This Row],[purchase_date]],"dddd"))</f>
        <v>Martes</v>
      </c>
      <c r="O1884" s="1" t="str">
        <f>PROPER(TEXT(BBDD_fashion_boutique[[#This Row],[purchase_date]],"mmmm"))</f>
        <v>Mayo</v>
      </c>
      <c r="P1884" s="4">
        <v>48</v>
      </c>
      <c r="Q1884" s="2">
        <v>3.1</v>
      </c>
      <c r="R1884" t="str">
        <f>IF(BBDD_fashion_boutique[[#This Row],[stock_quantity]]&gt;9,"Ok",IF(BBDD_fashion_boutique[[#This Row],[stock_quantity]]=0,"Agotado","Pocas Unidades"))</f>
        <v>Ok</v>
      </c>
      <c r="S1884" s="3">
        <f>IF(BBDD_fashion_boutique[[#This Row],[customer_rating]]="","No valorado",BBDD_fashion_boutique[[#This Row],[customer_rating]])</f>
        <v>3.1</v>
      </c>
      <c r="T1884" t="s">
        <v>24</v>
      </c>
      <c r="V1884">
        <f>IF(BBDD_fashion_boutique[[#This Row],[is_returned]]="False",0,1)</f>
        <v>0</v>
      </c>
      <c r="W1884">
        <f>IF(BBDD_fashion_boutique[[#This Row],[is_returned]]="True",0,BBDD_fashion_boutique[[#This Row],[current_price]])</f>
        <v>26.7</v>
      </c>
      <c r="X1884" t="str">
        <f>IF(BBDD_fashion_boutique[[#This Row],[return_reason]]="","No return",BBDD_fashion_boutique[[#This Row],[return_reason]])</f>
        <v>No return</v>
      </c>
      <c r="Y1884">
        <f>IF(IFERROR(VLOOKUP(BBDD_fashion_boutique[[#This Row],[product_id]],A1885:A4060,1,FALSE),0),1,0)</f>
        <v>0</v>
      </c>
    </row>
    <row r="1885" spans="1:25" x14ac:dyDescent="0.3">
      <c r="A1885" t="s">
        <v>1944</v>
      </c>
      <c r="B1885" t="s">
        <v>19</v>
      </c>
      <c r="C1885" t="s">
        <v>59</v>
      </c>
      <c r="D1885" t="s">
        <v>68</v>
      </c>
      <c r="E1885" t="s">
        <v>45</v>
      </c>
      <c r="F1885" t="str">
        <f>IF(BBDD_fashion_boutique[[#This Row],[category]]="Accessories","Accesorio",IF(BBDD_fashion_boutique[[#This Row],[size]]="","Desconocido",BBDD_fashion_boutique[[#This Row],[size]]))</f>
        <v>S</v>
      </c>
      <c r="G1885" t="s">
        <v>76</v>
      </c>
      <c r="H1885" s="2">
        <v>147.5</v>
      </c>
      <c r="I1885">
        <v>0</v>
      </c>
      <c r="J1885" s="5">
        <f>BBDD_fashion_boutique[[#This Row],[markdown_percentage]]/100</f>
        <v>0</v>
      </c>
      <c r="K1885" s="2">
        <v>147.5</v>
      </c>
      <c r="L1885" s="2">
        <f>BBDD_fashion_boutique[[#This Row],[original_price]]-BBDD_fashion_boutique[[#This Row],[current_price]]</f>
        <v>0</v>
      </c>
      <c r="M1885" s="1">
        <v>45875</v>
      </c>
      <c r="N1885" s="1" t="str">
        <f>PROPER(TEXT(BBDD_fashion_boutique[[#This Row],[purchase_date]],"dddd"))</f>
        <v>Miércoles</v>
      </c>
      <c r="O1885" s="1" t="str">
        <f>PROPER(TEXT(BBDD_fashion_boutique[[#This Row],[purchase_date]],"mmmm"))</f>
        <v>Agosto</v>
      </c>
      <c r="P1885" s="4">
        <v>4</v>
      </c>
      <c r="Q1885" s="2">
        <v>2.4</v>
      </c>
      <c r="R1885" t="str">
        <f>IF(BBDD_fashion_boutique[[#This Row],[stock_quantity]]&gt;9,"Ok",IF(BBDD_fashion_boutique[[#This Row],[stock_quantity]]=0,"Agotado","Pocas Unidades"))</f>
        <v>Pocas Unidades</v>
      </c>
      <c r="S1885" s="3">
        <f>IF(BBDD_fashion_boutique[[#This Row],[customer_rating]]="","No valorado",BBDD_fashion_boutique[[#This Row],[customer_rating]])</f>
        <v>2.4</v>
      </c>
      <c r="T1885" t="s">
        <v>24</v>
      </c>
      <c r="V1885">
        <f>IF(BBDD_fashion_boutique[[#This Row],[is_returned]]="False",0,1)</f>
        <v>0</v>
      </c>
      <c r="W1885">
        <f>IF(BBDD_fashion_boutique[[#This Row],[is_returned]]="True",0,BBDD_fashion_boutique[[#This Row],[current_price]])</f>
        <v>147.5</v>
      </c>
      <c r="X1885" t="str">
        <f>IF(BBDD_fashion_boutique[[#This Row],[return_reason]]="","No return",BBDD_fashion_boutique[[#This Row],[return_reason]])</f>
        <v>No return</v>
      </c>
      <c r="Y1885">
        <f>IF(IFERROR(VLOOKUP(BBDD_fashion_boutique[[#This Row],[product_id]],A1886:A4061,1,FALSE),0),1,0)</f>
        <v>0</v>
      </c>
    </row>
    <row r="1886" spans="1:25" x14ac:dyDescent="0.3">
      <c r="A1886" t="s">
        <v>1945</v>
      </c>
      <c r="B1886" t="s">
        <v>26</v>
      </c>
      <c r="C1886" t="s">
        <v>49</v>
      </c>
      <c r="D1886" t="s">
        <v>39</v>
      </c>
      <c r="E1886" t="s">
        <v>45</v>
      </c>
      <c r="F1886" t="str">
        <f>IF(BBDD_fashion_boutique[[#This Row],[category]]="Accessories","Accesorio",IF(BBDD_fashion_boutique[[#This Row],[size]]="","Desconocido",BBDD_fashion_boutique[[#This Row],[size]]))</f>
        <v>S</v>
      </c>
      <c r="G1886" t="s">
        <v>70</v>
      </c>
      <c r="H1886" s="2">
        <v>66</v>
      </c>
      <c r="I1886">
        <v>2.7</v>
      </c>
      <c r="J1886" s="5">
        <f>BBDD_fashion_boutique[[#This Row],[markdown_percentage]]/100</f>
        <v>2.7000000000000003E-2</v>
      </c>
      <c r="K1886" s="2">
        <v>64.22</v>
      </c>
      <c r="L1886" s="2">
        <f>BBDD_fashion_boutique[[#This Row],[original_price]]-BBDD_fashion_boutique[[#This Row],[current_price]]</f>
        <v>1.7800000000000011</v>
      </c>
      <c r="M1886" s="1">
        <v>45875</v>
      </c>
      <c r="N1886" s="1" t="str">
        <f>PROPER(TEXT(BBDD_fashion_boutique[[#This Row],[purchase_date]],"dddd"))</f>
        <v>Miércoles</v>
      </c>
      <c r="O1886" s="1" t="str">
        <f>PROPER(TEXT(BBDD_fashion_boutique[[#This Row],[purchase_date]],"mmmm"))</f>
        <v>Agosto</v>
      </c>
      <c r="P1886" s="4">
        <v>42</v>
      </c>
      <c r="Q1886" s="2">
        <v>4.4000000000000004</v>
      </c>
      <c r="R1886" t="str">
        <f>IF(BBDD_fashion_boutique[[#This Row],[stock_quantity]]&gt;9,"Ok",IF(BBDD_fashion_boutique[[#This Row],[stock_quantity]]=0,"Agotado","Pocas Unidades"))</f>
        <v>Ok</v>
      </c>
      <c r="S1886" s="3">
        <f>IF(BBDD_fashion_boutique[[#This Row],[customer_rating]]="","No valorado",BBDD_fashion_boutique[[#This Row],[customer_rating]])</f>
        <v>4.4000000000000004</v>
      </c>
      <c r="T1886" t="s">
        <v>24</v>
      </c>
      <c r="V1886">
        <f>IF(BBDD_fashion_boutique[[#This Row],[is_returned]]="False",0,1)</f>
        <v>0</v>
      </c>
      <c r="W1886">
        <f>IF(BBDD_fashion_boutique[[#This Row],[is_returned]]="True",0,BBDD_fashion_boutique[[#This Row],[current_price]])</f>
        <v>64.22</v>
      </c>
      <c r="X1886" t="str">
        <f>IF(BBDD_fashion_boutique[[#This Row],[return_reason]]="","No return",BBDD_fashion_boutique[[#This Row],[return_reason]])</f>
        <v>No return</v>
      </c>
      <c r="Y1886">
        <f>IF(IFERROR(VLOOKUP(BBDD_fashion_boutique[[#This Row],[product_id]],A1887:A4062,1,FALSE),0),1,0)</f>
        <v>0</v>
      </c>
    </row>
    <row r="1887" spans="1:25" x14ac:dyDescent="0.3">
      <c r="A1887" t="s">
        <v>1946</v>
      </c>
      <c r="B1887" t="s">
        <v>19</v>
      </c>
      <c r="C1887" t="s">
        <v>20</v>
      </c>
      <c r="D1887" t="s">
        <v>39</v>
      </c>
      <c r="E1887" t="s">
        <v>61</v>
      </c>
      <c r="F1887" t="str">
        <f>IF(BBDD_fashion_boutique[[#This Row],[category]]="Accessories","Accesorio",IF(BBDD_fashion_boutique[[#This Row],[size]]="","Desconocido",BBDD_fashion_boutique[[#This Row],[size]]))</f>
        <v>XS</v>
      </c>
      <c r="G1887" t="s">
        <v>23</v>
      </c>
      <c r="H1887" s="2">
        <v>183.6</v>
      </c>
      <c r="I1887">
        <v>0</v>
      </c>
      <c r="J1887" s="5">
        <f>BBDD_fashion_boutique[[#This Row],[markdown_percentage]]/100</f>
        <v>0</v>
      </c>
      <c r="K1887" s="2">
        <v>183.6</v>
      </c>
      <c r="L1887" s="2">
        <f>BBDD_fashion_boutique[[#This Row],[original_price]]-BBDD_fashion_boutique[[#This Row],[current_price]]</f>
        <v>0</v>
      </c>
      <c r="M1887" s="1">
        <v>45875</v>
      </c>
      <c r="N1887" s="1" t="str">
        <f>PROPER(TEXT(BBDD_fashion_boutique[[#This Row],[purchase_date]],"dddd"))</f>
        <v>Miércoles</v>
      </c>
      <c r="O1887" s="1" t="str">
        <f>PROPER(TEXT(BBDD_fashion_boutique[[#This Row],[purchase_date]],"mmmm"))</f>
        <v>Agosto</v>
      </c>
      <c r="P1887" s="4">
        <v>10</v>
      </c>
      <c r="R1887" t="str">
        <f>IF(BBDD_fashion_boutique[[#This Row],[stock_quantity]]&gt;9,"Ok",IF(BBDD_fashion_boutique[[#This Row],[stock_quantity]]=0,"Agotado","Pocas Unidades"))</f>
        <v>Ok</v>
      </c>
      <c r="S1887" s="3" t="str">
        <f>IF(BBDD_fashion_boutique[[#This Row],[customer_rating]]="","No valorado",BBDD_fashion_boutique[[#This Row],[customer_rating]])</f>
        <v>No valorado</v>
      </c>
      <c r="T1887" t="s">
        <v>24</v>
      </c>
      <c r="V1887">
        <f>IF(BBDD_fashion_boutique[[#This Row],[is_returned]]="False",0,1)</f>
        <v>0</v>
      </c>
      <c r="W1887">
        <f>IF(BBDD_fashion_boutique[[#This Row],[is_returned]]="True",0,BBDD_fashion_boutique[[#This Row],[current_price]])</f>
        <v>183.6</v>
      </c>
      <c r="X1887" t="str">
        <f>IF(BBDD_fashion_boutique[[#This Row],[return_reason]]="","No return",BBDD_fashion_boutique[[#This Row],[return_reason]])</f>
        <v>No return</v>
      </c>
      <c r="Y1887">
        <f>IF(IFERROR(VLOOKUP(BBDD_fashion_boutique[[#This Row],[product_id]],A1888:A4063,1,FALSE),0),1,0)</f>
        <v>0</v>
      </c>
    </row>
    <row r="1888" spans="1:25" x14ac:dyDescent="0.3">
      <c r="A1888" t="s">
        <v>1947</v>
      </c>
      <c r="B1888" t="s">
        <v>35</v>
      </c>
      <c r="C1888" t="s">
        <v>27</v>
      </c>
      <c r="D1888" t="s">
        <v>68</v>
      </c>
      <c r="E1888" t="s">
        <v>29</v>
      </c>
      <c r="F1888" t="str">
        <f>IF(BBDD_fashion_boutique[[#This Row],[category]]="Accessories","Accesorio",IF(BBDD_fashion_boutique[[#This Row],[size]]="","Desconocido",BBDD_fashion_boutique[[#This Row],[size]]))</f>
        <v>L</v>
      </c>
      <c r="G1888" t="s">
        <v>50</v>
      </c>
      <c r="H1888" s="2">
        <v>195.83</v>
      </c>
      <c r="I1888">
        <v>0</v>
      </c>
      <c r="J1888" s="5">
        <f>BBDD_fashion_boutique[[#This Row],[markdown_percentage]]/100</f>
        <v>0</v>
      </c>
      <c r="K1888" s="2">
        <v>195.83</v>
      </c>
      <c r="L1888" s="2">
        <f>BBDD_fashion_boutique[[#This Row],[original_price]]-BBDD_fashion_boutique[[#This Row],[current_price]]</f>
        <v>0</v>
      </c>
      <c r="M1888" s="1">
        <v>45875</v>
      </c>
      <c r="N1888" s="1" t="str">
        <f>PROPER(TEXT(BBDD_fashion_boutique[[#This Row],[purchase_date]],"dddd"))</f>
        <v>Miércoles</v>
      </c>
      <c r="O1888" s="1" t="str">
        <f>PROPER(TEXT(BBDD_fashion_boutique[[#This Row],[purchase_date]],"mmmm"))</f>
        <v>Agosto</v>
      </c>
      <c r="P1888" s="4">
        <v>14</v>
      </c>
      <c r="Q1888" s="2">
        <v>2.1</v>
      </c>
      <c r="R1888" t="str">
        <f>IF(BBDD_fashion_boutique[[#This Row],[stock_quantity]]&gt;9,"Ok",IF(BBDD_fashion_boutique[[#This Row],[stock_quantity]]=0,"Agotado","Pocas Unidades"))</f>
        <v>Ok</v>
      </c>
      <c r="S1888" s="3">
        <f>IF(BBDD_fashion_boutique[[#This Row],[customer_rating]]="","No valorado",BBDD_fashion_boutique[[#This Row],[customer_rating]])</f>
        <v>2.1</v>
      </c>
      <c r="T1888" t="s">
        <v>24</v>
      </c>
      <c r="V1888">
        <f>IF(BBDD_fashion_boutique[[#This Row],[is_returned]]="False",0,1)</f>
        <v>0</v>
      </c>
      <c r="W1888">
        <f>IF(BBDD_fashion_boutique[[#This Row],[is_returned]]="True",0,BBDD_fashion_boutique[[#This Row],[current_price]])</f>
        <v>195.83</v>
      </c>
      <c r="X1888" t="str">
        <f>IF(BBDD_fashion_boutique[[#This Row],[return_reason]]="","No return",BBDD_fashion_boutique[[#This Row],[return_reason]])</f>
        <v>No return</v>
      </c>
      <c r="Y1888">
        <f>IF(IFERROR(VLOOKUP(BBDD_fashion_boutique[[#This Row],[product_id]],A1889:A4064,1,FALSE),0),1,0)</f>
        <v>0</v>
      </c>
    </row>
    <row r="1889" spans="1:25" x14ac:dyDescent="0.3">
      <c r="A1889" t="s">
        <v>1948</v>
      </c>
      <c r="B1889" t="s">
        <v>44</v>
      </c>
      <c r="C1889" t="s">
        <v>59</v>
      </c>
      <c r="D1889" t="s">
        <v>28</v>
      </c>
      <c r="E1889" t="s">
        <v>45</v>
      </c>
      <c r="F1889" t="str">
        <f>IF(BBDD_fashion_boutique[[#This Row],[category]]="Accessories","Accesorio",IF(BBDD_fashion_boutique[[#This Row],[size]]="","Desconocido",BBDD_fashion_boutique[[#This Row],[size]]))</f>
        <v>S</v>
      </c>
      <c r="G1889" t="s">
        <v>62</v>
      </c>
      <c r="H1889" s="2">
        <v>75.53</v>
      </c>
      <c r="I1889">
        <v>58.1</v>
      </c>
      <c r="J1889" s="5">
        <f>BBDD_fashion_boutique[[#This Row],[markdown_percentage]]/100</f>
        <v>0.58099999999999996</v>
      </c>
      <c r="K1889" s="2">
        <v>31.65</v>
      </c>
      <c r="L1889" s="2">
        <f>BBDD_fashion_boutique[[#This Row],[original_price]]-BBDD_fashion_boutique[[#This Row],[current_price]]</f>
        <v>43.88</v>
      </c>
      <c r="M1889" s="1">
        <v>45875</v>
      </c>
      <c r="N1889" s="1" t="str">
        <f>PROPER(TEXT(BBDD_fashion_boutique[[#This Row],[purchase_date]],"dddd"))</f>
        <v>Miércoles</v>
      </c>
      <c r="O1889" s="1" t="str">
        <f>PROPER(TEXT(BBDD_fashion_boutique[[#This Row],[purchase_date]],"mmmm"))</f>
        <v>Agosto</v>
      </c>
      <c r="P1889" s="4">
        <v>33</v>
      </c>
      <c r="Q1889" s="2">
        <v>4</v>
      </c>
      <c r="R1889" t="str">
        <f>IF(BBDD_fashion_boutique[[#This Row],[stock_quantity]]&gt;9,"Ok",IF(BBDD_fashion_boutique[[#This Row],[stock_quantity]]=0,"Agotado","Pocas Unidades"))</f>
        <v>Ok</v>
      </c>
      <c r="S1889" s="3">
        <f>IF(BBDD_fashion_boutique[[#This Row],[customer_rating]]="","No valorado",BBDD_fashion_boutique[[#This Row],[customer_rating]])</f>
        <v>4</v>
      </c>
      <c r="T1889" t="s">
        <v>24</v>
      </c>
      <c r="V1889">
        <f>IF(BBDD_fashion_boutique[[#This Row],[is_returned]]="False",0,1)</f>
        <v>0</v>
      </c>
      <c r="W1889">
        <f>IF(BBDD_fashion_boutique[[#This Row],[is_returned]]="True",0,BBDD_fashion_boutique[[#This Row],[current_price]])</f>
        <v>31.65</v>
      </c>
      <c r="X1889" t="str">
        <f>IF(BBDD_fashion_boutique[[#This Row],[return_reason]]="","No return",BBDD_fashion_boutique[[#This Row],[return_reason]])</f>
        <v>No return</v>
      </c>
      <c r="Y1889">
        <f>IF(IFERROR(VLOOKUP(BBDD_fashion_boutique[[#This Row],[product_id]],A1890:A4065,1,FALSE),0),1,0)</f>
        <v>0</v>
      </c>
    </row>
    <row r="1890" spans="1:25" x14ac:dyDescent="0.3">
      <c r="A1890" t="s">
        <v>1949</v>
      </c>
      <c r="B1890" t="s">
        <v>26</v>
      </c>
      <c r="C1890" t="s">
        <v>49</v>
      </c>
      <c r="D1890" t="s">
        <v>21</v>
      </c>
      <c r="E1890" t="s">
        <v>22</v>
      </c>
      <c r="F1890" t="str">
        <f>IF(BBDD_fashion_boutique[[#This Row],[category]]="Accessories","Accesorio",IF(BBDD_fashion_boutique[[#This Row],[size]]="","Desconocido",BBDD_fashion_boutique[[#This Row],[size]]))</f>
        <v>XL</v>
      </c>
      <c r="G1890" t="s">
        <v>62</v>
      </c>
      <c r="H1890" s="2">
        <v>30.78</v>
      </c>
      <c r="I1890">
        <v>0</v>
      </c>
      <c r="J1890" s="5">
        <f>BBDD_fashion_boutique[[#This Row],[markdown_percentage]]/100</f>
        <v>0</v>
      </c>
      <c r="K1890" s="2">
        <v>30.78</v>
      </c>
      <c r="L1890" s="2">
        <f>BBDD_fashion_boutique[[#This Row],[original_price]]-BBDD_fashion_boutique[[#This Row],[current_price]]</f>
        <v>0</v>
      </c>
      <c r="M1890" s="1">
        <v>45821</v>
      </c>
      <c r="N1890" s="1" t="str">
        <f>PROPER(TEXT(BBDD_fashion_boutique[[#This Row],[purchase_date]],"dddd"))</f>
        <v>Viernes</v>
      </c>
      <c r="O1890" s="1" t="str">
        <f>PROPER(TEXT(BBDD_fashion_boutique[[#This Row],[purchase_date]],"mmmm"))</f>
        <v>Junio</v>
      </c>
      <c r="P1890" s="4">
        <v>28</v>
      </c>
      <c r="Q1890" s="2">
        <v>3.9</v>
      </c>
      <c r="R1890" t="str">
        <f>IF(BBDD_fashion_boutique[[#This Row],[stock_quantity]]&gt;9,"Ok",IF(BBDD_fashion_boutique[[#This Row],[stock_quantity]]=0,"Agotado","Pocas Unidades"))</f>
        <v>Ok</v>
      </c>
      <c r="S1890" s="3">
        <f>IF(BBDD_fashion_boutique[[#This Row],[customer_rating]]="","No valorado",BBDD_fashion_boutique[[#This Row],[customer_rating]])</f>
        <v>3.9</v>
      </c>
      <c r="T1890" t="s">
        <v>24</v>
      </c>
      <c r="V1890">
        <f>IF(BBDD_fashion_boutique[[#This Row],[is_returned]]="False",0,1)</f>
        <v>0</v>
      </c>
      <c r="W1890">
        <f>IF(BBDD_fashion_boutique[[#This Row],[is_returned]]="True",0,BBDD_fashion_boutique[[#This Row],[current_price]])</f>
        <v>30.78</v>
      </c>
      <c r="X1890" t="str">
        <f>IF(BBDD_fashion_boutique[[#This Row],[return_reason]]="","No return",BBDD_fashion_boutique[[#This Row],[return_reason]])</f>
        <v>No return</v>
      </c>
      <c r="Y1890">
        <f>IF(IFERROR(VLOOKUP(BBDD_fashion_boutique[[#This Row],[product_id]],A1891:A4066,1,FALSE),0),1,0)</f>
        <v>0</v>
      </c>
    </row>
    <row r="1891" spans="1:25" x14ac:dyDescent="0.3">
      <c r="A1891" t="s">
        <v>1950</v>
      </c>
      <c r="B1891" t="s">
        <v>35</v>
      </c>
      <c r="C1891" t="s">
        <v>37</v>
      </c>
      <c r="D1891" t="s">
        <v>28</v>
      </c>
      <c r="E1891" t="s">
        <v>29</v>
      </c>
      <c r="F1891" t="str">
        <f>IF(BBDD_fashion_boutique[[#This Row],[category]]="Accessories","Accesorio",IF(BBDD_fashion_boutique[[#This Row],[size]]="","Desconocido",BBDD_fashion_boutique[[#This Row],[size]]))</f>
        <v>L</v>
      </c>
      <c r="G1891" t="s">
        <v>40</v>
      </c>
      <c r="H1891" s="2">
        <v>150.96</v>
      </c>
      <c r="I1891">
        <v>0</v>
      </c>
      <c r="J1891" s="5">
        <f>BBDD_fashion_boutique[[#This Row],[markdown_percentage]]/100</f>
        <v>0</v>
      </c>
      <c r="K1891" s="2">
        <v>150.96</v>
      </c>
      <c r="L1891" s="2">
        <f>BBDD_fashion_boutique[[#This Row],[original_price]]-BBDD_fashion_boutique[[#This Row],[current_price]]</f>
        <v>0</v>
      </c>
      <c r="M1891" s="1">
        <v>45875</v>
      </c>
      <c r="N1891" s="1" t="str">
        <f>PROPER(TEXT(BBDD_fashion_boutique[[#This Row],[purchase_date]],"dddd"))</f>
        <v>Miércoles</v>
      </c>
      <c r="O1891" s="1" t="str">
        <f>PROPER(TEXT(BBDD_fashion_boutique[[#This Row],[purchase_date]],"mmmm"))</f>
        <v>Agosto</v>
      </c>
      <c r="P1891" s="4">
        <v>18</v>
      </c>
      <c r="Q1891" s="2">
        <v>4.5999999999999996</v>
      </c>
      <c r="R1891" t="str">
        <f>IF(BBDD_fashion_boutique[[#This Row],[stock_quantity]]&gt;9,"Ok",IF(BBDD_fashion_boutique[[#This Row],[stock_quantity]]=0,"Agotado","Pocas Unidades"))</f>
        <v>Ok</v>
      </c>
      <c r="S1891" s="3">
        <f>IF(BBDD_fashion_boutique[[#This Row],[customer_rating]]="","No valorado",BBDD_fashion_boutique[[#This Row],[customer_rating]])</f>
        <v>4.5999999999999996</v>
      </c>
      <c r="T1891" t="s">
        <v>24</v>
      </c>
      <c r="V1891">
        <f>IF(BBDD_fashion_boutique[[#This Row],[is_returned]]="False",0,1)</f>
        <v>0</v>
      </c>
      <c r="W1891">
        <f>IF(BBDD_fashion_boutique[[#This Row],[is_returned]]="True",0,BBDD_fashion_boutique[[#This Row],[current_price]])</f>
        <v>150.96</v>
      </c>
      <c r="X1891" t="str">
        <f>IF(BBDD_fashion_boutique[[#This Row],[return_reason]]="","No return",BBDD_fashion_boutique[[#This Row],[return_reason]])</f>
        <v>No return</v>
      </c>
      <c r="Y1891">
        <f>IF(IFERROR(VLOOKUP(BBDD_fashion_boutique[[#This Row],[product_id]],A1892:A4067,1,FALSE),0),1,0)</f>
        <v>0</v>
      </c>
    </row>
    <row r="1892" spans="1:25" x14ac:dyDescent="0.3">
      <c r="A1892" t="s">
        <v>1951</v>
      </c>
      <c r="B1892" t="s">
        <v>44</v>
      </c>
      <c r="C1892" t="s">
        <v>81</v>
      </c>
      <c r="D1892" t="s">
        <v>68</v>
      </c>
      <c r="E1892" t="s">
        <v>29</v>
      </c>
      <c r="F1892" t="str">
        <f>IF(BBDD_fashion_boutique[[#This Row],[category]]="Accessories","Accesorio",IF(BBDD_fashion_boutique[[#This Row],[size]]="","Desconocido",BBDD_fashion_boutique[[#This Row],[size]]))</f>
        <v>L</v>
      </c>
      <c r="G1892" t="s">
        <v>33</v>
      </c>
      <c r="H1892" s="2">
        <v>58.98</v>
      </c>
      <c r="I1892">
        <v>18.100000000000001</v>
      </c>
      <c r="J1892" s="5">
        <f>BBDD_fashion_boutique[[#This Row],[markdown_percentage]]/100</f>
        <v>0.18100000000000002</v>
      </c>
      <c r="K1892" s="2">
        <v>48.3</v>
      </c>
      <c r="L1892" s="2">
        <f>BBDD_fashion_boutique[[#This Row],[original_price]]-BBDD_fashion_boutique[[#This Row],[current_price]]</f>
        <v>10.68</v>
      </c>
      <c r="M1892" s="1">
        <v>45875</v>
      </c>
      <c r="N1892" s="1" t="str">
        <f>PROPER(TEXT(BBDD_fashion_boutique[[#This Row],[purchase_date]],"dddd"))</f>
        <v>Miércoles</v>
      </c>
      <c r="O1892" s="1" t="str">
        <f>PROPER(TEXT(BBDD_fashion_boutique[[#This Row],[purchase_date]],"mmmm"))</f>
        <v>Agosto</v>
      </c>
      <c r="P1892" s="4">
        <v>23</v>
      </c>
      <c r="Q1892" s="2">
        <v>2.8</v>
      </c>
      <c r="R1892" t="str">
        <f>IF(BBDD_fashion_boutique[[#This Row],[stock_quantity]]&gt;9,"Ok",IF(BBDD_fashion_boutique[[#This Row],[stock_quantity]]=0,"Agotado","Pocas Unidades"))</f>
        <v>Ok</v>
      </c>
      <c r="S1892" s="3">
        <f>IF(BBDD_fashion_boutique[[#This Row],[customer_rating]]="","No valorado",BBDD_fashion_boutique[[#This Row],[customer_rating]])</f>
        <v>2.8</v>
      </c>
      <c r="T1892" t="s">
        <v>24</v>
      </c>
      <c r="V1892">
        <f>IF(BBDD_fashion_boutique[[#This Row],[is_returned]]="False",0,1)</f>
        <v>0</v>
      </c>
      <c r="W1892">
        <f>IF(BBDD_fashion_boutique[[#This Row],[is_returned]]="True",0,BBDD_fashion_boutique[[#This Row],[current_price]])</f>
        <v>48.3</v>
      </c>
      <c r="X1892" t="str">
        <f>IF(BBDD_fashion_boutique[[#This Row],[return_reason]]="","No return",BBDD_fashion_boutique[[#This Row],[return_reason]])</f>
        <v>No return</v>
      </c>
      <c r="Y1892">
        <f>IF(IFERROR(VLOOKUP(BBDD_fashion_boutique[[#This Row],[product_id]],A1893:A4068,1,FALSE),0),1,0)</f>
        <v>0</v>
      </c>
    </row>
    <row r="1893" spans="1:25" x14ac:dyDescent="0.3">
      <c r="A1893" t="s">
        <v>1952</v>
      </c>
      <c r="B1893" t="s">
        <v>19</v>
      </c>
      <c r="C1893" t="s">
        <v>81</v>
      </c>
      <c r="D1893" t="s">
        <v>21</v>
      </c>
      <c r="E1893" t="s">
        <v>29</v>
      </c>
      <c r="F1893" t="str">
        <f>IF(BBDD_fashion_boutique[[#This Row],[category]]="Accessories","Accesorio",IF(BBDD_fashion_boutique[[#This Row],[size]]="","Desconocido",BBDD_fashion_boutique[[#This Row],[size]]))</f>
        <v>L</v>
      </c>
      <c r="G1893" t="s">
        <v>72</v>
      </c>
      <c r="H1893" s="2">
        <v>224.91</v>
      </c>
      <c r="I1893">
        <v>18.899999999999999</v>
      </c>
      <c r="J1893" s="5">
        <f>BBDD_fashion_boutique[[#This Row],[markdown_percentage]]/100</f>
        <v>0.18899999999999997</v>
      </c>
      <c r="K1893" s="2">
        <v>182.4</v>
      </c>
      <c r="L1893" s="2">
        <f>BBDD_fashion_boutique[[#This Row],[original_price]]-BBDD_fashion_boutique[[#This Row],[current_price]]</f>
        <v>42.509999999999991</v>
      </c>
      <c r="M1893" s="1">
        <v>45554</v>
      </c>
      <c r="N1893" s="1" t="str">
        <f>PROPER(TEXT(BBDD_fashion_boutique[[#This Row],[purchase_date]],"dddd"))</f>
        <v>Jueves</v>
      </c>
      <c r="O1893" s="1" t="str">
        <f>PROPER(TEXT(BBDD_fashion_boutique[[#This Row],[purchase_date]],"mmmm"))</f>
        <v>Septiembre</v>
      </c>
      <c r="P1893" s="4">
        <v>50</v>
      </c>
      <c r="R1893" t="str">
        <f>IF(BBDD_fashion_boutique[[#This Row],[stock_quantity]]&gt;9,"Ok",IF(BBDD_fashion_boutique[[#This Row],[stock_quantity]]=0,"Agotado","Pocas Unidades"))</f>
        <v>Ok</v>
      </c>
      <c r="S1893" s="3" t="str">
        <f>IF(BBDD_fashion_boutique[[#This Row],[customer_rating]]="","No valorado",BBDD_fashion_boutique[[#This Row],[customer_rating]])</f>
        <v>No valorado</v>
      </c>
      <c r="T1893" t="s">
        <v>24</v>
      </c>
      <c r="V1893">
        <f>IF(BBDD_fashion_boutique[[#This Row],[is_returned]]="False",0,1)</f>
        <v>0</v>
      </c>
      <c r="W1893">
        <f>IF(BBDD_fashion_boutique[[#This Row],[is_returned]]="True",0,BBDD_fashion_boutique[[#This Row],[current_price]])</f>
        <v>182.4</v>
      </c>
      <c r="X1893" t="str">
        <f>IF(BBDD_fashion_boutique[[#This Row],[return_reason]]="","No return",BBDD_fashion_boutique[[#This Row],[return_reason]])</f>
        <v>No return</v>
      </c>
      <c r="Y1893">
        <f>IF(IFERROR(VLOOKUP(BBDD_fashion_boutique[[#This Row],[product_id]],A1894:A4069,1,FALSE),0),1,0)</f>
        <v>0</v>
      </c>
    </row>
    <row r="1894" spans="1:25" x14ac:dyDescent="0.3">
      <c r="A1894" t="s">
        <v>1953</v>
      </c>
      <c r="B1894" t="s">
        <v>19</v>
      </c>
      <c r="C1894" t="s">
        <v>37</v>
      </c>
      <c r="D1894" t="s">
        <v>21</v>
      </c>
      <c r="E1894" t="s">
        <v>22</v>
      </c>
      <c r="F1894" t="str">
        <f>IF(BBDD_fashion_boutique[[#This Row],[category]]="Accessories","Accesorio",IF(BBDD_fashion_boutique[[#This Row],[size]]="","Desconocido",BBDD_fashion_boutique[[#This Row],[size]]))</f>
        <v>XL</v>
      </c>
      <c r="G1894" t="s">
        <v>76</v>
      </c>
      <c r="H1894" s="2">
        <v>155.75</v>
      </c>
      <c r="I1894">
        <v>0</v>
      </c>
      <c r="J1894" s="5">
        <f>BBDD_fashion_boutique[[#This Row],[markdown_percentage]]/100</f>
        <v>0</v>
      </c>
      <c r="K1894" s="2">
        <v>155.75</v>
      </c>
      <c r="L1894" s="2">
        <f>BBDD_fashion_boutique[[#This Row],[original_price]]-BBDD_fashion_boutique[[#This Row],[current_price]]</f>
        <v>0</v>
      </c>
      <c r="M1894" s="1">
        <v>45741</v>
      </c>
      <c r="N1894" s="1" t="str">
        <f>PROPER(TEXT(BBDD_fashion_boutique[[#This Row],[purchase_date]],"dddd"))</f>
        <v>Martes</v>
      </c>
      <c r="O1894" s="1" t="str">
        <f>PROPER(TEXT(BBDD_fashion_boutique[[#This Row],[purchase_date]],"mmmm"))</f>
        <v>Marzo</v>
      </c>
      <c r="P1894" s="4">
        <v>0</v>
      </c>
      <c r="Q1894" s="2">
        <v>2.4</v>
      </c>
      <c r="R1894" t="str">
        <f>IF(BBDD_fashion_boutique[[#This Row],[stock_quantity]]&gt;9,"Ok",IF(BBDD_fashion_boutique[[#This Row],[stock_quantity]]=0,"Agotado","Pocas Unidades"))</f>
        <v>Agotado</v>
      </c>
      <c r="S1894" s="3">
        <f>IF(BBDD_fashion_boutique[[#This Row],[customer_rating]]="","No valorado",BBDD_fashion_boutique[[#This Row],[customer_rating]])</f>
        <v>2.4</v>
      </c>
      <c r="T1894" t="s">
        <v>24</v>
      </c>
      <c r="V1894">
        <f>IF(BBDD_fashion_boutique[[#This Row],[is_returned]]="False",0,1)</f>
        <v>0</v>
      </c>
      <c r="W1894">
        <f>IF(BBDD_fashion_boutique[[#This Row],[is_returned]]="True",0,BBDD_fashion_boutique[[#This Row],[current_price]])</f>
        <v>155.75</v>
      </c>
      <c r="X1894" t="str">
        <f>IF(BBDD_fashion_boutique[[#This Row],[return_reason]]="","No return",BBDD_fashion_boutique[[#This Row],[return_reason]])</f>
        <v>No return</v>
      </c>
      <c r="Y1894">
        <f>IF(IFERROR(VLOOKUP(BBDD_fashion_boutique[[#This Row],[product_id]],A1895:A4070,1,FALSE),0),1,0)</f>
        <v>0</v>
      </c>
    </row>
    <row r="1895" spans="1:25" x14ac:dyDescent="0.3">
      <c r="A1895" t="s">
        <v>1954</v>
      </c>
      <c r="B1895" t="s">
        <v>35</v>
      </c>
      <c r="C1895" t="s">
        <v>54</v>
      </c>
      <c r="D1895" t="s">
        <v>28</v>
      </c>
      <c r="E1895" t="s">
        <v>22</v>
      </c>
      <c r="F1895" t="str">
        <f>IF(BBDD_fashion_boutique[[#This Row],[category]]="Accessories","Accesorio",IF(BBDD_fashion_boutique[[#This Row],[size]]="","Desconocido",BBDD_fashion_boutique[[#This Row],[size]]))</f>
        <v>XL</v>
      </c>
      <c r="G1895" t="s">
        <v>50</v>
      </c>
      <c r="H1895" s="2">
        <v>194.4</v>
      </c>
      <c r="I1895">
        <v>16.2</v>
      </c>
      <c r="J1895" s="5">
        <f>BBDD_fashion_boutique[[#This Row],[markdown_percentage]]/100</f>
        <v>0.16200000000000001</v>
      </c>
      <c r="K1895" s="2">
        <v>162.91</v>
      </c>
      <c r="L1895" s="2">
        <f>BBDD_fashion_boutique[[#This Row],[original_price]]-BBDD_fashion_boutique[[#This Row],[current_price]]</f>
        <v>31.490000000000009</v>
      </c>
      <c r="M1895" s="1">
        <v>45875</v>
      </c>
      <c r="N1895" s="1" t="str">
        <f>PROPER(TEXT(BBDD_fashion_boutique[[#This Row],[purchase_date]],"dddd"))</f>
        <v>Miércoles</v>
      </c>
      <c r="O1895" s="1" t="str">
        <f>PROPER(TEXT(BBDD_fashion_boutique[[#This Row],[purchase_date]],"mmmm"))</f>
        <v>Agosto</v>
      </c>
      <c r="P1895" s="4">
        <v>36</v>
      </c>
      <c r="Q1895" s="2">
        <v>1.5</v>
      </c>
      <c r="R1895" t="str">
        <f>IF(BBDD_fashion_boutique[[#This Row],[stock_quantity]]&gt;9,"Ok",IF(BBDD_fashion_boutique[[#This Row],[stock_quantity]]=0,"Agotado","Pocas Unidades"))</f>
        <v>Ok</v>
      </c>
      <c r="S1895" s="3">
        <f>IF(BBDD_fashion_boutique[[#This Row],[customer_rating]]="","No valorado",BBDD_fashion_boutique[[#This Row],[customer_rating]])</f>
        <v>1.5</v>
      </c>
      <c r="T1895" t="s">
        <v>24</v>
      </c>
      <c r="V1895">
        <f>IF(BBDD_fashion_boutique[[#This Row],[is_returned]]="False",0,1)</f>
        <v>0</v>
      </c>
      <c r="W1895">
        <f>IF(BBDD_fashion_boutique[[#This Row],[is_returned]]="True",0,BBDD_fashion_boutique[[#This Row],[current_price]])</f>
        <v>162.91</v>
      </c>
      <c r="X1895" t="str">
        <f>IF(BBDD_fashion_boutique[[#This Row],[return_reason]]="","No return",BBDD_fashion_boutique[[#This Row],[return_reason]])</f>
        <v>No return</v>
      </c>
      <c r="Y1895">
        <f>IF(IFERROR(VLOOKUP(BBDD_fashion_boutique[[#This Row],[product_id]],A1896:A4071,1,FALSE),0),1,0)</f>
        <v>0</v>
      </c>
    </row>
    <row r="1896" spans="1:25" x14ac:dyDescent="0.3">
      <c r="A1896" t="s">
        <v>1955</v>
      </c>
      <c r="B1896" t="s">
        <v>35</v>
      </c>
      <c r="C1896" t="s">
        <v>37</v>
      </c>
      <c r="D1896" t="s">
        <v>39</v>
      </c>
      <c r="E1896" t="s">
        <v>29</v>
      </c>
      <c r="F1896" t="str">
        <f>IF(BBDD_fashion_boutique[[#This Row],[category]]="Accessories","Accesorio",IF(BBDD_fashion_boutique[[#This Row],[size]]="","Desconocido",BBDD_fashion_boutique[[#This Row],[size]]))</f>
        <v>L</v>
      </c>
      <c r="G1896" t="s">
        <v>23</v>
      </c>
      <c r="H1896" s="2">
        <v>169.77</v>
      </c>
      <c r="I1896">
        <v>0</v>
      </c>
      <c r="J1896" s="5">
        <f>BBDD_fashion_boutique[[#This Row],[markdown_percentage]]/100</f>
        <v>0</v>
      </c>
      <c r="K1896" s="2">
        <v>169.77</v>
      </c>
      <c r="L1896" s="2">
        <f>BBDD_fashion_boutique[[#This Row],[original_price]]-BBDD_fashion_boutique[[#This Row],[current_price]]</f>
        <v>0</v>
      </c>
      <c r="M1896" s="1">
        <v>45875</v>
      </c>
      <c r="N1896" s="1" t="str">
        <f>PROPER(TEXT(BBDD_fashion_boutique[[#This Row],[purchase_date]],"dddd"))</f>
        <v>Miércoles</v>
      </c>
      <c r="O1896" s="1" t="str">
        <f>PROPER(TEXT(BBDD_fashion_boutique[[#This Row],[purchase_date]],"mmmm"))</f>
        <v>Agosto</v>
      </c>
      <c r="P1896" s="4">
        <v>39</v>
      </c>
      <c r="Q1896" s="2">
        <v>4.4000000000000004</v>
      </c>
      <c r="R1896" t="str">
        <f>IF(BBDD_fashion_boutique[[#This Row],[stock_quantity]]&gt;9,"Ok",IF(BBDD_fashion_boutique[[#This Row],[stock_quantity]]=0,"Agotado","Pocas Unidades"))</f>
        <v>Ok</v>
      </c>
      <c r="S1896" s="3">
        <f>IF(BBDD_fashion_boutique[[#This Row],[customer_rating]]="","No valorado",BBDD_fashion_boutique[[#This Row],[customer_rating]])</f>
        <v>4.4000000000000004</v>
      </c>
      <c r="T1896" t="s">
        <v>24</v>
      </c>
      <c r="V1896">
        <f>IF(BBDD_fashion_boutique[[#This Row],[is_returned]]="False",0,1)</f>
        <v>0</v>
      </c>
      <c r="W1896">
        <f>IF(BBDD_fashion_boutique[[#This Row],[is_returned]]="True",0,BBDD_fashion_boutique[[#This Row],[current_price]])</f>
        <v>169.77</v>
      </c>
      <c r="X1896" t="str">
        <f>IF(BBDD_fashion_boutique[[#This Row],[return_reason]]="","No return",BBDD_fashion_boutique[[#This Row],[return_reason]])</f>
        <v>No return</v>
      </c>
      <c r="Y1896">
        <f>IF(IFERROR(VLOOKUP(BBDD_fashion_boutique[[#This Row],[product_id]],A1897:A4072,1,FALSE),0),1,0)</f>
        <v>0</v>
      </c>
    </row>
    <row r="1897" spans="1:25" x14ac:dyDescent="0.3">
      <c r="A1897" t="s">
        <v>1956</v>
      </c>
      <c r="B1897" t="s">
        <v>32</v>
      </c>
      <c r="C1897" t="s">
        <v>27</v>
      </c>
      <c r="D1897" t="s">
        <v>28</v>
      </c>
      <c r="F1897" t="str">
        <f>IF(BBDD_fashion_boutique[[#This Row],[category]]="Accessories","Accesorio",IF(BBDD_fashion_boutique[[#This Row],[size]]="","Desconocido",BBDD_fashion_boutique[[#This Row],[size]]))</f>
        <v>Accesorio</v>
      </c>
      <c r="G1897" t="s">
        <v>50</v>
      </c>
      <c r="H1897" s="2">
        <v>41.52</v>
      </c>
      <c r="I1897">
        <v>27.3</v>
      </c>
      <c r="J1897" s="5">
        <f>BBDD_fashion_boutique[[#This Row],[markdown_percentage]]/100</f>
        <v>0.27300000000000002</v>
      </c>
      <c r="K1897" s="2">
        <v>30.19</v>
      </c>
      <c r="L1897" s="2">
        <f>BBDD_fashion_boutique[[#This Row],[original_price]]-BBDD_fashion_boutique[[#This Row],[current_price]]</f>
        <v>11.330000000000002</v>
      </c>
      <c r="M1897" s="1">
        <v>45875</v>
      </c>
      <c r="N1897" s="1" t="str">
        <f>PROPER(TEXT(BBDD_fashion_boutique[[#This Row],[purchase_date]],"dddd"))</f>
        <v>Miércoles</v>
      </c>
      <c r="O1897" s="1" t="str">
        <f>PROPER(TEXT(BBDD_fashion_boutique[[#This Row],[purchase_date]],"mmmm"))</f>
        <v>Agosto</v>
      </c>
      <c r="P1897" s="4">
        <v>48</v>
      </c>
      <c r="Q1897" s="2">
        <v>3.4</v>
      </c>
      <c r="R1897" t="str">
        <f>IF(BBDD_fashion_boutique[[#This Row],[stock_quantity]]&gt;9,"Ok",IF(BBDD_fashion_boutique[[#This Row],[stock_quantity]]=0,"Agotado","Pocas Unidades"))</f>
        <v>Ok</v>
      </c>
      <c r="S1897" s="3">
        <f>IF(BBDD_fashion_boutique[[#This Row],[customer_rating]]="","No valorado",BBDD_fashion_boutique[[#This Row],[customer_rating]])</f>
        <v>3.4</v>
      </c>
      <c r="T1897" t="s">
        <v>24</v>
      </c>
      <c r="V1897">
        <f>IF(BBDD_fashion_boutique[[#This Row],[is_returned]]="False",0,1)</f>
        <v>0</v>
      </c>
      <c r="W1897">
        <f>IF(BBDD_fashion_boutique[[#This Row],[is_returned]]="True",0,BBDD_fashion_boutique[[#This Row],[current_price]])</f>
        <v>30.19</v>
      </c>
      <c r="X1897" t="str">
        <f>IF(BBDD_fashion_boutique[[#This Row],[return_reason]]="","No return",BBDD_fashion_boutique[[#This Row],[return_reason]])</f>
        <v>No return</v>
      </c>
      <c r="Y1897">
        <f>IF(IFERROR(VLOOKUP(BBDD_fashion_boutique[[#This Row],[product_id]],A1898:A4073,1,FALSE),0),1,0)</f>
        <v>0</v>
      </c>
    </row>
    <row r="1898" spans="1:25" x14ac:dyDescent="0.3">
      <c r="A1898" t="s">
        <v>1957</v>
      </c>
      <c r="B1898" t="s">
        <v>44</v>
      </c>
      <c r="C1898" t="s">
        <v>27</v>
      </c>
      <c r="D1898" t="s">
        <v>28</v>
      </c>
      <c r="E1898" t="s">
        <v>45</v>
      </c>
      <c r="F1898" t="str">
        <f>IF(BBDD_fashion_boutique[[#This Row],[category]]="Accessories","Accesorio",IF(BBDD_fashion_boutique[[#This Row],[size]]="","Desconocido",BBDD_fashion_boutique[[#This Row],[size]]))</f>
        <v>S</v>
      </c>
      <c r="G1898" t="s">
        <v>52</v>
      </c>
      <c r="H1898" s="2">
        <v>29.5</v>
      </c>
      <c r="I1898">
        <v>0</v>
      </c>
      <c r="J1898" s="5">
        <f>BBDD_fashion_boutique[[#This Row],[markdown_percentage]]/100</f>
        <v>0</v>
      </c>
      <c r="K1898" s="2">
        <v>29.5</v>
      </c>
      <c r="L1898" s="2">
        <f>BBDD_fashion_boutique[[#This Row],[original_price]]-BBDD_fashion_boutique[[#This Row],[current_price]]</f>
        <v>0</v>
      </c>
      <c r="M1898" s="1">
        <v>45875</v>
      </c>
      <c r="N1898" s="1" t="str">
        <f>PROPER(TEXT(BBDD_fashion_boutique[[#This Row],[purchase_date]],"dddd"))</f>
        <v>Miércoles</v>
      </c>
      <c r="O1898" s="1" t="str">
        <f>PROPER(TEXT(BBDD_fashion_boutique[[#This Row],[purchase_date]],"mmmm"))</f>
        <v>Agosto</v>
      </c>
      <c r="P1898" s="4">
        <v>36</v>
      </c>
      <c r="Q1898" s="2">
        <v>2.6</v>
      </c>
      <c r="R1898" t="str">
        <f>IF(BBDD_fashion_boutique[[#This Row],[stock_quantity]]&gt;9,"Ok",IF(BBDD_fashion_boutique[[#This Row],[stock_quantity]]=0,"Agotado","Pocas Unidades"))</f>
        <v>Ok</v>
      </c>
      <c r="S1898" s="3">
        <f>IF(BBDD_fashion_boutique[[#This Row],[customer_rating]]="","No valorado",BBDD_fashion_boutique[[#This Row],[customer_rating]])</f>
        <v>2.6</v>
      </c>
      <c r="T1898" t="s">
        <v>24</v>
      </c>
      <c r="V1898">
        <f>IF(BBDD_fashion_boutique[[#This Row],[is_returned]]="False",0,1)</f>
        <v>0</v>
      </c>
      <c r="W1898">
        <f>IF(BBDD_fashion_boutique[[#This Row],[is_returned]]="True",0,BBDD_fashion_boutique[[#This Row],[current_price]])</f>
        <v>29.5</v>
      </c>
      <c r="X1898" t="str">
        <f>IF(BBDD_fashion_boutique[[#This Row],[return_reason]]="","No return",BBDD_fashion_boutique[[#This Row],[return_reason]])</f>
        <v>No return</v>
      </c>
      <c r="Y1898">
        <f>IF(IFERROR(VLOOKUP(BBDD_fashion_boutique[[#This Row],[product_id]],A1899:A4074,1,FALSE),0),1,0)</f>
        <v>0</v>
      </c>
    </row>
    <row r="1899" spans="1:25" x14ac:dyDescent="0.3">
      <c r="A1899" t="s">
        <v>1958</v>
      </c>
      <c r="B1899" t="s">
        <v>19</v>
      </c>
      <c r="C1899" t="s">
        <v>37</v>
      </c>
      <c r="D1899" t="s">
        <v>21</v>
      </c>
      <c r="E1899" t="s">
        <v>45</v>
      </c>
      <c r="F1899" t="str">
        <f>IF(BBDD_fashion_boutique[[#This Row],[category]]="Accessories","Accesorio",IF(BBDD_fashion_boutique[[#This Row],[size]]="","Desconocido",BBDD_fashion_boutique[[#This Row],[size]]))</f>
        <v>S</v>
      </c>
      <c r="G1899" t="s">
        <v>46</v>
      </c>
      <c r="H1899" s="2">
        <v>224.47</v>
      </c>
      <c r="I1899">
        <v>2.7</v>
      </c>
      <c r="J1899" s="5">
        <f>BBDD_fashion_boutique[[#This Row],[markdown_percentage]]/100</f>
        <v>2.7000000000000003E-2</v>
      </c>
      <c r="K1899" s="2">
        <v>218.41</v>
      </c>
      <c r="L1899" s="2">
        <f>BBDD_fashion_boutique[[#This Row],[original_price]]-BBDD_fashion_boutique[[#This Row],[current_price]]</f>
        <v>6.0600000000000023</v>
      </c>
      <c r="M1899" s="1">
        <v>45684</v>
      </c>
      <c r="N1899" s="1" t="str">
        <f>PROPER(TEXT(BBDD_fashion_boutique[[#This Row],[purchase_date]],"dddd"))</f>
        <v>Lunes</v>
      </c>
      <c r="O1899" s="1" t="str">
        <f>PROPER(TEXT(BBDD_fashion_boutique[[#This Row],[purchase_date]],"mmmm"))</f>
        <v>Enero</v>
      </c>
      <c r="P1899" s="4">
        <v>15</v>
      </c>
      <c r="Q1899" s="2">
        <v>3.5</v>
      </c>
      <c r="R1899" t="str">
        <f>IF(BBDD_fashion_boutique[[#This Row],[stock_quantity]]&gt;9,"Ok",IF(BBDD_fashion_boutique[[#This Row],[stock_quantity]]=0,"Agotado","Pocas Unidades"))</f>
        <v>Ok</v>
      </c>
      <c r="S1899" s="3">
        <f>IF(BBDD_fashion_boutique[[#This Row],[customer_rating]]="","No valorado",BBDD_fashion_boutique[[#This Row],[customer_rating]])</f>
        <v>3.5</v>
      </c>
      <c r="T1899" t="s">
        <v>24</v>
      </c>
      <c r="V1899">
        <f>IF(BBDD_fashion_boutique[[#This Row],[is_returned]]="False",0,1)</f>
        <v>0</v>
      </c>
      <c r="W1899">
        <f>IF(BBDD_fashion_boutique[[#This Row],[is_returned]]="True",0,BBDD_fashion_boutique[[#This Row],[current_price]])</f>
        <v>218.41</v>
      </c>
      <c r="X1899" t="str">
        <f>IF(BBDD_fashion_boutique[[#This Row],[return_reason]]="","No return",BBDD_fashion_boutique[[#This Row],[return_reason]])</f>
        <v>No return</v>
      </c>
      <c r="Y1899">
        <f>IF(IFERROR(VLOOKUP(BBDD_fashion_boutique[[#This Row],[product_id]],A1900:A4075,1,FALSE),0),1,0)</f>
        <v>0</v>
      </c>
    </row>
    <row r="1900" spans="1:25" x14ac:dyDescent="0.3">
      <c r="A1900" t="s">
        <v>1959</v>
      </c>
      <c r="B1900" t="s">
        <v>44</v>
      </c>
      <c r="C1900" t="s">
        <v>81</v>
      </c>
      <c r="D1900" t="s">
        <v>68</v>
      </c>
      <c r="E1900" t="s">
        <v>45</v>
      </c>
      <c r="F1900" t="str">
        <f>IF(BBDD_fashion_boutique[[#This Row],[category]]="Accessories","Accesorio",IF(BBDD_fashion_boutique[[#This Row],[size]]="","Desconocido",BBDD_fashion_boutique[[#This Row],[size]]))</f>
        <v>S</v>
      </c>
      <c r="G1900" t="s">
        <v>46</v>
      </c>
      <c r="H1900" s="2">
        <v>101.45</v>
      </c>
      <c r="I1900">
        <v>7.8</v>
      </c>
      <c r="J1900" s="5">
        <f>BBDD_fashion_boutique[[#This Row],[markdown_percentage]]/100</f>
        <v>7.8E-2</v>
      </c>
      <c r="K1900" s="2">
        <v>93.54</v>
      </c>
      <c r="L1900" s="2">
        <f>BBDD_fashion_boutique[[#This Row],[original_price]]-BBDD_fashion_boutique[[#This Row],[current_price]]</f>
        <v>7.9099999999999966</v>
      </c>
      <c r="M1900" s="1">
        <v>45875</v>
      </c>
      <c r="N1900" s="1" t="str">
        <f>PROPER(TEXT(BBDD_fashion_boutique[[#This Row],[purchase_date]],"dddd"))</f>
        <v>Miércoles</v>
      </c>
      <c r="O1900" s="1" t="str">
        <f>PROPER(TEXT(BBDD_fashion_boutique[[#This Row],[purchase_date]],"mmmm"))</f>
        <v>Agosto</v>
      </c>
      <c r="P1900" s="4">
        <v>4</v>
      </c>
      <c r="Q1900" s="2">
        <v>1.1000000000000001</v>
      </c>
      <c r="R1900" t="str">
        <f>IF(BBDD_fashion_boutique[[#This Row],[stock_quantity]]&gt;9,"Ok",IF(BBDD_fashion_boutique[[#This Row],[stock_quantity]]=0,"Agotado","Pocas Unidades"))</f>
        <v>Pocas Unidades</v>
      </c>
      <c r="S1900" s="3">
        <f>IF(BBDD_fashion_boutique[[#This Row],[customer_rating]]="","No valorado",BBDD_fashion_boutique[[#This Row],[customer_rating]])</f>
        <v>1.1000000000000001</v>
      </c>
      <c r="T1900" t="s">
        <v>24</v>
      </c>
      <c r="V1900">
        <f>IF(BBDD_fashion_boutique[[#This Row],[is_returned]]="False",0,1)</f>
        <v>0</v>
      </c>
      <c r="W1900">
        <f>IF(BBDD_fashion_boutique[[#This Row],[is_returned]]="True",0,BBDD_fashion_boutique[[#This Row],[current_price]])</f>
        <v>93.54</v>
      </c>
      <c r="X1900" t="str">
        <f>IF(BBDD_fashion_boutique[[#This Row],[return_reason]]="","No return",BBDD_fashion_boutique[[#This Row],[return_reason]])</f>
        <v>No return</v>
      </c>
      <c r="Y1900">
        <f>IF(IFERROR(VLOOKUP(BBDD_fashion_boutique[[#This Row],[product_id]],A1901:A4076,1,FALSE),0),1,0)</f>
        <v>0</v>
      </c>
    </row>
    <row r="1901" spans="1:25" x14ac:dyDescent="0.3">
      <c r="A1901" t="s">
        <v>1960</v>
      </c>
      <c r="B1901" t="s">
        <v>35</v>
      </c>
      <c r="C1901" t="s">
        <v>37</v>
      </c>
      <c r="D1901" t="s">
        <v>21</v>
      </c>
      <c r="E1901" t="s">
        <v>55</v>
      </c>
      <c r="F1901" t="str">
        <f>IF(BBDD_fashion_boutique[[#This Row],[category]]="Accessories","Accesorio",IF(BBDD_fashion_boutique[[#This Row],[size]]="","Desconocido",BBDD_fashion_boutique[[#This Row],[size]]))</f>
        <v>XXL</v>
      </c>
      <c r="G1901" t="s">
        <v>23</v>
      </c>
      <c r="H1901" s="2">
        <v>84.65</v>
      </c>
      <c r="I1901">
        <v>0</v>
      </c>
      <c r="J1901" s="5">
        <f>BBDD_fashion_boutique[[#This Row],[markdown_percentage]]/100</f>
        <v>0</v>
      </c>
      <c r="K1901" s="2">
        <v>84.65</v>
      </c>
      <c r="L1901" s="2">
        <f>BBDD_fashion_boutique[[#This Row],[original_price]]-BBDD_fashion_boutique[[#This Row],[current_price]]</f>
        <v>0</v>
      </c>
      <c r="M1901" s="1">
        <v>45864</v>
      </c>
      <c r="N1901" s="1" t="str">
        <f>PROPER(TEXT(BBDD_fashion_boutique[[#This Row],[purchase_date]],"dddd"))</f>
        <v>Sábado</v>
      </c>
      <c r="O1901" s="1" t="str">
        <f>PROPER(TEXT(BBDD_fashion_boutique[[#This Row],[purchase_date]],"mmmm"))</f>
        <v>Julio</v>
      </c>
      <c r="P1901" s="4">
        <v>49</v>
      </c>
      <c r="Q1901" s="2">
        <v>3.6</v>
      </c>
      <c r="R1901" t="str">
        <f>IF(BBDD_fashion_boutique[[#This Row],[stock_quantity]]&gt;9,"Ok",IF(BBDD_fashion_boutique[[#This Row],[stock_quantity]]=0,"Agotado","Pocas Unidades"))</f>
        <v>Ok</v>
      </c>
      <c r="S1901" s="3">
        <f>IF(BBDD_fashion_boutique[[#This Row],[customer_rating]]="","No valorado",BBDD_fashion_boutique[[#This Row],[customer_rating]])</f>
        <v>3.6</v>
      </c>
      <c r="T1901" t="s">
        <v>24</v>
      </c>
      <c r="V1901">
        <f>IF(BBDD_fashion_boutique[[#This Row],[is_returned]]="False",0,1)</f>
        <v>0</v>
      </c>
      <c r="W1901">
        <f>IF(BBDD_fashion_boutique[[#This Row],[is_returned]]="True",0,BBDD_fashion_boutique[[#This Row],[current_price]])</f>
        <v>84.65</v>
      </c>
      <c r="X1901" t="str">
        <f>IF(BBDD_fashion_boutique[[#This Row],[return_reason]]="","No return",BBDD_fashion_boutique[[#This Row],[return_reason]])</f>
        <v>No return</v>
      </c>
      <c r="Y1901">
        <f>IF(IFERROR(VLOOKUP(BBDD_fashion_boutique[[#This Row],[product_id]],A1902:A4077,1,FALSE),0),1,0)</f>
        <v>0</v>
      </c>
    </row>
    <row r="1902" spans="1:25" x14ac:dyDescent="0.3">
      <c r="A1902" t="s">
        <v>1961</v>
      </c>
      <c r="B1902" t="s">
        <v>19</v>
      </c>
      <c r="C1902" t="s">
        <v>59</v>
      </c>
      <c r="D1902" t="s">
        <v>68</v>
      </c>
      <c r="E1902" t="s">
        <v>45</v>
      </c>
      <c r="F1902" t="str">
        <f>IF(BBDD_fashion_boutique[[#This Row],[category]]="Accessories","Accesorio",IF(BBDD_fashion_boutique[[#This Row],[size]]="","Desconocido",BBDD_fashion_boutique[[#This Row],[size]]))</f>
        <v>S</v>
      </c>
      <c r="G1902" t="s">
        <v>62</v>
      </c>
      <c r="H1902" s="2">
        <v>155.85</v>
      </c>
      <c r="I1902">
        <v>0</v>
      </c>
      <c r="J1902" s="5">
        <f>BBDD_fashion_boutique[[#This Row],[markdown_percentage]]/100</f>
        <v>0</v>
      </c>
      <c r="K1902" s="2">
        <v>155.85</v>
      </c>
      <c r="L1902" s="2">
        <f>BBDD_fashion_boutique[[#This Row],[original_price]]-BBDD_fashion_boutique[[#This Row],[current_price]]</f>
        <v>0</v>
      </c>
      <c r="M1902" s="1">
        <v>45875</v>
      </c>
      <c r="N1902" s="1" t="str">
        <f>PROPER(TEXT(BBDD_fashion_boutique[[#This Row],[purchase_date]],"dddd"))</f>
        <v>Miércoles</v>
      </c>
      <c r="O1902" s="1" t="str">
        <f>PROPER(TEXT(BBDD_fashion_boutique[[#This Row],[purchase_date]],"mmmm"))</f>
        <v>Agosto</v>
      </c>
      <c r="P1902" s="4">
        <v>38</v>
      </c>
      <c r="R1902" t="str">
        <f>IF(BBDD_fashion_boutique[[#This Row],[stock_quantity]]&gt;9,"Ok",IF(BBDD_fashion_boutique[[#This Row],[stock_quantity]]=0,"Agotado","Pocas Unidades"))</f>
        <v>Ok</v>
      </c>
      <c r="S1902" s="3" t="str">
        <f>IF(BBDD_fashion_boutique[[#This Row],[customer_rating]]="","No valorado",BBDD_fashion_boutique[[#This Row],[customer_rating]])</f>
        <v>No valorado</v>
      </c>
      <c r="T1902" t="s">
        <v>24</v>
      </c>
      <c r="V1902">
        <f>IF(BBDD_fashion_boutique[[#This Row],[is_returned]]="False",0,1)</f>
        <v>0</v>
      </c>
      <c r="W1902">
        <f>IF(BBDD_fashion_boutique[[#This Row],[is_returned]]="True",0,BBDD_fashion_boutique[[#This Row],[current_price]])</f>
        <v>155.85</v>
      </c>
      <c r="X1902" t="str">
        <f>IF(BBDD_fashion_boutique[[#This Row],[return_reason]]="","No return",BBDD_fashion_boutique[[#This Row],[return_reason]])</f>
        <v>No return</v>
      </c>
      <c r="Y1902">
        <f>IF(IFERROR(VLOOKUP(BBDD_fashion_boutique[[#This Row],[product_id]],A1903:A4078,1,FALSE),0),1,0)</f>
        <v>0</v>
      </c>
    </row>
    <row r="1903" spans="1:25" x14ac:dyDescent="0.3">
      <c r="A1903" t="s">
        <v>1962</v>
      </c>
      <c r="B1903" t="s">
        <v>26</v>
      </c>
      <c r="C1903" t="s">
        <v>20</v>
      </c>
      <c r="D1903" t="s">
        <v>28</v>
      </c>
      <c r="E1903" t="s">
        <v>22</v>
      </c>
      <c r="F1903" t="str">
        <f>IF(BBDD_fashion_boutique[[#This Row],[category]]="Accessories","Accesorio",IF(BBDD_fashion_boutique[[#This Row],[size]]="","Desconocido",BBDD_fashion_boutique[[#This Row],[size]]))</f>
        <v>XL</v>
      </c>
      <c r="G1903" t="s">
        <v>50</v>
      </c>
      <c r="H1903" s="2">
        <v>89.62</v>
      </c>
      <c r="I1903">
        <v>0</v>
      </c>
      <c r="J1903" s="5">
        <f>BBDD_fashion_boutique[[#This Row],[markdown_percentage]]/100</f>
        <v>0</v>
      </c>
      <c r="K1903" s="2">
        <v>89.62</v>
      </c>
      <c r="L1903" s="2">
        <f>BBDD_fashion_boutique[[#This Row],[original_price]]-BBDD_fashion_boutique[[#This Row],[current_price]]</f>
        <v>0</v>
      </c>
      <c r="M1903" s="1">
        <v>45875</v>
      </c>
      <c r="N1903" s="1" t="str">
        <f>PROPER(TEXT(BBDD_fashion_boutique[[#This Row],[purchase_date]],"dddd"))</f>
        <v>Miércoles</v>
      </c>
      <c r="O1903" s="1" t="str">
        <f>PROPER(TEXT(BBDD_fashion_boutique[[#This Row],[purchase_date]],"mmmm"))</f>
        <v>Agosto</v>
      </c>
      <c r="P1903" s="4">
        <v>0</v>
      </c>
      <c r="Q1903" s="2">
        <v>4.5999999999999996</v>
      </c>
      <c r="R1903" t="str">
        <f>IF(BBDD_fashion_boutique[[#This Row],[stock_quantity]]&gt;9,"Ok",IF(BBDD_fashion_boutique[[#This Row],[stock_quantity]]=0,"Agotado","Pocas Unidades"))</f>
        <v>Agotado</v>
      </c>
      <c r="S1903" s="3">
        <f>IF(BBDD_fashion_boutique[[#This Row],[customer_rating]]="","No valorado",BBDD_fashion_boutique[[#This Row],[customer_rating]])</f>
        <v>4.5999999999999996</v>
      </c>
      <c r="T1903" t="s">
        <v>41</v>
      </c>
      <c r="U1903" t="s">
        <v>42</v>
      </c>
      <c r="V1903">
        <f>IF(BBDD_fashion_boutique[[#This Row],[is_returned]]="False",0,1)</f>
        <v>1</v>
      </c>
      <c r="W1903">
        <f>IF(BBDD_fashion_boutique[[#This Row],[is_returned]]="True",0,BBDD_fashion_boutique[[#This Row],[current_price]])</f>
        <v>0</v>
      </c>
      <c r="X1903" t="str">
        <f>IF(BBDD_fashion_boutique[[#This Row],[return_reason]]="","No return",BBDD_fashion_boutique[[#This Row],[return_reason]])</f>
        <v>Color Mismatch</v>
      </c>
      <c r="Y1903">
        <f>IF(IFERROR(VLOOKUP(BBDD_fashion_boutique[[#This Row],[product_id]],A1904:A4079,1,FALSE),0),1,0)</f>
        <v>0</v>
      </c>
    </row>
    <row r="1904" spans="1:25" x14ac:dyDescent="0.3">
      <c r="A1904" t="s">
        <v>1963</v>
      </c>
      <c r="B1904" t="s">
        <v>26</v>
      </c>
      <c r="C1904" t="s">
        <v>67</v>
      </c>
      <c r="D1904" t="s">
        <v>68</v>
      </c>
      <c r="E1904" t="s">
        <v>29</v>
      </c>
      <c r="F1904" t="str">
        <f>IF(BBDD_fashion_boutique[[#This Row],[category]]="Accessories","Accesorio",IF(BBDD_fashion_boutique[[#This Row],[size]]="","Desconocido",BBDD_fashion_boutique[[#This Row],[size]]))</f>
        <v>L</v>
      </c>
      <c r="G1904" t="s">
        <v>52</v>
      </c>
      <c r="H1904" s="2">
        <v>62.79</v>
      </c>
      <c r="I1904">
        <v>37.700000000000003</v>
      </c>
      <c r="J1904" s="5">
        <f>BBDD_fashion_boutique[[#This Row],[markdown_percentage]]/100</f>
        <v>0.377</v>
      </c>
      <c r="K1904" s="2">
        <v>39.119999999999997</v>
      </c>
      <c r="L1904" s="2">
        <f>BBDD_fashion_boutique[[#This Row],[original_price]]-BBDD_fashion_boutique[[#This Row],[current_price]]</f>
        <v>23.67</v>
      </c>
      <c r="M1904" s="1">
        <v>45875</v>
      </c>
      <c r="N1904" s="1" t="str">
        <f>PROPER(TEXT(BBDD_fashion_boutique[[#This Row],[purchase_date]],"dddd"))</f>
        <v>Miércoles</v>
      </c>
      <c r="O1904" s="1" t="str">
        <f>PROPER(TEXT(BBDD_fashion_boutique[[#This Row],[purchase_date]],"mmmm"))</f>
        <v>Agosto</v>
      </c>
      <c r="P1904" s="4">
        <v>5</v>
      </c>
      <c r="Q1904" s="2">
        <v>2.6</v>
      </c>
      <c r="R1904" t="str">
        <f>IF(BBDD_fashion_boutique[[#This Row],[stock_quantity]]&gt;9,"Ok",IF(BBDD_fashion_boutique[[#This Row],[stock_quantity]]=0,"Agotado","Pocas Unidades"))</f>
        <v>Pocas Unidades</v>
      </c>
      <c r="S1904" s="3">
        <f>IF(BBDD_fashion_boutique[[#This Row],[customer_rating]]="","No valorado",BBDD_fashion_boutique[[#This Row],[customer_rating]])</f>
        <v>2.6</v>
      </c>
      <c r="T1904" t="s">
        <v>24</v>
      </c>
      <c r="V1904">
        <f>IF(BBDD_fashion_boutique[[#This Row],[is_returned]]="False",0,1)</f>
        <v>0</v>
      </c>
      <c r="W1904">
        <f>IF(BBDD_fashion_boutique[[#This Row],[is_returned]]="True",0,BBDD_fashion_boutique[[#This Row],[current_price]])</f>
        <v>39.119999999999997</v>
      </c>
      <c r="X1904" t="str">
        <f>IF(BBDD_fashion_boutique[[#This Row],[return_reason]]="","No return",BBDD_fashion_boutique[[#This Row],[return_reason]])</f>
        <v>No return</v>
      </c>
      <c r="Y1904">
        <f>IF(IFERROR(VLOOKUP(BBDD_fashion_boutique[[#This Row],[product_id]],A1905:A4080,1,FALSE),0),1,0)</f>
        <v>0</v>
      </c>
    </row>
    <row r="1905" spans="1:25" x14ac:dyDescent="0.3">
      <c r="A1905" t="s">
        <v>1964</v>
      </c>
      <c r="B1905" t="s">
        <v>44</v>
      </c>
      <c r="C1905" t="s">
        <v>67</v>
      </c>
      <c r="D1905" t="s">
        <v>68</v>
      </c>
      <c r="E1905" t="s">
        <v>22</v>
      </c>
      <c r="F1905" t="str">
        <f>IF(BBDD_fashion_boutique[[#This Row],[category]]="Accessories","Accesorio",IF(BBDD_fashion_boutique[[#This Row],[size]]="","Desconocido",BBDD_fashion_boutique[[#This Row],[size]]))</f>
        <v>XL</v>
      </c>
      <c r="G1905" t="s">
        <v>62</v>
      </c>
      <c r="H1905" s="2">
        <v>84.72</v>
      </c>
      <c r="I1905">
        <v>24.2</v>
      </c>
      <c r="J1905" s="5">
        <f>BBDD_fashion_boutique[[#This Row],[markdown_percentage]]/100</f>
        <v>0.24199999999999999</v>
      </c>
      <c r="K1905" s="2">
        <v>64.22</v>
      </c>
      <c r="L1905" s="2">
        <f>BBDD_fashion_boutique[[#This Row],[original_price]]-BBDD_fashion_boutique[[#This Row],[current_price]]</f>
        <v>20.5</v>
      </c>
      <c r="M1905" s="1">
        <v>45875</v>
      </c>
      <c r="N1905" s="1" t="str">
        <f>PROPER(TEXT(BBDD_fashion_boutique[[#This Row],[purchase_date]],"dddd"))</f>
        <v>Miércoles</v>
      </c>
      <c r="O1905" s="1" t="str">
        <f>PROPER(TEXT(BBDD_fashion_boutique[[#This Row],[purchase_date]],"mmmm"))</f>
        <v>Agosto</v>
      </c>
      <c r="P1905" s="4">
        <v>44</v>
      </c>
      <c r="R1905" t="str">
        <f>IF(BBDD_fashion_boutique[[#This Row],[stock_quantity]]&gt;9,"Ok",IF(BBDD_fashion_boutique[[#This Row],[stock_quantity]]=0,"Agotado","Pocas Unidades"))</f>
        <v>Ok</v>
      </c>
      <c r="S1905" s="3" t="str">
        <f>IF(BBDD_fashion_boutique[[#This Row],[customer_rating]]="","No valorado",BBDD_fashion_boutique[[#This Row],[customer_rating]])</f>
        <v>No valorado</v>
      </c>
      <c r="T1905" t="s">
        <v>41</v>
      </c>
      <c r="U1905" t="s">
        <v>42</v>
      </c>
      <c r="V1905">
        <f>IF(BBDD_fashion_boutique[[#This Row],[is_returned]]="False",0,1)</f>
        <v>1</v>
      </c>
      <c r="W1905">
        <f>IF(BBDD_fashion_boutique[[#This Row],[is_returned]]="True",0,BBDD_fashion_boutique[[#This Row],[current_price]])</f>
        <v>0</v>
      </c>
      <c r="X1905" t="str">
        <f>IF(BBDD_fashion_boutique[[#This Row],[return_reason]]="","No return",BBDD_fashion_boutique[[#This Row],[return_reason]])</f>
        <v>Color Mismatch</v>
      </c>
      <c r="Y1905">
        <f>IF(IFERROR(VLOOKUP(BBDD_fashion_boutique[[#This Row],[product_id]],A1906:A4081,1,FALSE),0),1,0)</f>
        <v>0</v>
      </c>
    </row>
    <row r="1906" spans="1:25" x14ac:dyDescent="0.3">
      <c r="A1906" t="s">
        <v>1965</v>
      </c>
      <c r="B1906" t="s">
        <v>26</v>
      </c>
      <c r="C1906" t="s">
        <v>49</v>
      </c>
      <c r="D1906" t="s">
        <v>39</v>
      </c>
      <c r="E1906" t="s">
        <v>22</v>
      </c>
      <c r="F1906" t="str">
        <f>IF(BBDD_fashion_boutique[[#This Row],[category]]="Accessories","Accesorio",IF(BBDD_fashion_boutique[[#This Row],[size]]="","Desconocido",BBDD_fashion_boutique[[#This Row],[size]]))</f>
        <v>XL</v>
      </c>
      <c r="G1906" t="s">
        <v>30</v>
      </c>
      <c r="H1906" s="2">
        <v>50.9</v>
      </c>
      <c r="I1906">
        <v>0</v>
      </c>
      <c r="J1906" s="5">
        <f>BBDD_fashion_boutique[[#This Row],[markdown_percentage]]/100</f>
        <v>0</v>
      </c>
      <c r="K1906" s="2">
        <v>50.9</v>
      </c>
      <c r="L1906" s="2">
        <f>BBDD_fashion_boutique[[#This Row],[original_price]]-BBDD_fashion_boutique[[#This Row],[current_price]]</f>
        <v>0</v>
      </c>
      <c r="M1906" s="1">
        <v>45875</v>
      </c>
      <c r="N1906" s="1" t="str">
        <f>PROPER(TEXT(BBDD_fashion_boutique[[#This Row],[purchase_date]],"dddd"))</f>
        <v>Miércoles</v>
      </c>
      <c r="O1906" s="1" t="str">
        <f>PROPER(TEXT(BBDD_fashion_boutique[[#This Row],[purchase_date]],"mmmm"))</f>
        <v>Agosto</v>
      </c>
      <c r="P1906" s="4">
        <v>1</v>
      </c>
      <c r="Q1906" s="2">
        <v>1.8</v>
      </c>
      <c r="R1906" t="str">
        <f>IF(BBDD_fashion_boutique[[#This Row],[stock_quantity]]&gt;9,"Ok",IF(BBDD_fashion_boutique[[#This Row],[stock_quantity]]=0,"Agotado","Pocas Unidades"))</f>
        <v>Pocas Unidades</v>
      </c>
      <c r="S1906" s="3">
        <f>IF(BBDD_fashion_boutique[[#This Row],[customer_rating]]="","No valorado",BBDD_fashion_boutique[[#This Row],[customer_rating]])</f>
        <v>1.8</v>
      </c>
      <c r="T1906" t="s">
        <v>24</v>
      </c>
      <c r="V1906">
        <f>IF(BBDD_fashion_boutique[[#This Row],[is_returned]]="False",0,1)</f>
        <v>0</v>
      </c>
      <c r="W1906">
        <f>IF(BBDD_fashion_boutique[[#This Row],[is_returned]]="True",0,BBDD_fashion_boutique[[#This Row],[current_price]])</f>
        <v>50.9</v>
      </c>
      <c r="X1906" t="str">
        <f>IF(BBDD_fashion_boutique[[#This Row],[return_reason]]="","No return",BBDD_fashion_boutique[[#This Row],[return_reason]])</f>
        <v>No return</v>
      </c>
      <c r="Y1906">
        <f>IF(IFERROR(VLOOKUP(BBDD_fashion_boutique[[#This Row],[product_id]],A1907:A4082,1,FALSE),0),1,0)</f>
        <v>0</v>
      </c>
    </row>
    <row r="1907" spans="1:25" x14ac:dyDescent="0.3">
      <c r="A1907" t="s">
        <v>1966</v>
      </c>
      <c r="B1907" t="s">
        <v>32</v>
      </c>
      <c r="C1907" t="s">
        <v>20</v>
      </c>
      <c r="D1907" t="s">
        <v>28</v>
      </c>
      <c r="F1907" t="str">
        <f>IF(BBDD_fashion_boutique[[#This Row],[category]]="Accessories","Accesorio",IF(BBDD_fashion_boutique[[#This Row],[size]]="","Desconocido",BBDD_fashion_boutique[[#This Row],[size]]))</f>
        <v>Accesorio</v>
      </c>
      <c r="G1907" t="s">
        <v>30</v>
      </c>
      <c r="H1907" s="2">
        <v>31.23</v>
      </c>
      <c r="I1907">
        <v>0</v>
      </c>
      <c r="J1907" s="5">
        <f>BBDD_fashion_boutique[[#This Row],[markdown_percentage]]/100</f>
        <v>0</v>
      </c>
      <c r="K1907" s="2">
        <v>31.23</v>
      </c>
      <c r="L1907" s="2">
        <f>BBDD_fashion_boutique[[#This Row],[original_price]]-BBDD_fashion_boutique[[#This Row],[current_price]]</f>
        <v>0</v>
      </c>
      <c r="M1907" s="1">
        <v>45875</v>
      </c>
      <c r="N1907" s="1" t="str">
        <f>PROPER(TEXT(BBDD_fashion_boutique[[#This Row],[purchase_date]],"dddd"))</f>
        <v>Miércoles</v>
      </c>
      <c r="O1907" s="1" t="str">
        <f>PROPER(TEXT(BBDD_fashion_boutique[[#This Row],[purchase_date]],"mmmm"))</f>
        <v>Agosto</v>
      </c>
      <c r="P1907" s="4">
        <v>25</v>
      </c>
      <c r="Q1907" s="2">
        <v>2.8</v>
      </c>
      <c r="R1907" t="str">
        <f>IF(BBDD_fashion_boutique[[#This Row],[stock_quantity]]&gt;9,"Ok",IF(BBDD_fashion_boutique[[#This Row],[stock_quantity]]=0,"Agotado","Pocas Unidades"))</f>
        <v>Ok</v>
      </c>
      <c r="S1907" s="3">
        <f>IF(BBDD_fashion_boutique[[#This Row],[customer_rating]]="","No valorado",BBDD_fashion_boutique[[#This Row],[customer_rating]])</f>
        <v>2.8</v>
      </c>
      <c r="T1907" t="s">
        <v>24</v>
      </c>
      <c r="V1907">
        <f>IF(BBDD_fashion_boutique[[#This Row],[is_returned]]="False",0,1)</f>
        <v>0</v>
      </c>
      <c r="W1907">
        <f>IF(BBDD_fashion_boutique[[#This Row],[is_returned]]="True",0,BBDD_fashion_boutique[[#This Row],[current_price]])</f>
        <v>31.23</v>
      </c>
      <c r="X1907" t="str">
        <f>IF(BBDD_fashion_boutique[[#This Row],[return_reason]]="","No return",BBDD_fashion_boutique[[#This Row],[return_reason]])</f>
        <v>No return</v>
      </c>
      <c r="Y1907">
        <f>IF(IFERROR(VLOOKUP(BBDD_fashion_boutique[[#This Row],[product_id]],A1908:A4083,1,FALSE),0),1,0)</f>
        <v>0</v>
      </c>
    </row>
    <row r="1908" spans="1:25" x14ac:dyDescent="0.3">
      <c r="A1908" t="s">
        <v>1967</v>
      </c>
      <c r="B1908" t="s">
        <v>26</v>
      </c>
      <c r="C1908" t="s">
        <v>20</v>
      </c>
      <c r="D1908" t="s">
        <v>21</v>
      </c>
      <c r="E1908" t="s">
        <v>55</v>
      </c>
      <c r="F1908" t="str">
        <f>IF(BBDD_fashion_boutique[[#This Row],[category]]="Accessories","Accesorio",IF(BBDD_fashion_boutique[[#This Row],[size]]="","Desconocido",BBDD_fashion_boutique[[#This Row],[size]]))</f>
        <v>XXL</v>
      </c>
      <c r="G1908" t="s">
        <v>23</v>
      </c>
      <c r="H1908" s="2">
        <v>105.1</v>
      </c>
      <c r="I1908">
        <v>0</v>
      </c>
      <c r="J1908" s="5">
        <f>BBDD_fashion_boutique[[#This Row],[markdown_percentage]]/100</f>
        <v>0</v>
      </c>
      <c r="K1908" s="2">
        <v>105.1</v>
      </c>
      <c r="L1908" s="2">
        <f>BBDD_fashion_boutique[[#This Row],[original_price]]-BBDD_fashion_boutique[[#This Row],[current_price]]</f>
        <v>0</v>
      </c>
      <c r="M1908" s="1">
        <v>45532</v>
      </c>
      <c r="N1908" s="1" t="str">
        <f>PROPER(TEXT(BBDD_fashion_boutique[[#This Row],[purchase_date]],"dddd"))</f>
        <v>Miércoles</v>
      </c>
      <c r="O1908" s="1" t="str">
        <f>PROPER(TEXT(BBDD_fashion_boutique[[#This Row],[purchase_date]],"mmmm"))</f>
        <v>Agosto</v>
      </c>
      <c r="P1908" s="4">
        <v>39</v>
      </c>
      <c r="Q1908" s="2">
        <v>4.4000000000000004</v>
      </c>
      <c r="R1908" t="str">
        <f>IF(BBDD_fashion_boutique[[#This Row],[stock_quantity]]&gt;9,"Ok",IF(BBDD_fashion_boutique[[#This Row],[stock_quantity]]=0,"Agotado","Pocas Unidades"))</f>
        <v>Ok</v>
      </c>
      <c r="S1908" s="3">
        <f>IF(BBDD_fashion_boutique[[#This Row],[customer_rating]]="","No valorado",BBDD_fashion_boutique[[#This Row],[customer_rating]])</f>
        <v>4.4000000000000004</v>
      </c>
      <c r="T1908" t="s">
        <v>24</v>
      </c>
      <c r="V1908">
        <f>IF(BBDD_fashion_boutique[[#This Row],[is_returned]]="False",0,1)</f>
        <v>0</v>
      </c>
      <c r="W1908">
        <f>IF(BBDD_fashion_boutique[[#This Row],[is_returned]]="True",0,BBDD_fashion_boutique[[#This Row],[current_price]])</f>
        <v>105.1</v>
      </c>
      <c r="X1908" t="str">
        <f>IF(BBDD_fashion_boutique[[#This Row],[return_reason]]="","No return",BBDD_fashion_boutique[[#This Row],[return_reason]])</f>
        <v>No return</v>
      </c>
      <c r="Y1908">
        <f>IF(IFERROR(VLOOKUP(BBDD_fashion_boutique[[#This Row],[product_id]],A1909:A4084,1,FALSE),0),1,0)</f>
        <v>0</v>
      </c>
    </row>
    <row r="1909" spans="1:25" x14ac:dyDescent="0.3">
      <c r="A1909" t="s">
        <v>1968</v>
      </c>
      <c r="B1909" t="s">
        <v>48</v>
      </c>
      <c r="C1909" t="s">
        <v>81</v>
      </c>
      <c r="D1909" t="s">
        <v>68</v>
      </c>
      <c r="E1909" t="s">
        <v>61</v>
      </c>
      <c r="F1909" t="str">
        <f>IF(BBDD_fashion_boutique[[#This Row],[category]]="Accessories","Accesorio",IF(BBDD_fashion_boutique[[#This Row],[size]]="","Desconocido",BBDD_fashion_boutique[[#This Row],[size]]))</f>
        <v>XS</v>
      </c>
      <c r="G1909" t="s">
        <v>76</v>
      </c>
      <c r="H1909" s="2">
        <v>160.38</v>
      </c>
      <c r="I1909">
        <v>0</v>
      </c>
      <c r="J1909" s="5">
        <f>BBDD_fashion_boutique[[#This Row],[markdown_percentage]]/100</f>
        <v>0</v>
      </c>
      <c r="K1909" s="2">
        <v>160.38</v>
      </c>
      <c r="L1909" s="2">
        <f>BBDD_fashion_boutique[[#This Row],[original_price]]-BBDD_fashion_boutique[[#This Row],[current_price]]</f>
        <v>0</v>
      </c>
      <c r="M1909" s="1">
        <v>45875</v>
      </c>
      <c r="N1909" s="1" t="str">
        <f>PROPER(TEXT(BBDD_fashion_boutique[[#This Row],[purchase_date]],"dddd"))</f>
        <v>Miércoles</v>
      </c>
      <c r="O1909" s="1" t="str">
        <f>PROPER(TEXT(BBDD_fashion_boutique[[#This Row],[purchase_date]],"mmmm"))</f>
        <v>Agosto</v>
      </c>
      <c r="P1909" s="4">
        <v>27</v>
      </c>
      <c r="Q1909" s="2">
        <v>2.7</v>
      </c>
      <c r="R1909" t="str">
        <f>IF(BBDD_fashion_boutique[[#This Row],[stock_quantity]]&gt;9,"Ok",IF(BBDD_fashion_boutique[[#This Row],[stock_quantity]]=0,"Agotado","Pocas Unidades"))</f>
        <v>Ok</v>
      </c>
      <c r="S1909" s="3">
        <f>IF(BBDD_fashion_boutique[[#This Row],[customer_rating]]="","No valorado",BBDD_fashion_boutique[[#This Row],[customer_rating]])</f>
        <v>2.7</v>
      </c>
      <c r="T1909" t="s">
        <v>41</v>
      </c>
      <c r="U1909" t="s">
        <v>131</v>
      </c>
      <c r="V1909">
        <f>IF(BBDD_fashion_boutique[[#This Row],[is_returned]]="False",0,1)</f>
        <v>1</v>
      </c>
      <c r="W1909">
        <f>IF(BBDD_fashion_boutique[[#This Row],[is_returned]]="True",0,BBDD_fashion_boutique[[#This Row],[current_price]])</f>
        <v>0</v>
      </c>
      <c r="X1909" t="str">
        <f>IF(BBDD_fashion_boutique[[#This Row],[return_reason]]="","No return",BBDD_fashion_boutique[[#This Row],[return_reason]])</f>
        <v>Wrong Item</v>
      </c>
      <c r="Y1909">
        <f>IF(IFERROR(VLOOKUP(BBDD_fashion_boutique[[#This Row],[product_id]],A1910:A4085,1,FALSE),0),1,0)</f>
        <v>0</v>
      </c>
    </row>
    <row r="1910" spans="1:25" x14ac:dyDescent="0.3">
      <c r="A1910" t="s">
        <v>1969</v>
      </c>
      <c r="B1910" t="s">
        <v>44</v>
      </c>
      <c r="C1910" t="s">
        <v>27</v>
      </c>
      <c r="D1910" t="s">
        <v>21</v>
      </c>
      <c r="E1910" t="s">
        <v>61</v>
      </c>
      <c r="F1910" t="str">
        <f>IF(BBDD_fashion_boutique[[#This Row],[category]]="Accessories","Accesorio",IF(BBDD_fashion_boutique[[#This Row],[size]]="","Desconocido",BBDD_fashion_boutique[[#This Row],[size]]))</f>
        <v>XS</v>
      </c>
      <c r="G1910" t="s">
        <v>30</v>
      </c>
      <c r="H1910" s="2">
        <v>96.68</v>
      </c>
      <c r="I1910">
        <v>26</v>
      </c>
      <c r="J1910" s="5">
        <f>BBDD_fashion_boutique[[#This Row],[markdown_percentage]]/100</f>
        <v>0.26</v>
      </c>
      <c r="K1910" s="2">
        <v>71.540000000000006</v>
      </c>
      <c r="L1910" s="2">
        <f>BBDD_fashion_boutique[[#This Row],[original_price]]-BBDD_fashion_boutique[[#This Row],[current_price]]</f>
        <v>25.14</v>
      </c>
      <c r="M1910" s="1">
        <v>45556</v>
      </c>
      <c r="N1910" s="1" t="str">
        <f>PROPER(TEXT(BBDD_fashion_boutique[[#This Row],[purchase_date]],"dddd"))</f>
        <v>Sábado</v>
      </c>
      <c r="O1910" s="1" t="str">
        <f>PROPER(TEXT(BBDD_fashion_boutique[[#This Row],[purchase_date]],"mmmm"))</f>
        <v>Septiembre</v>
      </c>
      <c r="P1910" s="4">
        <v>16</v>
      </c>
      <c r="R1910" t="str">
        <f>IF(BBDD_fashion_boutique[[#This Row],[stock_quantity]]&gt;9,"Ok",IF(BBDD_fashion_boutique[[#This Row],[stock_quantity]]=0,"Agotado","Pocas Unidades"))</f>
        <v>Ok</v>
      </c>
      <c r="S1910" s="3" t="str">
        <f>IF(BBDD_fashion_boutique[[#This Row],[customer_rating]]="","No valorado",BBDD_fashion_boutique[[#This Row],[customer_rating]])</f>
        <v>No valorado</v>
      </c>
      <c r="T1910" t="s">
        <v>24</v>
      </c>
      <c r="V1910">
        <f>IF(BBDD_fashion_boutique[[#This Row],[is_returned]]="False",0,1)</f>
        <v>0</v>
      </c>
      <c r="W1910">
        <f>IF(BBDD_fashion_boutique[[#This Row],[is_returned]]="True",0,BBDD_fashion_boutique[[#This Row],[current_price]])</f>
        <v>71.540000000000006</v>
      </c>
      <c r="X1910" t="str">
        <f>IF(BBDD_fashion_boutique[[#This Row],[return_reason]]="","No return",BBDD_fashion_boutique[[#This Row],[return_reason]])</f>
        <v>No return</v>
      </c>
      <c r="Y1910">
        <f>IF(IFERROR(VLOOKUP(BBDD_fashion_boutique[[#This Row],[product_id]],A1911:A4086,1,FALSE),0),1,0)</f>
        <v>0</v>
      </c>
    </row>
    <row r="1911" spans="1:25" x14ac:dyDescent="0.3">
      <c r="A1911" t="s">
        <v>1970</v>
      </c>
      <c r="B1911" t="s">
        <v>32</v>
      </c>
      <c r="C1911" t="s">
        <v>81</v>
      </c>
      <c r="D1911" t="s">
        <v>68</v>
      </c>
      <c r="F1911" t="str">
        <f>IF(BBDD_fashion_boutique[[#This Row],[category]]="Accessories","Accesorio",IF(BBDD_fashion_boutique[[#This Row],[size]]="","Desconocido",BBDD_fashion_boutique[[#This Row],[size]]))</f>
        <v>Accesorio</v>
      </c>
      <c r="G1911" t="s">
        <v>62</v>
      </c>
      <c r="H1911" s="2">
        <v>16.64</v>
      </c>
      <c r="I1911">
        <v>0</v>
      </c>
      <c r="J1911" s="5">
        <f>BBDD_fashion_boutique[[#This Row],[markdown_percentage]]/100</f>
        <v>0</v>
      </c>
      <c r="K1911" s="2">
        <v>16.64</v>
      </c>
      <c r="L1911" s="2">
        <f>BBDD_fashion_boutique[[#This Row],[original_price]]-BBDD_fashion_boutique[[#This Row],[current_price]]</f>
        <v>0</v>
      </c>
      <c r="M1911" s="1">
        <v>45875</v>
      </c>
      <c r="N1911" s="1" t="str">
        <f>PROPER(TEXT(BBDD_fashion_boutique[[#This Row],[purchase_date]],"dddd"))</f>
        <v>Miércoles</v>
      </c>
      <c r="O1911" s="1" t="str">
        <f>PROPER(TEXT(BBDD_fashion_boutique[[#This Row],[purchase_date]],"mmmm"))</f>
        <v>Agosto</v>
      </c>
      <c r="P1911" s="4">
        <v>8</v>
      </c>
      <c r="Q1911" s="2">
        <v>4.8</v>
      </c>
      <c r="R1911" t="str">
        <f>IF(BBDD_fashion_boutique[[#This Row],[stock_quantity]]&gt;9,"Ok",IF(BBDD_fashion_boutique[[#This Row],[stock_quantity]]=0,"Agotado","Pocas Unidades"))</f>
        <v>Pocas Unidades</v>
      </c>
      <c r="S1911" s="3">
        <f>IF(BBDD_fashion_boutique[[#This Row],[customer_rating]]="","No valorado",BBDD_fashion_boutique[[#This Row],[customer_rating]])</f>
        <v>4.8</v>
      </c>
      <c r="T1911" t="s">
        <v>24</v>
      </c>
      <c r="V1911">
        <f>IF(BBDD_fashion_boutique[[#This Row],[is_returned]]="False",0,1)</f>
        <v>0</v>
      </c>
      <c r="W1911">
        <f>IF(BBDD_fashion_boutique[[#This Row],[is_returned]]="True",0,BBDD_fashion_boutique[[#This Row],[current_price]])</f>
        <v>16.64</v>
      </c>
      <c r="X1911" t="str">
        <f>IF(BBDD_fashion_boutique[[#This Row],[return_reason]]="","No return",BBDD_fashion_boutique[[#This Row],[return_reason]])</f>
        <v>No return</v>
      </c>
      <c r="Y1911">
        <f>IF(IFERROR(VLOOKUP(BBDD_fashion_boutique[[#This Row],[product_id]],A1912:A4087,1,FALSE),0),1,0)</f>
        <v>0</v>
      </c>
    </row>
    <row r="1912" spans="1:25" x14ac:dyDescent="0.3">
      <c r="A1912" t="s">
        <v>1971</v>
      </c>
      <c r="B1912" t="s">
        <v>19</v>
      </c>
      <c r="C1912" t="s">
        <v>59</v>
      </c>
      <c r="D1912" t="s">
        <v>39</v>
      </c>
      <c r="E1912" t="s">
        <v>45</v>
      </c>
      <c r="F1912" t="str">
        <f>IF(BBDD_fashion_boutique[[#This Row],[category]]="Accessories","Accesorio",IF(BBDD_fashion_boutique[[#This Row],[size]]="","Desconocido",BBDD_fashion_boutique[[#This Row],[size]]))</f>
        <v>S</v>
      </c>
      <c r="G1912" t="s">
        <v>62</v>
      </c>
      <c r="H1912" s="2">
        <v>160.05000000000001</v>
      </c>
      <c r="I1912">
        <v>53.7</v>
      </c>
      <c r="J1912" s="5">
        <f>BBDD_fashion_boutique[[#This Row],[markdown_percentage]]/100</f>
        <v>0.53700000000000003</v>
      </c>
      <c r="K1912" s="2">
        <v>74.099999999999994</v>
      </c>
      <c r="L1912" s="2">
        <f>BBDD_fashion_boutique[[#This Row],[original_price]]-BBDD_fashion_boutique[[#This Row],[current_price]]</f>
        <v>85.950000000000017</v>
      </c>
      <c r="M1912" s="1">
        <v>45875</v>
      </c>
      <c r="N1912" s="1" t="str">
        <f>PROPER(TEXT(BBDD_fashion_boutique[[#This Row],[purchase_date]],"dddd"))</f>
        <v>Miércoles</v>
      </c>
      <c r="O1912" s="1" t="str">
        <f>PROPER(TEXT(BBDD_fashion_boutique[[#This Row],[purchase_date]],"mmmm"))</f>
        <v>Agosto</v>
      </c>
      <c r="P1912" s="4">
        <v>2</v>
      </c>
      <c r="Q1912" s="2">
        <v>3.2</v>
      </c>
      <c r="R1912" t="str">
        <f>IF(BBDD_fashion_boutique[[#This Row],[stock_quantity]]&gt;9,"Ok",IF(BBDD_fashion_boutique[[#This Row],[stock_quantity]]=0,"Agotado","Pocas Unidades"))</f>
        <v>Pocas Unidades</v>
      </c>
      <c r="S1912" s="3">
        <f>IF(BBDD_fashion_boutique[[#This Row],[customer_rating]]="","No valorado",BBDD_fashion_boutique[[#This Row],[customer_rating]])</f>
        <v>3.2</v>
      </c>
      <c r="T1912" t="s">
        <v>41</v>
      </c>
      <c r="U1912" t="s">
        <v>89</v>
      </c>
      <c r="V1912">
        <f>IF(BBDD_fashion_boutique[[#This Row],[is_returned]]="False",0,1)</f>
        <v>1</v>
      </c>
      <c r="W1912">
        <f>IF(BBDD_fashion_boutique[[#This Row],[is_returned]]="True",0,BBDD_fashion_boutique[[#This Row],[current_price]])</f>
        <v>0</v>
      </c>
      <c r="X1912" t="str">
        <f>IF(BBDD_fashion_boutique[[#This Row],[return_reason]]="","No return",BBDD_fashion_boutique[[#This Row],[return_reason]])</f>
        <v>Quality Issue</v>
      </c>
      <c r="Y1912">
        <f>IF(IFERROR(VLOOKUP(BBDD_fashion_boutique[[#This Row],[product_id]],A1913:A4088,1,FALSE),0),1,0)</f>
        <v>0</v>
      </c>
    </row>
    <row r="1913" spans="1:25" x14ac:dyDescent="0.3">
      <c r="A1913" t="s">
        <v>1972</v>
      </c>
      <c r="B1913" t="s">
        <v>32</v>
      </c>
      <c r="C1913" t="s">
        <v>49</v>
      </c>
      <c r="D1913" t="s">
        <v>39</v>
      </c>
      <c r="F1913" t="str">
        <f>IF(BBDD_fashion_boutique[[#This Row],[category]]="Accessories","Accesorio",IF(BBDD_fashion_boutique[[#This Row],[size]]="","Desconocido",BBDD_fashion_boutique[[#This Row],[size]]))</f>
        <v>Accesorio</v>
      </c>
      <c r="G1913" t="s">
        <v>46</v>
      </c>
      <c r="H1913" s="2">
        <v>23.56</v>
      </c>
      <c r="I1913">
        <v>0</v>
      </c>
      <c r="J1913" s="5">
        <f>BBDD_fashion_boutique[[#This Row],[markdown_percentage]]/100</f>
        <v>0</v>
      </c>
      <c r="K1913" s="2">
        <v>23.56</v>
      </c>
      <c r="L1913" s="2">
        <f>BBDD_fashion_boutique[[#This Row],[original_price]]-BBDD_fashion_boutique[[#This Row],[current_price]]</f>
        <v>0</v>
      </c>
      <c r="M1913" s="1">
        <v>45875</v>
      </c>
      <c r="N1913" s="1" t="str">
        <f>PROPER(TEXT(BBDD_fashion_boutique[[#This Row],[purchase_date]],"dddd"))</f>
        <v>Miércoles</v>
      </c>
      <c r="O1913" s="1" t="str">
        <f>PROPER(TEXT(BBDD_fashion_boutique[[#This Row],[purchase_date]],"mmmm"))</f>
        <v>Agosto</v>
      </c>
      <c r="P1913" s="4">
        <v>16</v>
      </c>
      <c r="Q1913" s="2">
        <v>4.4000000000000004</v>
      </c>
      <c r="R1913" t="str">
        <f>IF(BBDD_fashion_boutique[[#This Row],[stock_quantity]]&gt;9,"Ok",IF(BBDD_fashion_boutique[[#This Row],[stock_quantity]]=0,"Agotado","Pocas Unidades"))</f>
        <v>Ok</v>
      </c>
      <c r="S1913" s="3">
        <f>IF(BBDD_fashion_boutique[[#This Row],[customer_rating]]="","No valorado",BBDD_fashion_boutique[[#This Row],[customer_rating]])</f>
        <v>4.4000000000000004</v>
      </c>
      <c r="T1913" t="s">
        <v>24</v>
      </c>
      <c r="V1913">
        <f>IF(BBDD_fashion_boutique[[#This Row],[is_returned]]="False",0,1)</f>
        <v>0</v>
      </c>
      <c r="W1913">
        <f>IF(BBDD_fashion_boutique[[#This Row],[is_returned]]="True",0,BBDD_fashion_boutique[[#This Row],[current_price]])</f>
        <v>23.56</v>
      </c>
      <c r="X1913" t="str">
        <f>IF(BBDD_fashion_boutique[[#This Row],[return_reason]]="","No return",BBDD_fashion_boutique[[#This Row],[return_reason]])</f>
        <v>No return</v>
      </c>
      <c r="Y1913">
        <f>IF(IFERROR(VLOOKUP(BBDD_fashion_boutique[[#This Row],[product_id]],A1914:A4089,1,FALSE),0),1,0)</f>
        <v>0</v>
      </c>
    </row>
    <row r="1914" spans="1:25" x14ac:dyDescent="0.3">
      <c r="A1914" t="s">
        <v>1973</v>
      </c>
      <c r="B1914" t="s">
        <v>35</v>
      </c>
      <c r="C1914" t="s">
        <v>20</v>
      </c>
      <c r="D1914" t="s">
        <v>39</v>
      </c>
      <c r="E1914" t="s">
        <v>61</v>
      </c>
      <c r="F1914" t="str">
        <f>IF(BBDD_fashion_boutique[[#This Row],[category]]="Accessories","Accesorio",IF(BBDD_fashion_boutique[[#This Row],[size]]="","Desconocido",BBDD_fashion_boutique[[#This Row],[size]]))</f>
        <v>XS</v>
      </c>
      <c r="G1914" t="s">
        <v>33</v>
      </c>
      <c r="H1914" s="2">
        <v>68.37</v>
      </c>
      <c r="I1914">
        <v>24.2</v>
      </c>
      <c r="J1914" s="5">
        <f>BBDD_fashion_boutique[[#This Row],[markdown_percentage]]/100</f>
        <v>0.24199999999999999</v>
      </c>
      <c r="K1914" s="2">
        <v>51.82</v>
      </c>
      <c r="L1914" s="2">
        <f>BBDD_fashion_boutique[[#This Row],[original_price]]-BBDD_fashion_boutique[[#This Row],[current_price]]</f>
        <v>16.550000000000004</v>
      </c>
      <c r="M1914" s="1">
        <v>45875</v>
      </c>
      <c r="N1914" s="1" t="str">
        <f>PROPER(TEXT(BBDD_fashion_boutique[[#This Row],[purchase_date]],"dddd"))</f>
        <v>Miércoles</v>
      </c>
      <c r="O1914" s="1" t="str">
        <f>PROPER(TEXT(BBDD_fashion_boutique[[#This Row],[purchase_date]],"mmmm"))</f>
        <v>Agosto</v>
      </c>
      <c r="P1914" s="4">
        <v>8</v>
      </c>
      <c r="Q1914" s="2">
        <v>3.7</v>
      </c>
      <c r="R1914" t="str">
        <f>IF(BBDD_fashion_boutique[[#This Row],[stock_quantity]]&gt;9,"Ok",IF(BBDD_fashion_boutique[[#This Row],[stock_quantity]]=0,"Agotado","Pocas Unidades"))</f>
        <v>Pocas Unidades</v>
      </c>
      <c r="S1914" s="3">
        <f>IF(BBDD_fashion_boutique[[#This Row],[customer_rating]]="","No valorado",BBDD_fashion_boutique[[#This Row],[customer_rating]])</f>
        <v>3.7</v>
      </c>
      <c r="T1914" t="s">
        <v>24</v>
      </c>
      <c r="V1914">
        <f>IF(BBDD_fashion_boutique[[#This Row],[is_returned]]="False",0,1)</f>
        <v>0</v>
      </c>
      <c r="W1914">
        <f>IF(BBDD_fashion_boutique[[#This Row],[is_returned]]="True",0,BBDD_fashion_boutique[[#This Row],[current_price]])</f>
        <v>51.82</v>
      </c>
      <c r="X1914" t="str">
        <f>IF(BBDD_fashion_boutique[[#This Row],[return_reason]]="","No return",BBDD_fashion_boutique[[#This Row],[return_reason]])</f>
        <v>No return</v>
      </c>
      <c r="Y1914">
        <f>IF(IFERROR(VLOOKUP(BBDD_fashion_boutique[[#This Row],[product_id]],A1915:A4090,1,FALSE),0),1,0)</f>
        <v>0</v>
      </c>
    </row>
    <row r="1915" spans="1:25" x14ac:dyDescent="0.3">
      <c r="A1915" t="s">
        <v>1974</v>
      </c>
      <c r="B1915" t="s">
        <v>19</v>
      </c>
      <c r="C1915" t="s">
        <v>49</v>
      </c>
      <c r="D1915" t="s">
        <v>39</v>
      </c>
      <c r="E1915" t="s">
        <v>45</v>
      </c>
      <c r="F1915" t="str">
        <f>IF(BBDD_fashion_boutique[[#This Row],[category]]="Accessories","Accesorio",IF(BBDD_fashion_boutique[[#This Row],[size]]="","Desconocido",BBDD_fashion_boutique[[#This Row],[size]]))</f>
        <v>S</v>
      </c>
      <c r="G1915" t="s">
        <v>52</v>
      </c>
      <c r="H1915" s="2">
        <v>184.24</v>
      </c>
      <c r="I1915">
        <v>0</v>
      </c>
      <c r="J1915" s="5">
        <f>BBDD_fashion_boutique[[#This Row],[markdown_percentage]]/100</f>
        <v>0</v>
      </c>
      <c r="K1915" s="2">
        <v>184.24</v>
      </c>
      <c r="L1915" s="2">
        <f>BBDD_fashion_boutique[[#This Row],[original_price]]-BBDD_fashion_boutique[[#This Row],[current_price]]</f>
        <v>0</v>
      </c>
      <c r="M1915" s="1">
        <v>45875</v>
      </c>
      <c r="N1915" s="1" t="str">
        <f>PROPER(TEXT(BBDD_fashion_boutique[[#This Row],[purchase_date]],"dddd"))</f>
        <v>Miércoles</v>
      </c>
      <c r="O1915" s="1" t="str">
        <f>PROPER(TEXT(BBDD_fashion_boutique[[#This Row],[purchase_date]],"mmmm"))</f>
        <v>Agosto</v>
      </c>
      <c r="P1915" s="4">
        <v>49</v>
      </c>
      <c r="Q1915" s="2">
        <v>4</v>
      </c>
      <c r="R1915" t="str">
        <f>IF(BBDD_fashion_boutique[[#This Row],[stock_quantity]]&gt;9,"Ok",IF(BBDD_fashion_boutique[[#This Row],[stock_quantity]]=0,"Agotado","Pocas Unidades"))</f>
        <v>Ok</v>
      </c>
      <c r="S1915" s="3">
        <f>IF(BBDD_fashion_boutique[[#This Row],[customer_rating]]="","No valorado",BBDD_fashion_boutique[[#This Row],[customer_rating]])</f>
        <v>4</v>
      </c>
      <c r="T1915" t="s">
        <v>24</v>
      </c>
      <c r="V1915">
        <f>IF(BBDD_fashion_boutique[[#This Row],[is_returned]]="False",0,1)</f>
        <v>0</v>
      </c>
      <c r="W1915">
        <f>IF(BBDD_fashion_boutique[[#This Row],[is_returned]]="True",0,BBDD_fashion_boutique[[#This Row],[current_price]])</f>
        <v>184.24</v>
      </c>
      <c r="X1915" t="str">
        <f>IF(BBDD_fashion_boutique[[#This Row],[return_reason]]="","No return",BBDD_fashion_boutique[[#This Row],[return_reason]])</f>
        <v>No return</v>
      </c>
      <c r="Y1915">
        <f>IF(IFERROR(VLOOKUP(BBDD_fashion_boutique[[#This Row],[product_id]],A1916:A4091,1,FALSE),0),1,0)</f>
        <v>0</v>
      </c>
    </row>
    <row r="1916" spans="1:25" x14ac:dyDescent="0.3">
      <c r="A1916" t="s">
        <v>1975</v>
      </c>
      <c r="B1916" t="s">
        <v>35</v>
      </c>
      <c r="C1916" t="s">
        <v>37</v>
      </c>
      <c r="D1916" t="s">
        <v>21</v>
      </c>
      <c r="E1916" t="s">
        <v>61</v>
      </c>
      <c r="F1916" t="str">
        <f>IF(BBDD_fashion_boutique[[#This Row],[category]]="Accessories","Accesorio",IF(BBDD_fashion_boutique[[#This Row],[size]]="","Desconocido",BBDD_fashion_boutique[[#This Row],[size]]))</f>
        <v>XS</v>
      </c>
      <c r="G1916" t="s">
        <v>52</v>
      </c>
      <c r="H1916" s="2">
        <v>94.83</v>
      </c>
      <c r="I1916">
        <v>0</v>
      </c>
      <c r="J1916" s="5">
        <f>BBDD_fashion_boutique[[#This Row],[markdown_percentage]]/100</f>
        <v>0</v>
      </c>
      <c r="K1916" s="2">
        <v>94.83</v>
      </c>
      <c r="L1916" s="2">
        <f>BBDD_fashion_boutique[[#This Row],[original_price]]-BBDD_fashion_boutique[[#This Row],[current_price]]</f>
        <v>0</v>
      </c>
      <c r="M1916" s="1">
        <v>45543</v>
      </c>
      <c r="N1916" s="1" t="str">
        <f>PROPER(TEXT(BBDD_fashion_boutique[[#This Row],[purchase_date]],"dddd"))</f>
        <v>Domingo</v>
      </c>
      <c r="O1916" s="1" t="str">
        <f>PROPER(TEXT(BBDD_fashion_boutique[[#This Row],[purchase_date]],"mmmm"))</f>
        <v>Septiembre</v>
      </c>
      <c r="P1916" s="4">
        <v>23</v>
      </c>
      <c r="Q1916" s="2">
        <v>2.9</v>
      </c>
      <c r="R1916" t="str">
        <f>IF(BBDD_fashion_boutique[[#This Row],[stock_quantity]]&gt;9,"Ok",IF(BBDD_fashion_boutique[[#This Row],[stock_quantity]]=0,"Agotado","Pocas Unidades"))</f>
        <v>Ok</v>
      </c>
      <c r="S1916" s="3">
        <f>IF(BBDD_fashion_boutique[[#This Row],[customer_rating]]="","No valorado",BBDD_fashion_boutique[[#This Row],[customer_rating]])</f>
        <v>2.9</v>
      </c>
      <c r="T1916" t="s">
        <v>24</v>
      </c>
      <c r="V1916">
        <f>IF(BBDD_fashion_boutique[[#This Row],[is_returned]]="False",0,1)</f>
        <v>0</v>
      </c>
      <c r="W1916">
        <f>IF(BBDD_fashion_boutique[[#This Row],[is_returned]]="True",0,BBDD_fashion_boutique[[#This Row],[current_price]])</f>
        <v>94.83</v>
      </c>
      <c r="X1916" t="str">
        <f>IF(BBDD_fashion_boutique[[#This Row],[return_reason]]="","No return",BBDD_fashion_boutique[[#This Row],[return_reason]])</f>
        <v>No return</v>
      </c>
      <c r="Y1916">
        <f>IF(IFERROR(VLOOKUP(BBDD_fashion_boutique[[#This Row],[product_id]],A1917:A4092,1,FALSE),0),1,0)</f>
        <v>0</v>
      </c>
    </row>
    <row r="1917" spans="1:25" x14ac:dyDescent="0.3">
      <c r="A1917" t="s">
        <v>1976</v>
      </c>
      <c r="B1917" t="s">
        <v>26</v>
      </c>
      <c r="C1917" t="s">
        <v>59</v>
      </c>
      <c r="D1917" t="s">
        <v>68</v>
      </c>
      <c r="E1917" t="s">
        <v>64</v>
      </c>
      <c r="F1917" t="str">
        <f>IF(BBDD_fashion_boutique[[#This Row],[category]]="Accessories","Accesorio",IF(BBDD_fashion_boutique[[#This Row],[size]]="","Desconocido",BBDD_fashion_boutique[[#This Row],[size]]))</f>
        <v>M</v>
      </c>
      <c r="G1917" t="s">
        <v>30</v>
      </c>
      <c r="H1917" s="2">
        <v>115.58</v>
      </c>
      <c r="I1917">
        <v>0</v>
      </c>
      <c r="J1917" s="5">
        <f>BBDD_fashion_boutique[[#This Row],[markdown_percentage]]/100</f>
        <v>0</v>
      </c>
      <c r="K1917" s="2">
        <v>115.58</v>
      </c>
      <c r="L1917" s="2">
        <f>BBDD_fashion_boutique[[#This Row],[original_price]]-BBDD_fashion_boutique[[#This Row],[current_price]]</f>
        <v>0</v>
      </c>
      <c r="M1917" s="1">
        <v>45875</v>
      </c>
      <c r="N1917" s="1" t="str">
        <f>PROPER(TEXT(BBDD_fashion_boutique[[#This Row],[purchase_date]],"dddd"))</f>
        <v>Miércoles</v>
      </c>
      <c r="O1917" s="1" t="str">
        <f>PROPER(TEXT(BBDD_fashion_boutique[[#This Row],[purchase_date]],"mmmm"))</f>
        <v>Agosto</v>
      </c>
      <c r="P1917" s="4">
        <v>37</v>
      </c>
      <c r="Q1917" s="2">
        <v>2.2000000000000002</v>
      </c>
      <c r="R1917" t="str">
        <f>IF(BBDD_fashion_boutique[[#This Row],[stock_quantity]]&gt;9,"Ok",IF(BBDD_fashion_boutique[[#This Row],[stock_quantity]]=0,"Agotado","Pocas Unidades"))</f>
        <v>Ok</v>
      </c>
      <c r="S1917" s="3">
        <f>IF(BBDD_fashion_boutique[[#This Row],[customer_rating]]="","No valorado",BBDD_fashion_boutique[[#This Row],[customer_rating]])</f>
        <v>2.2000000000000002</v>
      </c>
      <c r="T1917" t="s">
        <v>24</v>
      </c>
      <c r="V1917">
        <f>IF(BBDD_fashion_boutique[[#This Row],[is_returned]]="False",0,1)</f>
        <v>0</v>
      </c>
      <c r="W1917">
        <f>IF(BBDD_fashion_boutique[[#This Row],[is_returned]]="True",0,BBDD_fashion_boutique[[#This Row],[current_price]])</f>
        <v>115.58</v>
      </c>
      <c r="X1917" t="str">
        <f>IF(BBDD_fashion_boutique[[#This Row],[return_reason]]="","No return",BBDD_fashion_boutique[[#This Row],[return_reason]])</f>
        <v>No return</v>
      </c>
      <c r="Y1917">
        <f>IF(IFERROR(VLOOKUP(BBDD_fashion_boutique[[#This Row],[product_id]],A1918:A4093,1,FALSE),0),1,0)</f>
        <v>0</v>
      </c>
    </row>
    <row r="1918" spans="1:25" x14ac:dyDescent="0.3">
      <c r="A1918" t="s">
        <v>1977</v>
      </c>
      <c r="B1918" t="s">
        <v>19</v>
      </c>
      <c r="C1918" t="s">
        <v>20</v>
      </c>
      <c r="D1918" t="s">
        <v>28</v>
      </c>
      <c r="E1918" t="s">
        <v>55</v>
      </c>
      <c r="F1918" t="str">
        <f>IF(BBDD_fashion_boutique[[#This Row],[category]]="Accessories","Accesorio",IF(BBDD_fashion_boutique[[#This Row],[size]]="","Desconocido",BBDD_fashion_boutique[[#This Row],[size]]))</f>
        <v>XXL</v>
      </c>
      <c r="G1918" t="s">
        <v>52</v>
      </c>
      <c r="H1918" s="2">
        <v>116.29</v>
      </c>
      <c r="I1918">
        <v>58.7</v>
      </c>
      <c r="J1918" s="5">
        <f>BBDD_fashion_boutique[[#This Row],[markdown_percentage]]/100</f>
        <v>0.58700000000000008</v>
      </c>
      <c r="K1918" s="2">
        <v>48.03</v>
      </c>
      <c r="L1918" s="2">
        <f>BBDD_fashion_boutique[[#This Row],[original_price]]-BBDD_fashion_boutique[[#This Row],[current_price]]</f>
        <v>68.260000000000005</v>
      </c>
      <c r="M1918" s="1">
        <v>45875</v>
      </c>
      <c r="N1918" s="1" t="str">
        <f>PROPER(TEXT(BBDD_fashion_boutique[[#This Row],[purchase_date]],"dddd"))</f>
        <v>Miércoles</v>
      </c>
      <c r="O1918" s="1" t="str">
        <f>PROPER(TEXT(BBDD_fashion_boutique[[#This Row],[purchase_date]],"mmmm"))</f>
        <v>Agosto</v>
      </c>
      <c r="P1918" s="4">
        <v>34</v>
      </c>
      <c r="Q1918" s="2">
        <v>3.3</v>
      </c>
      <c r="R1918" t="str">
        <f>IF(BBDD_fashion_boutique[[#This Row],[stock_quantity]]&gt;9,"Ok",IF(BBDD_fashion_boutique[[#This Row],[stock_quantity]]=0,"Agotado","Pocas Unidades"))</f>
        <v>Ok</v>
      </c>
      <c r="S1918" s="3">
        <f>IF(BBDD_fashion_boutique[[#This Row],[customer_rating]]="","No valorado",BBDD_fashion_boutique[[#This Row],[customer_rating]])</f>
        <v>3.3</v>
      </c>
      <c r="T1918" t="s">
        <v>24</v>
      </c>
      <c r="V1918">
        <f>IF(BBDD_fashion_boutique[[#This Row],[is_returned]]="False",0,1)</f>
        <v>0</v>
      </c>
      <c r="W1918">
        <f>IF(BBDD_fashion_boutique[[#This Row],[is_returned]]="True",0,BBDD_fashion_boutique[[#This Row],[current_price]])</f>
        <v>48.03</v>
      </c>
      <c r="X1918" t="str">
        <f>IF(BBDD_fashion_boutique[[#This Row],[return_reason]]="","No return",BBDD_fashion_boutique[[#This Row],[return_reason]])</f>
        <v>No return</v>
      </c>
      <c r="Y1918">
        <f>IF(IFERROR(VLOOKUP(BBDD_fashion_boutique[[#This Row],[product_id]],A1919:A4094,1,FALSE),0),1,0)</f>
        <v>0</v>
      </c>
    </row>
    <row r="1919" spans="1:25" x14ac:dyDescent="0.3">
      <c r="A1919" t="s">
        <v>1978</v>
      </c>
      <c r="B1919" t="s">
        <v>32</v>
      </c>
      <c r="C1919" t="s">
        <v>37</v>
      </c>
      <c r="D1919" t="s">
        <v>68</v>
      </c>
      <c r="F1919" t="str">
        <f>IF(BBDD_fashion_boutique[[#This Row],[category]]="Accessories","Accesorio",IF(BBDD_fashion_boutique[[#This Row],[size]]="","Desconocido",BBDD_fashion_boutique[[#This Row],[size]]))</f>
        <v>Accesorio</v>
      </c>
      <c r="G1919" t="s">
        <v>52</v>
      </c>
      <c r="H1919" s="2">
        <v>24.55</v>
      </c>
      <c r="I1919">
        <v>0</v>
      </c>
      <c r="J1919" s="5">
        <f>BBDD_fashion_boutique[[#This Row],[markdown_percentage]]/100</f>
        <v>0</v>
      </c>
      <c r="K1919" s="2">
        <v>24.55</v>
      </c>
      <c r="L1919" s="2">
        <f>BBDD_fashion_boutique[[#This Row],[original_price]]-BBDD_fashion_boutique[[#This Row],[current_price]]</f>
        <v>0</v>
      </c>
      <c r="M1919" s="1">
        <v>45875</v>
      </c>
      <c r="N1919" s="1" t="str">
        <f>PROPER(TEXT(BBDD_fashion_boutique[[#This Row],[purchase_date]],"dddd"))</f>
        <v>Miércoles</v>
      </c>
      <c r="O1919" s="1" t="str">
        <f>PROPER(TEXT(BBDD_fashion_boutique[[#This Row],[purchase_date]],"mmmm"))</f>
        <v>Agosto</v>
      </c>
      <c r="P1919" s="4">
        <v>43</v>
      </c>
      <c r="Q1919" s="2">
        <v>2.2999999999999998</v>
      </c>
      <c r="R1919" t="str">
        <f>IF(BBDD_fashion_boutique[[#This Row],[stock_quantity]]&gt;9,"Ok",IF(BBDD_fashion_boutique[[#This Row],[stock_quantity]]=0,"Agotado","Pocas Unidades"))</f>
        <v>Ok</v>
      </c>
      <c r="S1919" s="3">
        <f>IF(BBDD_fashion_boutique[[#This Row],[customer_rating]]="","No valorado",BBDD_fashion_boutique[[#This Row],[customer_rating]])</f>
        <v>2.2999999999999998</v>
      </c>
      <c r="T1919" t="s">
        <v>24</v>
      </c>
      <c r="V1919">
        <f>IF(BBDD_fashion_boutique[[#This Row],[is_returned]]="False",0,1)</f>
        <v>0</v>
      </c>
      <c r="W1919">
        <f>IF(BBDD_fashion_boutique[[#This Row],[is_returned]]="True",0,BBDD_fashion_boutique[[#This Row],[current_price]])</f>
        <v>24.55</v>
      </c>
      <c r="X1919" t="str">
        <f>IF(BBDD_fashion_boutique[[#This Row],[return_reason]]="","No return",BBDD_fashion_boutique[[#This Row],[return_reason]])</f>
        <v>No return</v>
      </c>
      <c r="Y1919">
        <f>IF(IFERROR(VLOOKUP(BBDD_fashion_boutique[[#This Row],[product_id]],A1920:A4095,1,FALSE),0),1,0)</f>
        <v>0</v>
      </c>
    </row>
    <row r="1920" spans="1:25" x14ac:dyDescent="0.3">
      <c r="A1920" t="s">
        <v>1979</v>
      </c>
      <c r="B1920" t="s">
        <v>48</v>
      </c>
      <c r="C1920" t="s">
        <v>20</v>
      </c>
      <c r="D1920" t="s">
        <v>21</v>
      </c>
      <c r="F1920" t="str">
        <f>IF(BBDD_fashion_boutique[[#This Row],[category]]="Accessories","Accesorio",IF(BBDD_fashion_boutique[[#This Row],[size]]="","Desconocido",BBDD_fashion_boutique[[#This Row],[size]]))</f>
        <v>Desconocido</v>
      </c>
      <c r="G1920" t="s">
        <v>70</v>
      </c>
      <c r="H1920" s="2">
        <v>81.56</v>
      </c>
      <c r="I1920">
        <v>0</v>
      </c>
      <c r="J1920" s="5">
        <f>BBDD_fashion_boutique[[#This Row],[markdown_percentage]]/100</f>
        <v>0</v>
      </c>
      <c r="K1920" s="2">
        <v>81.56</v>
      </c>
      <c r="L1920" s="2">
        <f>BBDD_fashion_boutique[[#This Row],[original_price]]-BBDD_fashion_boutique[[#This Row],[current_price]]</f>
        <v>0</v>
      </c>
      <c r="M1920" s="1">
        <v>45666</v>
      </c>
      <c r="N1920" s="1" t="str">
        <f>PROPER(TEXT(BBDD_fashion_boutique[[#This Row],[purchase_date]],"dddd"))</f>
        <v>Jueves</v>
      </c>
      <c r="O1920" s="1" t="str">
        <f>PROPER(TEXT(BBDD_fashion_boutique[[#This Row],[purchase_date]],"mmmm"))</f>
        <v>Enero</v>
      </c>
      <c r="P1920" s="4">
        <v>28</v>
      </c>
      <c r="Q1920" s="2">
        <v>3</v>
      </c>
      <c r="R1920" t="str">
        <f>IF(BBDD_fashion_boutique[[#This Row],[stock_quantity]]&gt;9,"Ok",IF(BBDD_fashion_boutique[[#This Row],[stock_quantity]]=0,"Agotado","Pocas Unidades"))</f>
        <v>Ok</v>
      </c>
      <c r="S1920" s="3">
        <f>IF(BBDD_fashion_boutique[[#This Row],[customer_rating]]="","No valorado",BBDD_fashion_boutique[[#This Row],[customer_rating]])</f>
        <v>3</v>
      </c>
      <c r="T1920" t="s">
        <v>24</v>
      </c>
      <c r="V1920">
        <f>IF(BBDD_fashion_boutique[[#This Row],[is_returned]]="False",0,1)</f>
        <v>0</v>
      </c>
      <c r="W1920">
        <f>IF(BBDD_fashion_boutique[[#This Row],[is_returned]]="True",0,BBDD_fashion_boutique[[#This Row],[current_price]])</f>
        <v>81.56</v>
      </c>
      <c r="X1920" t="str">
        <f>IF(BBDD_fashion_boutique[[#This Row],[return_reason]]="","No return",BBDD_fashion_boutique[[#This Row],[return_reason]])</f>
        <v>No return</v>
      </c>
      <c r="Y1920">
        <f>IF(IFERROR(VLOOKUP(BBDD_fashion_boutique[[#This Row],[product_id]],A1921:A4096,1,FALSE),0),1,0)</f>
        <v>0</v>
      </c>
    </row>
    <row r="1921" spans="1:25" x14ac:dyDescent="0.3">
      <c r="A1921" t="s">
        <v>1980</v>
      </c>
      <c r="B1921" t="s">
        <v>19</v>
      </c>
      <c r="C1921" t="s">
        <v>37</v>
      </c>
      <c r="D1921" t="s">
        <v>21</v>
      </c>
      <c r="E1921" t="s">
        <v>64</v>
      </c>
      <c r="F1921" t="str">
        <f>IF(BBDD_fashion_boutique[[#This Row],[category]]="Accessories","Accesorio",IF(BBDD_fashion_boutique[[#This Row],[size]]="","Desconocido",BBDD_fashion_boutique[[#This Row],[size]]))</f>
        <v>M</v>
      </c>
      <c r="G1921" t="s">
        <v>40</v>
      </c>
      <c r="H1921" s="2">
        <v>234.63</v>
      </c>
      <c r="I1921">
        <v>0</v>
      </c>
      <c r="J1921" s="5">
        <f>BBDD_fashion_boutique[[#This Row],[markdown_percentage]]/100</f>
        <v>0</v>
      </c>
      <c r="K1921" s="2">
        <v>234.63</v>
      </c>
      <c r="L1921" s="2">
        <f>BBDD_fashion_boutique[[#This Row],[original_price]]-BBDD_fashion_boutique[[#This Row],[current_price]]</f>
        <v>0</v>
      </c>
      <c r="M1921" s="1">
        <v>45695</v>
      </c>
      <c r="N1921" s="1" t="str">
        <f>PROPER(TEXT(BBDD_fashion_boutique[[#This Row],[purchase_date]],"dddd"))</f>
        <v>Viernes</v>
      </c>
      <c r="O1921" s="1" t="str">
        <f>PROPER(TEXT(BBDD_fashion_boutique[[#This Row],[purchase_date]],"mmmm"))</f>
        <v>Febrero</v>
      </c>
      <c r="P1921" s="4">
        <v>30</v>
      </c>
      <c r="Q1921" s="2">
        <v>4.3</v>
      </c>
      <c r="R1921" t="str">
        <f>IF(BBDD_fashion_boutique[[#This Row],[stock_quantity]]&gt;9,"Ok",IF(BBDD_fashion_boutique[[#This Row],[stock_quantity]]=0,"Agotado","Pocas Unidades"))</f>
        <v>Ok</v>
      </c>
      <c r="S1921" s="3">
        <f>IF(BBDD_fashion_boutique[[#This Row],[customer_rating]]="","No valorado",BBDD_fashion_boutique[[#This Row],[customer_rating]])</f>
        <v>4.3</v>
      </c>
      <c r="T1921" t="s">
        <v>24</v>
      </c>
      <c r="V1921">
        <f>IF(BBDD_fashion_boutique[[#This Row],[is_returned]]="False",0,1)</f>
        <v>0</v>
      </c>
      <c r="W1921">
        <f>IF(BBDD_fashion_boutique[[#This Row],[is_returned]]="True",0,BBDD_fashion_boutique[[#This Row],[current_price]])</f>
        <v>234.63</v>
      </c>
      <c r="X1921" t="str">
        <f>IF(BBDD_fashion_boutique[[#This Row],[return_reason]]="","No return",BBDD_fashion_boutique[[#This Row],[return_reason]])</f>
        <v>No return</v>
      </c>
      <c r="Y1921">
        <f>IF(IFERROR(VLOOKUP(BBDD_fashion_boutique[[#This Row],[product_id]],A1922:A4097,1,FALSE),0),1,0)</f>
        <v>0</v>
      </c>
    </row>
    <row r="1922" spans="1:25" x14ac:dyDescent="0.3">
      <c r="A1922" t="s">
        <v>1981</v>
      </c>
      <c r="B1922" t="s">
        <v>32</v>
      </c>
      <c r="C1922" t="s">
        <v>20</v>
      </c>
      <c r="D1922" t="s">
        <v>39</v>
      </c>
      <c r="F1922" t="str">
        <f>IF(BBDD_fashion_boutique[[#This Row],[category]]="Accessories","Accesorio",IF(BBDD_fashion_boutique[[#This Row],[size]]="","Desconocido",BBDD_fashion_boutique[[#This Row],[size]]))</f>
        <v>Accesorio</v>
      </c>
      <c r="G1922" t="s">
        <v>40</v>
      </c>
      <c r="H1922" s="2">
        <v>27.6</v>
      </c>
      <c r="I1922">
        <v>0</v>
      </c>
      <c r="J1922" s="5">
        <f>BBDD_fashion_boutique[[#This Row],[markdown_percentage]]/100</f>
        <v>0</v>
      </c>
      <c r="K1922" s="2">
        <v>27.6</v>
      </c>
      <c r="L1922" s="2">
        <f>BBDD_fashion_boutique[[#This Row],[original_price]]-BBDD_fashion_boutique[[#This Row],[current_price]]</f>
        <v>0</v>
      </c>
      <c r="M1922" s="1">
        <v>45875</v>
      </c>
      <c r="N1922" s="1" t="str">
        <f>PROPER(TEXT(BBDD_fashion_boutique[[#This Row],[purchase_date]],"dddd"))</f>
        <v>Miércoles</v>
      </c>
      <c r="O1922" s="1" t="str">
        <f>PROPER(TEXT(BBDD_fashion_boutique[[#This Row],[purchase_date]],"mmmm"))</f>
        <v>Agosto</v>
      </c>
      <c r="P1922" s="4">
        <v>33</v>
      </c>
      <c r="Q1922" s="2">
        <v>2.8</v>
      </c>
      <c r="R1922" t="str">
        <f>IF(BBDD_fashion_boutique[[#This Row],[stock_quantity]]&gt;9,"Ok",IF(BBDD_fashion_boutique[[#This Row],[stock_quantity]]=0,"Agotado","Pocas Unidades"))</f>
        <v>Ok</v>
      </c>
      <c r="S1922" s="3">
        <f>IF(BBDD_fashion_boutique[[#This Row],[customer_rating]]="","No valorado",BBDD_fashion_boutique[[#This Row],[customer_rating]])</f>
        <v>2.8</v>
      </c>
      <c r="T1922" t="s">
        <v>24</v>
      </c>
      <c r="V1922">
        <f>IF(BBDD_fashion_boutique[[#This Row],[is_returned]]="False",0,1)</f>
        <v>0</v>
      </c>
      <c r="W1922">
        <f>IF(BBDD_fashion_boutique[[#This Row],[is_returned]]="True",0,BBDD_fashion_boutique[[#This Row],[current_price]])</f>
        <v>27.6</v>
      </c>
      <c r="X1922" t="str">
        <f>IF(BBDD_fashion_boutique[[#This Row],[return_reason]]="","No return",BBDD_fashion_boutique[[#This Row],[return_reason]])</f>
        <v>No return</v>
      </c>
      <c r="Y1922">
        <f>IF(IFERROR(VLOOKUP(BBDD_fashion_boutique[[#This Row],[product_id]],A1923:A4098,1,FALSE),0),1,0)</f>
        <v>0</v>
      </c>
    </row>
    <row r="1923" spans="1:25" x14ac:dyDescent="0.3">
      <c r="A1923" t="s">
        <v>1982</v>
      </c>
      <c r="B1923" t="s">
        <v>26</v>
      </c>
      <c r="C1923" t="s">
        <v>59</v>
      </c>
      <c r="D1923" t="s">
        <v>39</v>
      </c>
      <c r="E1923" t="s">
        <v>61</v>
      </c>
      <c r="F1923" t="str">
        <f>IF(BBDD_fashion_boutique[[#This Row],[category]]="Accessories","Accesorio",IF(BBDD_fashion_boutique[[#This Row],[size]]="","Desconocido",BBDD_fashion_boutique[[#This Row],[size]]))</f>
        <v>XS</v>
      </c>
      <c r="G1923" t="s">
        <v>46</v>
      </c>
      <c r="H1923" s="2">
        <v>114.76</v>
      </c>
      <c r="I1923">
        <v>24.3</v>
      </c>
      <c r="J1923" s="5">
        <f>BBDD_fashion_boutique[[#This Row],[markdown_percentage]]/100</f>
        <v>0.24299999999999999</v>
      </c>
      <c r="K1923" s="2">
        <v>86.87</v>
      </c>
      <c r="L1923" s="2">
        <f>BBDD_fashion_boutique[[#This Row],[original_price]]-BBDD_fashion_boutique[[#This Row],[current_price]]</f>
        <v>27.89</v>
      </c>
      <c r="M1923" s="1">
        <v>45875</v>
      </c>
      <c r="N1923" s="1" t="str">
        <f>PROPER(TEXT(BBDD_fashion_boutique[[#This Row],[purchase_date]],"dddd"))</f>
        <v>Miércoles</v>
      </c>
      <c r="O1923" s="1" t="str">
        <f>PROPER(TEXT(BBDD_fashion_boutique[[#This Row],[purchase_date]],"mmmm"))</f>
        <v>Agosto</v>
      </c>
      <c r="P1923" s="4">
        <v>10</v>
      </c>
      <c r="Q1923" s="2">
        <v>3.4</v>
      </c>
      <c r="R1923" t="str">
        <f>IF(BBDD_fashion_boutique[[#This Row],[stock_quantity]]&gt;9,"Ok",IF(BBDD_fashion_boutique[[#This Row],[stock_quantity]]=0,"Agotado","Pocas Unidades"))</f>
        <v>Ok</v>
      </c>
      <c r="S1923" s="3">
        <f>IF(BBDD_fashion_boutique[[#This Row],[customer_rating]]="","No valorado",BBDD_fashion_boutique[[#This Row],[customer_rating]])</f>
        <v>3.4</v>
      </c>
      <c r="T1923" t="s">
        <v>24</v>
      </c>
      <c r="V1923">
        <f>IF(BBDD_fashion_boutique[[#This Row],[is_returned]]="False",0,1)</f>
        <v>0</v>
      </c>
      <c r="W1923">
        <f>IF(BBDD_fashion_boutique[[#This Row],[is_returned]]="True",0,BBDD_fashion_boutique[[#This Row],[current_price]])</f>
        <v>86.87</v>
      </c>
      <c r="X1923" t="str">
        <f>IF(BBDD_fashion_boutique[[#This Row],[return_reason]]="","No return",BBDD_fashion_boutique[[#This Row],[return_reason]])</f>
        <v>No return</v>
      </c>
      <c r="Y1923">
        <f>IF(IFERROR(VLOOKUP(BBDD_fashion_boutique[[#This Row],[product_id]],A1924:A4099,1,FALSE),0),1,0)</f>
        <v>0</v>
      </c>
    </row>
    <row r="1924" spans="1:25" x14ac:dyDescent="0.3">
      <c r="A1924" t="s">
        <v>1983</v>
      </c>
      <c r="B1924" t="s">
        <v>35</v>
      </c>
      <c r="C1924" t="s">
        <v>20</v>
      </c>
      <c r="D1924" t="s">
        <v>21</v>
      </c>
      <c r="E1924" t="s">
        <v>45</v>
      </c>
      <c r="F1924" t="str">
        <f>IF(BBDD_fashion_boutique[[#This Row],[category]]="Accessories","Accesorio",IF(BBDD_fashion_boutique[[#This Row],[size]]="","Desconocido",BBDD_fashion_boutique[[#This Row],[size]]))</f>
        <v>S</v>
      </c>
      <c r="G1924" t="s">
        <v>52</v>
      </c>
      <c r="H1924" s="2">
        <v>133.52000000000001</v>
      </c>
      <c r="I1924">
        <v>0</v>
      </c>
      <c r="J1924" s="5">
        <f>BBDD_fashion_boutique[[#This Row],[markdown_percentage]]/100</f>
        <v>0</v>
      </c>
      <c r="K1924" s="2">
        <v>133.52000000000001</v>
      </c>
      <c r="L1924" s="2">
        <f>BBDD_fashion_boutique[[#This Row],[original_price]]-BBDD_fashion_boutique[[#This Row],[current_price]]</f>
        <v>0</v>
      </c>
      <c r="M1924" s="1">
        <v>45569</v>
      </c>
      <c r="N1924" s="1" t="str">
        <f>PROPER(TEXT(BBDD_fashion_boutique[[#This Row],[purchase_date]],"dddd"))</f>
        <v>Viernes</v>
      </c>
      <c r="O1924" s="1" t="str">
        <f>PROPER(TEXT(BBDD_fashion_boutique[[#This Row],[purchase_date]],"mmmm"))</f>
        <v>Octubre</v>
      </c>
      <c r="P1924" s="4">
        <v>32</v>
      </c>
      <c r="R1924" t="str">
        <f>IF(BBDD_fashion_boutique[[#This Row],[stock_quantity]]&gt;9,"Ok",IF(BBDD_fashion_boutique[[#This Row],[stock_quantity]]=0,"Agotado","Pocas Unidades"))</f>
        <v>Ok</v>
      </c>
      <c r="S1924" s="3" t="str">
        <f>IF(BBDD_fashion_boutique[[#This Row],[customer_rating]]="","No valorado",BBDD_fashion_boutique[[#This Row],[customer_rating]])</f>
        <v>No valorado</v>
      </c>
      <c r="T1924" t="s">
        <v>24</v>
      </c>
      <c r="V1924">
        <f>IF(BBDD_fashion_boutique[[#This Row],[is_returned]]="False",0,1)</f>
        <v>0</v>
      </c>
      <c r="W1924">
        <f>IF(BBDD_fashion_boutique[[#This Row],[is_returned]]="True",0,BBDD_fashion_boutique[[#This Row],[current_price]])</f>
        <v>133.52000000000001</v>
      </c>
      <c r="X1924" t="str">
        <f>IF(BBDD_fashion_boutique[[#This Row],[return_reason]]="","No return",BBDD_fashion_boutique[[#This Row],[return_reason]])</f>
        <v>No return</v>
      </c>
      <c r="Y1924">
        <f>IF(IFERROR(VLOOKUP(BBDD_fashion_boutique[[#This Row],[product_id]],A1925:A4100,1,FALSE),0),1,0)</f>
        <v>0</v>
      </c>
    </row>
    <row r="1925" spans="1:25" x14ac:dyDescent="0.3">
      <c r="A1925" t="s">
        <v>1984</v>
      </c>
      <c r="B1925" t="s">
        <v>26</v>
      </c>
      <c r="C1925" t="s">
        <v>37</v>
      </c>
      <c r="D1925" t="s">
        <v>28</v>
      </c>
      <c r="E1925" t="s">
        <v>61</v>
      </c>
      <c r="F1925" t="str">
        <f>IF(BBDD_fashion_boutique[[#This Row],[category]]="Accessories","Accesorio",IF(BBDD_fashion_boutique[[#This Row],[size]]="","Desconocido",BBDD_fashion_boutique[[#This Row],[size]]))</f>
        <v>XS</v>
      </c>
      <c r="G1925" t="s">
        <v>50</v>
      </c>
      <c r="H1925" s="2">
        <v>64.34</v>
      </c>
      <c r="I1925">
        <v>59.3</v>
      </c>
      <c r="J1925" s="5">
        <f>BBDD_fashion_boutique[[#This Row],[markdown_percentage]]/100</f>
        <v>0.59299999999999997</v>
      </c>
      <c r="K1925" s="2">
        <v>26.19</v>
      </c>
      <c r="L1925" s="2">
        <f>BBDD_fashion_boutique[[#This Row],[original_price]]-BBDD_fashion_boutique[[#This Row],[current_price]]</f>
        <v>38.150000000000006</v>
      </c>
      <c r="M1925" s="1">
        <v>45875</v>
      </c>
      <c r="N1925" s="1" t="str">
        <f>PROPER(TEXT(BBDD_fashion_boutique[[#This Row],[purchase_date]],"dddd"))</f>
        <v>Miércoles</v>
      </c>
      <c r="O1925" s="1" t="str">
        <f>PROPER(TEXT(BBDD_fashion_boutique[[#This Row],[purchase_date]],"mmmm"))</f>
        <v>Agosto</v>
      </c>
      <c r="P1925" s="4">
        <v>34</v>
      </c>
      <c r="Q1925" s="2">
        <v>1.2</v>
      </c>
      <c r="R1925" t="str">
        <f>IF(BBDD_fashion_boutique[[#This Row],[stock_quantity]]&gt;9,"Ok",IF(BBDD_fashion_boutique[[#This Row],[stock_quantity]]=0,"Agotado","Pocas Unidades"))</f>
        <v>Ok</v>
      </c>
      <c r="S1925" s="3">
        <f>IF(BBDD_fashion_boutique[[#This Row],[customer_rating]]="","No valorado",BBDD_fashion_boutique[[#This Row],[customer_rating]])</f>
        <v>1.2</v>
      </c>
      <c r="T1925" t="s">
        <v>24</v>
      </c>
      <c r="V1925">
        <f>IF(BBDD_fashion_boutique[[#This Row],[is_returned]]="False",0,1)</f>
        <v>0</v>
      </c>
      <c r="W1925">
        <f>IF(BBDD_fashion_boutique[[#This Row],[is_returned]]="True",0,BBDD_fashion_boutique[[#This Row],[current_price]])</f>
        <v>26.19</v>
      </c>
      <c r="X1925" t="str">
        <f>IF(BBDD_fashion_boutique[[#This Row],[return_reason]]="","No return",BBDD_fashion_boutique[[#This Row],[return_reason]])</f>
        <v>No return</v>
      </c>
      <c r="Y1925">
        <f>IF(IFERROR(VLOOKUP(BBDD_fashion_boutique[[#This Row],[product_id]],A1926:A4101,1,FALSE),0),1,0)</f>
        <v>0</v>
      </c>
    </row>
    <row r="1926" spans="1:25" x14ac:dyDescent="0.3">
      <c r="A1926" t="s">
        <v>1985</v>
      </c>
      <c r="B1926" t="s">
        <v>44</v>
      </c>
      <c r="C1926" t="s">
        <v>81</v>
      </c>
      <c r="D1926" t="s">
        <v>39</v>
      </c>
      <c r="E1926" t="s">
        <v>29</v>
      </c>
      <c r="F1926" t="str">
        <f>IF(BBDD_fashion_boutique[[#This Row],[category]]="Accessories","Accesorio",IF(BBDD_fashion_boutique[[#This Row],[size]]="","Desconocido",BBDD_fashion_boutique[[#This Row],[size]]))</f>
        <v>L</v>
      </c>
      <c r="G1926" t="s">
        <v>72</v>
      </c>
      <c r="H1926" s="2">
        <v>117.81</v>
      </c>
      <c r="I1926">
        <v>0</v>
      </c>
      <c r="J1926" s="5">
        <f>BBDD_fashion_boutique[[#This Row],[markdown_percentage]]/100</f>
        <v>0</v>
      </c>
      <c r="K1926" s="2">
        <v>117.81</v>
      </c>
      <c r="L1926" s="2">
        <f>BBDD_fashion_boutique[[#This Row],[original_price]]-BBDD_fashion_boutique[[#This Row],[current_price]]</f>
        <v>0</v>
      </c>
      <c r="M1926" s="1">
        <v>45875</v>
      </c>
      <c r="N1926" s="1" t="str">
        <f>PROPER(TEXT(BBDD_fashion_boutique[[#This Row],[purchase_date]],"dddd"))</f>
        <v>Miércoles</v>
      </c>
      <c r="O1926" s="1" t="str">
        <f>PROPER(TEXT(BBDD_fashion_boutique[[#This Row],[purchase_date]],"mmmm"))</f>
        <v>Agosto</v>
      </c>
      <c r="P1926" s="4">
        <v>22</v>
      </c>
      <c r="Q1926" s="2">
        <v>4.9000000000000004</v>
      </c>
      <c r="R1926" t="str">
        <f>IF(BBDD_fashion_boutique[[#This Row],[stock_quantity]]&gt;9,"Ok",IF(BBDD_fashion_boutique[[#This Row],[stock_quantity]]=0,"Agotado","Pocas Unidades"))</f>
        <v>Ok</v>
      </c>
      <c r="S1926" s="3">
        <f>IF(BBDD_fashion_boutique[[#This Row],[customer_rating]]="","No valorado",BBDD_fashion_boutique[[#This Row],[customer_rating]])</f>
        <v>4.9000000000000004</v>
      </c>
      <c r="T1926" t="s">
        <v>24</v>
      </c>
      <c r="V1926">
        <f>IF(BBDD_fashion_boutique[[#This Row],[is_returned]]="False",0,1)</f>
        <v>0</v>
      </c>
      <c r="W1926">
        <f>IF(BBDD_fashion_boutique[[#This Row],[is_returned]]="True",0,BBDD_fashion_boutique[[#This Row],[current_price]])</f>
        <v>117.81</v>
      </c>
      <c r="X1926" t="str">
        <f>IF(BBDD_fashion_boutique[[#This Row],[return_reason]]="","No return",BBDD_fashion_boutique[[#This Row],[return_reason]])</f>
        <v>No return</v>
      </c>
      <c r="Y1926">
        <f>IF(IFERROR(VLOOKUP(BBDD_fashion_boutique[[#This Row],[product_id]],A1927:A4102,1,FALSE),0),1,0)</f>
        <v>0</v>
      </c>
    </row>
    <row r="1927" spans="1:25" x14ac:dyDescent="0.3">
      <c r="A1927" t="s">
        <v>1986</v>
      </c>
      <c r="B1927" t="s">
        <v>32</v>
      </c>
      <c r="C1927" t="s">
        <v>59</v>
      </c>
      <c r="D1927" t="s">
        <v>21</v>
      </c>
      <c r="F1927" t="str">
        <f>IF(BBDD_fashion_boutique[[#This Row],[category]]="Accessories","Accesorio",IF(BBDD_fashion_boutique[[#This Row],[size]]="","Desconocido",BBDD_fashion_boutique[[#This Row],[size]]))</f>
        <v>Accesorio</v>
      </c>
      <c r="G1927" t="s">
        <v>50</v>
      </c>
      <c r="H1927" s="2">
        <v>29.19</v>
      </c>
      <c r="I1927">
        <v>0</v>
      </c>
      <c r="J1927" s="5">
        <f>BBDD_fashion_boutique[[#This Row],[markdown_percentage]]/100</f>
        <v>0</v>
      </c>
      <c r="K1927" s="2">
        <v>29.19</v>
      </c>
      <c r="L1927" s="2">
        <f>BBDD_fashion_boutique[[#This Row],[original_price]]-BBDD_fashion_boutique[[#This Row],[current_price]]</f>
        <v>0</v>
      </c>
      <c r="M1927" s="1">
        <v>45731</v>
      </c>
      <c r="N1927" s="1" t="str">
        <f>PROPER(TEXT(BBDD_fashion_boutique[[#This Row],[purchase_date]],"dddd"))</f>
        <v>Sábado</v>
      </c>
      <c r="O1927" s="1" t="str">
        <f>PROPER(TEXT(BBDD_fashion_boutique[[#This Row],[purchase_date]],"mmmm"))</f>
        <v>Marzo</v>
      </c>
      <c r="P1927" s="4">
        <v>20</v>
      </c>
      <c r="Q1927" s="2">
        <v>1.9</v>
      </c>
      <c r="R1927" t="str">
        <f>IF(BBDD_fashion_boutique[[#This Row],[stock_quantity]]&gt;9,"Ok",IF(BBDD_fashion_boutique[[#This Row],[stock_quantity]]=0,"Agotado","Pocas Unidades"))</f>
        <v>Ok</v>
      </c>
      <c r="S1927" s="3">
        <f>IF(BBDD_fashion_boutique[[#This Row],[customer_rating]]="","No valorado",BBDD_fashion_boutique[[#This Row],[customer_rating]])</f>
        <v>1.9</v>
      </c>
      <c r="T1927" t="s">
        <v>24</v>
      </c>
      <c r="V1927">
        <f>IF(BBDD_fashion_boutique[[#This Row],[is_returned]]="False",0,1)</f>
        <v>0</v>
      </c>
      <c r="W1927">
        <f>IF(BBDD_fashion_boutique[[#This Row],[is_returned]]="True",0,BBDD_fashion_boutique[[#This Row],[current_price]])</f>
        <v>29.19</v>
      </c>
      <c r="X1927" t="str">
        <f>IF(BBDD_fashion_boutique[[#This Row],[return_reason]]="","No return",BBDD_fashion_boutique[[#This Row],[return_reason]])</f>
        <v>No return</v>
      </c>
      <c r="Y1927">
        <f>IF(IFERROR(VLOOKUP(BBDD_fashion_boutique[[#This Row],[product_id]],A1928:A4103,1,FALSE),0),1,0)</f>
        <v>0</v>
      </c>
    </row>
    <row r="1928" spans="1:25" x14ac:dyDescent="0.3">
      <c r="A1928" t="s">
        <v>1987</v>
      </c>
      <c r="B1928" t="s">
        <v>26</v>
      </c>
      <c r="C1928" t="s">
        <v>27</v>
      </c>
      <c r="D1928" t="s">
        <v>39</v>
      </c>
      <c r="E1928" t="s">
        <v>64</v>
      </c>
      <c r="F1928" t="str">
        <f>IF(BBDD_fashion_boutique[[#This Row],[category]]="Accessories","Accesorio",IF(BBDD_fashion_boutique[[#This Row],[size]]="","Desconocido",BBDD_fashion_boutique[[#This Row],[size]]))</f>
        <v>M</v>
      </c>
      <c r="G1928" t="s">
        <v>72</v>
      </c>
      <c r="H1928" s="2">
        <v>34.72</v>
      </c>
      <c r="I1928">
        <v>0</v>
      </c>
      <c r="J1928" s="5">
        <f>BBDD_fashion_boutique[[#This Row],[markdown_percentage]]/100</f>
        <v>0</v>
      </c>
      <c r="K1928" s="2">
        <v>34.72</v>
      </c>
      <c r="L1928" s="2">
        <f>BBDD_fashion_boutique[[#This Row],[original_price]]-BBDD_fashion_boutique[[#This Row],[current_price]]</f>
        <v>0</v>
      </c>
      <c r="M1928" s="1">
        <v>45875</v>
      </c>
      <c r="N1928" s="1" t="str">
        <f>PROPER(TEXT(BBDD_fashion_boutique[[#This Row],[purchase_date]],"dddd"))</f>
        <v>Miércoles</v>
      </c>
      <c r="O1928" s="1" t="str">
        <f>PROPER(TEXT(BBDD_fashion_boutique[[#This Row],[purchase_date]],"mmmm"))</f>
        <v>Agosto</v>
      </c>
      <c r="P1928" s="4">
        <v>7</v>
      </c>
      <c r="R1928" t="str">
        <f>IF(BBDD_fashion_boutique[[#This Row],[stock_quantity]]&gt;9,"Ok",IF(BBDD_fashion_boutique[[#This Row],[stock_quantity]]=0,"Agotado","Pocas Unidades"))</f>
        <v>Pocas Unidades</v>
      </c>
      <c r="S1928" s="3" t="str">
        <f>IF(BBDD_fashion_boutique[[#This Row],[customer_rating]]="","No valorado",BBDD_fashion_boutique[[#This Row],[customer_rating]])</f>
        <v>No valorado</v>
      </c>
      <c r="T1928" t="s">
        <v>24</v>
      </c>
      <c r="V1928">
        <f>IF(BBDD_fashion_boutique[[#This Row],[is_returned]]="False",0,1)</f>
        <v>0</v>
      </c>
      <c r="W1928">
        <f>IF(BBDD_fashion_boutique[[#This Row],[is_returned]]="True",0,BBDD_fashion_boutique[[#This Row],[current_price]])</f>
        <v>34.72</v>
      </c>
      <c r="X1928" t="str">
        <f>IF(BBDD_fashion_boutique[[#This Row],[return_reason]]="","No return",BBDD_fashion_boutique[[#This Row],[return_reason]])</f>
        <v>No return</v>
      </c>
      <c r="Y1928">
        <f>IF(IFERROR(VLOOKUP(BBDD_fashion_boutique[[#This Row],[product_id]],A1929:A4104,1,FALSE),0),1,0)</f>
        <v>0</v>
      </c>
    </row>
    <row r="1929" spans="1:25" x14ac:dyDescent="0.3">
      <c r="A1929" t="s">
        <v>1988</v>
      </c>
      <c r="B1929" t="s">
        <v>48</v>
      </c>
      <c r="C1929" t="s">
        <v>67</v>
      </c>
      <c r="D1929" t="s">
        <v>39</v>
      </c>
      <c r="E1929" t="s">
        <v>22</v>
      </c>
      <c r="F1929" t="str">
        <f>IF(BBDD_fashion_boutique[[#This Row],[category]]="Accessories","Accesorio",IF(BBDD_fashion_boutique[[#This Row],[size]]="","Desconocido",BBDD_fashion_boutique[[#This Row],[size]]))</f>
        <v>XL</v>
      </c>
      <c r="G1929" t="s">
        <v>46</v>
      </c>
      <c r="H1929" s="2">
        <v>107.49</v>
      </c>
      <c r="I1929">
        <v>0</v>
      </c>
      <c r="J1929" s="5">
        <f>BBDD_fashion_boutique[[#This Row],[markdown_percentage]]/100</f>
        <v>0</v>
      </c>
      <c r="K1929" s="2">
        <v>107.49</v>
      </c>
      <c r="L1929" s="2">
        <f>BBDD_fashion_boutique[[#This Row],[original_price]]-BBDD_fashion_boutique[[#This Row],[current_price]]</f>
        <v>0</v>
      </c>
      <c r="M1929" s="1">
        <v>45875</v>
      </c>
      <c r="N1929" s="1" t="str">
        <f>PROPER(TEXT(BBDD_fashion_boutique[[#This Row],[purchase_date]],"dddd"))</f>
        <v>Miércoles</v>
      </c>
      <c r="O1929" s="1" t="str">
        <f>PROPER(TEXT(BBDD_fashion_boutique[[#This Row],[purchase_date]],"mmmm"))</f>
        <v>Agosto</v>
      </c>
      <c r="P1929" s="4">
        <v>49</v>
      </c>
      <c r="Q1929" s="2">
        <v>3.3</v>
      </c>
      <c r="R1929" t="str">
        <f>IF(BBDD_fashion_boutique[[#This Row],[stock_quantity]]&gt;9,"Ok",IF(BBDD_fashion_boutique[[#This Row],[stock_quantity]]=0,"Agotado","Pocas Unidades"))</f>
        <v>Ok</v>
      </c>
      <c r="S1929" s="3">
        <f>IF(BBDD_fashion_boutique[[#This Row],[customer_rating]]="","No valorado",BBDD_fashion_boutique[[#This Row],[customer_rating]])</f>
        <v>3.3</v>
      </c>
      <c r="T1929" t="s">
        <v>24</v>
      </c>
      <c r="V1929">
        <f>IF(BBDD_fashion_boutique[[#This Row],[is_returned]]="False",0,1)</f>
        <v>0</v>
      </c>
      <c r="W1929">
        <f>IF(BBDD_fashion_boutique[[#This Row],[is_returned]]="True",0,BBDD_fashion_boutique[[#This Row],[current_price]])</f>
        <v>107.49</v>
      </c>
      <c r="X1929" t="str">
        <f>IF(BBDD_fashion_boutique[[#This Row],[return_reason]]="","No return",BBDD_fashion_boutique[[#This Row],[return_reason]])</f>
        <v>No return</v>
      </c>
      <c r="Y1929">
        <f>IF(IFERROR(VLOOKUP(BBDD_fashion_boutique[[#This Row],[product_id]],A1930:A4105,1,FALSE),0),1,0)</f>
        <v>0</v>
      </c>
    </row>
    <row r="1930" spans="1:25" x14ac:dyDescent="0.3">
      <c r="A1930" t="s">
        <v>1989</v>
      </c>
      <c r="B1930" t="s">
        <v>44</v>
      </c>
      <c r="C1930" t="s">
        <v>27</v>
      </c>
      <c r="D1930" t="s">
        <v>28</v>
      </c>
      <c r="E1930" t="s">
        <v>55</v>
      </c>
      <c r="F1930" t="str">
        <f>IF(BBDD_fashion_boutique[[#This Row],[category]]="Accessories","Accesorio",IF(BBDD_fashion_boutique[[#This Row],[size]]="","Desconocido",BBDD_fashion_boutique[[#This Row],[size]]))</f>
        <v>XXL</v>
      </c>
      <c r="G1930" t="s">
        <v>50</v>
      </c>
      <c r="H1930" s="2">
        <v>38.700000000000003</v>
      </c>
      <c r="I1930">
        <v>0</v>
      </c>
      <c r="J1930" s="5">
        <f>BBDD_fashion_boutique[[#This Row],[markdown_percentage]]/100</f>
        <v>0</v>
      </c>
      <c r="K1930" s="2">
        <v>38.700000000000003</v>
      </c>
      <c r="L1930" s="2">
        <f>BBDD_fashion_boutique[[#This Row],[original_price]]-BBDD_fashion_boutique[[#This Row],[current_price]]</f>
        <v>0</v>
      </c>
      <c r="M1930" s="1">
        <v>45875</v>
      </c>
      <c r="N1930" s="1" t="str">
        <f>PROPER(TEXT(BBDD_fashion_boutique[[#This Row],[purchase_date]],"dddd"))</f>
        <v>Miércoles</v>
      </c>
      <c r="O1930" s="1" t="str">
        <f>PROPER(TEXT(BBDD_fashion_boutique[[#This Row],[purchase_date]],"mmmm"))</f>
        <v>Agosto</v>
      </c>
      <c r="P1930" s="4">
        <v>11</v>
      </c>
      <c r="Q1930" s="2">
        <v>4</v>
      </c>
      <c r="R1930" t="str">
        <f>IF(BBDD_fashion_boutique[[#This Row],[stock_quantity]]&gt;9,"Ok",IF(BBDD_fashion_boutique[[#This Row],[stock_quantity]]=0,"Agotado","Pocas Unidades"))</f>
        <v>Ok</v>
      </c>
      <c r="S1930" s="3">
        <f>IF(BBDD_fashion_boutique[[#This Row],[customer_rating]]="","No valorado",BBDD_fashion_boutique[[#This Row],[customer_rating]])</f>
        <v>4</v>
      </c>
      <c r="T1930" t="s">
        <v>24</v>
      </c>
      <c r="V1930">
        <f>IF(BBDD_fashion_boutique[[#This Row],[is_returned]]="False",0,1)</f>
        <v>0</v>
      </c>
      <c r="W1930">
        <f>IF(BBDD_fashion_boutique[[#This Row],[is_returned]]="True",0,BBDD_fashion_boutique[[#This Row],[current_price]])</f>
        <v>38.700000000000003</v>
      </c>
      <c r="X1930" t="str">
        <f>IF(BBDD_fashion_boutique[[#This Row],[return_reason]]="","No return",BBDD_fashion_boutique[[#This Row],[return_reason]])</f>
        <v>No return</v>
      </c>
      <c r="Y1930">
        <f>IF(IFERROR(VLOOKUP(BBDD_fashion_boutique[[#This Row],[product_id]],A1931:A4106,1,FALSE),0),1,0)</f>
        <v>0</v>
      </c>
    </row>
    <row r="1931" spans="1:25" x14ac:dyDescent="0.3">
      <c r="A1931" t="s">
        <v>1990</v>
      </c>
      <c r="B1931" t="s">
        <v>19</v>
      </c>
      <c r="C1931" t="s">
        <v>59</v>
      </c>
      <c r="D1931" t="s">
        <v>21</v>
      </c>
      <c r="E1931" t="s">
        <v>61</v>
      </c>
      <c r="F1931" t="str">
        <f>IF(BBDD_fashion_boutique[[#This Row],[category]]="Accessories","Accesorio",IF(BBDD_fashion_boutique[[#This Row],[size]]="","Desconocido",BBDD_fashion_boutique[[#This Row],[size]]))</f>
        <v>XS</v>
      </c>
      <c r="G1931" t="s">
        <v>76</v>
      </c>
      <c r="H1931" s="2">
        <v>152.63999999999999</v>
      </c>
      <c r="I1931">
        <v>0</v>
      </c>
      <c r="J1931" s="5">
        <f>BBDD_fashion_boutique[[#This Row],[markdown_percentage]]/100</f>
        <v>0</v>
      </c>
      <c r="K1931" s="2">
        <v>152.63999999999999</v>
      </c>
      <c r="L1931" s="2">
        <f>BBDD_fashion_boutique[[#This Row],[original_price]]-BBDD_fashion_boutique[[#This Row],[current_price]]</f>
        <v>0</v>
      </c>
      <c r="M1931" s="1">
        <v>45752</v>
      </c>
      <c r="N1931" s="1" t="str">
        <f>PROPER(TEXT(BBDD_fashion_boutique[[#This Row],[purchase_date]],"dddd"))</f>
        <v>Sábado</v>
      </c>
      <c r="O1931" s="1" t="str">
        <f>PROPER(TEXT(BBDD_fashion_boutique[[#This Row],[purchase_date]],"mmmm"))</f>
        <v>Abril</v>
      </c>
      <c r="P1931" s="4">
        <v>19</v>
      </c>
      <c r="Q1931" s="2">
        <v>4.0999999999999996</v>
      </c>
      <c r="R1931" t="str">
        <f>IF(BBDD_fashion_boutique[[#This Row],[stock_quantity]]&gt;9,"Ok",IF(BBDD_fashion_boutique[[#This Row],[stock_quantity]]=0,"Agotado","Pocas Unidades"))</f>
        <v>Ok</v>
      </c>
      <c r="S1931" s="3">
        <f>IF(BBDD_fashion_boutique[[#This Row],[customer_rating]]="","No valorado",BBDD_fashion_boutique[[#This Row],[customer_rating]])</f>
        <v>4.0999999999999996</v>
      </c>
      <c r="T1931" t="s">
        <v>24</v>
      </c>
      <c r="V1931">
        <f>IF(BBDD_fashion_boutique[[#This Row],[is_returned]]="False",0,1)</f>
        <v>0</v>
      </c>
      <c r="W1931">
        <f>IF(BBDD_fashion_boutique[[#This Row],[is_returned]]="True",0,BBDD_fashion_boutique[[#This Row],[current_price]])</f>
        <v>152.63999999999999</v>
      </c>
      <c r="X1931" t="str">
        <f>IF(BBDD_fashion_boutique[[#This Row],[return_reason]]="","No return",BBDD_fashion_boutique[[#This Row],[return_reason]])</f>
        <v>No return</v>
      </c>
      <c r="Y1931">
        <f>IF(IFERROR(VLOOKUP(BBDD_fashion_boutique[[#This Row],[product_id]],A1932:A4107,1,FALSE),0),1,0)</f>
        <v>0</v>
      </c>
    </row>
    <row r="1932" spans="1:25" x14ac:dyDescent="0.3">
      <c r="A1932" t="s">
        <v>1991</v>
      </c>
      <c r="B1932" t="s">
        <v>19</v>
      </c>
      <c r="C1932" t="s">
        <v>49</v>
      </c>
      <c r="D1932" t="s">
        <v>39</v>
      </c>
      <c r="E1932" t="s">
        <v>61</v>
      </c>
      <c r="F1932" t="str">
        <f>IF(BBDD_fashion_boutique[[#This Row],[category]]="Accessories","Accesorio",IF(BBDD_fashion_boutique[[#This Row],[size]]="","Desconocido",BBDD_fashion_boutique[[#This Row],[size]]))</f>
        <v>XS</v>
      </c>
      <c r="G1932" t="s">
        <v>72</v>
      </c>
      <c r="H1932" s="2">
        <v>181.66</v>
      </c>
      <c r="I1932">
        <v>56.4</v>
      </c>
      <c r="J1932" s="5">
        <f>BBDD_fashion_boutique[[#This Row],[markdown_percentage]]/100</f>
        <v>0.56399999999999995</v>
      </c>
      <c r="K1932" s="2">
        <v>79.2</v>
      </c>
      <c r="L1932" s="2">
        <f>BBDD_fashion_boutique[[#This Row],[original_price]]-BBDD_fashion_boutique[[#This Row],[current_price]]</f>
        <v>102.46</v>
      </c>
      <c r="M1932" s="1">
        <v>45875</v>
      </c>
      <c r="N1932" s="1" t="str">
        <f>PROPER(TEXT(BBDD_fashion_boutique[[#This Row],[purchase_date]],"dddd"))</f>
        <v>Miércoles</v>
      </c>
      <c r="O1932" s="1" t="str">
        <f>PROPER(TEXT(BBDD_fashion_boutique[[#This Row],[purchase_date]],"mmmm"))</f>
        <v>Agosto</v>
      </c>
      <c r="P1932" s="4">
        <v>43</v>
      </c>
      <c r="Q1932" s="2">
        <v>1.2</v>
      </c>
      <c r="R1932" t="str">
        <f>IF(BBDD_fashion_boutique[[#This Row],[stock_quantity]]&gt;9,"Ok",IF(BBDD_fashion_boutique[[#This Row],[stock_quantity]]=0,"Agotado","Pocas Unidades"))</f>
        <v>Ok</v>
      </c>
      <c r="S1932" s="3">
        <f>IF(BBDD_fashion_boutique[[#This Row],[customer_rating]]="","No valorado",BBDD_fashion_boutique[[#This Row],[customer_rating]])</f>
        <v>1.2</v>
      </c>
      <c r="T1932" t="s">
        <v>24</v>
      </c>
      <c r="V1932">
        <f>IF(BBDD_fashion_boutique[[#This Row],[is_returned]]="False",0,1)</f>
        <v>0</v>
      </c>
      <c r="W1932">
        <f>IF(BBDD_fashion_boutique[[#This Row],[is_returned]]="True",0,BBDD_fashion_boutique[[#This Row],[current_price]])</f>
        <v>79.2</v>
      </c>
      <c r="X1932" t="str">
        <f>IF(BBDD_fashion_boutique[[#This Row],[return_reason]]="","No return",BBDD_fashion_boutique[[#This Row],[return_reason]])</f>
        <v>No return</v>
      </c>
      <c r="Y1932">
        <f>IF(IFERROR(VLOOKUP(BBDD_fashion_boutique[[#This Row],[product_id]],A1933:A4108,1,FALSE),0),1,0)</f>
        <v>0</v>
      </c>
    </row>
    <row r="1933" spans="1:25" x14ac:dyDescent="0.3">
      <c r="A1933" t="s">
        <v>1992</v>
      </c>
      <c r="B1933" t="s">
        <v>26</v>
      </c>
      <c r="C1933" t="s">
        <v>27</v>
      </c>
      <c r="D1933" t="s">
        <v>21</v>
      </c>
      <c r="E1933" t="s">
        <v>22</v>
      </c>
      <c r="F1933" t="str">
        <f>IF(BBDD_fashion_boutique[[#This Row],[category]]="Accessories","Accesorio",IF(BBDD_fashion_boutique[[#This Row],[size]]="","Desconocido",BBDD_fashion_boutique[[#This Row],[size]]))</f>
        <v>XL</v>
      </c>
      <c r="G1933" t="s">
        <v>52</v>
      </c>
      <c r="H1933" s="2">
        <v>114.8</v>
      </c>
      <c r="I1933">
        <v>17.399999999999999</v>
      </c>
      <c r="J1933" s="5">
        <f>BBDD_fashion_boutique[[#This Row],[markdown_percentage]]/100</f>
        <v>0.17399999999999999</v>
      </c>
      <c r="K1933" s="2">
        <v>94.82</v>
      </c>
      <c r="L1933" s="2">
        <f>BBDD_fashion_boutique[[#This Row],[original_price]]-BBDD_fashion_boutique[[#This Row],[current_price]]</f>
        <v>19.980000000000004</v>
      </c>
      <c r="M1933" s="1">
        <v>45794</v>
      </c>
      <c r="N1933" s="1" t="str">
        <f>PROPER(TEXT(BBDD_fashion_boutique[[#This Row],[purchase_date]],"dddd"))</f>
        <v>Sábado</v>
      </c>
      <c r="O1933" s="1" t="str">
        <f>PROPER(TEXT(BBDD_fashion_boutique[[#This Row],[purchase_date]],"mmmm"))</f>
        <v>Mayo</v>
      </c>
      <c r="P1933" s="4">
        <v>4</v>
      </c>
      <c r="Q1933" s="2">
        <v>1.8</v>
      </c>
      <c r="R1933" t="str">
        <f>IF(BBDD_fashion_boutique[[#This Row],[stock_quantity]]&gt;9,"Ok",IF(BBDD_fashion_boutique[[#This Row],[stock_quantity]]=0,"Agotado","Pocas Unidades"))</f>
        <v>Pocas Unidades</v>
      </c>
      <c r="S1933" s="3">
        <f>IF(BBDD_fashion_boutique[[#This Row],[customer_rating]]="","No valorado",BBDD_fashion_boutique[[#This Row],[customer_rating]])</f>
        <v>1.8</v>
      </c>
      <c r="T1933" t="s">
        <v>24</v>
      </c>
      <c r="V1933">
        <f>IF(BBDD_fashion_boutique[[#This Row],[is_returned]]="False",0,1)</f>
        <v>0</v>
      </c>
      <c r="W1933">
        <f>IF(BBDD_fashion_boutique[[#This Row],[is_returned]]="True",0,BBDD_fashion_boutique[[#This Row],[current_price]])</f>
        <v>94.82</v>
      </c>
      <c r="X1933" t="str">
        <f>IF(BBDD_fashion_boutique[[#This Row],[return_reason]]="","No return",BBDD_fashion_boutique[[#This Row],[return_reason]])</f>
        <v>No return</v>
      </c>
      <c r="Y1933">
        <f>IF(IFERROR(VLOOKUP(BBDD_fashion_boutique[[#This Row],[product_id]],A1934:A4109,1,FALSE),0),1,0)</f>
        <v>0</v>
      </c>
    </row>
    <row r="1934" spans="1:25" x14ac:dyDescent="0.3">
      <c r="A1934" t="s">
        <v>1993</v>
      </c>
      <c r="B1934" t="s">
        <v>35</v>
      </c>
      <c r="C1934" t="s">
        <v>27</v>
      </c>
      <c r="D1934" t="s">
        <v>28</v>
      </c>
      <c r="E1934" t="s">
        <v>55</v>
      </c>
      <c r="F1934" t="str">
        <f>IF(BBDD_fashion_boutique[[#This Row],[category]]="Accessories","Accesorio",IF(BBDD_fashion_boutique[[#This Row],[size]]="","Desconocido",BBDD_fashion_boutique[[#This Row],[size]]))</f>
        <v>XXL</v>
      </c>
      <c r="G1934" t="s">
        <v>52</v>
      </c>
      <c r="H1934" s="2">
        <v>102.95</v>
      </c>
      <c r="I1934">
        <v>0</v>
      </c>
      <c r="J1934" s="5">
        <f>BBDD_fashion_boutique[[#This Row],[markdown_percentage]]/100</f>
        <v>0</v>
      </c>
      <c r="K1934" s="2">
        <v>102.95</v>
      </c>
      <c r="L1934" s="2">
        <f>BBDD_fashion_boutique[[#This Row],[original_price]]-BBDD_fashion_boutique[[#This Row],[current_price]]</f>
        <v>0</v>
      </c>
      <c r="M1934" s="1">
        <v>45875</v>
      </c>
      <c r="N1934" s="1" t="str">
        <f>PROPER(TEXT(BBDD_fashion_boutique[[#This Row],[purchase_date]],"dddd"))</f>
        <v>Miércoles</v>
      </c>
      <c r="O1934" s="1" t="str">
        <f>PROPER(TEXT(BBDD_fashion_boutique[[#This Row],[purchase_date]],"mmmm"))</f>
        <v>Agosto</v>
      </c>
      <c r="P1934" s="4">
        <v>38</v>
      </c>
      <c r="Q1934" s="2">
        <v>3.8</v>
      </c>
      <c r="R1934" t="str">
        <f>IF(BBDD_fashion_boutique[[#This Row],[stock_quantity]]&gt;9,"Ok",IF(BBDD_fashion_boutique[[#This Row],[stock_quantity]]=0,"Agotado","Pocas Unidades"))</f>
        <v>Ok</v>
      </c>
      <c r="S1934" s="3">
        <f>IF(BBDD_fashion_boutique[[#This Row],[customer_rating]]="","No valorado",BBDD_fashion_boutique[[#This Row],[customer_rating]])</f>
        <v>3.8</v>
      </c>
      <c r="T1934" t="s">
        <v>24</v>
      </c>
      <c r="V1934">
        <f>IF(BBDD_fashion_boutique[[#This Row],[is_returned]]="False",0,1)</f>
        <v>0</v>
      </c>
      <c r="W1934">
        <f>IF(BBDD_fashion_boutique[[#This Row],[is_returned]]="True",0,BBDD_fashion_boutique[[#This Row],[current_price]])</f>
        <v>102.95</v>
      </c>
      <c r="X1934" t="str">
        <f>IF(BBDD_fashion_boutique[[#This Row],[return_reason]]="","No return",BBDD_fashion_boutique[[#This Row],[return_reason]])</f>
        <v>No return</v>
      </c>
      <c r="Y1934">
        <f>IF(IFERROR(VLOOKUP(BBDD_fashion_boutique[[#This Row],[product_id]],A1935:A4110,1,FALSE),0),1,0)</f>
        <v>0</v>
      </c>
    </row>
    <row r="1935" spans="1:25" x14ac:dyDescent="0.3">
      <c r="A1935" t="s">
        <v>1994</v>
      </c>
      <c r="B1935" t="s">
        <v>26</v>
      </c>
      <c r="C1935" t="s">
        <v>81</v>
      </c>
      <c r="D1935" t="s">
        <v>28</v>
      </c>
      <c r="E1935" t="s">
        <v>55</v>
      </c>
      <c r="F1935" t="str">
        <f>IF(BBDD_fashion_boutique[[#This Row],[category]]="Accessories","Accesorio",IF(BBDD_fashion_boutique[[#This Row],[size]]="","Desconocido",BBDD_fashion_boutique[[#This Row],[size]]))</f>
        <v>XXL</v>
      </c>
      <c r="G1935" t="s">
        <v>52</v>
      </c>
      <c r="H1935" s="2">
        <v>86.82</v>
      </c>
      <c r="I1935">
        <v>0</v>
      </c>
      <c r="J1935" s="5">
        <f>BBDD_fashion_boutique[[#This Row],[markdown_percentage]]/100</f>
        <v>0</v>
      </c>
      <c r="K1935" s="2">
        <v>86.82</v>
      </c>
      <c r="L1935" s="2">
        <f>BBDD_fashion_boutique[[#This Row],[original_price]]-BBDD_fashion_boutique[[#This Row],[current_price]]</f>
        <v>0</v>
      </c>
      <c r="M1935" s="1">
        <v>45875</v>
      </c>
      <c r="N1935" s="1" t="str">
        <f>PROPER(TEXT(BBDD_fashion_boutique[[#This Row],[purchase_date]],"dddd"))</f>
        <v>Miércoles</v>
      </c>
      <c r="O1935" s="1" t="str">
        <f>PROPER(TEXT(BBDD_fashion_boutique[[#This Row],[purchase_date]],"mmmm"))</f>
        <v>Agosto</v>
      </c>
      <c r="P1935" s="4">
        <v>0</v>
      </c>
      <c r="Q1935" s="2">
        <v>4.8</v>
      </c>
      <c r="R1935" t="str">
        <f>IF(BBDD_fashion_boutique[[#This Row],[stock_quantity]]&gt;9,"Ok",IF(BBDD_fashion_boutique[[#This Row],[stock_quantity]]=0,"Agotado","Pocas Unidades"))</f>
        <v>Agotado</v>
      </c>
      <c r="S1935" s="3">
        <f>IF(BBDD_fashion_boutique[[#This Row],[customer_rating]]="","No valorado",BBDD_fashion_boutique[[#This Row],[customer_rating]])</f>
        <v>4.8</v>
      </c>
      <c r="T1935" t="s">
        <v>24</v>
      </c>
      <c r="V1935">
        <f>IF(BBDD_fashion_boutique[[#This Row],[is_returned]]="False",0,1)</f>
        <v>0</v>
      </c>
      <c r="W1935">
        <f>IF(BBDD_fashion_boutique[[#This Row],[is_returned]]="True",0,BBDD_fashion_boutique[[#This Row],[current_price]])</f>
        <v>86.82</v>
      </c>
      <c r="X1935" t="str">
        <f>IF(BBDD_fashion_boutique[[#This Row],[return_reason]]="","No return",BBDD_fashion_boutique[[#This Row],[return_reason]])</f>
        <v>No return</v>
      </c>
      <c r="Y1935">
        <f>IF(IFERROR(VLOOKUP(BBDD_fashion_boutique[[#This Row],[product_id]],A1936:A4111,1,FALSE),0),1,0)</f>
        <v>0</v>
      </c>
    </row>
    <row r="1936" spans="1:25" x14ac:dyDescent="0.3">
      <c r="A1936" t="s">
        <v>1995</v>
      </c>
      <c r="B1936" t="s">
        <v>19</v>
      </c>
      <c r="C1936" t="s">
        <v>54</v>
      </c>
      <c r="D1936" t="s">
        <v>68</v>
      </c>
      <c r="E1936" t="s">
        <v>29</v>
      </c>
      <c r="F1936" t="str">
        <f>IF(BBDD_fashion_boutique[[#This Row],[category]]="Accessories","Accesorio",IF(BBDD_fashion_boutique[[#This Row],[size]]="","Desconocido",BBDD_fashion_boutique[[#This Row],[size]]))</f>
        <v>L</v>
      </c>
      <c r="G1936" t="s">
        <v>23</v>
      </c>
      <c r="H1936" s="2">
        <v>83.68</v>
      </c>
      <c r="I1936">
        <v>28.1</v>
      </c>
      <c r="J1936" s="5">
        <f>BBDD_fashion_boutique[[#This Row],[markdown_percentage]]/100</f>
        <v>0.28100000000000003</v>
      </c>
      <c r="K1936" s="2">
        <v>60.17</v>
      </c>
      <c r="L1936" s="2">
        <f>BBDD_fashion_boutique[[#This Row],[original_price]]-BBDD_fashion_boutique[[#This Row],[current_price]]</f>
        <v>23.510000000000005</v>
      </c>
      <c r="M1936" s="1">
        <v>45875</v>
      </c>
      <c r="N1936" s="1" t="str">
        <f>PROPER(TEXT(BBDD_fashion_boutique[[#This Row],[purchase_date]],"dddd"))</f>
        <v>Miércoles</v>
      </c>
      <c r="O1936" s="1" t="str">
        <f>PROPER(TEXT(BBDD_fashion_boutique[[#This Row],[purchase_date]],"mmmm"))</f>
        <v>Agosto</v>
      </c>
      <c r="P1936" s="4">
        <v>46</v>
      </c>
      <c r="R1936" t="str">
        <f>IF(BBDD_fashion_boutique[[#This Row],[stock_quantity]]&gt;9,"Ok",IF(BBDD_fashion_boutique[[#This Row],[stock_quantity]]=0,"Agotado","Pocas Unidades"))</f>
        <v>Ok</v>
      </c>
      <c r="S1936" s="3" t="str">
        <f>IF(BBDD_fashion_boutique[[#This Row],[customer_rating]]="","No valorado",BBDD_fashion_boutique[[#This Row],[customer_rating]])</f>
        <v>No valorado</v>
      </c>
      <c r="T1936" t="s">
        <v>41</v>
      </c>
      <c r="U1936" t="s">
        <v>89</v>
      </c>
      <c r="V1936">
        <f>IF(BBDD_fashion_boutique[[#This Row],[is_returned]]="False",0,1)</f>
        <v>1</v>
      </c>
      <c r="W1936">
        <f>IF(BBDD_fashion_boutique[[#This Row],[is_returned]]="True",0,BBDD_fashion_boutique[[#This Row],[current_price]])</f>
        <v>0</v>
      </c>
      <c r="X1936" t="str">
        <f>IF(BBDD_fashion_boutique[[#This Row],[return_reason]]="","No return",BBDD_fashion_boutique[[#This Row],[return_reason]])</f>
        <v>Quality Issue</v>
      </c>
      <c r="Y1936">
        <f>IF(IFERROR(VLOOKUP(BBDD_fashion_boutique[[#This Row],[product_id]],A1937:A4112,1,FALSE),0),1,0)</f>
        <v>0</v>
      </c>
    </row>
    <row r="1937" spans="1:25" x14ac:dyDescent="0.3">
      <c r="A1937" t="s">
        <v>1996</v>
      </c>
      <c r="B1937" t="s">
        <v>19</v>
      </c>
      <c r="C1937" t="s">
        <v>37</v>
      </c>
      <c r="D1937" t="s">
        <v>39</v>
      </c>
      <c r="E1937" t="s">
        <v>45</v>
      </c>
      <c r="F1937" t="str">
        <f>IF(BBDD_fashion_boutique[[#This Row],[category]]="Accessories","Accesorio",IF(BBDD_fashion_boutique[[#This Row],[size]]="","Desconocido",BBDD_fashion_boutique[[#This Row],[size]]))</f>
        <v>S</v>
      </c>
      <c r="G1937" t="s">
        <v>30</v>
      </c>
      <c r="H1937" s="2">
        <v>167.31</v>
      </c>
      <c r="I1937">
        <v>50.7</v>
      </c>
      <c r="J1937" s="5">
        <f>BBDD_fashion_boutique[[#This Row],[markdown_percentage]]/100</f>
        <v>0.50700000000000001</v>
      </c>
      <c r="K1937" s="2">
        <v>82.48</v>
      </c>
      <c r="L1937" s="2">
        <f>BBDD_fashion_boutique[[#This Row],[original_price]]-BBDD_fashion_boutique[[#This Row],[current_price]]</f>
        <v>84.83</v>
      </c>
      <c r="M1937" s="1">
        <v>45875</v>
      </c>
      <c r="N1937" s="1" t="str">
        <f>PROPER(TEXT(BBDD_fashion_boutique[[#This Row],[purchase_date]],"dddd"))</f>
        <v>Miércoles</v>
      </c>
      <c r="O1937" s="1" t="str">
        <f>PROPER(TEXT(BBDD_fashion_boutique[[#This Row],[purchase_date]],"mmmm"))</f>
        <v>Agosto</v>
      </c>
      <c r="P1937" s="4">
        <v>9</v>
      </c>
      <c r="Q1937" s="2">
        <v>3.2</v>
      </c>
      <c r="R1937" t="str">
        <f>IF(BBDD_fashion_boutique[[#This Row],[stock_quantity]]&gt;9,"Ok",IF(BBDD_fashion_boutique[[#This Row],[stock_quantity]]=0,"Agotado","Pocas Unidades"))</f>
        <v>Pocas Unidades</v>
      </c>
      <c r="S1937" s="3">
        <f>IF(BBDD_fashion_boutique[[#This Row],[customer_rating]]="","No valorado",BBDD_fashion_boutique[[#This Row],[customer_rating]])</f>
        <v>3.2</v>
      </c>
      <c r="T1937" t="s">
        <v>24</v>
      </c>
      <c r="V1937">
        <f>IF(BBDD_fashion_boutique[[#This Row],[is_returned]]="False",0,1)</f>
        <v>0</v>
      </c>
      <c r="W1937">
        <f>IF(BBDD_fashion_boutique[[#This Row],[is_returned]]="True",0,BBDD_fashion_boutique[[#This Row],[current_price]])</f>
        <v>82.48</v>
      </c>
      <c r="X1937" t="str">
        <f>IF(BBDD_fashion_boutique[[#This Row],[return_reason]]="","No return",BBDD_fashion_boutique[[#This Row],[return_reason]])</f>
        <v>No return</v>
      </c>
      <c r="Y1937">
        <f>IF(IFERROR(VLOOKUP(BBDD_fashion_boutique[[#This Row],[product_id]],A1938:A4113,1,FALSE),0),1,0)</f>
        <v>0</v>
      </c>
    </row>
    <row r="1938" spans="1:25" x14ac:dyDescent="0.3">
      <c r="A1938" t="s">
        <v>1997</v>
      </c>
      <c r="B1938" t="s">
        <v>44</v>
      </c>
      <c r="C1938" t="s">
        <v>54</v>
      </c>
      <c r="D1938" t="s">
        <v>39</v>
      </c>
      <c r="E1938" t="s">
        <v>61</v>
      </c>
      <c r="F1938" t="str">
        <f>IF(BBDD_fashion_boutique[[#This Row],[category]]="Accessories","Accesorio",IF(BBDD_fashion_boutique[[#This Row],[size]]="","Desconocido",BBDD_fashion_boutique[[#This Row],[size]]))</f>
        <v>XS</v>
      </c>
      <c r="G1938" t="s">
        <v>46</v>
      </c>
      <c r="H1938" s="2">
        <v>114.64</v>
      </c>
      <c r="I1938">
        <v>5.0999999999999996</v>
      </c>
      <c r="J1938" s="5">
        <f>BBDD_fashion_boutique[[#This Row],[markdown_percentage]]/100</f>
        <v>5.0999999999999997E-2</v>
      </c>
      <c r="K1938" s="2">
        <v>108.79</v>
      </c>
      <c r="L1938" s="2">
        <f>BBDD_fashion_boutique[[#This Row],[original_price]]-BBDD_fashion_boutique[[#This Row],[current_price]]</f>
        <v>5.8499999999999943</v>
      </c>
      <c r="M1938" s="1">
        <v>45875</v>
      </c>
      <c r="N1938" s="1" t="str">
        <f>PROPER(TEXT(BBDD_fashion_boutique[[#This Row],[purchase_date]],"dddd"))</f>
        <v>Miércoles</v>
      </c>
      <c r="O1938" s="1" t="str">
        <f>PROPER(TEXT(BBDD_fashion_boutique[[#This Row],[purchase_date]],"mmmm"))</f>
        <v>Agosto</v>
      </c>
      <c r="P1938" s="4">
        <v>21</v>
      </c>
      <c r="Q1938" s="2">
        <v>2</v>
      </c>
      <c r="R1938" t="str">
        <f>IF(BBDD_fashion_boutique[[#This Row],[stock_quantity]]&gt;9,"Ok",IF(BBDD_fashion_boutique[[#This Row],[stock_quantity]]=0,"Agotado","Pocas Unidades"))</f>
        <v>Ok</v>
      </c>
      <c r="S1938" s="3">
        <f>IF(BBDD_fashion_boutique[[#This Row],[customer_rating]]="","No valorado",BBDD_fashion_boutique[[#This Row],[customer_rating]])</f>
        <v>2</v>
      </c>
      <c r="T1938" t="s">
        <v>24</v>
      </c>
      <c r="V1938">
        <f>IF(BBDD_fashion_boutique[[#This Row],[is_returned]]="False",0,1)</f>
        <v>0</v>
      </c>
      <c r="W1938">
        <f>IF(BBDD_fashion_boutique[[#This Row],[is_returned]]="True",0,BBDD_fashion_boutique[[#This Row],[current_price]])</f>
        <v>108.79</v>
      </c>
      <c r="X1938" t="str">
        <f>IF(BBDD_fashion_boutique[[#This Row],[return_reason]]="","No return",BBDD_fashion_boutique[[#This Row],[return_reason]])</f>
        <v>No return</v>
      </c>
      <c r="Y1938">
        <f>IF(IFERROR(VLOOKUP(BBDD_fashion_boutique[[#This Row],[product_id]],A1939:A4114,1,FALSE),0),1,0)</f>
        <v>0</v>
      </c>
    </row>
    <row r="1939" spans="1:25" x14ac:dyDescent="0.3">
      <c r="A1939" t="s">
        <v>1998</v>
      </c>
      <c r="B1939" t="s">
        <v>19</v>
      </c>
      <c r="C1939" t="s">
        <v>54</v>
      </c>
      <c r="D1939" t="s">
        <v>21</v>
      </c>
      <c r="E1939" t="s">
        <v>55</v>
      </c>
      <c r="F1939" t="str">
        <f>IF(BBDD_fashion_boutique[[#This Row],[category]]="Accessories","Accesorio",IF(BBDD_fashion_boutique[[#This Row],[size]]="","Desconocido",BBDD_fashion_boutique[[#This Row],[size]]))</f>
        <v>XXL</v>
      </c>
      <c r="G1939" t="s">
        <v>40</v>
      </c>
      <c r="H1939" s="2">
        <v>109.53</v>
      </c>
      <c r="I1939">
        <v>29.3</v>
      </c>
      <c r="J1939" s="5">
        <f>BBDD_fashion_boutique[[#This Row],[markdown_percentage]]/100</f>
        <v>0.29299999999999998</v>
      </c>
      <c r="K1939" s="2">
        <v>77.44</v>
      </c>
      <c r="L1939" s="2">
        <f>BBDD_fashion_boutique[[#This Row],[original_price]]-BBDD_fashion_boutique[[#This Row],[current_price]]</f>
        <v>32.090000000000003</v>
      </c>
      <c r="M1939" s="1">
        <v>45598</v>
      </c>
      <c r="N1939" s="1" t="str">
        <f>PROPER(TEXT(BBDD_fashion_boutique[[#This Row],[purchase_date]],"dddd"))</f>
        <v>Sábado</v>
      </c>
      <c r="O1939" s="1" t="str">
        <f>PROPER(TEXT(BBDD_fashion_boutique[[#This Row],[purchase_date]],"mmmm"))</f>
        <v>Noviembre</v>
      </c>
      <c r="P1939" s="4">
        <v>35</v>
      </c>
      <c r="Q1939" s="2">
        <v>1.3</v>
      </c>
      <c r="R1939" t="str">
        <f>IF(BBDD_fashion_boutique[[#This Row],[stock_quantity]]&gt;9,"Ok",IF(BBDD_fashion_boutique[[#This Row],[stock_quantity]]=0,"Agotado","Pocas Unidades"))</f>
        <v>Ok</v>
      </c>
      <c r="S1939" s="3">
        <f>IF(BBDD_fashion_boutique[[#This Row],[customer_rating]]="","No valorado",BBDD_fashion_boutique[[#This Row],[customer_rating]])</f>
        <v>1.3</v>
      </c>
      <c r="T1939" t="s">
        <v>24</v>
      </c>
      <c r="V1939">
        <f>IF(BBDD_fashion_boutique[[#This Row],[is_returned]]="False",0,1)</f>
        <v>0</v>
      </c>
      <c r="W1939">
        <f>IF(BBDD_fashion_boutique[[#This Row],[is_returned]]="True",0,BBDD_fashion_boutique[[#This Row],[current_price]])</f>
        <v>77.44</v>
      </c>
      <c r="X1939" t="str">
        <f>IF(BBDD_fashion_boutique[[#This Row],[return_reason]]="","No return",BBDD_fashion_boutique[[#This Row],[return_reason]])</f>
        <v>No return</v>
      </c>
      <c r="Y1939">
        <f>IF(IFERROR(VLOOKUP(BBDD_fashion_boutique[[#This Row],[product_id]],A1940:A4115,1,FALSE),0),1,0)</f>
        <v>0</v>
      </c>
    </row>
    <row r="1940" spans="1:25" x14ac:dyDescent="0.3">
      <c r="A1940" t="s">
        <v>1999</v>
      </c>
      <c r="B1940" t="s">
        <v>32</v>
      </c>
      <c r="C1940" t="s">
        <v>59</v>
      </c>
      <c r="D1940" t="s">
        <v>68</v>
      </c>
      <c r="F1940" t="str">
        <f>IF(BBDD_fashion_boutique[[#This Row],[category]]="Accessories","Accesorio",IF(BBDD_fashion_boutique[[#This Row],[size]]="","Desconocido",BBDD_fashion_boutique[[#This Row],[size]]))</f>
        <v>Accesorio</v>
      </c>
      <c r="G1940" t="s">
        <v>62</v>
      </c>
      <c r="H1940" s="2">
        <v>51.02</v>
      </c>
      <c r="I1940">
        <v>57.9</v>
      </c>
      <c r="J1940" s="5">
        <f>BBDD_fashion_boutique[[#This Row],[markdown_percentage]]/100</f>
        <v>0.57899999999999996</v>
      </c>
      <c r="K1940" s="2">
        <v>21.48</v>
      </c>
      <c r="L1940" s="2">
        <f>BBDD_fashion_boutique[[#This Row],[original_price]]-BBDD_fashion_boutique[[#This Row],[current_price]]</f>
        <v>29.540000000000003</v>
      </c>
      <c r="M1940" s="1">
        <v>45875</v>
      </c>
      <c r="N1940" s="1" t="str">
        <f>PROPER(TEXT(BBDD_fashion_boutique[[#This Row],[purchase_date]],"dddd"))</f>
        <v>Miércoles</v>
      </c>
      <c r="O1940" s="1" t="str">
        <f>PROPER(TEXT(BBDD_fashion_boutique[[#This Row],[purchase_date]],"mmmm"))</f>
        <v>Agosto</v>
      </c>
      <c r="P1940" s="4">
        <v>36</v>
      </c>
      <c r="R1940" t="str">
        <f>IF(BBDD_fashion_boutique[[#This Row],[stock_quantity]]&gt;9,"Ok",IF(BBDD_fashion_boutique[[#This Row],[stock_quantity]]=0,"Agotado","Pocas Unidades"))</f>
        <v>Ok</v>
      </c>
      <c r="S1940" s="3" t="str">
        <f>IF(BBDD_fashion_boutique[[#This Row],[customer_rating]]="","No valorado",BBDD_fashion_boutique[[#This Row],[customer_rating]])</f>
        <v>No valorado</v>
      </c>
      <c r="T1940" t="s">
        <v>24</v>
      </c>
      <c r="V1940">
        <f>IF(BBDD_fashion_boutique[[#This Row],[is_returned]]="False",0,1)</f>
        <v>0</v>
      </c>
      <c r="W1940">
        <f>IF(BBDD_fashion_boutique[[#This Row],[is_returned]]="True",0,BBDD_fashion_boutique[[#This Row],[current_price]])</f>
        <v>21.48</v>
      </c>
      <c r="X1940" t="str">
        <f>IF(BBDD_fashion_boutique[[#This Row],[return_reason]]="","No return",BBDD_fashion_boutique[[#This Row],[return_reason]])</f>
        <v>No return</v>
      </c>
      <c r="Y1940">
        <f>IF(IFERROR(VLOOKUP(BBDD_fashion_boutique[[#This Row],[product_id]],A1941:A4116,1,FALSE),0),1,0)</f>
        <v>0</v>
      </c>
    </row>
    <row r="1941" spans="1:25" x14ac:dyDescent="0.3">
      <c r="A1941" t="s">
        <v>2000</v>
      </c>
      <c r="B1941" t="s">
        <v>35</v>
      </c>
      <c r="C1941" t="s">
        <v>54</v>
      </c>
      <c r="D1941" t="s">
        <v>39</v>
      </c>
      <c r="E1941" t="s">
        <v>64</v>
      </c>
      <c r="F1941" t="str">
        <f>IF(BBDD_fashion_boutique[[#This Row],[category]]="Accessories","Accesorio",IF(BBDD_fashion_boutique[[#This Row],[size]]="","Desconocido",BBDD_fashion_boutique[[#This Row],[size]]))</f>
        <v>M</v>
      </c>
      <c r="G1941" t="s">
        <v>52</v>
      </c>
      <c r="H1941" s="2">
        <v>77.45</v>
      </c>
      <c r="I1941">
        <v>52.8</v>
      </c>
      <c r="J1941" s="5">
        <f>BBDD_fashion_boutique[[#This Row],[markdown_percentage]]/100</f>
        <v>0.52800000000000002</v>
      </c>
      <c r="K1941" s="2">
        <v>36.56</v>
      </c>
      <c r="L1941" s="2">
        <f>BBDD_fashion_boutique[[#This Row],[original_price]]-BBDD_fashion_boutique[[#This Row],[current_price]]</f>
        <v>40.89</v>
      </c>
      <c r="M1941" s="1">
        <v>45875</v>
      </c>
      <c r="N1941" s="1" t="str">
        <f>PROPER(TEXT(BBDD_fashion_boutique[[#This Row],[purchase_date]],"dddd"))</f>
        <v>Miércoles</v>
      </c>
      <c r="O1941" s="1" t="str">
        <f>PROPER(TEXT(BBDD_fashion_boutique[[#This Row],[purchase_date]],"mmmm"))</f>
        <v>Agosto</v>
      </c>
      <c r="P1941" s="4">
        <v>6</v>
      </c>
      <c r="Q1941" s="2">
        <v>2.7</v>
      </c>
      <c r="R1941" t="str">
        <f>IF(BBDD_fashion_boutique[[#This Row],[stock_quantity]]&gt;9,"Ok",IF(BBDD_fashion_boutique[[#This Row],[stock_quantity]]=0,"Agotado","Pocas Unidades"))</f>
        <v>Pocas Unidades</v>
      </c>
      <c r="S1941" s="3">
        <f>IF(BBDD_fashion_boutique[[#This Row],[customer_rating]]="","No valorado",BBDD_fashion_boutique[[#This Row],[customer_rating]])</f>
        <v>2.7</v>
      </c>
      <c r="T1941" t="s">
        <v>24</v>
      </c>
      <c r="V1941">
        <f>IF(BBDD_fashion_boutique[[#This Row],[is_returned]]="False",0,1)</f>
        <v>0</v>
      </c>
      <c r="W1941">
        <f>IF(BBDD_fashion_boutique[[#This Row],[is_returned]]="True",0,BBDD_fashion_boutique[[#This Row],[current_price]])</f>
        <v>36.56</v>
      </c>
      <c r="X1941" t="str">
        <f>IF(BBDD_fashion_boutique[[#This Row],[return_reason]]="","No return",BBDD_fashion_boutique[[#This Row],[return_reason]])</f>
        <v>No return</v>
      </c>
      <c r="Y1941">
        <f>IF(IFERROR(VLOOKUP(BBDD_fashion_boutique[[#This Row],[product_id]],A1942:A4117,1,FALSE),0),1,0)</f>
        <v>0</v>
      </c>
    </row>
    <row r="1942" spans="1:25" x14ac:dyDescent="0.3">
      <c r="A1942" t="s">
        <v>2001</v>
      </c>
      <c r="B1942" t="s">
        <v>35</v>
      </c>
      <c r="C1942" t="s">
        <v>59</v>
      </c>
      <c r="D1942" t="s">
        <v>39</v>
      </c>
      <c r="E1942" t="s">
        <v>61</v>
      </c>
      <c r="F1942" t="str">
        <f>IF(BBDD_fashion_boutique[[#This Row],[category]]="Accessories","Accesorio",IF(BBDD_fashion_boutique[[#This Row],[size]]="","Desconocido",BBDD_fashion_boutique[[#This Row],[size]]))</f>
        <v>XS</v>
      </c>
      <c r="G1942" t="s">
        <v>40</v>
      </c>
      <c r="H1942" s="2">
        <v>142.87</v>
      </c>
      <c r="I1942">
        <v>45.4</v>
      </c>
      <c r="J1942" s="5">
        <f>BBDD_fashion_boutique[[#This Row],[markdown_percentage]]/100</f>
        <v>0.45399999999999996</v>
      </c>
      <c r="K1942" s="2">
        <v>78.010000000000005</v>
      </c>
      <c r="L1942" s="2">
        <f>BBDD_fashion_boutique[[#This Row],[original_price]]-BBDD_fashion_boutique[[#This Row],[current_price]]</f>
        <v>64.86</v>
      </c>
      <c r="M1942" s="1">
        <v>45875</v>
      </c>
      <c r="N1942" s="1" t="str">
        <f>PROPER(TEXT(BBDD_fashion_boutique[[#This Row],[purchase_date]],"dddd"))</f>
        <v>Miércoles</v>
      </c>
      <c r="O1942" s="1" t="str">
        <f>PROPER(TEXT(BBDD_fashion_boutique[[#This Row],[purchase_date]],"mmmm"))</f>
        <v>Agosto</v>
      </c>
      <c r="P1942" s="4">
        <v>20</v>
      </c>
      <c r="Q1942" s="2">
        <v>1.7</v>
      </c>
      <c r="R1942" t="str">
        <f>IF(BBDD_fashion_boutique[[#This Row],[stock_quantity]]&gt;9,"Ok",IF(BBDD_fashion_boutique[[#This Row],[stock_quantity]]=0,"Agotado","Pocas Unidades"))</f>
        <v>Ok</v>
      </c>
      <c r="S1942" s="3">
        <f>IF(BBDD_fashion_boutique[[#This Row],[customer_rating]]="","No valorado",BBDD_fashion_boutique[[#This Row],[customer_rating]])</f>
        <v>1.7</v>
      </c>
      <c r="T1942" t="s">
        <v>24</v>
      </c>
      <c r="V1942">
        <f>IF(BBDD_fashion_boutique[[#This Row],[is_returned]]="False",0,1)</f>
        <v>0</v>
      </c>
      <c r="W1942">
        <f>IF(BBDD_fashion_boutique[[#This Row],[is_returned]]="True",0,BBDD_fashion_boutique[[#This Row],[current_price]])</f>
        <v>78.010000000000005</v>
      </c>
      <c r="X1942" t="str">
        <f>IF(BBDD_fashion_boutique[[#This Row],[return_reason]]="","No return",BBDD_fashion_boutique[[#This Row],[return_reason]])</f>
        <v>No return</v>
      </c>
      <c r="Y1942">
        <f>IF(IFERROR(VLOOKUP(BBDD_fashion_boutique[[#This Row],[product_id]],A1943:A4118,1,FALSE),0),1,0)</f>
        <v>0</v>
      </c>
    </row>
    <row r="1943" spans="1:25" x14ac:dyDescent="0.3">
      <c r="A1943" t="s">
        <v>2002</v>
      </c>
      <c r="B1943" t="s">
        <v>19</v>
      </c>
      <c r="C1943" t="s">
        <v>37</v>
      </c>
      <c r="D1943" t="s">
        <v>28</v>
      </c>
      <c r="E1943" t="s">
        <v>61</v>
      </c>
      <c r="F1943" t="str">
        <f>IF(BBDD_fashion_boutique[[#This Row],[category]]="Accessories","Accesorio",IF(BBDD_fashion_boutique[[#This Row],[size]]="","Desconocido",BBDD_fashion_boutique[[#This Row],[size]]))</f>
        <v>XS</v>
      </c>
      <c r="G1943" t="s">
        <v>40</v>
      </c>
      <c r="H1943" s="2">
        <v>138.87</v>
      </c>
      <c r="I1943">
        <v>0</v>
      </c>
      <c r="J1943" s="5">
        <f>BBDD_fashion_boutique[[#This Row],[markdown_percentage]]/100</f>
        <v>0</v>
      </c>
      <c r="K1943" s="2">
        <v>138.87</v>
      </c>
      <c r="L1943" s="2">
        <f>BBDD_fashion_boutique[[#This Row],[original_price]]-BBDD_fashion_boutique[[#This Row],[current_price]]</f>
        <v>0</v>
      </c>
      <c r="M1943" s="1">
        <v>45875</v>
      </c>
      <c r="N1943" s="1" t="str">
        <f>PROPER(TEXT(BBDD_fashion_boutique[[#This Row],[purchase_date]],"dddd"))</f>
        <v>Miércoles</v>
      </c>
      <c r="O1943" s="1" t="str">
        <f>PROPER(TEXT(BBDD_fashion_boutique[[#This Row],[purchase_date]],"mmmm"))</f>
        <v>Agosto</v>
      </c>
      <c r="P1943" s="4">
        <v>37</v>
      </c>
      <c r="Q1943" s="2">
        <v>3.2</v>
      </c>
      <c r="R1943" t="str">
        <f>IF(BBDD_fashion_boutique[[#This Row],[stock_quantity]]&gt;9,"Ok",IF(BBDD_fashion_boutique[[#This Row],[stock_quantity]]=0,"Agotado","Pocas Unidades"))</f>
        <v>Ok</v>
      </c>
      <c r="S1943" s="3">
        <f>IF(BBDD_fashion_boutique[[#This Row],[customer_rating]]="","No valorado",BBDD_fashion_boutique[[#This Row],[customer_rating]])</f>
        <v>3.2</v>
      </c>
      <c r="T1943" t="s">
        <v>24</v>
      </c>
      <c r="V1943">
        <f>IF(BBDD_fashion_boutique[[#This Row],[is_returned]]="False",0,1)</f>
        <v>0</v>
      </c>
      <c r="W1943">
        <f>IF(BBDD_fashion_boutique[[#This Row],[is_returned]]="True",0,BBDD_fashion_boutique[[#This Row],[current_price]])</f>
        <v>138.87</v>
      </c>
      <c r="X1943" t="str">
        <f>IF(BBDD_fashion_boutique[[#This Row],[return_reason]]="","No return",BBDD_fashion_boutique[[#This Row],[return_reason]])</f>
        <v>No return</v>
      </c>
      <c r="Y1943">
        <f>IF(IFERROR(VLOOKUP(BBDD_fashion_boutique[[#This Row],[product_id]],A1944:A4119,1,FALSE),0),1,0)</f>
        <v>0</v>
      </c>
    </row>
    <row r="1944" spans="1:25" x14ac:dyDescent="0.3">
      <c r="A1944" t="s">
        <v>2003</v>
      </c>
      <c r="B1944" t="s">
        <v>35</v>
      </c>
      <c r="C1944" t="s">
        <v>59</v>
      </c>
      <c r="D1944" t="s">
        <v>21</v>
      </c>
      <c r="E1944" t="s">
        <v>45</v>
      </c>
      <c r="F1944" t="str">
        <f>IF(BBDD_fashion_boutique[[#This Row],[category]]="Accessories","Accesorio",IF(BBDD_fashion_boutique[[#This Row],[size]]="","Desconocido",BBDD_fashion_boutique[[#This Row],[size]]))</f>
        <v>S</v>
      </c>
      <c r="G1944" t="s">
        <v>23</v>
      </c>
      <c r="H1944" s="2">
        <v>132.82</v>
      </c>
      <c r="I1944">
        <v>0</v>
      </c>
      <c r="J1944" s="5">
        <f>BBDD_fashion_boutique[[#This Row],[markdown_percentage]]/100</f>
        <v>0</v>
      </c>
      <c r="K1944" s="2">
        <v>132.82</v>
      </c>
      <c r="L1944" s="2">
        <f>BBDD_fashion_boutique[[#This Row],[original_price]]-BBDD_fashion_boutique[[#This Row],[current_price]]</f>
        <v>0</v>
      </c>
      <c r="M1944" s="1">
        <v>45733</v>
      </c>
      <c r="N1944" s="1" t="str">
        <f>PROPER(TEXT(BBDD_fashion_boutique[[#This Row],[purchase_date]],"dddd"))</f>
        <v>Lunes</v>
      </c>
      <c r="O1944" s="1" t="str">
        <f>PROPER(TEXT(BBDD_fashion_boutique[[#This Row],[purchase_date]],"mmmm"))</f>
        <v>Marzo</v>
      </c>
      <c r="P1944" s="4">
        <v>40</v>
      </c>
      <c r="R1944" t="str">
        <f>IF(BBDD_fashion_boutique[[#This Row],[stock_quantity]]&gt;9,"Ok",IF(BBDD_fashion_boutique[[#This Row],[stock_quantity]]=0,"Agotado","Pocas Unidades"))</f>
        <v>Ok</v>
      </c>
      <c r="S1944" s="3" t="str">
        <f>IF(BBDD_fashion_boutique[[#This Row],[customer_rating]]="","No valorado",BBDD_fashion_boutique[[#This Row],[customer_rating]])</f>
        <v>No valorado</v>
      </c>
      <c r="T1944" t="s">
        <v>41</v>
      </c>
      <c r="U1944" t="s">
        <v>121</v>
      </c>
      <c r="V1944">
        <f>IF(BBDD_fashion_boutique[[#This Row],[is_returned]]="False",0,1)</f>
        <v>1</v>
      </c>
      <c r="W1944">
        <f>IF(BBDD_fashion_boutique[[#This Row],[is_returned]]="True",0,BBDD_fashion_boutique[[#This Row],[current_price]])</f>
        <v>0</v>
      </c>
      <c r="X1944" t="str">
        <f>IF(BBDD_fashion_boutique[[#This Row],[return_reason]]="","No return",BBDD_fashion_boutique[[#This Row],[return_reason]])</f>
        <v>Changed Mind</v>
      </c>
      <c r="Y1944">
        <f>IF(IFERROR(VLOOKUP(BBDD_fashion_boutique[[#This Row],[product_id]],A1945:A4120,1,FALSE),0),1,0)</f>
        <v>0</v>
      </c>
    </row>
    <row r="1945" spans="1:25" x14ac:dyDescent="0.3">
      <c r="A1945" t="s">
        <v>2004</v>
      </c>
      <c r="B1945" t="s">
        <v>35</v>
      </c>
      <c r="C1945" t="s">
        <v>54</v>
      </c>
      <c r="D1945" t="s">
        <v>68</v>
      </c>
      <c r="E1945" t="s">
        <v>29</v>
      </c>
      <c r="F1945" t="str">
        <f>IF(BBDD_fashion_boutique[[#This Row],[category]]="Accessories","Accesorio",IF(BBDD_fashion_boutique[[#This Row],[size]]="","Desconocido",BBDD_fashion_boutique[[#This Row],[size]]))</f>
        <v>L</v>
      </c>
      <c r="G1945" t="s">
        <v>70</v>
      </c>
      <c r="H1945" s="2">
        <v>110.54</v>
      </c>
      <c r="I1945">
        <v>0</v>
      </c>
      <c r="J1945" s="5">
        <f>BBDD_fashion_boutique[[#This Row],[markdown_percentage]]/100</f>
        <v>0</v>
      </c>
      <c r="K1945" s="2">
        <v>110.54</v>
      </c>
      <c r="L1945" s="2">
        <f>BBDD_fashion_boutique[[#This Row],[original_price]]-BBDD_fashion_boutique[[#This Row],[current_price]]</f>
        <v>0</v>
      </c>
      <c r="M1945" s="1">
        <v>45875</v>
      </c>
      <c r="N1945" s="1" t="str">
        <f>PROPER(TEXT(BBDD_fashion_boutique[[#This Row],[purchase_date]],"dddd"))</f>
        <v>Miércoles</v>
      </c>
      <c r="O1945" s="1" t="str">
        <f>PROPER(TEXT(BBDD_fashion_boutique[[#This Row],[purchase_date]],"mmmm"))</f>
        <v>Agosto</v>
      </c>
      <c r="P1945" s="4">
        <v>24</v>
      </c>
      <c r="R1945" t="str">
        <f>IF(BBDD_fashion_boutique[[#This Row],[stock_quantity]]&gt;9,"Ok",IF(BBDD_fashion_boutique[[#This Row],[stock_quantity]]=0,"Agotado","Pocas Unidades"))</f>
        <v>Ok</v>
      </c>
      <c r="S1945" s="3" t="str">
        <f>IF(BBDD_fashion_boutique[[#This Row],[customer_rating]]="","No valorado",BBDD_fashion_boutique[[#This Row],[customer_rating]])</f>
        <v>No valorado</v>
      </c>
      <c r="T1945" t="s">
        <v>41</v>
      </c>
      <c r="U1945" t="s">
        <v>79</v>
      </c>
      <c r="V1945">
        <f>IF(BBDD_fashion_boutique[[#This Row],[is_returned]]="False",0,1)</f>
        <v>1</v>
      </c>
      <c r="W1945">
        <f>IF(BBDD_fashion_boutique[[#This Row],[is_returned]]="True",0,BBDD_fashion_boutique[[#This Row],[current_price]])</f>
        <v>0</v>
      </c>
      <c r="X1945" t="str">
        <f>IF(BBDD_fashion_boutique[[#This Row],[return_reason]]="","No return",BBDD_fashion_boutique[[#This Row],[return_reason]])</f>
        <v>Size Issue</v>
      </c>
      <c r="Y1945">
        <f>IF(IFERROR(VLOOKUP(BBDD_fashion_boutique[[#This Row],[product_id]],A1946:A4121,1,FALSE),0),1,0)</f>
        <v>0</v>
      </c>
    </row>
    <row r="1946" spans="1:25" x14ac:dyDescent="0.3">
      <c r="A1946" t="s">
        <v>2005</v>
      </c>
      <c r="B1946" t="s">
        <v>44</v>
      </c>
      <c r="C1946" t="s">
        <v>20</v>
      </c>
      <c r="D1946" t="s">
        <v>68</v>
      </c>
      <c r="E1946" t="s">
        <v>22</v>
      </c>
      <c r="F1946" t="str">
        <f>IF(BBDD_fashion_boutique[[#This Row],[category]]="Accessories","Accesorio",IF(BBDD_fashion_boutique[[#This Row],[size]]="","Desconocido",BBDD_fashion_boutique[[#This Row],[size]]))</f>
        <v>XL</v>
      </c>
      <c r="G1946" t="s">
        <v>62</v>
      </c>
      <c r="H1946" s="2">
        <v>29.07</v>
      </c>
      <c r="I1946">
        <v>0</v>
      </c>
      <c r="J1946" s="5">
        <f>BBDD_fashion_boutique[[#This Row],[markdown_percentage]]/100</f>
        <v>0</v>
      </c>
      <c r="K1946" s="2">
        <v>29.07</v>
      </c>
      <c r="L1946" s="2">
        <f>BBDD_fashion_boutique[[#This Row],[original_price]]-BBDD_fashion_boutique[[#This Row],[current_price]]</f>
        <v>0</v>
      </c>
      <c r="M1946" s="1">
        <v>45875</v>
      </c>
      <c r="N1946" s="1" t="str">
        <f>PROPER(TEXT(BBDD_fashion_boutique[[#This Row],[purchase_date]],"dddd"))</f>
        <v>Miércoles</v>
      </c>
      <c r="O1946" s="1" t="str">
        <f>PROPER(TEXT(BBDD_fashion_boutique[[#This Row],[purchase_date]],"mmmm"))</f>
        <v>Agosto</v>
      </c>
      <c r="P1946" s="4">
        <v>41</v>
      </c>
      <c r="Q1946" s="2">
        <v>2.8</v>
      </c>
      <c r="R1946" t="str">
        <f>IF(BBDD_fashion_boutique[[#This Row],[stock_quantity]]&gt;9,"Ok",IF(BBDD_fashion_boutique[[#This Row],[stock_quantity]]=0,"Agotado","Pocas Unidades"))</f>
        <v>Ok</v>
      </c>
      <c r="S1946" s="3">
        <f>IF(BBDD_fashion_boutique[[#This Row],[customer_rating]]="","No valorado",BBDD_fashion_boutique[[#This Row],[customer_rating]])</f>
        <v>2.8</v>
      </c>
      <c r="T1946" t="s">
        <v>24</v>
      </c>
      <c r="V1946">
        <f>IF(BBDD_fashion_boutique[[#This Row],[is_returned]]="False",0,1)</f>
        <v>0</v>
      </c>
      <c r="W1946">
        <f>IF(BBDD_fashion_boutique[[#This Row],[is_returned]]="True",0,BBDD_fashion_boutique[[#This Row],[current_price]])</f>
        <v>29.07</v>
      </c>
      <c r="X1946" t="str">
        <f>IF(BBDD_fashion_boutique[[#This Row],[return_reason]]="","No return",BBDD_fashion_boutique[[#This Row],[return_reason]])</f>
        <v>No return</v>
      </c>
      <c r="Y1946">
        <f>IF(IFERROR(VLOOKUP(BBDD_fashion_boutique[[#This Row],[product_id]],A1947:A4122,1,FALSE),0),1,0)</f>
        <v>0</v>
      </c>
    </row>
    <row r="1947" spans="1:25" x14ac:dyDescent="0.3">
      <c r="A1947" t="s">
        <v>2006</v>
      </c>
      <c r="B1947" t="s">
        <v>19</v>
      </c>
      <c r="C1947" t="s">
        <v>67</v>
      </c>
      <c r="D1947" t="s">
        <v>68</v>
      </c>
      <c r="E1947" t="s">
        <v>45</v>
      </c>
      <c r="F1947" t="str">
        <f>IF(BBDD_fashion_boutique[[#This Row],[category]]="Accessories","Accesorio",IF(BBDD_fashion_boutique[[#This Row],[size]]="","Desconocido",BBDD_fashion_boutique[[#This Row],[size]]))</f>
        <v>S</v>
      </c>
      <c r="G1947" t="s">
        <v>70</v>
      </c>
      <c r="H1947" s="2">
        <v>141.91999999999999</v>
      </c>
      <c r="I1947">
        <v>0</v>
      </c>
      <c r="J1947" s="5">
        <f>BBDD_fashion_boutique[[#This Row],[markdown_percentage]]/100</f>
        <v>0</v>
      </c>
      <c r="K1947" s="2">
        <v>141.91999999999999</v>
      </c>
      <c r="L1947" s="2">
        <f>BBDD_fashion_boutique[[#This Row],[original_price]]-BBDD_fashion_boutique[[#This Row],[current_price]]</f>
        <v>0</v>
      </c>
      <c r="M1947" s="1">
        <v>45875</v>
      </c>
      <c r="N1947" s="1" t="str">
        <f>PROPER(TEXT(BBDD_fashion_boutique[[#This Row],[purchase_date]],"dddd"))</f>
        <v>Miércoles</v>
      </c>
      <c r="O1947" s="1" t="str">
        <f>PROPER(TEXT(BBDD_fashion_boutique[[#This Row],[purchase_date]],"mmmm"))</f>
        <v>Agosto</v>
      </c>
      <c r="P1947" s="4">
        <v>37</v>
      </c>
      <c r="Q1947" s="2">
        <v>1.7</v>
      </c>
      <c r="R1947" t="str">
        <f>IF(BBDD_fashion_boutique[[#This Row],[stock_quantity]]&gt;9,"Ok",IF(BBDD_fashion_boutique[[#This Row],[stock_quantity]]=0,"Agotado","Pocas Unidades"))</f>
        <v>Ok</v>
      </c>
      <c r="S1947" s="3">
        <f>IF(BBDD_fashion_boutique[[#This Row],[customer_rating]]="","No valorado",BBDD_fashion_boutique[[#This Row],[customer_rating]])</f>
        <v>1.7</v>
      </c>
      <c r="T1947" t="s">
        <v>24</v>
      </c>
      <c r="V1947">
        <f>IF(BBDD_fashion_boutique[[#This Row],[is_returned]]="False",0,1)</f>
        <v>0</v>
      </c>
      <c r="W1947">
        <f>IF(BBDD_fashion_boutique[[#This Row],[is_returned]]="True",0,BBDD_fashion_boutique[[#This Row],[current_price]])</f>
        <v>141.91999999999999</v>
      </c>
      <c r="X1947" t="str">
        <f>IF(BBDD_fashion_boutique[[#This Row],[return_reason]]="","No return",BBDD_fashion_boutique[[#This Row],[return_reason]])</f>
        <v>No return</v>
      </c>
      <c r="Y1947">
        <f>IF(IFERROR(VLOOKUP(BBDD_fashion_boutique[[#This Row],[product_id]],A1948:A4123,1,FALSE),0),1,0)</f>
        <v>0</v>
      </c>
    </row>
    <row r="1948" spans="1:25" x14ac:dyDescent="0.3">
      <c r="A1948" t="s">
        <v>2007</v>
      </c>
      <c r="B1948" t="s">
        <v>35</v>
      </c>
      <c r="C1948" t="s">
        <v>37</v>
      </c>
      <c r="D1948" t="s">
        <v>68</v>
      </c>
      <c r="E1948" t="s">
        <v>22</v>
      </c>
      <c r="F1948" t="str">
        <f>IF(BBDD_fashion_boutique[[#This Row],[category]]="Accessories","Accesorio",IF(BBDD_fashion_boutique[[#This Row],[size]]="","Desconocido",BBDD_fashion_boutique[[#This Row],[size]]))</f>
        <v>XL</v>
      </c>
      <c r="G1948" t="s">
        <v>23</v>
      </c>
      <c r="H1948" s="2">
        <v>67.84</v>
      </c>
      <c r="I1948">
        <v>0</v>
      </c>
      <c r="J1948" s="5">
        <f>BBDD_fashion_boutique[[#This Row],[markdown_percentage]]/100</f>
        <v>0</v>
      </c>
      <c r="K1948" s="2">
        <v>67.84</v>
      </c>
      <c r="L1948" s="2">
        <f>BBDD_fashion_boutique[[#This Row],[original_price]]-BBDD_fashion_boutique[[#This Row],[current_price]]</f>
        <v>0</v>
      </c>
      <c r="M1948" s="1">
        <v>45875</v>
      </c>
      <c r="N1948" s="1" t="str">
        <f>PROPER(TEXT(BBDD_fashion_boutique[[#This Row],[purchase_date]],"dddd"))</f>
        <v>Miércoles</v>
      </c>
      <c r="O1948" s="1" t="str">
        <f>PROPER(TEXT(BBDD_fashion_boutique[[#This Row],[purchase_date]],"mmmm"))</f>
        <v>Agosto</v>
      </c>
      <c r="P1948" s="4">
        <v>24</v>
      </c>
      <c r="Q1948" s="2">
        <v>1.2</v>
      </c>
      <c r="R1948" t="str">
        <f>IF(BBDD_fashion_boutique[[#This Row],[stock_quantity]]&gt;9,"Ok",IF(BBDD_fashion_boutique[[#This Row],[stock_quantity]]=0,"Agotado","Pocas Unidades"))</f>
        <v>Ok</v>
      </c>
      <c r="S1948" s="3">
        <f>IF(BBDD_fashion_boutique[[#This Row],[customer_rating]]="","No valorado",BBDD_fashion_boutique[[#This Row],[customer_rating]])</f>
        <v>1.2</v>
      </c>
      <c r="T1948" t="s">
        <v>24</v>
      </c>
      <c r="V1948">
        <f>IF(BBDD_fashion_boutique[[#This Row],[is_returned]]="False",0,1)</f>
        <v>0</v>
      </c>
      <c r="W1948">
        <f>IF(BBDD_fashion_boutique[[#This Row],[is_returned]]="True",0,BBDD_fashion_boutique[[#This Row],[current_price]])</f>
        <v>67.84</v>
      </c>
      <c r="X1948" t="str">
        <f>IF(BBDD_fashion_boutique[[#This Row],[return_reason]]="","No return",BBDD_fashion_boutique[[#This Row],[return_reason]])</f>
        <v>No return</v>
      </c>
      <c r="Y1948">
        <f>IF(IFERROR(VLOOKUP(BBDD_fashion_boutique[[#This Row],[product_id]],A1949:A4124,1,FALSE),0),1,0)</f>
        <v>0</v>
      </c>
    </row>
    <row r="1949" spans="1:25" x14ac:dyDescent="0.3">
      <c r="A1949" t="s">
        <v>2008</v>
      </c>
      <c r="B1949" t="s">
        <v>35</v>
      </c>
      <c r="C1949" t="s">
        <v>49</v>
      </c>
      <c r="D1949" t="s">
        <v>28</v>
      </c>
      <c r="E1949" t="s">
        <v>45</v>
      </c>
      <c r="F1949" t="str">
        <f>IF(BBDD_fashion_boutique[[#This Row],[category]]="Accessories","Accesorio",IF(BBDD_fashion_boutique[[#This Row],[size]]="","Desconocido",BBDD_fashion_boutique[[#This Row],[size]]))</f>
        <v>S</v>
      </c>
      <c r="G1949" t="s">
        <v>76</v>
      </c>
      <c r="H1949" s="2">
        <v>143.27000000000001</v>
      </c>
      <c r="I1949">
        <v>0</v>
      </c>
      <c r="J1949" s="5">
        <f>BBDD_fashion_boutique[[#This Row],[markdown_percentage]]/100</f>
        <v>0</v>
      </c>
      <c r="K1949" s="2">
        <v>143.27000000000001</v>
      </c>
      <c r="L1949" s="2">
        <f>BBDD_fashion_boutique[[#This Row],[original_price]]-BBDD_fashion_boutique[[#This Row],[current_price]]</f>
        <v>0</v>
      </c>
      <c r="M1949" s="1">
        <v>45875</v>
      </c>
      <c r="N1949" s="1" t="str">
        <f>PROPER(TEXT(BBDD_fashion_boutique[[#This Row],[purchase_date]],"dddd"))</f>
        <v>Miércoles</v>
      </c>
      <c r="O1949" s="1" t="str">
        <f>PROPER(TEXT(BBDD_fashion_boutique[[#This Row],[purchase_date]],"mmmm"))</f>
        <v>Agosto</v>
      </c>
      <c r="P1949" s="4">
        <v>0</v>
      </c>
      <c r="R1949" t="str">
        <f>IF(BBDD_fashion_boutique[[#This Row],[stock_quantity]]&gt;9,"Ok",IF(BBDD_fashion_boutique[[#This Row],[stock_quantity]]=0,"Agotado","Pocas Unidades"))</f>
        <v>Agotado</v>
      </c>
      <c r="S1949" s="3" t="str">
        <f>IF(BBDD_fashion_boutique[[#This Row],[customer_rating]]="","No valorado",BBDD_fashion_boutique[[#This Row],[customer_rating]])</f>
        <v>No valorado</v>
      </c>
      <c r="T1949" t="s">
        <v>24</v>
      </c>
      <c r="V1949">
        <f>IF(BBDD_fashion_boutique[[#This Row],[is_returned]]="False",0,1)</f>
        <v>0</v>
      </c>
      <c r="W1949">
        <f>IF(BBDD_fashion_boutique[[#This Row],[is_returned]]="True",0,BBDD_fashion_boutique[[#This Row],[current_price]])</f>
        <v>143.27000000000001</v>
      </c>
      <c r="X1949" t="str">
        <f>IF(BBDD_fashion_boutique[[#This Row],[return_reason]]="","No return",BBDD_fashion_boutique[[#This Row],[return_reason]])</f>
        <v>No return</v>
      </c>
      <c r="Y1949">
        <f>IF(IFERROR(VLOOKUP(BBDD_fashion_boutique[[#This Row],[product_id]],A1950:A4125,1,FALSE),0),1,0)</f>
        <v>0</v>
      </c>
    </row>
    <row r="1950" spans="1:25" x14ac:dyDescent="0.3">
      <c r="A1950" t="s">
        <v>2009</v>
      </c>
      <c r="B1950" t="s">
        <v>32</v>
      </c>
      <c r="C1950" t="s">
        <v>37</v>
      </c>
      <c r="D1950" t="s">
        <v>28</v>
      </c>
      <c r="F1950" t="str">
        <f>IF(BBDD_fashion_boutique[[#This Row],[category]]="Accessories","Accesorio",IF(BBDD_fashion_boutique[[#This Row],[size]]="","Desconocido",BBDD_fashion_boutique[[#This Row],[size]]))</f>
        <v>Accesorio</v>
      </c>
      <c r="G1950" t="s">
        <v>76</v>
      </c>
      <c r="H1950" s="2">
        <v>20.97</v>
      </c>
      <c r="I1950">
        <v>0</v>
      </c>
      <c r="J1950" s="5">
        <f>BBDD_fashion_boutique[[#This Row],[markdown_percentage]]/100</f>
        <v>0</v>
      </c>
      <c r="K1950" s="2">
        <v>20.97</v>
      </c>
      <c r="L1950" s="2">
        <f>BBDD_fashion_boutique[[#This Row],[original_price]]-BBDD_fashion_boutique[[#This Row],[current_price]]</f>
        <v>0</v>
      </c>
      <c r="M1950" s="1">
        <v>45875</v>
      </c>
      <c r="N1950" s="1" t="str">
        <f>PROPER(TEXT(BBDD_fashion_boutique[[#This Row],[purchase_date]],"dddd"))</f>
        <v>Miércoles</v>
      </c>
      <c r="O1950" s="1" t="str">
        <f>PROPER(TEXT(BBDD_fashion_boutique[[#This Row],[purchase_date]],"mmmm"))</f>
        <v>Agosto</v>
      </c>
      <c r="P1950" s="4">
        <v>44</v>
      </c>
      <c r="Q1950" s="2">
        <v>4.5999999999999996</v>
      </c>
      <c r="R1950" t="str">
        <f>IF(BBDD_fashion_boutique[[#This Row],[stock_quantity]]&gt;9,"Ok",IF(BBDD_fashion_boutique[[#This Row],[stock_quantity]]=0,"Agotado","Pocas Unidades"))</f>
        <v>Ok</v>
      </c>
      <c r="S1950" s="3">
        <f>IF(BBDD_fashion_boutique[[#This Row],[customer_rating]]="","No valorado",BBDD_fashion_boutique[[#This Row],[customer_rating]])</f>
        <v>4.5999999999999996</v>
      </c>
      <c r="T1950" t="s">
        <v>24</v>
      </c>
      <c r="V1950">
        <f>IF(BBDD_fashion_boutique[[#This Row],[is_returned]]="False",0,1)</f>
        <v>0</v>
      </c>
      <c r="W1950">
        <f>IF(BBDD_fashion_boutique[[#This Row],[is_returned]]="True",0,BBDD_fashion_boutique[[#This Row],[current_price]])</f>
        <v>20.97</v>
      </c>
      <c r="X1950" t="str">
        <f>IF(BBDD_fashion_boutique[[#This Row],[return_reason]]="","No return",BBDD_fashion_boutique[[#This Row],[return_reason]])</f>
        <v>No return</v>
      </c>
      <c r="Y1950">
        <f>IF(IFERROR(VLOOKUP(BBDD_fashion_boutique[[#This Row],[product_id]],A1951:A4126,1,FALSE),0),1,0)</f>
        <v>0</v>
      </c>
    </row>
    <row r="1951" spans="1:25" x14ac:dyDescent="0.3">
      <c r="A1951" t="s">
        <v>2010</v>
      </c>
      <c r="B1951" t="s">
        <v>48</v>
      </c>
      <c r="C1951" t="s">
        <v>20</v>
      </c>
      <c r="D1951" t="s">
        <v>68</v>
      </c>
      <c r="E1951" t="s">
        <v>22</v>
      </c>
      <c r="F1951" t="str">
        <f>IF(BBDD_fashion_boutique[[#This Row],[category]]="Accessories","Accesorio",IF(BBDD_fashion_boutique[[#This Row],[size]]="","Desconocido",BBDD_fashion_boutique[[#This Row],[size]]))</f>
        <v>XL</v>
      </c>
      <c r="G1951" t="s">
        <v>72</v>
      </c>
      <c r="H1951" s="2">
        <v>105.5</v>
      </c>
      <c r="I1951">
        <v>59.8</v>
      </c>
      <c r="J1951" s="5">
        <f>BBDD_fashion_boutique[[#This Row],[markdown_percentage]]/100</f>
        <v>0.59799999999999998</v>
      </c>
      <c r="K1951" s="2">
        <v>42.41</v>
      </c>
      <c r="L1951" s="2">
        <f>BBDD_fashion_boutique[[#This Row],[original_price]]-BBDD_fashion_boutique[[#This Row],[current_price]]</f>
        <v>63.09</v>
      </c>
      <c r="M1951" s="1">
        <v>45875</v>
      </c>
      <c r="N1951" s="1" t="str">
        <f>PROPER(TEXT(BBDD_fashion_boutique[[#This Row],[purchase_date]],"dddd"))</f>
        <v>Miércoles</v>
      </c>
      <c r="O1951" s="1" t="str">
        <f>PROPER(TEXT(BBDD_fashion_boutique[[#This Row],[purchase_date]],"mmmm"))</f>
        <v>Agosto</v>
      </c>
      <c r="P1951" s="4">
        <v>34</v>
      </c>
      <c r="R1951" t="str">
        <f>IF(BBDD_fashion_boutique[[#This Row],[stock_quantity]]&gt;9,"Ok",IF(BBDD_fashion_boutique[[#This Row],[stock_quantity]]=0,"Agotado","Pocas Unidades"))</f>
        <v>Ok</v>
      </c>
      <c r="S1951" s="3" t="str">
        <f>IF(BBDD_fashion_boutique[[#This Row],[customer_rating]]="","No valorado",BBDD_fashion_boutique[[#This Row],[customer_rating]])</f>
        <v>No valorado</v>
      </c>
      <c r="T1951" t="s">
        <v>24</v>
      </c>
      <c r="V1951">
        <f>IF(BBDD_fashion_boutique[[#This Row],[is_returned]]="False",0,1)</f>
        <v>0</v>
      </c>
      <c r="W1951">
        <f>IF(BBDD_fashion_boutique[[#This Row],[is_returned]]="True",0,BBDD_fashion_boutique[[#This Row],[current_price]])</f>
        <v>42.41</v>
      </c>
      <c r="X1951" t="str">
        <f>IF(BBDD_fashion_boutique[[#This Row],[return_reason]]="","No return",BBDD_fashion_boutique[[#This Row],[return_reason]])</f>
        <v>No return</v>
      </c>
      <c r="Y1951">
        <f>IF(IFERROR(VLOOKUP(BBDD_fashion_boutique[[#This Row],[product_id]],A1952:A4127,1,FALSE),0),1,0)</f>
        <v>0</v>
      </c>
    </row>
    <row r="1952" spans="1:25" x14ac:dyDescent="0.3">
      <c r="A1952" t="s">
        <v>2011</v>
      </c>
      <c r="B1952" t="s">
        <v>35</v>
      </c>
      <c r="C1952" t="s">
        <v>37</v>
      </c>
      <c r="D1952" t="s">
        <v>21</v>
      </c>
      <c r="E1952" t="s">
        <v>55</v>
      </c>
      <c r="F1952" t="str">
        <f>IF(BBDD_fashion_boutique[[#This Row],[category]]="Accessories","Accesorio",IF(BBDD_fashion_boutique[[#This Row],[size]]="","Desconocido",BBDD_fashion_boutique[[#This Row],[size]]))</f>
        <v>XXL</v>
      </c>
      <c r="G1952" t="s">
        <v>52</v>
      </c>
      <c r="H1952" s="2">
        <v>184.7</v>
      </c>
      <c r="I1952">
        <v>0</v>
      </c>
      <c r="J1952" s="5">
        <f>BBDD_fashion_boutique[[#This Row],[markdown_percentage]]/100</f>
        <v>0</v>
      </c>
      <c r="K1952" s="2">
        <v>184.7</v>
      </c>
      <c r="L1952" s="2">
        <f>BBDD_fashion_boutique[[#This Row],[original_price]]-BBDD_fashion_boutique[[#This Row],[current_price]]</f>
        <v>0</v>
      </c>
      <c r="M1952" s="1">
        <v>45554</v>
      </c>
      <c r="N1952" s="1" t="str">
        <f>PROPER(TEXT(BBDD_fashion_boutique[[#This Row],[purchase_date]],"dddd"))</f>
        <v>Jueves</v>
      </c>
      <c r="O1952" s="1" t="str">
        <f>PROPER(TEXT(BBDD_fashion_boutique[[#This Row],[purchase_date]],"mmmm"))</f>
        <v>Septiembre</v>
      </c>
      <c r="P1952" s="4">
        <v>39</v>
      </c>
      <c r="Q1952" s="2">
        <v>2.1</v>
      </c>
      <c r="R1952" t="str">
        <f>IF(BBDD_fashion_boutique[[#This Row],[stock_quantity]]&gt;9,"Ok",IF(BBDD_fashion_boutique[[#This Row],[stock_quantity]]=0,"Agotado","Pocas Unidades"))</f>
        <v>Ok</v>
      </c>
      <c r="S1952" s="3">
        <f>IF(BBDD_fashion_boutique[[#This Row],[customer_rating]]="","No valorado",BBDD_fashion_boutique[[#This Row],[customer_rating]])</f>
        <v>2.1</v>
      </c>
      <c r="T1952" t="s">
        <v>41</v>
      </c>
      <c r="U1952" t="s">
        <v>79</v>
      </c>
      <c r="V1952">
        <f>IF(BBDD_fashion_boutique[[#This Row],[is_returned]]="False",0,1)</f>
        <v>1</v>
      </c>
      <c r="W1952">
        <f>IF(BBDD_fashion_boutique[[#This Row],[is_returned]]="True",0,BBDD_fashion_boutique[[#This Row],[current_price]])</f>
        <v>0</v>
      </c>
      <c r="X1952" t="str">
        <f>IF(BBDD_fashion_boutique[[#This Row],[return_reason]]="","No return",BBDD_fashion_boutique[[#This Row],[return_reason]])</f>
        <v>Size Issue</v>
      </c>
      <c r="Y1952">
        <f>IF(IFERROR(VLOOKUP(BBDD_fashion_boutique[[#This Row],[product_id]],A1953:A4128,1,FALSE),0),1,0)</f>
        <v>0</v>
      </c>
    </row>
    <row r="1953" spans="1:25" x14ac:dyDescent="0.3">
      <c r="A1953" t="s">
        <v>2012</v>
      </c>
      <c r="B1953" t="s">
        <v>35</v>
      </c>
      <c r="C1953" t="s">
        <v>54</v>
      </c>
      <c r="D1953" t="s">
        <v>21</v>
      </c>
      <c r="E1953" t="s">
        <v>61</v>
      </c>
      <c r="F1953" t="str">
        <f>IF(BBDD_fashion_boutique[[#This Row],[category]]="Accessories","Accesorio",IF(BBDD_fashion_boutique[[#This Row],[size]]="","Desconocido",BBDD_fashion_boutique[[#This Row],[size]]))</f>
        <v>XS</v>
      </c>
      <c r="G1953" t="s">
        <v>50</v>
      </c>
      <c r="H1953" s="2">
        <v>81.47</v>
      </c>
      <c r="I1953">
        <v>32</v>
      </c>
      <c r="J1953" s="5">
        <f>BBDD_fashion_boutique[[#This Row],[markdown_percentage]]/100</f>
        <v>0.32</v>
      </c>
      <c r="K1953" s="2">
        <v>55.4</v>
      </c>
      <c r="L1953" s="2">
        <f>BBDD_fashion_boutique[[#This Row],[original_price]]-BBDD_fashion_boutique[[#This Row],[current_price]]</f>
        <v>26.07</v>
      </c>
      <c r="M1953" s="1">
        <v>45536</v>
      </c>
      <c r="N1953" s="1" t="str">
        <f>PROPER(TEXT(BBDD_fashion_boutique[[#This Row],[purchase_date]],"dddd"))</f>
        <v>Domingo</v>
      </c>
      <c r="O1953" s="1" t="str">
        <f>PROPER(TEXT(BBDD_fashion_boutique[[#This Row],[purchase_date]],"mmmm"))</f>
        <v>Septiembre</v>
      </c>
      <c r="P1953" s="4">
        <v>2</v>
      </c>
      <c r="Q1953" s="2">
        <v>1.1000000000000001</v>
      </c>
      <c r="R1953" t="str">
        <f>IF(BBDD_fashion_boutique[[#This Row],[stock_quantity]]&gt;9,"Ok",IF(BBDD_fashion_boutique[[#This Row],[stock_quantity]]=0,"Agotado","Pocas Unidades"))</f>
        <v>Pocas Unidades</v>
      </c>
      <c r="S1953" s="3">
        <f>IF(BBDD_fashion_boutique[[#This Row],[customer_rating]]="","No valorado",BBDD_fashion_boutique[[#This Row],[customer_rating]])</f>
        <v>1.1000000000000001</v>
      </c>
      <c r="T1953" t="s">
        <v>24</v>
      </c>
      <c r="V1953">
        <f>IF(BBDD_fashion_boutique[[#This Row],[is_returned]]="False",0,1)</f>
        <v>0</v>
      </c>
      <c r="W1953">
        <f>IF(BBDD_fashion_boutique[[#This Row],[is_returned]]="True",0,BBDD_fashion_boutique[[#This Row],[current_price]])</f>
        <v>55.4</v>
      </c>
      <c r="X1953" t="str">
        <f>IF(BBDD_fashion_boutique[[#This Row],[return_reason]]="","No return",BBDD_fashion_boutique[[#This Row],[return_reason]])</f>
        <v>No return</v>
      </c>
      <c r="Y1953">
        <f>IF(IFERROR(VLOOKUP(BBDD_fashion_boutique[[#This Row],[product_id]],A1954:A4129,1,FALSE),0),1,0)</f>
        <v>0</v>
      </c>
    </row>
    <row r="1954" spans="1:25" x14ac:dyDescent="0.3">
      <c r="A1954" t="s">
        <v>2013</v>
      </c>
      <c r="B1954" t="s">
        <v>19</v>
      </c>
      <c r="C1954" t="s">
        <v>37</v>
      </c>
      <c r="D1954" t="s">
        <v>28</v>
      </c>
      <c r="E1954" t="s">
        <v>29</v>
      </c>
      <c r="F1954" t="str">
        <f>IF(BBDD_fashion_boutique[[#This Row],[category]]="Accessories","Accesorio",IF(BBDD_fashion_boutique[[#This Row],[size]]="","Desconocido",BBDD_fashion_boutique[[#This Row],[size]]))</f>
        <v>L</v>
      </c>
      <c r="G1954" t="s">
        <v>50</v>
      </c>
      <c r="H1954" s="2">
        <v>107.67</v>
      </c>
      <c r="I1954">
        <v>20.3</v>
      </c>
      <c r="J1954" s="5">
        <f>BBDD_fashion_boutique[[#This Row],[markdown_percentage]]/100</f>
        <v>0.20300000000000001</v>
      </c>
      <c r="K1954" s="2">
        <v>85.81</v>
      </c>
      <c r="L1954" s="2">
        <f>BBDD_fashion_boutique[[#This Row],[original_price]]-BBDD_fashion_boutique[[#This Row],[current_price]]</f>
        <v>21.86</v>
      </c>
      <c r="M1954" s="1">
        <v>45875</v>
      </c>
      <c r="N1954" s="1" t="str">
        <f>PROPER(TEXT(BBDD_fashion_boutique[[#This Row],[purchase_date]],"dddd"))</f>
        <v>Miércoles</v>
      </c>
      <c r="O1954" s="1" t="str">
        <f>PROPER(TEXT(BBDD_fashion_boutique[[#This Row],[purchase_date]],"mmmm"))</f>
        <v>Agosto</v>
      </c>
      <c r="P1954" s="4">
        <v>16</v>
      </c>
      <c r="Q1954" s="2">
        <v>4.3</v>
      </c>
      <c r="R1954" t="str">
        <f>IF(BBDD_fashion_boutique[[#This Row],[stock_quantity]]&gt;9,"Ok",IF(BBDD_fashion_boutique[[#This Row],[stock_quantity]]=0,"Agotado","Pocas Unidades"))</f>
        <v>Ok</v>
      </c>
      <c r="S1954" s="3">
        <f>IF(BBDD_fashion_boutique[[#This Row],[customer_rating]]="","No valorado",BBDD_fashion_boutique[[#This Row],[customer_rating]])</f>
        <v>4.3</v>
      </c>
      <c r="T1954" t="s">
        <v>24</v>
      </c>
      <c r="V1954">
        <f>IF(BBDD_fashion_boutique[[#This Row],[is_returned]]="False",0,1)</f>
        <v>0</v>
      </c>
      <c r="W1954">
        <f>IF(BBDD_fashion_boutique[[#This Row],[is_returned]]="True",0,BBDD_fashion_boutique[[#This Row],[current_price]])</f>
        <v>85.81</v>
      </c>
      <c r="X1954" t="str">
        <f>IF(BBDD_fashion_boutique[[#This Row],[return_reason]]="","No return",BBDD_fashion_boutique[[#This Row],[return_reason]])</f>
        <v>No return</v>
      </c>
      <c r="Y1954">
        <f>IF(IFERROR(VLOOKUP(BBDD_fashion_boutique[[#This Row],[product_id]],A1955:A4130,1,FALSE),0),1,0)</f>
        <v>0</v>
      </c>
    </row>
    <row r="1955" spans="1:25" x14ac:dyDescent="0.3">
      <c r="A1955" t="s">
        <v>2014</v>
      </c>
      <c r="B1955" t="s">
        <v>26</v>
      </c>
      <c r="C1955" t="s">
        <v>37</v>
      </c>
      <c r="D1955" t="s">
        <v>68</v>
      </c>
      <c r="E1955" t="s">
        <v>22</v>
      </c>
      <c r="F1955" t="str">
        <f>IF(BBDD_fashion_boutique[[#This Row],[category]]="Accessories","Accesorio",IF(BBDD_fashion_boutique[[#This Row],[size]]="","Desconocido",BBDD_fashion_boutique[[#This Row],[size]]))</f>
        <v>XL</v>
      </c>
      <c r="G1955" t="s">
        <v>72</v>
      </c>
      <c r="H1955" s="2">
        <v>88.64</v>
      </c>
      <c r="I1955">
        <v>0</v>
      </c>
      <c r="J1955" s="5">
        <f>BBDD_fashion_boutique[[#This Row],[markdown_percentage]]/100</f>
        <v>0</v>
      </c>
      <c r="K1955" s="2">
        <v>88.64</v>
      </c>
      <c r="L1955" s="2">
        <f>BBDD_fashion_boutique[[#This Row],[original_price]]-BBDD_fashion_boutique[[#This Row],[current_price]]</f>
        <v>0</v>
      </c>
      <c r="M1955" s="1">
        <v>45875</v>
      </c>
      <c r="N1955" s="1" t="str">
        <f>PROPER(TEXT(BBDD_fashion_boutique[[#This Row],[purchase_date]],"dddd"))</f>
        <v>Miércoles</v>
      </c>
      <c r="O1955" s="1" t="str">
        <f>PROPER(TEXT(BBDD_fashion_boutique[[#This Row],[purchase_date]],"mmmm"))</f>
        <v>Agosto</v>
      </c>
      <c r="P1955" s="4">
        <v>33</v>
      </c>
      <c r="R1955" t="str">
        <f>IF(BBDD_fashion_boutique[[#This Row],[stock_quantity]]&gt;9,"Ok",IF(BBDD_fashion_boutique[[#This Row],[stock_quantity]]=0,"Agotado","Pocas Unidades"))</f>
        <v>Ok</v>
      </c>
      <c r="S1955" s="3" t="str">
        <f>IF(BBDD_fashion_boutique[[#This Row],[customer_rating]]="","No valorado",BBDD_fashion_boutique[[#This Row],[customer_rating]])</f>
        <v>No valorado</v>
      </c>
      <c r="T1955" t="s">
        <v>24</v>
      </c>
      <c r="V1955">
        <f>IF(BBDD_fashion_boutique[[#This Row],[is_returned]]="False",0,1)</f>
        <v>0</v>
      </c>
      <c r="W1955">
        <f>IF(BBDD_fashion_boutique[[#This Row],[is_returned]]="True",0,BBDD_fashion_boutique[[#This Row],[current_price]])</f>
        <v>88.64</v>
      </c>
      <c r="X1955" t="str">
        <f>IF(BBDD_fashion_boutique[[#This Row],[return_reason]]="","No return",BBDD_fashion_boutique[[#This Row],[return_reason]])</f>
        <v>No return</v>
      </c>
      <c r="Y1955">
        <f>IF(IFERROR(VLOOKUP(BBDD_fashion_boutique[[#This Row],[product_id]],A1956:A4131,1,FALSE),0),1,0)</f>
        <v>0</v>
      </c>
    </row>
    <row r="1956" spans="1:25" x14ac:dyDescent="0.3">
      <c r="A1956" t="s">
        <v>2015</v>
      </c>
      <c r="B1956" t="s">
        <v>32</v>
      </c>
      <c r="C1956" t="s">
        <v>20</v>
      </c>
      <c r="D1956" t="s">
        <v>28</v>
      </c>
      <c r="F1956" t="str">
        <f>IF(BBDD_fashion_boutique[[#This Row],[category]]="Accessories","Accesorio",IF(BBDD_fashion_boutique[[#This Row],[size]]="","Desconocido",BBDD_fashion_boutique[[#This Row],[size]]))</f>
        <v>Accesorio</v>
      </c>
      <c r="G1956" t="s">
        <v>23</v>
      </c>
      <c r="H1956" s="2">
        <v>17.5</v>
      </c>
      <c r="I1956">
        <v>14.4</v>
      </c>
      <c r="J1956" s="5">
        <f>BBDD_fashion_boutique[[#This Row],[markdown_percentage]]/100</f>
        <v>0.14400000000000002</v>
      </c>
      <c r="K1956" s="2">
        <v>14.98</v>
      </c>
      <c r="L1956" s="2">
        <f>BBDD_fashion_boutique[[#This Row],[original_price]]-BBDD_fashion_boutique[[#This Row],[current_price]]</f>
        <v>2.5199999999999996</v>
      </c>
      <c r="M1956" s="1">
        <v>45875</v>
      </c>
      <c r="N1956" s="1" t="str">
        <f>PROPER(TEXT(BBDD_fashion_boutique[[#This Row],[purchase_date]],"dddd"))</f>
        <v>Miércoles</v>
      </c>
      <c r="O1956" s="1" t="str">
        <f>PROPER(TEXT(BBDD_fashion_boutique[[#This Row],[purchase_date]],"mmmm"))</f>
        <v>Agosto</v>
      </c>
      <c r="P1956" s="4">
        <v>16</v>
      </c>
      <c r="Q1956" s="2">
        <v>3.1</v>
      </c>
      <c r="R1956" t="str">
        <f>IF(BBDD_fashion_boutique[[#This Row],[stock_quantity]]&gt;9,"Ok",IF(BBDD_fashion_boutique[[#This Row],[stock_quantity]]=0,"Agotado","Pocas Unidades"))</f>
        <v>Ok</v>
      </c>
      <c r="S1956" s="3">
        <f>IF(BBDD_fashion_boutique[[#This Row],[customer_rating]]="","No valorado",BBDD_fashion_boutique[[#This Row],[customer_rating]])</f>
        <v>3.1</v>
      </c>
      <c r="T1956" t="s">
        <v>24</v>
      </c>
      <c r="V1956">
        <f>IF(BBDD_fashion_boutique[[#This Row],[is_returned]]="False",0,1)</f>
        <v>0</v>
      </c>
      <c r="W1956">
        <f>IF(BBDD_fashion_boutique[[#This Row],[is_returned]]="True",0,BBDD_fashion_boutique[[#This Row],[current_price]])</f>
        <v>14.98</v>
      </c>
      <c r="X1956" t="str">
        <f>IF(BBDD_fashion_boutique[[#This Row],[return_reason]]="","No return",BBDD_fashion_boutique[[#This Row],[return_reason]])</f>
        <v>No return</v>
      </c>
      <c r="Y1956">
        <f>IF(IFERROR(VLOOKUP(BBDD_fashion_boutique[[#This Row],[product_id]],A1957:A4132,1,FALSE),0),1,0)</f>
        <v>0</v>
      </c>
    </row>
    <row r="1957" spans="1:25" x14ac:dyDescent="0.3">
      <c r="A1957" t="s">
        <v>2016</v>
      </c>
      <c r="B1957" t="s">
        <v>19</v>
      </c>
      <c r="C1957" t="s">
        <v>54</v>
      </c>
      <c r="D1957" t="s">
        <v>28</v>
      </c>
      <c r="E1957" t="s">
        <v>22</v>
      </c>
      <c r="F1957" t="str">
        <f>IF(BBDD_fashion_boutique[[#This Row],[category]]="Accessories","Accesorio",IF(BBDD_fashion_boutique[[#This Row],[size]]="","Desconocido",BBDD_fashion_boutique[[#This Row],[size]]))</f>
        <v>XL</v>
      </c>
      <c r="G1957" t="s">
        <v>46</v>
      </c>
      <c r="H1957" s="2">
        <v>205.37</v>
      </c>
      <c r="I1957">
        <v>0</v>
      </c>
      <c r="J1957" s="5">
        <f>BBDD_fashion_boutique[[#This Row],[markdown_percentage]]/100</f>
        <v>0</v>
      </c>
      <c r="K1957" s="2">
        <v>205.37</v>
      </c>
      <c r="L1957" s="2">
        <f>BBDD_fashion_boutique[[#This Row],[original_price]]-BBDD_fashion_boutique[[#This Row],[current_price]]</f>
        <v>0</v>
      </c>
      <c r="M1957" s="1">
        <v>45875</v>
      </c>
      <c r="N1957" s="1" t="str">
        <f>PROPER(TEXT(BBDD_fashion_boutique[[#This Row],[purchase_date]],"dddd"))</f>
        <v>Miércoles</v>
      </c>
      <c r="O1957" s="1" t="str">
        <f>PROPER(TEXT(BBDD_fashion_boutique[[#This Row],[purchase_date]],"mmmm"))</f>
        <v>Agosto</v>
      </c>
      <c r="P1957" s="4">
        <v>25</v>
      </c>
      <c r="Q1957" s="2">
        <v>2</v>
      </c>
      <c r="R1957" t="str">
        <f>IF(BBDD_fashion_boutique[[#This Row],[stock_quantity]]&gt;9,"Ok",IF(BBDD_fashion_boutique[[#This Row],[stock_quantity]]=0,"Agotado","Pocas Unidades"))</f>
        <v>Ok</v>
      </c>
      <c r="S1957" s="3">
        <f>IF(BBDD_fashion_boutique[[#This Row],[customer_rating]]="","No valorado",BBDD_fashion_boutique[[#This Row],[customer_rating]])</f>
        <v>2</v>
      </c>
      <c r="T1957" t="s">
        <v>41</v>
      </c>
      <c r="U1957" t="s">
        <v>84</v>
      </c>
      <c r="V1957">
        <f>IF(BBDD_fashion_boutique[[#This Row],[is_returned]]="False",0,1)</f>
        <v>1</v>
      </c>
      <c r="W1957">
        <f>IF(BBDD_fashion_boutique[[#This Row],[is_returned]]="True",0,BBDD_fashion_boutique[[#This Row],[current_price]])</f>
        <v>0</v>
      </c>
      <c r="X1957" t="str">
        <f>IF(BBDD_fashion_boutique[[#This Row],[return_reason]]="","No return",BBDD_fashion_boutique[[#This Row],[return_reason]])</f>
        <v>Damaged</v>
      </c>
      <c r="Y1957">
        <f>IF(IFERROR(VLOOKUP(BBDD_fashion_boutique[[#This Row],[product_id]],A1958:A4133,1,FALSE),0),1,0)</f>
        <v>0</v>
      </c>
    </row>
    <row r="1958" spans="1:25" x14ac:dyDescent="0.3">
      <c r="A1958" t="s">
        <v>2017</v>
      </c>
      <c r="B1958" t="s">
        <v>48</v>
      </c>
      <c r="C1958" t="s">
        <v>49</v>
      </c>
      <c r="D1958" t="s">
        <v>28</v>
      </c>
      <c r="E1958" t="s">
        <v>61</v>
      </c>
      <c r="F1958" t="str">
        <f>IF(BBDD_fashion_boutique[[#This Row],[category]]="Accessories","Accesorio",IF(BBDD_fashion_boutique[[#This Row],[size]]="","Desconocido",BBDD_fashion_boutique[[#This Row],[size]]))</f>
        <v>XS</v>
      </c>
      <c r="G1958" t="s">
        <v>62</v>
      </c>
      <c r="H1958" s="2">
        <v>111.66</v>
      </c>
      <c r="I1958">
        <v>0</v>
      </c>
      <c r="J1958" s="5">
        <f>BBDD_fashion_boutique[[#This Row],[markdown_percentage]]/100</f>
        <v>0</v>
      </c>
      <c r="K1958" s="2">
        <v>111.66</v>
      </c>
      <c r="L1958" s="2">
        <f>BBDD_fashion_boutique[[#This Row],[original_price]]-BBDD_fashion_boutique[[#This Row],[current_price]]</f>
        <v>0</v>
      </c>
      <c r="M1958" s="1">
        <v>45875</v>
      </c>
      <c r="N1958" s="1" t="str">
        <f>PROPER(TEXT(BBDD_fashion_boutique[[#This Row],[purchase_date]],"dddd"))</f>
        <v>Miércoles</v>
      </c>
      <c r="O1958" s="1" t="str">
        <f>PROPER(TEXT(BBDD_fashion_boutique[[#This Row],[purchase_date]],"mmmm"))</f>
        <v>Agosto</v>
      </c>
      <c r="P1958" s="4">
        <v>26</v>
      </c>
      <c r="Q1958" s="2">
        <v>1.4</v>
      </c>
      <c r="R1958" t="str">
        <f>IF(BBDD_fashion_boutique[[#This Row],[stock_quantity]]&gt;9,"Ok",IF(BBDD_fashion_boutique[[#This Row],[stock_quantity]]=0,"Agotado","Pocas Unidades"))</f>
        <v>Ok</v>
      </c>
      <c r="S1958" s="3">
        <f>IF(BBDD_fashion_boutique[[#This Row],[customer_rating]]="","No valorado",BBDD_fashion_boutique[[#This Row],[customer_rating]])</f>
        <v>1.4</v>
      </c>
      <c r="T1958" t="s">
        <v>24</v>
      </c>
      <c r="V1958">
        <f>IF(BBDD_fashion_boutique[[#This Row],[is_returned]]="False",0,1)</f>
        <v>0</v>
      </c>
      <c r="W1958">
        <f>IF(BBDD_fashion_boutique[[#This Row],[is_returned]]="True",0,BBDD_fashion_boutique[[#This Row],[current_price]])</f>
        <v>111.66</v>
      </c>
      <c r="X1958" t="str">
        <f>IF(BBDD_fashion_boutique[[#This Row],[return_reason]]="","No return",BBDD_fashion_boutique[[#This Row],[return_reason]])</f>
        <v>No return</v>
      </c>
      <c r="Y1958">
        <f>IF(IFERROR(VLOOKUP(BBDD_fashion_boutique[[#This Row],[product_id]],A1959:A4134,1,FALSE),0),1,0)</f>
        <v>0</v>
      </c>
    </row>
    <row r="1959" spans="1:25" x14ac:dyDescent="0.3">
      <c r="A1959" t="s">
        <v>2018</v>
      </c>
      <c r="B1959" t="s">
        <v>35</v>
      </c>
      <c r="C1959" t="s">
        <v>49</v>
      </c>
      <c r="D1959" t="s">
        <v>68</v>
      </c>
      <c r="E1959" t="s">
        <v>45</v>
      </c>
      <c r="F1959" t="str">
        <f>IF(BBDD_fashion_boutique[[#This Row],[category]]="Accessories","Accesorio",IF(BBDD_fashion_boutique[[#This Row],[size]]="","Desconocido",BBDD_fashion_boutique[[#This Row],[size]]))</f>
        <v>S</v>
      </c>
      <c r="G1959" t="s">
        <v>30</v>
      </c>
      <c r="H1959" s="2">
        <v>184.87</v>
      </c>
      <c r="I1959">
        <v>56.4</v>
      </c>
      <c r="J1959" s="5">
        <f>BBDD_fashion_boutique[[#This Row],[markdown_percentage]]/100</f>
        <v>0.56399999999999995</v>
      </c>
      <c r="K1959" s="2">
        <v>80.599999999999994</v>
      </c>
      <c r="L1959" s="2">
        <f>BBDD_fashion_boutique[[#This Row],[original_price]]-BBDD_fashion_boutique[[#This Row],[current_price]]</f>
        <v>104.27000000000001</v>
      </c>
      <c r="M1959" s="1">
        <v>45875</v>
      </c>
      <c r="N1959" s="1" t="str">
        <f>PROPER(TEXT(BBDD_fashion_boutique[[#This Row],[purchase_date]],"dddd"))</f>
        <v>Miércoles</v>
      </c>
      <c r="O1959" s="1" t="str">
        <f>PROPER(TEXT(BBDD_fashion_boutique[[#This Row],[purchase_date]],"mmmm"))</f>
        <v>Agosto</v>
      </c>
      <c r="P1959" s="4">
        <v>10</v>
      </c>
      <c r="Q1959" s="2">
        <v>3.7</v>
      </c>
      <c r="R1959" t="str">
        <f>IF(BBDD_fashion_boutique[[#This Row],[stock_quantity]]&gt;9,"Ok",IF(BBDD_fashion_boutique[[#This Row],[stock_quantity]]=0,"Agotado","Pocas Unidades"))</f>
        <v>Ok</v>
      </c>
      <c r="S1959" s="3">
        <f>IF(BBDD_fashion_boutique[[#This Row],[customer_rating]]="","No valorado",BBDD_fashion_boutique[[#This Row],[customer_rating]])</f>
        <v>3.7</v>
      </c>
      <c r="T1959" t="s">
        <v>24</v>
      </c>
      <c r="V1959">
        <f>IF(BBDD_fashion_boutique[[#This Row],[is_returned]]="False",0,1)</f>
        <v>0</v>
      </c>
      <c r="W1959">
        <f>IF(BBDD_fashion_boutique[[#This Row],[is_returned]]="True",0,BBDD_fashion_boutique[[#This Row],[current_price]])</f>
        <v>80.599999999999994</v>
      </c>
      <c r="X1959" t="str">
        <f>IF(BBDD_fashion_boutique[[#This Row],[return_reason]]="","No return",BBDD_fashion_boutique[[#This Row],[return_reason]])</f>
        <v>No return</v>
      </c>
      <c r="Y1959">
        <f>IF(IFERROR(VLOOKUP(BBDD_fashion_boutique[[#This Row],[product_id]],A1960:A4135,1,FALSE),0),1,0)</f>
        <v>0</v>
      </c>
    </row>
    <row r="1960" spans="1:25" x14ac:dyDescent="0.3">
      <c r="A1960" t="s">
        <v>2019</v>
      </c>
      <c r="B1960" t="s">
        <v>44</v>
      </c>
      <c r="C1960" t="s">
        <v>20</v>
      </c>
      <c r="D1960" t="s">
        <v>21</v>
      </c>
      <c r="E1960" t="s">
        <v>29</v>
      </c>
      <c r="F1960" t="str">
        <f>IF(BBDD_fashion_boutique[[#This Row],[category]]="Accessories","Accesorio",IF(BBDD_fashion_boutique[[#This Row],[size]]="","Desconocido",BBDD_fashion_boutique[[#This Row],[size]]))</f>
        <v>L</v>
      </c>
      <c r="G1960" t="s">
        <v>52</v>
      </c>
      <c r="H1960" s="2">
        <v>84.58</v>
      </c>
      <c r="I1960">
        <v>0</v>
      </c>
      <c r="J1960" s="5">
        <f>BBDD_fashion_boutique[[#This Row],[markdown_percentage]]/100</f>
        <v>0</v>
      </c>
      <c r="K1960" s="2">
        <v>84.58</v>
      </c>
      <c r="L1960" s="2">
        <f>BBDD_fashion_boutique[[#This Row],[original_price]]-BBDD_fashion_boutique[[#This Row],[current_price]]</f>
        <v>0</v>
      </c>
      <c r="M1960" s="1">
        <v>45674</v>
      </c>
      <c r="N1960" s="1" t="str">
        <f>PROPER(TEXT(BBDD_fashion_boutique[[#This Row],[purchase_date]],"dddd"))</f>
        <v>Viernes</v>
      </c>
      <c r="O1960" s="1" t="str">
        <f>PROPER(TEXT(BBDD_fashion_boutique[[#This Row],[purchase_date]],"mmmm"))</f>
        <v>Enero</v>
      </c>
      <c r="P1960" s="4">
        <v>33</v>
      </c>
      <c r="Q1960" s="2">
        <v>4.5</v>
      </c>
      <c r="R1960" t="str">
        <f>IF(BBDD_fashion_boutique[[#This Row],[stock_quantity]]&gt;9,"Ok",IF(BBDD_fashion_boutique[[#This Row],[stock_quantity]]=0,"Agotado","Pocas Unidades"))</f>
        <v>Ok</v>
      </c>
      <c r="S1960" s="3">
        <f>IF(BBDD_fashion_boutique[[#This Row],[customer_rating]]="","No valorado",BBDD_fashion_boutique[[#This Row],[customer_rating]])</f>
        <v>4.5</v>
      </c>
      <c r="T1960" t="s">
        <v>24</v>
      </c>
      <c r="V1960">
        <f>IF(BBDD_fashion_boutique[[#This Row],[is_returned]]="False",0,1)</f>
        <v>0</v>
      </c>
      <c r="W1960">
        <f>IF(BBDD_fashion_boutique[[#This Row],[is_returned]]="True",0,BBDD_fashion_boutique[[#This Row],[current_price]])</f>
        <v>84.58</v>
      </c>
      <c r="X1960" t="str">
        <f>IF(BBDD_fashion_boutique[[#This Row],[return_reason]]="","No return",BBDD_fashion_boutique[[#This Row],[return_reason]])</f>
        <v>No return</v>
      </c>
      <c r="Y1960">
        <f>IF(IFERROR(VLOOKUP(BBDD_fashion_boutique[[#This Row],[product_id]],A1961:A4136,1,FALSE),0),1,0)</f>
        <v>0</v>
      </c>
    </row>
    <row r="1961" spans="1:25" x14ac:dyDescent="0.3">
      <c r="A1961" t="s">
        <v>2020</v>
      </c>
      <c r="B1961" t="s">
        <v>44</v>
      </c>
      <c r="C1961" t="s">
        <v>81</v>
      </c>
      <c r="D1961" t="s">
        <v>68</v>
      </c>
      <c r="E1961" t="s">
        <v>55</v>
      </c>
      <c r="F1961" t="str">
        <f>IF(BBDD_fashion_boutique[[#This Row],[category]]="Accessories","Accesorio",IF(BBDD_fashion_boutique[[#This Row],[size]]="","Desconocido",BBDD_fashion_boutique[[#This Row],[size]]))</f>
        <v>XXL</v>
      </c>
      <c r="G1961" t="s">
        <v>40</v>
      </c>
      <c r="H1961" s="2">
        <v>66.739999999999995</v>
      </c>
      <c r="I1961">
        <v>0</v>
      </c>
      <c r="J1961" s="5">
        <f>BBDD_fashion_boutique[[#This Row],[markdown_percentage]]/100</f>
        <v>0</v>
      </c>
      <c r="K1961" s="2">
        <v>66.739999999999995</v>
      </c>
      <c r="L1961" s="2">
        <f>BBDD_fashion_boutique[[#This Row],[original_price]]-BBDD_fashion_boutique[[#This Row],[current_price]]</f>
        <v>0</v>
      </c>
      <c r="M1961" s="1">
        <v>45875</v>
      </c>
      <c r="N1961" s="1" t="str">
        <f>PROPER(TEXT(BBDD_fashion_boutique[[#This Row],[purchase_date]],"dddd"))</f>
        <v>Miércoles</v>
      </c>
      <c r="O1961" s="1" t="str">
        <f>PROPER(TEXT(BBDD_fashion_boutique[[#This Row],[purchase_date]],"mmmm"))</f>
        <v>Agosto</v>
      </c>
      <c r="P1961" s="4">
        <v>26</v>
      </c>
      <c r="Q1961" s="2">
        <v>4.5999999999999996</v>
      </c>
      <c r="R1961" t="str">
        <f>IF(BBDD_fashion_boutique[[#This Row],[stock_quantity]]&gt;9,"Ok",IF(BBDD_fashion_boutique[[#This Row],[stock_quantity]]=0,"Agotado","Pocas Unidades"))</f>
        <v>Ok</v>
      </c>
      <c r="S1961" s="3">
        <f>IF(BBDD_fashion_boutique[[#This Row],[customer_rating]]="","No valorado",BBDD_fashion_boutique[[#This Row],[customer_rating]])</f>
        <v>4.5999999999999996</v>
      </c>
      <c r="T1961" t="s">
        <v>24</v>
      </c>
      <c r="V1961">
        <f>IF(BBDD_fashion_boutique[[#This Row],[is_returned]]="False",0,1)</f>
        <v>0</v>
      </c>
      <c r="W1961">
        <f>IF(BBDD_fashion_boutique[[#This Row],[is_returned]]="True",0,BBDD_fashion_boutique[[#This Row],[current_price]])</f>
        <v>66.739999999999995</v>
      </c>
      <c r="X1961" t="str">
        <f>IF(BBDD_fashion_boutique[[#This Row],[return_reason]]="","No return",BBDD_fashion_boutique[[#This Row],[return_reason]])</f>
        <v>No return</v>
      </c>
      <c r="Y1961">
        <f>IF(IFERROR(VLOOKUP(BBDD_fashion_boutique[[#This Row],[product_id]],A1962:A4137,1,FALSE),0),1,0)</f>
        <v>0</v>
      </c>
    </row>
    <row r="1962" spans="1:25" x14ac:dyDescent="0.3">
      <c r="A1962" t="s">
        <v>2021</v>
      </c>
      <c r="B1962" t="s">
        <v>35</v>
      </c>
      <c r="C1962" t="s">
        <v>54</v>
      </c>
      <c r="D1962" t="s">
        <v>68</v>
      </c>
      <c r="E1962" t="s">
        <v>64</v>
      </c>
      <c r="F1962" t="str">
        <f>IF(BBDD_fashion_boutique[[#This Row],[category]]="Accessories","Accesorio",IF(BBDD_fashion_boutique[[#This Row],[size]]="","Desconocido",BBDD_fashion_boutique[[#This Row],[size]]))</f>
        <v>M</v>
      </c>
      <c r="G1962" t="s">
        <v>52</v>
      </c>
      <c r="H1962" s="2">
        <v>104.19</v>
      </c>
      <c r="I1962">
        <v>0</v>
      </c>
      <c r="J1962" s="5">
        <f>BBDD_fashion_boutique[[#This Row],[markdown_percentage]]/100</f>
        <v>0</v>
      </c>
      <c r="K1962" s="2">
        <v>104.19</v>
      </c>
      <c r="L1962" s="2">
        <f>BBDD_fashion_boutique[[#This Row],[original_price]]-BBDD_fashion_boutique[[#This Row],[current_price]]</f>
        <v>0</v>
      </c>
      <c r="M1962" s="1">
        <v>45875</v>
      </c>
      <c r="N1962" s="1" t="str">
        <f>PROPER(TEXT(BBDD_fashion_boutique[[#This Row],[purchase_date]],"dddd"))</f>
        <v>Miércoles</v>
      </c>
      <c r="O1962" s="1" t="str">
        <f>PROPER(TEXT(BBDD_fashion_boutique[[#This Row],[purchase_date]],"mmmm"))</f>
        <v>Agosto</v>
      </c>
      <c r="P1962" s="4">
        <v>4</v>
      </c>
      <c r="Q1962" s="2">
        <v>4.7</v>
      </c>
      <c r="R1962" t="str">
        <f>IF(BBDD_fashion_boutique[[#This Row],[stock_quantity]]&gt;9,"Ok",IF(BBDD_fashion_boutique[[#This Row],[stock_quantity]]=0,"Agotado","Pocas Unidades"))</f>
        <v>Pocas Unidades</v>
      </c>
      <c r="S1962" s="3">
        <f>IF(BBDD_fashion_boutique[[#This Row],[customer_rating]]="","No valorado",BBDD_fashion_boutique[[#This Row],[customer_rating]])</f>
        <v>4.7</v>
      </c>
      <c r="T1962" t="s">
        <v>24</v>
      </c>
      <c r="V1962">
        <f>IF(BBDD_fashion_boutique[[#This Row],[is_returned]]="False",0,1)</f>
        <v>0</v>
      </c>
      <c r="W1962">
        <f>IF(BBDD_fashion_boutique[[#This Row],[is_returned]]="True",0,BBDD_fashion_boutique[[#This Row],[current_price]])</f>
        <v>104.19</v>
      </c>
      <c r="X1962" t="str">
        <f>IF(BBDD_fashion_boutique[[#This Row],[return_reason]]="","No return",BBDD_fashion_boutique[[#This Row],[return_reason]])</f>
        <v>No return</v>
      </c>
      <c r="Y1962">
        <f>IF(IFERROR(VLOOKUP(BBDD_fashion_boutique[[#This Row],[product_id]],A1963:A4138,1,FALSE),0),1,0)</f>
        <v>0</v>
      </c>
    </row>
    <row r="1963" spans="1:25" x14ac:dyDescent="0.3">
      <c r="A1963" t="s">
        <v>2022</v>
      </c>
      <c r="B1963" t="s">
        <v>19</v>
      </c>
      <c r="C1963" t="s">
        <v>27</v>
      </c>
      <c r="D1963" t="s">
        <v>68</v>
      </c>
      <c r="E1963" t="s">
        <v>64</v>
      </c>
      <c r="F1963" t="str">
        <f>IF(BBDD_fashion_boutique[[#This Row],[category]]="Accessories","Accesorio",IF(BBDD_fashion_boutique[[#This Row],[size]]="","Desconocido",BBDD_fashion_boutique[[#This Row],[size]]))</f>
        <v>M</v>
      </c>
      <c r="G1963" t="s">
        <v>52</v>
      </c>
      <c r="H1963" s="2">
        <v>216.73</v>
      </c>
      <c r="I1963">
        <v>0</v>
      </c>
      <c r="J1963" s="5">
        <f>BBDD_fashion_boutique[[#This Row],[markdown_percentage]]/100</f>
        <v>0</v>
      </c>
      <c r="K1963" s="2">
        <v>216.73</v>
      </c>
      <c r="L1963" s="2">
        <f>BBDD_fashion_boutique[[#This Row],[original_price]]-BBDD_fashion_boutique[[#This Row],[current_price]]</f>
        <v>0</v>
      </c>
      <c r="M1963" s="1">
        <v>45875</v>
      </c>
      <c r="N1963" s="1" t="str">
        <f>PROPER(TEXT(BBDD_fashion_boutique[[#This Row],[purchase_date]],"dddd"))</f>
        <v>Miércoles</v>
      </c>
      <c r="O1963" s="1" t="str">
        <f>PROPER(TEXT(BBDD_fashion_boutique[[#This Row],[purchase_date]],"mmmm"))</f>
        <v>Agosto</v>
      </c>
      <c r="P1963" s="4">
        <v>5</v>
      </c>
      <c r="Q1963" s="2">
        <v>2.7</v>
      </c>
      <c r="R1963" t="str">
        <f>IF(BBDD_fashion_boutique[[#This Row],[stock_quantity]]&gt;9,"Ok",IF(BBDD_fashion_boutique[[#This Row],[stock_quantity]]=0,"Agotado","Pocas Unidades"))</f>
        <v>Pocas Unidades</v>
      </c>
      <c r="S1963" s="3">
        <f>IF(BBDD_fashion_boutique[[#This Row],[customer_rating]]="","No valorado",BBDD_fashion_boutique[[#This Row],[customer_rating]])</f>
        <v>2.7</v>
      </c>
      <c r="T1963" t="s">
        <v>41</v>
      </c>
      <c r="U1963" t="s">
        <v>131</v>
      </c>
      <c r="V1963">
        <f>IF(BBDD_fashion_boutique[[#This Row],[is_returned]]="False",0,1)</f>
        <v>1</v>
      </c>
      <c r="W1963">
        <f>IF(BBDD_fashion_boutique[[#This Row],[is_returned]]="True",0,BBDD_fashion_boutique[[#This Row],[current_price]])</f>
        <v>0</v>
      </c>
      <c r="X1963" t="str">
        <f>IF(BBDD_fashion_boutique[[#This Row],[return_reason]]="","No return",BBDD_fashion_boutique[[#This Row],[return_reason]])</f>
        <v>Wrong Item</v>
      </c>
      <c r="Y1963">
        <f>IF(IFERROR(VLOOKUP(BBDD_fashion_boutique[[#This Row],[product_id]],A1964:A4139,1,FALSE),0),1,0)</f>
        <v>0</v>
      </c>
    </row>
    <row r="1964" spans="1:25" x14ac:dyDescent="0.3">
      <c r="A1964" t="s">
        <v>2023</v>
      </c>
      <c r="B1964" t="s">
        <v>48</v>
      </c>
      <c r="C1964" t="s">
        <v>49</v>
      </c>
      <c r="D1964" t="s">
        <v>68</v>
      </c>
      <c r="E1964" t="s">
        <v>55</v>
      </c>
      <c r="F1964" t="str">
        <f>IF(BBDD_fashion_boutique[[#This Row],[category]]="Accessories","Accesorio",IF(BBDD_fashion_boutique[[#This Row],[size]]="","Desconocido",BBDD_fashion_boutique[[#This Row],[size]]))</f>
        <v>XXL</v>
      </c>
      <c r="G1964" t="s">
        <v>62</v>
      </c>
      <c r="H1964" s="2">
        <v>87.82</v>
      </c>
      <c r="I1964">
        <v>0</v>
      </c>
      <c r="J1964" s="5">
        <f>BBDD_fashion_boutique[[#This Row],[markdown_percentage]]/100</f>
        <v>0</v>
      </c>
      <c r="K1964" s="2">
        <v>87.82</v>
      </c>
      <c r="L1964" s="2">
        <f>BBDD_fashion_boutique[[#This Row],[original_price]]-BBDD_fashion_boutique[[#This Row],[current_price]]</f>
        <v>0</v>
      </c>
      <c r="M1964" s="1">
        <v>45875</v>
      </c>
      <c r="N1964" s="1" t="str">
        <f>PROPER(TEXT(BBDD_fashion_boutique[[#This Row],[purchase_date]],"dddd"))</f>
        <v>Miércoles</v>
      </c>
      <c r="O1964" s="1" t="str">
        <f>PROPER(TEXT(BBDD_fashion_boutique[[#This Row],[purchase_date]],"mmmm"))</f>
        <v>Agosto</v>
      </c>
      <c r="P1964" s="4">
        <v>24</v>
      </c>
      <c r="Q1964" s="2">
        <v>4.2</v>
      </c>
      <c r="R1964" t="str">
        <f>IF(BBDD_fashion_boutique[[#This Row],[stock_quantity]]&gt;9,"Ok",IF(BBDD_fashion_boutique[[#This Row],[stock_quantity]]=0,"Agotado","Pocas Unidades"))</f>
        <v>Ok</v>
      </c>
      <c r="S1964" s="3">
        <f>IF(BBDD_fashion_boutique[[#This Row],[customer_rating]]="","No valorado",BBDD_fashion_boutique[[#This Row],[customer_rating]])</f>
        <v>4.2</v>
      </c>
      <c r="T1964" t="s">
        <v>24</v>
      </c>
      <c r="V1964">
        <f>IF(BBDD_fashion_boutique[[#This Row],[is_returned]]="False",0,1)</f>
        <v>0</v>
      </c>
      <c r="W1964">
        <f>IF(BBDD_fashion_boutique[[#This Row],[is_returned]]="True",0,BBDD_fashion_boutique[[#This Row],[current_price]])</f>
        <v>87.82</v>
      </c>
      <c r="X1964" t="str">
        <f>IF(BBDD_fashion_boutique[[#This Row],[return_reason]]="","No return",BBDD_fashion_boutique[[#This Row],[return_reason]])</f>
        <v>No return</v>
      </c>
      <c r="Y1964">
        <f>IF(IFERROR(VLOOKUP(BBDD_fashion_boutique[[#This Row],[product_id]],A1965:A4140,1,FALSE),0),1,0)</f>
        <v>0</v>
      </c>
    </row>
    <row r="1965" spans="1:25" x14ac:dyDescent="0.3">
      <c r="A1965" t="s">
        <v>2024</v>
      </c>
      <c r="B1965" t="s">
        <v>35</v>
      </c>
      <c r="C1965" t="s">
        <v>20</v>
      </c>
      <c r="D1965" t="s">
        <v>68</v>
      </c>
      <c r="E1965" t="s">
        <v>29</v>
      </c>
      <c r="F1965" t="str">
        <f>IF(BBDD_fashion_boutique[[#This Row],[category]]="Accessories","Accesorio",IF(BBDD_fashion_boutique[[#This Row],[size]]="","Desconocido",BBDD_fashion_boutique[[#This Row],[size]]))</f>
        <v>L</v>
      </c>
      <c r="G1965" t="s">
        <v>52</v>
      </c>
      <c r="H1965" s="2">
        <v>81.59</v>
      </c>
      <c r="I1965">
        <v>0</v>
      </c>
      <c r="J1965" s="5">
        <f>BBDD_fashion_boutique[[#This Row],[markdown_percentage]]/100</f>
        <v>0</v>
      </c>
      <c r="K1965" s="2">
        <v>81.59</v>
      </c>
      <c r="L1965" s="2">
        <f>BBDD_fashion_boutique[[#This Row],[original_price]]-BBDD_fashion_boutique[[#This Row],[current_price]]</f>
        <v>0</v>
      </c>
      <c r="M1965" s="1">
        <v>45875</v>
      </c>
      <c r="N1965" s="1" t="str">
        <f>PROPER(TEXT(BBDD_fashion_boutique[[#This Row],[purchase_date]],"dddd"))</f>
        <v>Miércoles</v>
      </c>
      <c r="O1965" s="1" t="str">
        <f>PROPER(TEXT(BBDD_fashion_boutique[[#This Row],[purchase_date]],"mmmm"))</f>
        <v>Agosto</v>
      </c>
      <c r="P1965" s="4">
        <v>5</v>
      </c>
      <c r="Q1965" s="2">
        <v>2.5</v>
      </c>
      <c r="R1965" t="str">
        <f>IF(BBDD_fashion_boutique[[#This Row],[stock_quantity]]&gt;9,"Ok",IF(BBDD_fashion_boutique[[#This Row],[stock_quantity]]=0,"Agotado","Pocas Unidades"))</f>
        <v>Pocas Unidades</v>
      </c>
      <c r="S1965" s="3">
        <f>IF(BBDD_fashion_boutique[[#This Row],[customer_rating]]="","No valorado",BBDD_fashion_boutique[[#This Row],[customer_rating]])</f>
        <v>2.5</v>
      </c>
      <c r="T1965" t="s">
        <v>24</v>
      </c>
      <c r="V1965">
        <f>IF(BBDD_fashion_boutique[[#This Row],[is_returned]]="False",0,1)</f>
        <v>0</v>
      </c>
      <c r="W1965">
        <f>IF(BBDD_fashion_boutique[[#This Row],[is_returned]]="True",0,BBDD_fashion_boutique[[#This Row],[current_price]])</f>
        <v>81.59</v>
      </c>
      <c r="X1965" t="str">
        <f>IF(BBDD_fashion_boutique[[#This Row],[return_reason]]="","No return",BBDD_fashion_boutique[[#This Row],[return_reason]])</f>
        <v>No return</v>
      </c>
      <c r="Y1965">
        <f>IF(IFERROR(VLOOKUP(BBDD_fashion_boutique[[#This Row],[product_id]],A1966:A4141,1,FALSE),0),1,0)</f>
        <v>0</v>
      </c>
    </row>
    <row r="1966" spans="1:25" x14ac:dyDescent="0.3">
      <c r="A1966" t="s">
        <v>2025</v>
      </c>
      <c r="B1966" t="s">
        <v>19</v>
      </c>
      <c r="C1966" t="s">
        <v>67</v>
      </c>
      <c r="D1966" t="s">
        <v>68</v>
      </c>
      <c r="F1966" t="str">
        <f>IF(BBDD_fashion_boutique[[#This Row],[category]]="Accessories","Accesorio",IF(BBDD_fashion_boutique[[#This Row],[size]]="","Desconocido",BBDD_fashion_boutique[[#This Row],[size]]))</f>
        <v>Desconocido</v>
      </c>
      <c r="G1966" t="s">
        <v>50</v>
      </c>
      <c r="H1966" s="2">
        <v>93.14</v>
      </c>
      <c r="I1966">
        <v>32.799999999999997</v>
      </c>
      <c r="J1966" s="5">
        <f>BBDD_fashion_boutique[[#This Row],[markdown_percentage]]/100</f>
        <v>0.32799999999999996</v>
      </c>
      <c r="K1966" s="2">
        <v>62.59</v>
      </c>
      <c r="L1966" s="2">
        <f>BBDD_fashion_boutique[[#This Row],[original_price]]-BBDD_fashion_boutique[[#This Row],[current_price]]</f>
        <v>30.549999999999997</v>
      </c>
      <c r="M1966" s="1">
        <v>45875</v>
      </c>
      <c r="N1966" s="1" t="str">
        <f>PROPER(TEXT(BBDD_fashion_boutique[[#This Row],[purchase_date]],"dddd"))</f>
        <v>Miércoles</v>
      </c>
      <c r="O1966" s="1" t="str">
        <f>PROPER(TEXT(BBDD_fashion_boutique[[#This Row],[purchase_date]],"mmmm"))</f>
        <v>Agosto</v>
      </c>
      <c r="P1966" s="4">
        <v>45</v>
      </c>
      <c r="Q1966" s="2">
        <v>4.5</v>
      </c>
      <c r="R1966" t="str">
        <f>IF(BBDD_fashion_boutique[[#This Row],[stock_quantity]]&gt;9,"Ok",IF(BBDD_fashion_boutique[[#This Row],[stock_quantity]]=0,"Agotado","Pocas Unidades"))</f>
        <v>Ok</v>
      </c>
      <c r="S1966" s="3">
        <f>IF(BBDD_fashion_boutique[[#This Row],[customer_rating]]="","No valorado",BBDD_fashion_boutique[[#This Row],[customer_rating]])</f>
        <v>4.5</v>
      </c>
      <c r="T1966" t="s">
        <v>24</v>
      </c>
      <c r="V1966">
        <f>IF(BBDD_fashion_boutique[[#This Row],[is_returned]]="False",0,1)</f>
        <v>0</v>
      </c>
      <c r="W1966">
        <f>IF(BBDD_fashion_boutique[[#This Row],[is_returned]]="True",0,BBDD_fashion_boutique[[#This Row],[current_price]])</f>
        <v>62.59</v>
      </c>
      <c r="X1966" t="str">
        <f>IF(BBDD_fashion_boutique[[#This Row],[return_reason]]="","No return",BBDD_fashion_boutique[[#This Row],[return_reason]])</f>
        <v>No return</v>
      </c>
      <c r="Y1966">
        <f>IF(IFERROR(VLOOKUP(BBDD_fashion_boutique[[#This Row],[product_id]],A1967:A4142,1,FALSE),0),1,0)</f>
        <v>0</v>
      </c>
    </row>
    <row r="1967" spans="1:25" x14ac:dyDescent="0.3">
      <c r="A1967" t="s">
        <v>2026</v>
      </c>
      <c r="B1967" t="s">
        <v>44</v>
      </c>
      <c r="C1967" t="s">
        <v>67</v>
      </c>
      <c r="D1967" t="s">
        <v>21</v>
      </c>
      <c r="E1967" t="s">
        <v>61</v>
      </c>
      <c r="F1967" t="str">
        <f>IF(BBDD_fashion_boutique[[#This Row],[category]]="Accessories","Accesorio",IF(BBDD_fashion_boutique[[#This Row],[size]]="","Desconocido",BBDD_fashion_boutique[[#This Row],[size]]))</f>
        <v>XS</v>
      </c>
      <c r="G1967" t="s">
        <v>46</v>
      </c>
      <c r="H1967" s="2">
        <v>96.73</v>
      </c>
      <c r="I1967">
        <v>0</v>
      </c>
      <c r="J1967" s="5">
        <f>BBDD_fashion_boutique[[#This Row],[markdown_percentage]]/100</f>
        <v>0</v>
      </c>
      <c r="K1967" s="2">
        <v>96.73</v>
      </c>
      <c r="L1967" s="2">
        <f>BBDD_fashion_boutique[[#This Row],[original_price]]-BBDD_fashion_boutique[[#This Row],[current_price]]</f>
        <v>0</v>
      </c>
      <c r="M1967" s="1">
        <v>45605</v>
      </c>
      <c r="N1967" s="1" t="str">
        <f>PROPER(TEXT(BBDD_fashion_boutique[[#This Row],[purchase_date]],"dddd"))</f>
        <v>Sábado</v>
      </c>
      <c r="O1967" s="1" t="str">
        <f>PROPER(TEXT(BBDD_fashion_boutique[[#This Row],[purchase_date]],"mmmm"))</f>
        <v>Noviembre</v>
      </c>
      <c r="P1967" s="4">
        <v>18</v>
      </c>
      <c r="Q1967" s="2">
        <v>4.8</v>
      </c>
      <c r="R1967" t="str">
        <f>IF(BBDD_fashion_boutique[[#This Row],[stock_quantity]]&gt;9,"Ok",IF(BBDD_fashion_boutique[[#This Row],[stock_quantity]]=0,"Agotado","Pocas Unidades"))</f>
        <v>Ok</v>
      </c>
      <c r="S1967" s="3">
        <f>IF(BBDD_fashion_boutique[[#This Row],[customer_rating]]="","No valorado",BBDD_fashion_boutique[[#This Row],[customer_rating]])</f>
        <v>4.8</v>
      </c>
      <c r="T1967" t="s">
        <v>24</v>
      </c>
      <c r="V1967">
        <f>IF(BBDD_fashion_boutique[[#This Row],[is_returned]]="False",0,1)</f>
        <v>0</v>
      </c>
      <c r="W1967">
        <f>IF(BBDD_fashion_boutique[[#This Row],[is_returned]]="True",0,BBDD_fashion_boutique[[#This Row],[current_price]])</f>
        <v>96.73</v>
      </c>
      <c r="X1967" t="str">
        <f>IF(BBDD_fashion_boutique[[#This Row],[return_reason]]="","No return",BBDD_fashion_boutique[[#This Row],[return_reason]])</f>
        <v>No return</v>
      </c>
      <c r="Y1967">
        <f>IF(IFERROR(VLOOKUP(BBDD_fashion_boutique[[#This Row],[product_id]],A1968:A4143,1,FALSE),0),1,0)</f>
        <v>0</v>
      </c>
    </row>
    <row r="1968" spans="1:25" x14ac:dyDescent="0.3">
      <c r="A1968" t="s">
        <v>2027</v>
      </c>
      <c r="B1968" t="s">
        <v>32</v>
      </c>
      <c r="C1968" t="s">
        <v>81</v>
      </c>
      <c r="D1968" t="s">
        <v>28</v>
      </c>
      <c r="F1968" t="str">
        <f>IF(BBDD_fashion_boutique[[#This Row],[category]]="Accessories","Accesorio",IF(BBDD_fashion_boutique[[#This Row],[size]]="","Desconocido",BBDD_fashion_boutique[[#This Row],[size]]))</f>
        <v>Accesorio</v>
      </c>
      <c r="G1968" t="s">
        <v>50</v>
      </c>
      <c r="H1968" s="2">
        <v>19.34</v>
      </c>
      <c r="I1968">
        <v>0</v>
      </c>
      <c r="J1968" s="5">
        <f>BBDD_fashion_boutique[[#This Row],[markdown_percentage]]/100</f>
        <v>0</v>
      </c>
      <c r="K1968" s="2">
        <v>19.34</v>
      </c>
      <c r="L1968" s="2">
        <f>BBDD_fashion_boutique[[#This Row],[original_price]]-BBDD_fashion_boutique[[#This Row],[current_price]]</f>
        <v>0</v>
      </c>
      <c r="M1968" s="1">
        <v>45875</v>
      </c>
      <c r="N1968" s="1" t="str">
        <f>PROPER(TEXT(BBDD_fashion_boutique[[#This Row],[purchase_date]],"dddd"))</f>
        <v>Miércoles</v>
      </c>
      <c r="O1968" s="1" t="str">
        <f>PROPER(TEXT(BBDD_fashion_boutique[[#This Row],[purchase_date]],"mmmm"))</f>
        <v>Agosto</v>
      </c>
      <c r="P1968" s="4">
        <v>19</v>
      </c>
      <c r="R1968" t="str">
        <f>IF(BBDD_fashion_boutique[[#This Row],[stock_quantity]]&gt;9,"Ok",IF(BBDD_fashion_boutique[[#This Row],[stock_quantity]]=0,"Agotado","Pocas Unidades"))</f>
        <v>Ok</v>
      </c>
      <c r="S1968" s="3" t="str">
        <f>IF(BBDD_fashion_boutique[[#This Row],[customer_rating]]="","No valorado",BBDD_fashion_boutique[[#This Row],[customer_rating]])</f>
        <v>No valorado</v>
      </c>
      <c r="T1968" t="s">
        <v>24</v>
      </c>
      <c r="V1968">
        <f>IF(BBDD_fashion_boutique[[#This Row],[is_returned]]="False",0,1)</f>
        <v>0</v>
      </c>
      <c r="W1968">
        <f>IF(BBDD_fashion_boutique[[#This Row],[is_returned]]="True",0,BBDD_fashion_boutique[[#This Row],[current_price]])</f>
        <v>19.34</v>
      </c>
      <c r="X1968" t="str">
        <f>IF(BBDD_fashion_boutique[[#This Row],[return_reason]]="","No return",BBDD_fashion_boutique[[#This Row],[return_reason]])</f>
        <v>No return</v>
      </c>
      <c r="Y1968">
        <f>IF(IFERROR(VLOOKUP(BBDD_fashion_boutique[[#This Row],[product_id]],A1969:A4144,1,FALSE),0),1,0)</f>
        <v>0</v>
      </c>
    </row>
    <row r="1969" spans="1:25" x14ac:dyDescent="0.3">
      <c r="A1969" t="s">
        <v>2028</v>
      </c>
      <c r="B1969" t="s">
        <v>35</v>
      </c>
      <c r="C1969" t="s">
        <v>20</v>
      </c>
      <c r="D1969" t="s">
        <v>21</v>
      </c>
      <c r="E1969" t="s">
        <v>45</v>
      </c>
      <c r="F1969" t="str">
        <f>IF(BBDD_fashion_boutique[[#This Row],[category]]="Accessories","Accesorio",IF(BBDD_fashion_boutique[[#This Row],[size]]="","Desconocido",BBDD_fashion_boutique[[#This Row],[size]]))</f>
        <v>S</v>
      </c>
      <c r="G1969" t="s">
        <v>23</v>
      </c>
      <c r="H1969" s="2">
        <v>113.88</v>
      </c>
      <c r="I1969">
        <v>31.1</v>
      </c>
      <c r="J1969" s="5">
        <f>BBDD_fashion_boutique[[#This Row],[markdown_percentage]]/100</f>
        <v>0.311</v>
      </c>
      <c r="K1969" s="2">
        <v>78.459999999999994</v>
      </c>
      <c r="L1969" s="2">
        <f>BBDD_fashion_boutique[[#This Row],[original_price]]-BBDD_fashion_boutique[[#This Row],[current_price]]</f>
        <v>35.42</v>
      </c>
      <c r="M1969" s="1">
        <v>45818</v>
      </c>
      <c r="N1969" s="1" t="str">
        <f>PROPER(TEXT(BBDD_fashion_boutique[[#This Row],[purchase_date]],"dddd"))</f>
        <v>Martes</v>
      </c>
      <c r="O1969" s="1" t="str">
        <f>PROPER(TEXT(BBDD_fashion_boutique[[#This Row],[purchase_date]],"mmmm"))</f>
        <v>Junio</v>
      </c>
      <c r="P1969" s="4">
        <v>22</v>
      </c>
      <c r="Q1969" s="2">
        <v>3.1</v>
      </c>
      <c r="R1969" t="str">
        <f>IF(BBDD_fashion_boutique[[#This Row],[stock_quantity]]&gt;9,"Ok",IF(BBDD_fashion_boutique[[#This Row],[stock_quantity]]=0,"Agotado","Pocas Unidades"))</f>
        <v>Ok</v>
      </c>
      <c r="S1969" s="3">
        <f>IF(BBDD_fashion_boutique[[#This Row],[customer_rating]]="","No valorado",BBDD_fashion_boutique[[#This Row],[customer_rating]])</f>
        <v>3.1</v>
      </c>
      <c r="T1969" t="s">
        <v>24</v>
      </c>
      <c r="V1969">
        <f>IF(BBDD_fashion_boutique[[#This Row],[is_returned]]="False",0,1)</f>
        <v>0</v>
      </c>
      <c r="W1969">
        <f>IF(BBDD_fashion_boutique[[#This Row],[is_returned]]="True",0,BBDD_fashion_boutique[[#This Row],[current_price]])</f>
        <v>78.459999999999994</v>
      </c>
      <c r="X1969" t="str">
        <f>IF(BBDD_fashion_boutique[[#This Row],[return_reason]]="","No return",BBDD_fashion_boutique[[#This Row],[return_reason]])</f>
        <v>No return</v>
      </c>
      <c r="Y1969">
        <f>IF(IFERROR(VLOOKUP(BBDD_fashion_boutique[[#This Row],[product_id]],A1970:A4145,1,FALSE),0),1,0)</f>
        <v>0</v>
      </c>
    </row>
    <row r="1970" spans="1:25" x14ac:dyDescent="0.3">
      <c r="A1970" t="s">
        <v>2029</v>
      </c>
      <c r="B1970" t="s">
        <v>48</v>
      </c>
      <c r="C1970" t="s">
        <v>20</v>
      </c>
      <c r="D1970" t="s">
        <v>21</v>
      </c>
      <c r="E1970" t="s">
        <v>22</v>
      </c>
      <c r="F1970" t="str">
        <f>IF(BBDD_fashion_boutique[[#This Row],[category]]="Accessories","Accesorio",IF(BBDD_fashion_boutique[[#This Row],[size]]="","Desconocido",BBDD_fashion_boutique[[#This Row],[size]]))</f>
        <v>XL</v>
      </c>
      <c r="G1970" t="s">
        <v>70</v>
      </c>
      <c r="H1970" s="2">
        <v>90.32</v>
      </c>
      <c r="I1970">
        <v>0</v>
      </c>
      <c r="J1970" s="5">
        <f>BBDD_fashion_boutique[[#This Row],[markdown_percentage]]/100</f>
        <v>0</v>
      </c>
      <c r="K1970" s="2">
        <v>90.32</v>
      </c>
      <c r="L1970" s="2">
        <f>BBDD_fashion_boutique[[#This Row],[original_price]]-BBDD_fashion_boutique[[#This Row],[current_price]]</f>
        <v>0</v>
      </c>
      <c r="M1970" s="1">
        <v>45742</v>
      </c>
      <c r="N1970" s="1" t="str">
        <f>PROPER(TEXT(BBDD_fashion_boutique[[#This Row],[purchase_date]],"dddd"))</f>
        <v>Miércoles</v>
      </c>
      <c r="O1970" s="1" t="str">
        <f>PROPER(TEXT(BBDD_fashion_boutique[[#This Row],[purchase_date]],"mmmm"))</f>
        <v>Marzo</v>
      </c>
      <c r="P1970" s="4">
        <v>41</v>
      </c>
      <c r="Q1970" s="2">
        <v>2.8</v>
      </c>
      <c r="R1970" t="str">
        <f>IF(BBDD_fashion_boutique[[#This Row],[stock_quantity]]&gt;9,"Ok",IF(BBDD_fashion_boutique[[#This Row],[stock_quantity]]=0,"Agotado","Pocas Unidades"))</f>
        <v>Ok</v>
      </c>
      <c r="S1970" s="3">
        <f>IF(BBDD_fashion_boutique[[#This Row],[customer_rating]]="","No valorado",BBDD_fashion_boutique[[#This Row],[customer_rating]])</f>
        <v>2.8</v>
      </c>
      <c r="T1970" t="s">
        <v>24</v>
      </c>
      <c r="V1970">
        <f>IF(BBDD_fashion_boutique[[#This Row],[is_returned]]="False",0,1)</f>
        <v>0</v>
      </c>
      <c r="W1970">
        <f>IF(BBDD_fashion_boutique[[#This Row],[is_returned]]="True",0,BBDD_fashion_boutique[[#This Row],[current_price]])</f>
        <v>90.32</v>
      </c>
      <c r="X1970" t="str">
        <f>IF(BBDD_fashion_boutique[[#This Row],[return_reason]]="","No return",BBDD_fashion_boutique[[#This Row],[return_reason]])</f>
        <v>No return</v>
      </c>
      <c r="Y1970">
        <f>IF(IFERROR(VLOOKUP(BBDD_fashion_boutique[[#This Row],[product_id]],A1971:A4146,1,FALSE),0),1,0)</f>
        <v>0</v>
      </c>
    </row>
    <row r="1971" spans="1:25" x14ac:dyDescent="0.3">
      <c r="A1971" t="s">
        <v>2030</v>
      </c>
      <c r="B1971" t="s">
        <v>26</v>
      </c>
      <c r="C1971" t="s">
        <v>37</v>
      </c>
      <c r="D1971" t="s">
        <v>68</v>
      </c>
      <c r="E1971" t="s">
        <v>29</v>
      </c>
      <c r="F1971" t="str">
        <f>IF(BBDD_fashion_boutique[[#This Row],[category]]="Accessories","Accesorio",IF(BBDD_fashion_boutique[[#This Row],[size]]="","Desconocido",BBDD_fashion_boutique[[#This Row],[size]]))</f>
        <v>L</v>
      </c>
      <c r="G1971" t="s">
        <v>46</v>
      </c>
      <c r="H1971" s="2">
        <v>38.119999999999997</v>
      </c>
      <c r="I1971">
        <v>0</v>
      </c>
      <c r="J1971" s="5">
        <f>BBDD_fashion_boutique[[#This Row],[markdown_percentage]]/100</f>
        <v>0</v>
      </c>
      <c r="K1971" s="2">
        <v>38.119999999999997</v>
      </c>
      <c r="L1971" s="2">
        <f>BBDD_fashion_boutique[[#This Row],[original_price]]-BBDD_fashion_boutique[[#This Row],[current_price]]</f>
        <v>0</v>
      </c>
      <c r="M1971" s="1">
        <v>45875</v>
      </c>
      <c r="N1971" s="1" t="str">
        <f>PROPER(TEXT(BBDD_fashion_boutique[[#This Row],[purchase_date]],"dddd"))</f>
        <v>Miércoles</v>
      </c>
      <c r="O1971" s="1" t="str">
        <f>PROPER(TEXT(BBDD_fashion_boutique[[#This Row],[purchase_date]],"mmmm"))</f>
        <v>Agosto</v>
      </c>
      <c r="P1971" s="4">
        <v>44</v>
      </c>
      <c r="R1971" t="str">
        <f>IF(BBDD_fashion_boutique[[#This Row],[stock_quantity]]&gt;9,"Ok",IF(BBDD_fashion_boutique[[#This Row],[stock_quantity]]=0,"Agotado","Pocas Unidades"))</f>
        <v>Ok</v>
      </c>
      <c r="S1971" s="3" t="str">
        <f>IF(BBDD_fashion_boutique[[#This Row],[customer_rating]]="","No valorado",BBDD_fashion_boutique[[#This Row],[customer_rating]])</f>
        <v>No valorado</v>
      </c>
      <c r="T1971" t="s">
        <v>24</v>
      </c>
      <c r="V1971">
        <f>IF(BBDD_fashion_boutique[[#This Row],[is_returned]]="False",0,1)</f>
        <v>0</v>
      </c>
      <c r="W1971">
        <f>IF(BBDD_fashion_boutique[[#This Row],[is_returned]]="True",0,BBDD_fashion_boutique[[#This Row],[current_price]])</f>
        <v>38.119999999999997</v>
      </c>
      <c r="X1971" t="str">
        <f>IF(BBDD_fashion_boutique[[#This Row],[return_reason]]="","No return",BBDD_fashion_boutique[[#This Row],[return_reason]])</f>
        <v>No return</v>
      </c>
      <c r="Y1971">
        <f>IF(IFERROR(VLOOKUP(BBDD_fashion_boutique[[#This Row],[product_id]],A1972:A4147,1,FALSE),0),1,0)</f>
        <v>0</v>
      </c>
    </row>
    <row r="1972" spans="1:25" x14ac:dyDescent="0.3">
      <c r="A1972" t="s">
        <v>2031</v>
      </c>
      <c r="B1972" t="s">
        <v>35</v>
      </c>
      <c r="C1972" t="s">
        <v>37</v>
      </c>
      <c r="D1972" t="s">
        <v>68</v>
      </c>
      <c r="E1972" t="s">
        <v>45</v>
      </c>
      <c r="F1972" t="str">
        <f>IF(BBDD_fashion_boutique[[#This Row],[category]]="Accessories","Accesorio",IF(BBDD_fashion_boutique[[#This Row],[size]]="","Desconocido",BBDD_fashion_boutique[[#This Row],[size]]))</f>
        <v>S</v>
      </c>
      <c r="G1972" t="s">
        <v>50</v>
      </c>
      <c r="H1972" s="2">
        <v>175.31</v>
      </c>
      <c r="I1972">
        <v>0</v>
      </c>
      <c r="J1972" s="5">
        <f>BBDD_fashion_boutique[[#This Row],[markdown_percentage]]/100</f>
        <v>0</v>
      </c>
      <c r="K1972" s="2">
        <v>175.31</v>
      </c>
      <c r="L1972" s="2">
        <f>BBDD_fashion_boutique[[#This Row],[original_price]]-BBDD_fashion_boutique[[#This Row],[current_price]]</f>
        <v>0</v>
      </c>
      <c r="M1972" s="1">
        <v>45875</v>
      </c>
      <c r="N1972" s="1" t="str">
        <f>PROPER(TEXT(BBDD_fashion_boutique[[#This Row],[purchase_date]],"dddd"))</f>
        <v>Miércoles</v>
      </c>
      <c r="O1972" s="1" t="str">
        <f>PROPER(TEXT(BBDD_fashion_boutique[[#This Row],[purchase_date]],"mmmm"))</f>
        <v>Agosto</v>
      </c>
      <c r="P1972" s="4">
        <v>13</v>
      </c>
      <c r="R1972" t="str">
        <f>IF(BBDD_fashion_boutique[[#This Row],[stock_quantity]]&gt;9,"Ok",IF(BBDD_fashion_boutique[[#This Row],[stock_quantity]]=0,"Agotado","Pocas Unidades"))</f>
        <v>Ok</v>
      </c>
      <c r="S1972" s="3" t="str">
        <f>IF(BBDD_fashion_boutique[[#This Row],[customer_rating]]="","No valorado",BBDD_fashion_boutique[[#This Row],[customer_rating]])</f>
        <v>No valorado</v>
      </c>
      <c r="T1972" t="s">
        <v>24</v>
      </c>
      <c r="V1972">
        <f>IF(BBDD_fashion_boutique[[#This Row],[is_returned]]="False",0,1)</f>
        <v>0</v>
      </c>
      <c r="W1972">
        <f>IF(BBDD_fashion_boutique[[#This Row],[is_returned]]="True",0,BBDD_fashion_boutique[[#This Row],[current_price]])</f>
        <v>175.31</v>
      </c>
      <c r="X1972" t="str">
        <f>IF(BBDD_fashion_boutique[[#This Row],[return_reason]]="","No return",BBDD_fashion_boutique[[#This Row],[return_reason]])</f>
        <v>No return</v>
      </c>
      <c r="Y1972">
        <f>IF(IFERROR(VLOOKUP(BBDD_fashion_boutique[[#This Row],[product_id]],A1973:A4148,1,FALSE),0),1,0)</f>
        <v>0</v>
      </c>
    </row>
    <row r="1973" spans="1:25" x14ac:dyDescent="0.3">
      <c r="A1973" t="s">
        <v>2032</v>
      </c>
      <c r="B1973" t="s">
        <v>48</v>
      </c>
      <c r="C1973" t="s">
        <v>20</v>
      </c>
      <c r="D1973" t="s">
        <v>21</v>
      </c>
      <c r="E1973" t="s">
        <v>29</v>
      </c>
      <c r="F1973" t="str">
        <f>IF(BBDD_fashion_boutique[[#This Row],[category]]="Accessories","Accesorio",IF(BBDD_fashion_boutique[[#This Row],[size]]="","Desconocido",BBDD_fashion_boutique[[#This Row],[size]]))</f>
        <v>L</v>
      </c>
      <c r="G1973" t="s">
        <v>23</v>
      </c>
      <c r="H1973" s="2">
        <v>171.92</v>
      </c>
      <c r="I1973">
        <v>0</v>
      </c>
      <c r="J1973" s="5">
        <f>BBDD_fashion_boutique[[#This Row],[markdown_percentage]]/100</f>
        <v>0</v>
      </c>
      <c r="K1973" s="2">
        <v>171.92</v>
      </c>
      <c r="L1973" s="2">
        <f>BBDD_fashion_boutique[[#This Row],[original_price]]-BBDD_fashion_boutique[[#This Row],[current_price]]</f>
        <v>0</v>
      </c>
      <c r="M1973" s="1">
        <v>45816</v>
      </c>
      <c r="N1973" s="1" t="str">
        <f>PROPER(TEXT(BBDD_fashion_boutique[[#This Row],[purchase_date]],"dddd"))</f>
        <v>Domingo</v>
      </c>
      <c r="O1973" s="1" t="str">
        <f>PROPER(TEXT(BBDD_fashion_boutique[[#This Row],[purchase_date]],"mmmm"))</f>
        <v>Junio</v>
      </c>
      <c r="P1973" s="4">
        <v>12</v>
      </c>
      <c r="Q1973" s="2">
        <v>1.3</v>
      </c>
      <c r="R1973" t="str">
        <f>IF(BBDD_fashion_boutique[[#This Row],[stock_quantity]]&gt;9,"Ok",IF(BBDD_fashion_boutique[[#This Row],[stock_quantity]]=0,"Agotado","Pocas Unidades"))</f>
        <v>Ok</v>
      </c>
      <c r="S1973" s="3">
        <f>IF(BBDD_fashion_boutique[[#This Row],[customer_rating]]="","No valorado",BBDD_fashion_boutique[[#This Row],[customer_rating]])</f>
        <v>1.3</v>
      </c>
      <c r="T1973" t="s">
        <v>24</v>
      </c>
      <c r="V1973">
        <f>IF(BBDD_fashion_boutique[[#This Row],[is_returned]]="False",0,1)</f>
        <v>0</v>
      </c>
      <c r="W1973">
        <f>IF(BBDD_fashion_boutique[[#This Row],[is_returned]]="True",0,BBDD_fashion_boutique[[#This Row],[current_price]])</f>
        <v>171.92</v>
      </c>
      <c r="X1973" t="str">
        <f>IF(BBDD_fashion_boutique[[#This Row],[return_reason]]="","No return",BBDD_fashion_boutique[[#This Row],[return_reason]])</f>
        <v>No return</v>
      </c>
      <c r="Y1973">
        <f>IF(IFERROR(VLOOKUP(BBDD_fashion_boutique[[#This Row],[product_id]],A1974:A4149,1,FALSE),0),1,0)</f>
        <v>0</v>
      </c>
    </row>
    <row r="1974" spans="1:25" x14ac:dyDescent="0.3">
      <c r="A1974" t="s">
        <v>2033</v>
      </c>
      <c r="B1974" t="s">
        <v>32</v>
      </c>
      <c r="C1974" t="s">
        <v>67</v>
      </c>
      <c r="D1974" t="s">
        <v>68</v>
      </c>
      <c r="F1974" t="str">
        <f>IF(BBDD_fashion_boutique[[#This Row],[category]]="Accessories","Accesorio",IF(BBDD_fashion_boutique[[#This Row],[size]]="","Desconocido",BBDD_fashion_boutique[[#This Row],[size]]))</f>
        <v>Accesorio</v>
      </c>
      <c r="G1974" t="s">
        <v>50</v>
      </c>
      <c r="H1974" s="2">
        <v>35.6</v>
      </c>
      <c r="I1974">
        <v>0</v>
      </c>
      <c r="J1974" s="5">
        <f>BBDD_fashion_boutique[[#This Row],[markdown_percentage]]/100</f>
        <v>0</v>
      </c>
      <c r="K1974" s="2">
        <v>35.6</v>
      </c>
      <c r="L1974" s="2">
        <f>BBDD_fashion_boutique[[#This Row],[original_price]]-BBDD_fashion_boutique[[#This Row],[current_price]]</f>
        <v>0</v>
      </c>
      <c r="M1974" s="1">
        <v>45875</v>
      </c>
      <c r="N1974" s="1" t="str">
        <f>PROPER(TEXT(BBDD_fashion_boutique[[#This Row],[purchase_date]],"dddd"))</f>
        <v>Miércoles</v>
      </c>
      <c r="O1974" s="1" t="str">
        <f>PROPER(TEXT(BBDD_fashion_boutique[[#This Row],[purchase_date]],"mmmm"))</f>
        <v>Agosto</v>
      </c>
      <c r="P1974" s="4">
        <v>24</v>
      </c>
      <c r="Q1974" s="2">
        <v>3.1</v>
      </c>
      <c r="R1974" t="str">
        <f>IF(BBDD_fashion_boutique[[#This Row],[stock_quantity]]&gt;9,"Ok",IF(BBDD_fashion_boutique[[#This Row],[stock_quantity]]=0,"Agotado","Pocas Unidades"))</f>
        <v>Ok</v>
      </c>
      <c r="S1974" s="3">
        <f>IF(BBDD_fashion_boutique[[#This Row],[customer_rating]]="","No valorado",BBDD_fashion_boutique[[#This Row],[customer_rating]])</f>
        <v>3.1</v>
      </c>
      <c r="T1974" t="s">
        <v>24</v>
      </c>
      <c r="V1974">
        <f>IF(BBDD_fashion_boutique[[#This Row],[is_returned]]="False",0,1)</f>
        <v>0</v>
      </c>
      <c r="W1974">
        <f>IF(BBDD_fashion_boutique[[#This Row],[is_returned]]="True",0,BBDD_fashion_boutique[[#This Row],[current_price]])</f>
        <v>35.6</v>
      </c>
      <c r="X1974" t="str">
        <f>IF(BBDD_fashion_boutique[[#This Row],[return_reason]]="","No return",BBDD_fashion_boutique[[#This Row],[return_reason]])</f>
        <v>No return</v>
      </c>
      <c r="Y1974">
        <f>IF(IFERROR(VLOOKUP(BBDD_fashion_boutique[[#This Row],[product_id]],A1975:A4150,1,FALSE),0),1,0)</f>
        <v>0</v>
      </c>
    </row>
    <row r="1975" spans="1:25" x14ac:dyDescent="0.3">
      <c r="A1975" t="s">
        <v>2034</v>
      </c>
      <c r="B1975" t="s">
        <v>44</v>
      </c>
      <c r="C1975" t="s">
        <v>54</v>
      </c>
      <c r="D1975" t="s">
        <v>68</v>
      </c>
      <c r="E1975" t="s">
        <v>64</v>
      </c>
      <c r="F1975" t="str">
        <f>IF(BBDD_fashion_boutique[[#This Row],[category]]="Accessories","Accesorio",IF(BBDD_fashion_boutique[[#This Row],[size]]="","Desconocido",BBDD_fashion_boutique[[#This Row],[size]]))</f>
        <v>M</v>
      </c>
      <c r="G1975" t="s">
        <v>70</v>
      </c>
      <c r="H1975" s="2">
        <v>81.7</v>
      </c>
      <c r="I1975">
        <v>0</v>
      </c>
      <c r="J1975" s="5">
        <f>BBDD_fashion_boutique[[#This Row],[markdown_percentage]]/100</f>
        <v>0</v>
      </c>
      <c r="K1975" s="2">
        <v>81.7</v>
      </c>
      <c r="L1975" s="2">
        <f>BBDD_fashion_boutique[[#This Row],[original_price]]-BBDD_fashion_boutique[[#This Row],[current_price]]</f>
        <v>0</v>
      </c>
      <c r="M1975" s="1">
        <v>45875</v>
      </c>
      <c r="N1975" s="1" t="str">
        <f>PROPER(TEXT(BBDD_fashion_boutique[[#This Row],[purchase_date]],"dddd"))</f>
        <v>Miércoles</v>
      </c>
      <c r="O1975" s="1" t="str">
        <f>PROPER(TEXT(BBDD_fashion_boutique[[#This Row],[purchase_date]],"mmmm"))</f>
        <v>Agosto</v>
      </c>
      <c r="P1975" s="4">
        <v>33</v>
      </c>
      <c r="R1975" t="str">
        <f>IF(BBDD_fashion_boutique[[#This Row],[stock_quantity]]&gt;9,"Ok",IF(BBDD_fashion_boutique[[#This Row],[stock_quantity]]=0,"Agotado","Pocas Unidades"))</f>
        <v>Ok</v>
      </c>
      <c r="S1975" s="3" t="str">
        <f>IF(BBDD_fashion_boutique[[#This Row],[customer_rating]]="","No valorado",BBDD_fashion_boutique[[#This Row],[customer_rating]])</f>
        <v>No valorado</v>
      </c>
      <c r="T1975" t="s">
        <v>41</v>
      </c>
      <c r="U1975" t="s">
        <v>131</v>
      </c>
      <c r="V1975">
        <f>IF(BBDD_fashion_boutique[[#This Row],[is_returned]]="False",0,1)</f>
        <v>1</v>
      </c>
      <c r="W1975">
        <f>IF(BBDD_fashion_boutique[[#This Row],[is_returned]]="True",0,BBDD_fashion_boutique[[#This Row],[current_price]])</f>
        <v>0</v>
      </c>
      <c r="X1975" t="str">
        <f>IF(BBDD_fashion_boutique[[#This Row],[return_reason]]="","No return",BBDD_fashion_boutique[[#This Row],[return_reason]])</f>
        <v>Wrong Item</v>
      </c>
      <c r="Y1975">
        <f>IF(IFERROR(VLOOKUP(BBDD_fashion_boutique[[#This Row],[product_id]],A1976:A4151,1,FALSE),0),1,0)</f>
        <v>0</v>
      </c>
    </row>
    <row r="1976" spans="1:25" x14ac:dyDescent="0.3">
      <c r="A1976" t="s">
        <v>2035</v>
      </c>
      <c r="B1976" t="s">
        <v>44</v>
      </c>
      <c r="C1976" t="s">
        <v>37</v>
      </c>
      <c r="D1976" t="s">
        <v>68</v>
      </c>
      <c r="F1976" t="str">
        <f>IF(BBDD_fashion_boutique[[#This Row],[category]]="Accessories","Accesorio",IF(BBDD_fashion_boutique[[#This Row],[size]]="","Desconocido",BBDD_fashion_boutique[[#This Row],[size]]))</f>
        <v>Desconocido</v>
      </c>
      <c r="G1976" t="s">
        <v>72</v>
      </c>
      <c r="H1976" s="2">
        <v>29.7</v>
      </c>
      <c r="I1976">
        <v>0</v>
      </c>
      <c r="J1976" s="5">
        <f>BBDD_fashion_boutique[[#This Row],[markdown_percentage]]/100</f>
        <v>0</v>
      </c>
      <c r="K1976" s="2">
        <v>29.7</v>
      </c>
      <c r="L1976" s="2">
        <f>BBDD_fashion_boutique[[#This Row],[original_price]]-BBDD_fashion_boutique[[#This Row],[current_price]]</f>
        <v>0</v>
      </c>
      <c r="M1976" s="1">
        <v>45875</v>
      </c>
      <c r="N1976" s="1" t="str">
        <f>PROPER(TEXT(BBDD_fashion_boutique[[#This Row],[purchase_date]],"dddd"))</f>
        <v>Miércoles</v>
      </c>
      <c r="O1976" s="1" t="str">
        <f>PROPER(TEXT(BBDD_fashion_boutique[[#This Row],[purchase_date]],"mmmm"))</f>
        <v>Agosto</v>
      </c>
      <c r="P1976" s="4">
        <v>16</v>
      </c>
      <c r="Q1976" s="2">
        <v>2.7</v>
      </c>
      <c r="R1976" t="str">
        <f>IF(BBDD_fashion_boutique[[#This Row],[stock_quantity]]&gt;9,"Ok",IF(BBDD_fashion_boutique[[#This Row],[stock_quantity]]=0,"Agotado","Pocas Unidades"))</f>
        <v>Ok</v>
      </c>
      <c r="S1976" s="3">
        <f>IF(BBDD_fashion_boutique[[#This Row],[customer_rating]]="","No valorado",BBDD_fashion_boutique[[#This Row],[customer_rating]])</f>
        <v>2.7</v>
      </c>
      <c r="T1976" t="s">
        <v>24</v>
      </c>
      <c r="V1976">
        <f>IF(BBDD_fashion_boutique[[#This Row],[is_returned]]="False",0,1)</f>
        <v>0</v>
      </c>
      <c r="W1976">
        <f>IF(BBDD_fashion_boutique[[#This Row],[is_returned]]="True",0,BBDD_fashion_boutique[[#This Row],[current_price]])</f>
        <v>29.7</v>
      </c>
      <c r="X1976" t="str">
        <f>IF(BBDD_fashion_boutique[[#This Row],[return_reason]]="","No return",BBDD_fashion_boutique[[#This Row],[return_reason]])</f>
        <v>No return</v>
      </c>
      <c r="Y1976">
        <f>IF(IFERROR(VLOOKUP(BBDD_fashion_boutique[[#This Row],[product_id]],A1977:A4152,1,FALSE),0),1,0)</f>
        <v>0</v>
      </c>
    </row>
    <row r="1977" spans="1:25" x14ac:dyDescent="0.3">
      <c r="A1977" t="s">
        <v>2036</v>
      </c>
      <c r="B1977" t="s">
        <v>19</v>
      </c>
      <c r="C1977" t="s">
        <v>49</v>
      </c>
      <c r="D1977" t="s">
        <v>28</v>
      </c>
      <c r="E1977" t="s">
        <v>45</v>
      </c>
      <c r="F1977" t="str">
        <f>IF(BBDD_fashion_boutique[[#This Row],[category]]="Accessories","Accesorio",IF(BBDD_fashion_boutique[[#This Row],[size]]="","Desconocido",BBDD_fashion_boutique[[#This Row],[size]]))</f>
        <v>S</v>
      </c>
      <c r="G1977" t="s">
        <v>76</v>
      </c>
      <c r="H1977" s="2">
        <v>239.65</v>
      </c>
      <c r="I1977">
        <v>0</v>
      </c>
      <c r="J1977" s="5">
        <f>BBDD_fashion_boutique[[#This Row],[markdown_percentage]]/100</f>
        <v>0</v>
      </c>
      <c r="K1977" s="2">
        <v>239.65</v>
      </c>
      <c r="L1977" s="2">
        <f>BBDD_fashion_boutique[[#This Row],[original_price]]-BBDD_fashion_boutique[[#This Row],[current_price]]</f>
        <v>0</v>
      </c>
      <c r="M1977" s="1">
        <v>45875</v>
      </c>
      <c r="N1977" s="1" t="str">
        <f>PROPER(TEXT(BBDD_fashion_boutique[[#This Row],[purchase_date]],"dddd"))</f>
        <v>Miércoles</v>
      </c>
      <c r="O1977" s="1" t="str">
        <f>PROPER(TEXT(BBDD_fashion_boutique[[#This Row],[purchase_date]],"mmmm"))</f>
        <v>Agosto</v>
      </c>
      <c r="P1977" s="4">
        <v>27</v>
      </c>
      <c r="Q1977" s="2">
        <v>2.9</v>
      </c>
      <c r="R1977" t="str">
        <f>IF(BBDD_fashion_boutique[[#This Row],[stock_quantity]]&gt;9,"Ok",IF(BBDD_fashion_boutique[[#This Row],[stock_quantity]]=0,"Agotado","Pocas Unidades"))</f>
        <v>Ok</v>
      </c>
      <c r="S1977" s="3">
        <f>IF(BBDD_fashion_boutique[[#This Row],[customer_rating]]="","No valorado",BBDD_fashion_boutique[[#This Row],[customer_rating]])</f>
        <v>2.9</v>
      </c>
      <c r="T1977" t="s">
        <v>24</v>
      </c>
      <c r="V1977">
        <f>IF(BBDD_fashion_boutique[[#This Row],[is_returned]]="False",0,1)</f>
        <v>0</v>
      </c>
      <c r="W1977">
        <f>IF(BBDD_fashion_boutique[[#This Row],[is_returned]]="True",0,BBDD_fashion_boutique[[#This Row],[current_price]])</f>
        <v>239.65</v>
      </c>
      <c r="X1977" t="str">
        <f>IF(BBDD_fashion_boutique[[#This Row],[return_reason]]="","No return",BBDD_fashion_boutique[[#This Row],[return_reason]])</f>
        <v>No return</v>
      </c>
      <c r="Y1977">
        <f>IF(IFERROR(VLOOKUP(BBDD_fashion_boutique[[#This Row],[product_id]],A1978:A4153,1,FALSE),0),1,0)</f>
        <v>0</v>
      </c>
    </row>
    <row r="1978" spans="1:25" x14ac:dyDescent="0.3">
      <c r="A1978" t="s">
        <v>2037</v>
      </c>
      <c r="B1978" t="s">
        <v>26</v>
      </c>
      <c r="C1978" t="s">
        <v>54</v>
      </c>
      <c r="D1978" t="s">
        <v>39</v>
      </c>
      <c r="E1978" t="s">
        <v>64</v>
      </c>
      <c r="F1978" t="str">
        <f>IF(BBDD_fashion_boutique[[#This Row],[category]]="Accessories","Accesorio",IF(BBDD_fashion_boutique[[#This Row],[size]]="","Desconocido",BBDD_fashion_boutique[[#This Row],[size]]))</f>
        <v>M</v>
      </c>
      <c r="G1978" t="s">
        <v>23</v>
      </c>
      <c r="H1978" s="2">
        <v>90.41</v>
      </c>
      <c r="I1978">
        <v>0</v>
      </c>
      <c r="J1978" s="5">
        <f>BBDD_fashion_boutique[[#This Row],[markdown_percentage]]/100</f>
        <v>0</v>
      </c>
      <c r="K1978" s="2">
        <v>90.41</v>
      </c>
      <c r="L1978" s="2">
        <f>BBDD_fashion_boutique[[#This Row],[original_price]]-BBDD_fashion_boutique[[#This Row],[current_price]]</f>
        <v>0</v>
      </c>
      <c r="M1978" s="1">
        <v>45875</v>
      </c>
      <c r="N1978" s="1" t="str">
        <f>PROPER(TEXT(BBDD_fashion_boutique[[#This Row],[purchase_date]],"dddd"))</f>
        <v>Miércoles</v>
      </c>
      <c r="O1978" s="1" t="str">
        <f>PROPER(TEXT(BBDD_fashion_boutique[[#This Row],[purchase_date]],"mmmm"))</f>
        <v>Agosto</v>
      </c>
      <c r="P1978" s="4">
        <v>11</v>
      </c>
      <c r="R1978" t="str">
        <f>IF(BBDD_fashion_boutique[[#This Row],[stock_quantity]]&gt;9,"Ok",IF(BBDD_fashion_boutique[[#This Row],[stock_quantity]]=0,"Agotado","Pocas Unidades"))</f>
        <v>Ok</v>
      </c>
      <c r="S1978" s="3" t="str">
        <f>IF(BBDD_fashion_boutique[[#This Row],[customer_rating]]="","No valorado",BBDD_fashion_boutique[[#This Row],[customer_rating]])</f>
        <v>No valorado</v>
      </c>
      <c r="T1978" t="s">
        <v>24</v>
      </c>
      <c r="V1978">
        <f>IF(BBDD_fashion_boutique[[#This Row],[is_returned]]="False",0,1)</f>
        <v>0</v>
      </c>
      <c r="W1978">
        <f>IF(BBDD_fashion_boutique[[#This Row],[is_returned]]="True",0,BBDD_fashion_boutique[[#This Row],[current_price]])</f>
        <v>90.41</v>
      </c>
      <c r="X1978" t="str">
        <f>IF(BBDD_fashion_boutique[[#This Row],[return_reason]]="","No return",BBDD_fashion_boutique[[#This Row],[return_reason]])</f>
        <v>No return</v>
      </c>
      <c r="Y1978">
        <f>IF(IFERROR(VLOOKUP(BBDD_fashion_boutique[[#This Row],[product_id]],A1979:A4154,1,FALSE),0),1,0)</f>
        <v>0</v>
      </c>
    </row>
    <row r="1979" spans="1:25" x14ac:dyDescent="0.3">
      <c r="A1979" t="s">
        <v>2038</v>
      </c>
      <c r="B1979" t="s">
        <v>48</v>
      </c>
      <c r="C1979" t="s">
        <v>59</v>
      </c>
      <c r="D1979" t="s">
        <v>28</v>
      </c>
      <c r="E1979" t="s">
        <v>22</v>
      </c>
      <c r="F1979" t="str">
        <f>IF(BBDD_fashion_boutique[[#This Row],[category]]="Accessories","Accesorio",IF(BBDD_fashion_boutique[[#This Row],[size]]="","Desconocido",BBDD_fashion_boutique[[#This Row],[size]]))</f>
        <v>XL</v>
      </c>
      <c r="G1979" t="s">
        <v>40</v>
      </c>
      <c r="H1979" s="2">
        <v>81.78</v>
      </c>
      <c r="I1979">
        <v>10</v>
      </c>
      <c r="J1979" s="5">
        <f>BBDD_fashion_boutique[[#This Row],[markdown_percentage]]/100</f>
        <v>0.1</v>
      </c>
      <c r="K1979" s="2">
        <v>73.599999999999994</v>
      </c>
      <c r="L1979" s="2">
        <f>BBDD_fashion_boutique[[#This Row],[original_price]]-BBDD_fashion_boutique[[#This Row],[current_price]]</f>
        <v>8.1800000000000068</v>
      </c>
      <c r="M1979" s="1">
        <v>45875</v>
      </c>
      <c r="N1979" s="1" t="str">
        <f>PROPER(TEXT(BBDD_fashion_boutique[[#This Row],[purchase_date]],"dddd"))</f>
        <v>Miércoles</v>
      </c>
      <c r="O1979" s="1" t="str">
        <f>PROPER(TEXT(BBDD_fashion_boutique[[#This Row],[purchase_date]],"mmmm"))</f>
        <v>Agosto</v>
      </c>
      <c r="P1979" s="4">
        <v>24</v>
      </c>
      <c r="Q1979" s="2">
        <v>1.2</v>
      </c>
      <c r="R1979" t="str">
        <f>IF(BBDD_fashion_boutique[[#This Row],[stock_quantity]]&gt;9,"Ok",IF(BBDD_fashion_boutique[[#This Row],[stock_quantity]]=0,"Agotado","Pocas Unidades"))</f>
        <v>Ok</v>
      </c>
      <c r="S1979" s="3">
        <f>IF(BBDD_fashion_boutique[[#This Row],[customer_rating]]="","No valorado",BBDD_fashion_boutique[[#This Row],[customer_rating]])</f>
        <v>1.2</v>
      </c>
      <c r="T1979" t="s">
        <v>24</v>
      </c>
      <c r="V1979">
        <f>IF(BBDD_fashion_boutique[[#This Row],[is_returned]]="False",0,1)</f>
        <v>0</v>
      </c>
      <c r="W1979">
        <f>IF(BBDD_fashion_boutique[[#This Row],[is_returned]]="True",0,BBDD_fashion_boutique[[#This Row],[current_price]])</f>
        <v>73.599999999999994</v>
      </c>
      <c r="X1979" t="str">
        <f>IF(BBDD_fashion_boutique[[#This Row],[return_reason]]="","No return",BBDD_fashion_boutique[[#This Row],[return_reason]])</f>
        <v>No return</v>
      </c>
      <c r="Y1979">
        <f>IF(IFERROR(VLOOKUP(BBDD_fashion_boutique[[#This Row],[product_id]],A1980:A4155,1,FALSE),0),1,0)</f>
        <v>0</v>
      </c>
    </row>
    <row r="1980" spans="1:25" x14ac:dyDescent="0.3">
      <c r="A1980" t="s">
        <v>2039</v>
      </c>
      <c r="B1980" t="s">
        <v>19</v>
      </c>
      <c r="C1980" t="s">
        <v>81</v>
      </c>
      <c r="D1980" t="s">
        <v>28</v>
      </c>
      <c r="E1980" t="s">
        <v>29</v>
      </c>
      <c r="F1980" t="str">
        <f>IF(BBDD_fashion_boutique[[#This Row],[category]]="Accessories","Accesorio",IF(BBDD_fashion_boutique[[#This Row],[size]]="","Desconocido",BBDD_fashion_boutique[[#This Row],[size]]))</f>
        <v>L</v>
      </c>
      <c r="G1980" t="s">
        <v>33</v>
      </c>
      <c r="H1980" s="2">
        <v>142.55000000000001</v>
      </c>
      <c r="I1980">
        <v>0</v>
      </c>
      <c r="J1980" s="5">
        <f>BBDD_fashion_boutique[[#This Row],[markdown_percentage]]/100</f>
        <v>0</v>
      </c>
      <c r="K1980" s="2">
        <v>142.55000000000001</v>
      </c>
      <c r="L1980" s="2">
        <f>BBDD_fashion_boutique[[#This Row],[original_price]]-BBDD_fashion_boutique[[#This Row],[current_price]]</f>
        <v>0</v>
      </c>
      <c r="M1980" s="1">
        <v>45875</v>
      </c>
      <c r="N1980" s="1" t="str">
        <f>PROPER(TEXT(BBDD_fashion_boutique[[#This Row],[purchase_date]],"dddd"))</f>
        <v>Miércoles</v>
      </c>
      <c r="O1980" s="1" t="str">
        <f>PROPER(TEXT(BBDD_fashion_boutique[[#This Row],[purchase_date]],"mmmm"))</f>
        <v>Agosto</v>
      </c>
      <c r="P1980" s="4">
        <v>21</v>
      </c>
      <c r="Q1980" s="2">
        <v>4.5</v>
      </c>
      <c r="R1980" t="str">
        <f>IF(BBDD_fashion_boutique[[#This Row],[stock_quantity]]&gt;9,"Ok",IF(BBDD_fashion_boutique[[#This Row],[stock_quantity]]=0,"Agotado","Pocas Unidades"))</f>
        <v>Ok</v>
      </c>
      <c r="S1980" s="3">
        <f>IF(BBDD_fashion_boutique[[#This Row],[customer_rating]]="","No valorado",BBDD_fashion_boutique[[#This Row],[customer_rating]])</f>
        <v>4.5</v>
      </c>
      <c r="T1980" t="s">
        <v>24</v>
      </c>
      <c r="V1980">
        <f>IF(BBDD_fashion_boutique[[#This Row],[is_returned]]="False",0,1)</f>
        <v>0</v>
      </c>
      <c r="W1980">
        <f>IF(BBDD_fashion_boutique[[#This Row],[is_returned]]="True",0,BBDD_fashion_boutique[[#This Row],[current_price]])</f>
        <v>142.55000000000001</v>
      </c>
      <c r="X1980" t="str">
        <f>IF(BBDD_fashion_boutique[[#This Row],[return_reason]]="","No return",BBDD_fashion_boutique[[#This Row],[return_reason]])</f>
        <v>No return</v>
      </c>
      <c r="Y1980">
        <f>IF(IFERROR(VLOOKUP(BBDD_fashion_boutique[[#This Row],[product_id]],A1981:A4156,1,FALSE),0),1,0)</f>
        <v>0</v>
      </c>
    </row>
    <row r="1981" spans="1:25" x14ac:dyDescent="0.3">
      <c r="A1981" t="s">
        <v>2040</v>
      </c>
      <c r="B1981" t="s">
        <v>48</v>
      </c>
      <c r="C1981" t="s">
        <v>67</v>
      </c>
      <c r="D1981" t="s">
        <v>39</v>
      </c>
      <c r="E1981" t="s">
        <v>45</v>
      </c>
      <c r="F1981" t="str">
        <f>IF(BBDD_fashion_boutique[[#This Row],[category]]="Accessories","Accesorio",IF(BBDD_fashion_boutique[[#This Row],[size]]="","Desconocido",BBDD_fashion_boutique[[#This Row],[size]]))</f>
        <v>S</v>
      </c>
      <c r="G1981" t="s">
        <v>33</v>
      </c>
      <c r="H1981" s="2">
        <v>53.13</v>
      </c>
      <c r="I1981">
        <v>0</v>
      </c>
      <c r="J1981" s="5">
        <f>BBDD_fashion_boutique[[#This Row],[markdown_percentage]]/100</f>
        <v>0</v>
      </c>
      <c r="K1981" s="2">
        <v>53.13</v>
      </c>
      <c r="L1981" s="2">
        <f>BBDD_fashion_boutique[[#This Row],[original_price]]-BBDD_fashion_boutique[[#This Row],[current_price]]</f>
        <v>0</v>
      </c>
      <c r="M1981" s="1">
        <v>45875</v>
      </c>
      <c r="N1981" s="1" t="str">
        <f>PROPER(TEXT(BBDD_fashion_boutique[[#This Row],[purchase_date]],"dddd"))</f>
        <v>Miércoles</v>
      </c>
      <c r="O1981" s="1" t="str">
        <f>PROPER(TEXT(BBDD_fashion_boutique[[#This Row],[purchase_date]],"mmmm"))</f>
        <v>Agosto</v>
      </c>
      <c r="P1981" s="4">
        <v>5</v>
      </c>
      <c r="Q1981" s="2">
        <v>4.5999999999999996</v>
      </c>
      <c r="R1981" t="str">
        <f>IF(BBDD_fashion_boutique[[#This Row],[stock_quantity]]&gt;9,"Ok",IF(BBDD_fashion_boutique[[#This Row],[stock_quantity]]=0,"Agotado","Pocas Unidades"))</f>
        <v>Pocas Unidades</v>
      </c>
      <c r="S1981" s="3">
        <f>IF(BBDD_fashion_boutique[[#This Row],[customer_rating]]="","No valorado",BBDD_fashion_boutique[[#This Row],[customer_rating]])</f>
        <v>4.5999999999999996</v>
      </c>
      <c r="T1981" t="s">
        <v>24</v>
      </c>
      <c r="V1981">
        <f>IF(BBDD_fashion_boutique[[#This Row],[is_returned]]="False",0,1)</f>
        <v>0</v>
      </c>
      <c r="W1981">
        <f>IF(BBDD_fashion_boutique[[#This Row],[is_returned]]="True",0,BBDD_fashion_boutique[[#This Row],[current_price]])</f>
        <v>53.13</v>
      </c>
      <c r="X1981" t="str">
        <f>IF(BBDD_fashion_boutique[[#This Row],[return_reason]]="","No return",BBDD_fashion_boutique[[#This Row],[return_reason]])</f>
        <v>No return</v>
      </c>
      <c r="Y1981">
        <f>IF(IFERROR(VLOOKUP(BBDD_fashion_boutique[[#This Row],[product_id]],A1982:A4157,1,FALSE),0),1,0)</f>
        <v>0</v>
      </c>
    </row>
    <row r="1982" spans="1:25" x14ac:dyDescent="0.3">
      <c r="A1982" t="s">
        <v>2041</v>
      </c>
      <c r="B1982" t="s">
        <v>44</v>
      </c>
      <c r="C1982" t="s">
        <v>81</v>
      </c>
      <c r="D1982" t="s">
        <v>68</v>
      </c>
      <c r="E1982" t="s">
        <v>29</v>
      </c>
      <c r="F1982" t="str">
        <f>IF(BBDD_fashion_boutique[[#This Row],[category]]="Accessories","Accesorio",IF(BBDD_fashion_boutique[[#This Row],[size]]="","Desconocido",BBDD_fashion_boutique[[#This Row],[size]]))</f>
        <v>L</v>
      </c>
      <c r="G1982" t="s">
        <v>70</v>
      </c>
      <c r="H1982" s="2">
        <v>80.81</v>
      </c>
      <c r="I1982">
        <v>0</v>
      </c>
      <c r="J1982" s="5">
        <f>BBDD_fashion_boutique[[#This Row],[markdown_percentage]]/100</f>
        <v>0</v>
      </c>
      <c r="K1982" s="2">
        <v>80.81</v>
      </c>
      <c r="L1982" s="2">
        <f>BBDD_fashion_boutique[[#This Row],[original_price]]-BBDD_fashion_boutique[[#This Row],[current_price]]</f>
        <v>0</v>
      </c>
      <c r="M1982" s="1">
        <v>45875</v>
      </c>
      <c r="N1982" s="1" t="str">
        <f>PROPER(TEXT(BBDD_fashion_boutique[[#This Row],[purchase_date]],"dddd"))</f>
        <v>Miércoles</v>
      </c>
      <c r="O1982" s="1" t="str">
        <f>PROPER(TEXT(BBDD_fashion_boutique[[#This Row],[purchase_date]],"mmmm"))</f>
        <v>Agosto</v>
      </c>
      <c r="P1982" s="4">
        <v>15</v>
      </c>
      <c r="Q1982" s="2">
        <v>4.5999999999999996</v>
      </c>
      <c r="R1982" t="str">
        <f>IF(BBDD_fashion_boutique[[#This Row],[stock_quantity]]&gt;9,"Ok",IF(BBDD_fashion_boutique[[#This Row],[stock_quantity]]=0,"Agotado","Pocas Unidades"))</f>
        <v>Ok</v>
      </c>
      <c r="S1982" s="3">
        <f>IF(BBDD_fashion_boutique[[#This Row],[customer_rating]]="","No valorado",BBDD_fashion_boutique[[#This Row],[customer_rating]])</f>
        <v>4.5999999999999996</v>
      </c>
      <c r="T1982" t="s">
        <v>24</v>
      </c>
      <c r="V1982">
        <f>IF(BBDD_fashion_boutique[[#This Row],[is_returned]]="False",0,1)</f>
        <v>0</v>
      </c>
      <c r="W1982">
        <f>IF(BBDD_fashion_boutique[[#This Row],[is_returned]]="True",0,BBDD_fashion_boutique[[#This Row],[current_price]])</f>
        <v>80.81</v>
      </c>
      <c r="X1982" t="str">
        <f>IF(BBDD_fashion_boutique[[#This Row],[return_reason]]="","No return",BBDD_fashion_boutique[[#This Row],[return_reason]])</f>
        <v>No return</v>
      </c>
      <c r="Y1982">
        <f>IF(IFERROR(VLOOKUP(BBDD_fashion_boutique[[#This Row],[product_id]],A1983:A4158,1,FALSE),0),1,0)</f>
        <v>0</v>
      </c>
    </row>
    <row r="1983" spans="1:25" x14ac:dyDescent="0.3">
      <c r="A1983" t="s">
        <v>2042</v>
      </c>
      <c r="B1983" t="s">
        <v>26</v>
      </c>
      <c r="C1983" t="s">
        <v>27</v>
      </c>
      <c r="D1983" t="s">
        <v>39</v>
      </c>
      <c r="E1983" t="s">
        <v>64</v>
      </c>
      <c r="F1983" t="str">
        <f>IF(BBDD_fashion_boutique[[#This Row],[category]]="Accessories","Accesorio",IF(BBDD_fashion_boutique[[#This Row],[size]]="","Desconocido",BBDD_fashion_boutique[[#This Row],[size]]))</f>
        <v>M</v>
      </c>
      <c r="G1983" t="s">
        <v>70</v>
      </c>
      <c r="H1983" s="2">
        <v>89.39</v>
      </c>
      <c r="I1983">
        <v>0</v>
      </c>
      <c r="J1983" s="5">
        <f>BBDD_fashion_boutique[[#This Row],[markdown_percentage]]/100</f>
        <v>0</v>
      </c>
      <c r="K1983" s="2">
        <v>89.39</v>
      </c>
      <c r="L1983" s="2">
        <f>BBDD_fashion_boutique[[#This Row],[original_price]]-BBDD_fashion_boutique[[#This Row],[current_price]]</f>
        <v>0</v>
      </c>
      <c r="M1983" s="1">
        <v>45875</v>
      </c>
      <c r="N1983" s="1" t="str">
        <f>PROPER(TEXT(BBDD_fashion_boutique[[#This Row],[purchase_date]],"dddd"))</f>
        <v>Miércoles</v>
      </c>
      <c r="O1983" s="1" t="str">
        <f>PROPER(TEXT(BBDD_fashion_boutique[[#This Row],[purchase_date]],"mmmm"))</f>
        <v>Agosto</v>
      </c>
      <c r="P1983" s="4">
        <v>33</v>
      </c>
      <c r="Q1983" s="2">
        <v>4.2</v>
      </c>
      <c r="R1983" t="str">
        <f>IF(BBDD_fashion_boutique[[#This Row],[stock_quantity]]&gt;9,"Ok",IF(BBDD_fashion_boutique[[#This Row],[stock_quantity]]=0,"Agotado","Pocas Unidades"))</f>
        <v>Ok</v>
      </c>
      <c r="S1983" s="3">
        <f>IF(BBDD_fashion_boutique[[#This Row],[customer_rating]]="","No valorado",BBDD_fashion_boutique[[#This Row],[customer_rating]])</f>
        <v>4.2</v>
      </c>
      <c r="T1983" t="s">
        <v>24</v>
      </c>
      <c r="V1983">
        <f>IF(BBDD_fashion_boutique[[#This Row],[is_returned]]="False",0,1)</f>
        <v>0</v>
      </c>
      <c r="W1983">
        <f>IF(BBDD_fashion_boutique[[#This Row],[is_returned]]="True",0,BBDD_fashion_boutique[[#This Row],[current_price]])</f>
        <v>89.39</v>
      </c>
      <c r="X1983" t="str">
        <f>IF(BBDD_fashion_boutique[[#This Row],[return_reason]]="","No return",BBDD_fashion_boutique[[#This Row],[return_reason]])</f>
        <v>No return</v>
      </c>
      <c r="Y1983">
        <f>IF(IFERROR(VLOOKUP(BBDD_fashion_boutique[[#This Row],[product_id]],A1984:A4159,1,FALSE),0),1,0)</f>
        <v>0</v>
      </c>
    </row>
    <row r="1984" spans="1:25" x14ac:dyDescent="0.3">
      <c r="A1984" t="s">
        <v>2043</v>
      </c>
      <c r="B1984" t="s">
        <v>44</v>
      </c>
      <c r="C1984" t="s">
        <v>49</v>
      </c>
      <c r="D1984" t="s">
        <v>68</v>
      </c>
      <c r="E1984" t="s">
        <v>45</v>
      </c>
      <c r="F1984" t="str">
        <f>IF(BBDD_fashion_boutique[[#This Row],[category]]="Accessories","Accesorio",IF(BBDD_fashion_boutique[[#This Row],[size]]="","Desconocido",BBDD_fashion_boutique[[#This Row],[size]]))</f>
        <v>S</v>
      </c>
      <c r="G1984" t="s">
        <v>50</v>
      </c>
      <c r="H1984" s="2">
        <v>37.9</v>
      </c>
      <c r="I1984">
        <v>37.9</v>
      </c>
      <c r="J1984" s="5">
        <f>BBDD_fashion_boutique[[#This Row],[markdown_percentage]]/100</f>
        <v>0.379</v>
      </c>
      <c r="K1984" s="2">
        <v>23.54</v>
      </c>
      <c r="L1984" s="2">
        <f>BBDD_fashion_boutique[[#This Row],[original_price]]-BBDD_fashion_boutique[[#This Row],[current_price]]</f>
        <v>14.36</v>
      </c>
      <c r="M1984" s="1">
        <v>45875</v>
      </c>
      <c r="N1984" s="1" t="str">
        <f>PROPER(TEXT(BBDD_fashion_boutique[[#This Row],[purchase_date]],"dddd"))</f>
        <v>Miércoles</v>
      </c>
      <c r="O1984" s="1" t="str">
        <f>PROPER(TEXT(BBDD_fashion_boutique[[#This Row],[purchase_date]],"mmmm"))</f>
        <v>Agosto</v>
      </c>
      <c r="P1984" s="4">
        <v>34</v>
      </c>
      <c r="Q1984" s="2">
        <v>1.3</v>
      </c>
      <c r="R1984" t="str">
        <f>IF(BBDD_fashion_boutique[[#This Row],[stock_quantity]]&gt;9,"Ok",IF(BBDD_fashion_boutique[[#This Row],[stock_quantity]]=0,"Agotado","Pocas Unidades"))</f>
        <v>Ok</v>
      </c>
      <c r="S1984" s="3">
        <f>IF(BBDD_fashion_boutique[[#This Row],[customer_rating]]="","No valorado",BBDD_fashion_boutique[[#This Row],[customer_rating]])</f>
        <v>1.3</v>
      </c>
      <c r="T1984" t="s">
        <v>24</v>
      </c>
      <c r="V1984">
        <f>IF(BBDD_fashion_boutique[[#This Row],[is_returned]]="False",0,1)</f>
        <v>0</v>
      </c>
      <c r="W1984">
        <f>IF(BBDD_fashion_boutique[[#This Row],[is_returned]]="True",0,BBDD_fashion_boutique[[#This Row],[current_price]])</f>
        <v>23.54</v>
      </c>
      <c r="X1984" t="str">
        <f>IF(BBDD_fashion_boutique[[#This Row],[return_reason]]="","No return",BBDD_fashion_boutique[[#This Row],[return_reason]])</f>
        <v>No return</v>
      </c>
      <c r="Y1984">
        <f>IF(IFERROR(VLOOKUP(BBDD_fashion_boutique[[#This Row],[product_id]],A1985:A4160,1,FALSE),0),1,0)</f>
        <v>0</v>
      </c>
    </row>
    <row r="1985" spans="1:25" x14ac:dyDescent="0.3">
      <c r="A1985" t="s">
        <v>2044</v>
      </c>
      <c r="B1985" t="s">
        <v>32</v>
      </c>
      <c r="C1985" t="s">
        <v>49</v>
      </c>
      <c r="D1985" t="s">
        <v>21</v>
      </c>
      <c r="F1985" t="str">
        <f>IF(BBDD_fashion_boutique[[#This Row],[category]]="Accessories","Accesorio",IF(BBDD_fashion_boutique[[#This Row],[size]]="","Desconocido",BBDD_fashion_boutique[[#This Row],[size]]))</f>
        <v>Accesorio</v>
      </c>
      <c r="G1985" t="s">
        <v>76</v>
      </c>
      <c r="H1985" s="2">
        <v>44.49</v>
      </c>
      <c r="I1985">
        <v>0</v>
      </c>
      <c r="J1985" s="5">
        <f>BBDD_fashion_boutique[[#This Row],[markdown_percentage]]/100</f>
        <v>0</v>
      </c>
      <c r="K1985" s="2">
        <v>44.49</v>
      </c>
      <c r="L1985" s="2">
        <f>BBDD_fashion_boutique[[#This Row],[original_price]]-BBDD_fashion_boutique[[#This Row],[current_price]]</f>
        <v>0</v>
      </c>
      <c r="M1985" s="1">
        <v>45835</v>
      </c>
      <c r="N1985" s="1" t="str">
        <f>PROPER(TEXT(BBDD_fashion_boutique[[#This Row],[purchase_date]],"dddd"))</f>
        <v>Viernes</v>
      </c>
      <c r="O1985" s="1" t="str">
        <f>PROPER(TEXT(BBDD_fashion_boutique[[#This Row],[purchase_date]],"mmmm"))</f>
        <v>Junio</v>
      </c>
      <c r="P1985" s="4">
        <v>34</v>
      </c>
      <c r="Q1985" s="2">
        <v>2.1</v>
      </c>
      <c r="R1985" t="str">
        <f>IF(BBDD_fashion_boutique[[#This Row],[stock_quantity]]&gt;9,"Ok",IF(BBDD_fashion_boutique[[#This Row],[stock_quantity]]=0,"Agotado","Pocas Unidades"))</f>
        <v>Ok</v>
      </c>
      <c r="S1985" s="3">
        <f>IF(BBDD_fashion_boutique[[#This Row],[customer_rating]]="","No valorado",BBDD_fashion_boutique[[#This Row],[customer_rating]])</f>
        <v>2.1</v>
      </c>
      <c r="T1985" t="s">
        <v>24</v>
      </c>
      <c r="V1985">
        <f>IF(BBDD_fashion_boutique[[#This Row],[is_returned]]="False",0,1)</f>
        <v>0</v>
      </c>
      <c r="W1985">
        <f>IF(BBDD_fashion_boutique[[#This Row],[is_returned]]="True",0,BBDD_fashion_boutique[[#This Row],[current_price]])</f>
        <v>44.49</v>
      </c>
      <c r="X1985" t="str">
        <f>IF(BBDD_fashion_boutique[[#This Row],[return_reason]]="","No return",BBDD_fashion_boutique[[#This Row],[return_reason]])</f>
        <v>No return</v>
      </c>
      <c r="Y1985">
        <f>IF(IFERROR(VLOOKUP(BBDD_fashion_boutique[[#This Row],[product_id]],A1986:A4161,1,FALSE),0),1,0)</f>
        <v>0</v>
      </c>
    </row>
    <row r="1986" spans="1:25" x14ac:dyDescent="0.3">
      <c r="A1986" t="s">
        <v>2045</v>
      </c>
      <c r="B1986" t="s">
        <v>26</v>
      </c>
      <c r="C1986" t="s">
        <v>49</v>
      </c>
      <c r="D1986" t="s">
        <v>68</v>
      </c>
      <c r="E1986" t="s">
        <v>29</v>
      </c>
      <c r="F1986" t="str">
        <f>IF(BBDD_fashion_boutique[[#This Row],[category]]="Accessories","Accesorio",IF(BBDD_fashion_boutique[[#This Row],[size]]="","Desconocido",BBDD_fashion_boutique[[#This Row],[size]]))</f>
        <v>L</v>
      </c>
      <c r="G1986" t="s">
        <v>62</v>
      </c>
      <c r="H1986" s="2">
        <v>111.7</v>
      </c>
      <c r="I1986">
        <v>0</v>
      </c>
      <c r="J1986" s="5">
        <f>BBDD_fashion_boutique[[#This Row],[markdown_percentage]]/100</f>
        <v>0</v>
      </c>
      <c r="K1986" s="2">
        <v>111.7</v>
      </c>
      <c r="L1986" s="2">
        <f>BBDD_fashion_boutique[[#This Row],[original_price]]-BBDD_fashion_boutique[[#This Row],[current_price]]</f>
        <v>0</v>
      </c>
      <c r="M1986" s="1">
        <v>45875</v>
      </c>
      <c r="N1986" s="1" t="str">
        <f>PROPER(TEXT(BBDD_fashion_boutique[[#This Row],[purchase_date]],"dddd"))</f>
        <v>Miércoles</v>
      </c>
      <c r="O1986" s="1" t="str">
        <f>PROPER(TEXT(BBDD_fashion_boutique[[#This Row],[purchase_date]],"mmmm"))</f>
        <v>Agosto</v>
      </c>
      <c r="P1986" s="4">
        <v>2</v>
      </c>
      <c r="R1986" t="str">
        <f>IF(BBDD_fashion_boutique[[#This Row],[stock_quantity]]&gt;9,"Ok",IF(BBDD_fashion_boutique[[#This Row],[stock_quantity]]=0,"Agotado","Pocas Unidades"))</f>
        <v>Pocas Unidades</v>
      </c>
      <c r="S1986" s="3" t="str">
        <f>IF(BBDD_fashion_boutique[[#This Row],[customer_rating]]="","No valorado",BBDD_fashion_boutique[[#This Row],[customer_rating]])</f>
        <v>No valorado</v>
      </c>
      <c r="T1986" t="s">
        <v>41</v>
      </c>
      <c r="U1986" t="s">
        <v>79</v>
      </c>
      <c r="V1986">
        <f>IF(BBDD_fashion_boutique[[#This Row],[is_returned]]="False",0,1)</f>
        <v>1</v>
      </c>
      <c r="W1986">
        <f>IF(BBDD_fashion_boutique[[#This Row],[is_returned]]="True",0,BBDD_fashion_boutique[[#This Row],[current_price]])</f>
        <v>0</v>
      </c>
      <c r="X1986" t="str">
        <f>IF(BBDD_fashion_boutique[[#This Row],[return_reason]]="","No return",BBDD_fashion_boutique[[#This Row],[return_reason]])</f>
        <v>Size Issue</v>
      </c>
      <c r="Y1986">
        <f>IF(IFERROR(VLOOKUP(BBDD_fashion_boutique[[#This Row],[product_id]],A1987:A4162,1,FALSE),0),1,0)</f>
        <v>0</v>
      </c>
    </row>
    <row r="1987" spans="1:25" x14ac:dyDescent="0.3">
      <c r="A1987" t="s">
        <v>2046</v>
      </c>
      <c r="B1987" t="s">
        <v>26</v>
      </c>
      <c r="C1987" t="s">
        <v>54</v>
      </c>
      <c r="D1987" t="s">
        <v>21</v>
      </c>
      <c r="E1987" t="s">
        <v>29</v>
      </c>
      <c r="F1987" t="str">
        <f>IF(BBDD_fashion_boutique[[#This Row],[category]]="Accessories","Accesorio",IF(BBDD_fashion_boutique[[#This Row],[size]]="","Desconocido",BBDD_fashion_boutique[[#This Row],[size]]))</f>
        <v>L</v>
      </c>
      <c r="G1987" t="s">
        <v>70</v>
      </c>
      <c r="H1987" s="2">
        <v>109.76</v>
      </c>
      <c r="I1987">
        <v>0</v>
      </c>
      <c r="J1987" s="5">
        <f>BBDD_fashion_boutique[[#This Row],[markdown_percentage]]/100</f>
        <v>0</v>
      </c>
      <c r="K1987" s="2">
        <v>109.76</v>
      </c>
      <c r="L1987" s="2">
        <f>BBDD_fashion_boutique[[#This Row],[original_price]]-BBDD_fashion_boutique[[#This Row],[current_price]]</f>
        <v>0</v>
      </c>
      <c r="M1987" s="1">
        <v>45669</v>
      </c>
      <c r="N1987" s="1" t="str">
        <f>PROPER(TEXT(BBDD_fashion_boutique[[#This Row],[purchase_date]],"dddd"))</f>
        <v>Domingo</v>
      </c>
      <c r="O1987" s="1" t="str">
        <f>PROPER(TEXT(BBDD_fashion_boutique[[#This Row],[purchase_date]],"mmmm"))</f>
        <v>Enero</v>
      </c>
      <c r="P1987" s="4">
        <v>23</v>
      </c>
      <c r="Q1987" s="2">
        <v>2</v>
      </c>
      <c r="R1987" t="str">
        <f>IF(BBDD_fashion_boutique[[#This Row],[stock_quantity]]&gt;9,"Ok",IF(BBDD_fashion_boutique[[#This Row],[stock_quantity]]=0,"Agotado","Pocas Unidades"))</f>
        <v>Ok</v>
      </c>
      <c r="S1987" s="3">
        <f>IF(BBDD_fashion_boutique[[#This Row],[customer_rating]]="","No valorado",BBDD_fashion_boutique[[#This Row],[customer_rating]])</f>
        <v>2</v>
      </c>
      <c r="T1987" t="s">
        <v>41</v>
      </c>
      <c r="U1987" t="s">
        <v>89</v>
      </c>
      <c r="V1987">
        <f>IF(BBDD_fashion_boutique[[#This Row],[is_returned]]="False",0,1)</f>
        <v>1</v>
      </c>
      <c r="W1987">
        <f>IF(BBDD_fashion_boutique[[#This Row],[is_returned]]="True",0,BBDD_fashion_boutique[[#This Row],[current_price]])</f>
        <v>0</v>
      </c>
      <c r="X1987" t="str">
        <f>IF(BBDD_fashion_boutique[[#This Row],[return_reason]]="","No return",BBDD_fashion_boutique[[#This Row],[return_reason]])</f>
        <v>Quality Issue</v>
      </c>
      <c r="Y1987">
        <f>IF(IFERROR(VLOOKUP(BBDD_fashion_boutique[[#This Row],[product_id]],A1988:A4163,1,FALSE),0),1,0)</f>
        <v>0</v>
      </c>
    </row>
    <row r="1988" spans="1:25" x14ac:dyDescent="0.3">
      <c r="A1988" t="s">
        <v>2047</v>
      </c>
      <c r="B1988" t="s">
        <v>32</v>
      </c>
      <c r="C1988" t="s">
        <v>27</v>
      </c>
      <c r="D1988" t="s">
        <v>39</v>
      </c>
      <c r="F1988" t="str">
        <f>IF(BBDD_fashion_boutique[[#This Row],[category]]="Accessories","Accesorio",IF(BBDD_fashion_boutique[[#This Row],[size]]="","Desconocido",BBDD_fashion_boutique[[#This Row],[size]]))</f>
        <v>Accesorio</v>
      </c>
      <c r="G1988" t="s">
        <v>70</v>
      </c>
      <c r="H1988" s="2">
        <v>33</v>
      </c>
      <c r="I1988">
        <v>0</v>
      </c>
      <c r="J1988" s="5">
        <f>BBDD_fashion_boutique[[#This Row],[markdown_percentage]]/100</f>
        <v>0</v>
      </c>
      <c r="K1988" s="2">
        <v>33</v>
      </c>
      <c r="L1988" s="2">
        <f>BBDD_fashion_boutique[[#This Row],[original_price]]-BBDD_fashion_boutique[[#This Row],[current_price]]</f>
        <v>0</v>
      </c>
      <c r="M1988" s="1">
        <v>45875</v>
      </c>
      <c r="N1988" s="1" t="str">
        <f>PROPER(TEXT(BBDD_fashion_boutique[[#This Row],[purchase_date]],"dddd"))</f>
        <v>Miércoles</v>
      </c>
      <c r="O1988" s="1" t="str">
        <f>PROPER(TEXT(BBDD_fashion_boutique[[#This Row],[purchase_date]],"mmmm"))</f>
        <v>Agosto</v>
      </c>
      <c r="P1988" s="4">
        <v>50</v>
      </c>
      <c r="Q1988" s="2">
        <v>4</v>
      </c>
      <c r="R1988" t="str">
        <f>IF(BBDD_fashion_boutique[[#This Row],[stock_quantity]]&gt;9,"Ok",IF(BBDD_fashion_boutique[[#This Row],[stock_quantity]]=0,"Agotado","Pocas Unidades"))</f>
        <v>Ok</v>
      </c>
      <c r="S1988" s="3">
        <f>IF(BBDD_fashion_boutique[[#This Row],[customer_rating]]="","No valorado",BBDD_fashion_boutique[[#This Row],[customer_rating]])</f>
        <v>4</v>
      </c>
      <c r="T1988" t="s">
        <v>24</v>
      </c>
      <c r="V1988">
        <f>IF(BBDD_fashion_boutique[[#This Row],[is_returned]]="False",0,1)</f>
        <v>0</v>
      </c>
      <c r="W1988">
        <f>IF(BBDD_fashion_boutique[[#This Row],[is_returned]]="True",0,BBDD_fashion_boutique[[#This Row],[current_price]])</f>
        <v>33</v>
      </c>
      <c r="X1988" t="str">
        <f>IF(BBDD_fashion_boutique[[#This Row],[return_reason]]="","No return",BBDD_fashion_boutique[[#This Row],[return_reason]])</f>
        <v>No return</v>
      </c>
      <c r="Y1988">
        <f>IF(IFERROR(VLOOKUP(BBDD_fashion_boutique[[#This Row],[product_id]],A1989:A4164,1,FALSE),0),1,0)</f>
        <v>0</v>
      </c>
    </row>
    <row r="1989" spans="1:25" x14ac:dyDescent="0.3">
      <c r="A1989" t="s">
        <v>2048</v>
      </c>
      <c r="B1989" t="s">
        <v>35</v>
      </c>
      <c r="C1989" t="s">
        <v>59</v>
      </c>
      <c r="D1989" t="s">
        <v>28</v>
      </c>
      <c r="E1989" t="s">
        <v>64</v>
      </c>
      <c r="F1989" t="str">
        <f>IF(BBDD_fashion_boutique[[#This Row],[category]]="Accessories","Accesorio",IF(BBDD_fashion_boutique[[#This Row],[size]]="","Desconocido",BBDD_fashion_boutique[[#This Row],[size]]))</f>
        <v>M</v>
      </c>
      <c r="G1989" t="s">
        <v>52</v>
      </c>
      <c r="H1989" s="2">
        <v>150.65</v>
      </c>
      <c r="I1989">
        <v>8.9</v>
      </c>
      <c r="J1989" s="5">
        <f>BBDD_fashion_boutique[[#This Row],[markdown_percentage]]/100</f>
        <v>8.900000000000001E-2</v>
      </c>
      <c r="K1989" s="2">
        <v>137.24</v>
      </c>
      <c r="L1989" s="2">
        <f>BBDD_fashion_boutique[[#This Row],[original_price]]-BBDD_fashion_boutique[[#This Row],[current_price]]</f>
        <v>13.409999999999997</v>
      </c>
      <c r="M1989" s="1">
        <v>45875</v>
      </c>
      <c r="N1989" s="1" t="str">
        <f>PROPER(TEXT(BBDD_fashion_boutique[[#This Row],[purchase_date]],"dddd"))</f>
        <v>Miércoles</v>
      </c>
      <c r="O1989" s="1" t="str">
        <f>PROPER(TEXT(BBDD_fashion_boutique[[#This Row],[purchase_date]],"mmmm"))</f>
        <v>Agosto</v>
      </c>
      <c r="P1989" s="4">
        <v>43</v>
      </c>
      <c r="Q1989" s="2">
        <v>3.4</v>
      </c>
      <c r="R1989" t="str">
        <f>IF(BBDD_fashion_boutique[[#This Row],[stock_quantity]]&gt;9,"Ok",IF(BBDD_fashion_boutique[[#This Row],[stock_quantity]]=0,"Agotado","Pocas Unidades"))</f>
        <v>Ok</v>
      </c>
      <c r="S1989" s="3">
        <f>IF(BBDD_fashion_boutique[[#This Row],[customer_rating]]="","No valorado",BBDD_fashion_boutique[[#This Row],[customer_rating]])</f>
        <v>3.4</v>
      </c>
      <c r="T1989" t="s">
        <v>24</v>
      </c>
      <c r="V1989">
        <f>IF(BBDD_fashion_boutique[[#This Row],[is_returned]]="False",0,1)</f>
        <v>0</v>
      </c>
      <c r="W1989">
        <f>IF(BBDD_fashion_boutique[[#This Row],[is_returned]]="True",0,BBDD_fashion_boutique[[#This Row],[current_price]])</f>
        <v>137.24</v>
      </c>
      <c r="X1989" t="str">
        <f>IF(BBDD_fashion_boutique[[#This Row],[return_reason]]="","No return",BBDD_fashion_boutique[[#This Row],[return_reason]])</f>
        <v>No return</v>
      </c>
      <c r="Y1989">
        <f>IF(IFERROR(VLOOKUP(BBDD_fashion_boutique[[#This Row],[product_id]],A1990:A4165,1,FALSE),0),1,0)</f>
        <v>0</v>
      </c>
    </row>
    <row r="1990" spans="1:25" x14ac:dyDescent="0.3">
      <c r="A1990" t="s">
        <v>2049</v>
      </c>
      <c r="B1990" t="s">
        <v>44</v>
      </c>
      <c r="C1990" t="s">
        <v>20</v>
      </c>
      <c r="D1990" t="s">
        <v>39</v>
      </c>
      <c r="E1990" t="s">
        <v>45</v>
      </c>
      <c r="F1990" t="str">
        <f>IF(BBDD_fashion_boutique[[#This Row],[category]]="Accessories","Accesorio",IF(BBDD_fashion_boutique[[#This Row],[size]]="","Desconocido",BBDD_fashion_boutique[[#This Row],[size]]))</f>
        <v>S</v>
      </c>
      <c r="G1990" t="s">
        <v>52</v>
      </c>
      <c r="H1990" s="2">
        <v>66.34</v>
      </c>
      <c r="I1990">
        <v>19</v>
      </c>
      <c r="J1990" s="5">
        <f>BBDD_fashion_boutique[[#This Row],[markdown_percentage]]/100</f>
        <v>0.19</v>
      </c>
      <c r="K1990" s="2">
        <v>53.74</v>
      </c>
      <c r="L1990" s="2">
        <f>BBDD_fashion_boutique[[#This Row],[original_price]]-BBDD_fashion_boutique[[#This Row],[current_price]]</f>
        <v>12.600000000000001</v>
      </c>
      <c r="M1990" s="1">
        <v>45875</v>
      </c>
      <c r="N1990" s="1" t="str">
        <f>PROPER(TEXT(BBDD_fashion_boutique[[#This Row],[purchase_date]],"dddd"))</f>
        <v>Miércoles</v>
      </c>
      <c r="O1990" s="1" t="str">
        <f>PROPER(TEXT(BBDD_fashion_boutique[[#This Row],[purchase_date]],"mmmm"))</f>
        <v>Agosto</v>
      </c>
      <c r="P1990" s="4">
        <v>42</v>
      </c>
      <c r="Q1990" s="2">
        <v>1.9</v>
      </c>
      <c r="R1990" t="str">
        <f>IF(BBDD_fashion_boutique[[#This Row],[stock_quantity]]&gt;9,"Ok",IF(BBDD_fashion_boutique[[#This Row],[stock_quantity]]=0,"Agotado","Pocas Unidades"))</f>
        <v>Ok</v>
      </c>
      <c r="S1990" s="3">
        <f>IF(BBDD_fashion_boutique[[#This Row],[customer_rating]]="","No valorado",BBDD_fashion_boutique[[#This Row],[customer_rating]])</f>
        <v>1.9</v>
      </c>
      <c r="T1990" t="s">
        <v>24</v>
      </c>
      <c r="V1990">
        <f>IF(BBDD_fashion_boutique[[#This Row],[is_returned]]="False",0,1)</f>
        <v>0</v>
      </c>
      <c r="W1990">
        <f>IF(BBDD_fashion_boutique[[#This Row],[is_returned]]="True",0,BBDD_fashion_boutique[[#This Row],[current_price]])</f>
        <v>53.74</v>
      </c>
      <c r="X1990" t="str">
        <f>IF(BBDD_fashion_boutique[[#This Row],[return_reason]]="","No return",BBDD_fashion_boutique[[#This Row],[return_reason]])</f>
        <v>No return</v>
      </c>
      <c r="Y1990">
        <f>IF(IFERROR(VLOOKUP(BBDD_fashion_boutique[[#This Row],[product_id]],A1991:A4166,1,FALSE),0),1,0)</f>
        <v>0</v>
      </c>
    </row>
    <row r="1991" spans="1:25" x14ac:dyDescent="0.3">
      <c r="A1991" t="s">
        <v>2050</v>
      </c>
      <c r="B1991" t="s">
        <v>44</v>
      </c>
      <c r="C1991" t="s">
        <v>67</v>
      </c>
      <c r="D1991" t="s">
        <v>21</v>
      </c>
      <c r="E1991" t="s">
        <v>64</v>
      </c>
      <c r="F1991" t="str">
        <f>IF(BBDD_fashion_boutique[[#This Row],[category]]="Accessories","Accesorio",IF(BBDD_fashion_boutique[[#This Row],[size]]="","Desconocido",BBDD_fashion_boutique[[#This Row],[size]]))</f>
        <v>M</v>
      </c>
      <c r="G1991" t="s">
        <v>30</v>
      </c>
      <c r="H1991" s="2">
        <v>27.89</v>
      </c>
      <c r="I1991">
        <v>17.399999999999999</v>
      </c>
      <c r="J1991" s="5">
        <f>BBDD_fashion_boutique[[#This Row],[markdown_percentage]]/100</f>
        <v>0.17399999999999999</v>
      </c>
      <c r="K1991" s="2">
        <v>23.04</v>
      </c>
      <c r="L1991" s="2">
        <f>BBDD_fashion_boutique[[#This Row],[original_price]]-BBDD_fashion_boutique[[#This Row],[current_price]]</f>
        <v>4.8500000000000014</v>
      </c>
      <c r="M1991" s="1">
        <v>45541</v>
      </c>
      <c r="N1991" s="1" t="str">
        <f>PROPER(TEXT(BBDD_fashion_boutique[[#This Row],[purchase_date]],"dddd"))</f>
        <v>Viernes</v>
      </c>
      <c r="O1991" s="1" t="str">
        <f>PROPER(TEXT(BBDD_fashion_boutique[[#This Row],[purchase_date]],"mmmm"))</f>
        <v>Septiembre</v>
      </c>
      <c r="P1991" s="4">
        <v>43</v>
      </c>
      <c r="Q1991" s="2">
        <v>2.1</v>
      </c>
      <c r="R1991" t="str">
        <f>IF(BBDD_fashion_boutique[[#This Row],[stock_quantity]]&gt;9,"Ok",IF(BBDD_fashion_boutique[[#This Row],[stock_quantity]]=0,"Agotado","Pocas Unidades"))</f>
        <v>Ok</v>
      </c>
      <c r="S1991" s="3">
        <f>IF(BBDD_fashion_boutique[[#This Row],[customer_rating]]="","No valorado",BBDD_fashion_boutique[[#This Row],[customer_rating]])</f>
        <v>2.1</v>
      </c>
      <c r="T1991" t="s">
        <v>24</v>
      </c>
      <c r="V1991">
        <f>IF(BBDD_fashion_boutique[[#This Row],[is_returned]]="False",0,1)</f>
        <v>0</v>
      </c>
      <c r="W1991">
        <f>IF(BBDD_fashion_boutique[[#This Row],[is_returned]]="True",0,BBDD_fashion_boutique[[#This Row],[current_price]])</f>
        <v>23.04</v>
      </c>
      <c r="X1991" t="str">
        <f>IF(BBDD_fashion_boutique[[#This Row],[return_reason]]="","No return",BBDD_fashion_boutique[[#This Row],[return_reason]])</f>
        <v>No return</v>
      </c>
      <c r="Y1991">
        <f>IF(IFERROR(VLOOKUP(BBDD_fashion_boutique[[#This Row],[product_id]],A1992:A4167,1,FALSE),0),1,0)</f>
        <v>0</v>
      </c>
    </row>
    <row r="1992" spans="1:25" x14ac:dyDescent="0.3">
      <c r="A1992" t="s">
        <v>2051</v>
      </c>
      <c r="B1992" t="s">
        <v>32</v>
      </c>
      <c r="C1992" t="s">
        <v>27</v>
      </c>
      <c r="D1992" t="s">
        <v>68</v>
      </c>
      <c r="F1992" t="str">
        <f>IF(BBDD_fashion_boutique[[#This Row],[category]]="Accessories","Accesorio",IF(BBDD_fashion_boutique[[#This Row],[size]]="","Desconocido",BBDD_fashion_boutique[[#This Row],[size]]))</f>
        <v>Accesorio</v>
      </c>
      <c r="G1992" t="s">
        <v>46</v>
      </c>
      <c r="H1992" s="2">
        <v>60.18</v>
      </c>
      <c r="I1992">
        <v>0</v>
      </c>
      <c r="J1992" s="5">
        <f>BBDD_fashion_boutique[[#This Row],[markdown_percentage]]/100</f>
        <v>0</v>
      </c>
      <c r="K1992" s="2">
        <v>60.18</v>
      </c>
      <c r="L1992" s="2">
        <f>BBDD_fashion_boutique[[#This Row],[original_price]]-BBDD_fashion_boutique[[#This Row],[current_price]]</f>
        <v>0</v>
      </c>
      <c r="M1992" s="1">
        <v>45875</v>
      </c>
      <c r="N1992" s="1" t="str">
        <f>PROPER(TEXT(BBDD_fashion_boutique[[#This Row],[purchase_date]],"dddd"))</f>
        <v>Miércoles</v>
      </c>
      <c r="O1992" s="1" t="str">
        <f>PROPER(TEXT(BBDD_fashion_boutique[[#This Row],[purchase_date]],"mmmm"))</f>
        <v>Agosto</v>
      </c>
      <c r="P1992" s="4">
        <v>36</v>
      </c>
      <c r="Q1992" s="2">
        <v>1.4</v>
      </c>
      <c r="R1992" t="str">
        <f>IF(BBDD_fashion_boutique[[#This Row],[stock_quantity]]&gt;9,"Ok",IF(BBDD_fashion_boutique[[#This Row],[stock_quantity]]=0,"Agotado","Pocas Unidades"))</f>
        <v>Ok</v>
      </c>
      <c r="S1992" s="3">
        <f>IF(BBDD_fashion_boutique[[#This Row],[customer_rating]]="","No valorado",BBDD_fashion_boutique[[#This Row],[customer_rating]])</f>
        <v>1.4</v>
      </c>
      <c r="T1992" t="s">
        <v>24</v>
      </c>
      <c r="V1992">
        <f>IF(BBDD_fashion_boutique[[#This Row],[is_returned]]="False",0,1)</f>
        <v>0</v>
      </c>
      <c r="W1992">
        <f>IF(BBDD_fashion_boutique[[#This Row],[is_returned]]="True",0,BBDD_fashion_boutique[[#This Row],[current_price]])</f>
        <v>60.18</v>
      </c>
      <c r="X1992" t="str">
        <f>IF(BBDD_fashion_boutique[[#This Row],[return_reason]]="","No return",BBDD_fashion_boutique[[#This Row],[return_reason]])</f>
        <v>No return</v>
      </c>
      <c r="Y1992">
        <f>IF(IFERROR(VLOOKUP(BBDD_fashion_boutique[[#This Row],[product_id]],A1993:A4168,1,FALSE),0),1,0)</f>
        <v>0</v>
      </c>
    </row>
    <row r="1993" spans="1:25" x14ac:dyDescent="0.3">
      <c r="A1993" t="s">
        <v>2052</v>
      </c>
      <c r="B1993" t="s">
        <v>26</v>
      </c>
      <c r="C1993" t="s">
        <v>20</v>
      </c>
      <c r="D1993" t="s">
        <v>39</v>
      </c>
      <c r="E1993" t="s">
        <v>22</v>
      </c>
      <c r="F1993" t="str">
        <f>IF(BBDD_fashion_boutique[[#This Row],[category]]="Accessories","Accesorio",IF(BBDD_fashion_boutique[[#This Row],[size]]="","Desconocido",BBDD_fashion_boutique[[#This Row],[size]]))</f>
        <v>XL</v>
      </c>
      <c r="G1993" t="s">
        <v>23</v>
      </c>
      <c r="H1993" s="2">
        <v>54.26</v>
      </c>
      <c r="I1993">
        <v>18.399999999999999</v>
      </c>
      <c r="J1993" s="5">
        <f>BBDD_fashion_boutique[[#This Row],[markdown_percentage]]/100</f>
        <v>0.184</v>
      </c>
      <c r="K1993" s="2">
        <v>44.28</v>
      </c>
      <c r="L1993" s="2">
        <f>BBDD_fashion_boutique[[#This Row],[original_price]]-BBDD_fashion_boutique[[#This Row],[current_price]]</f>
        <v>9.9799999999999969</v>
      </c>
      <c r="M1993" s="1">
        <v>45875</v>
      </c>
      <c r="N1993" s="1" t="str">
        <f>PROPER(TEXT(BBDD_fashion_boutique[[#This Row],[purchase_date]],"dddd"))</f>
        <v>Miércoles</v>
      </c>
      <c r="O1993" s="1" t="str">
        <f>PROPER(TEXT(BBDD_fashion_boutique[[#This Row],[purchase_date]],"mmmm"))</f>
        <v>Agosto</v>
      </c>
      <c r="P1993" s="4">
        <v>29</v>
      </c>
      <c r="Q1993" s="2">
        <v>2.6</v>
      </c>
      <c r="R1993" t="str">
        <f>IF(BBDD_fashion_boutique[[#This Row],[stock_quantity]]&gt;9,"Ok",IF(BBDD_fashion_boutique[[#This Row],[stock_quantity]]=0,"Agotado","Pocas Unidades"))</f>
        <v>Ok</v>
      </c>
      <c r="S1993" s="3">
        <f>IF(BBDD_fashion_boutique[[#This Row],[customer_rating]]="","No valorado",BBDD_fashion_boutique[[#This Row],[customer_rating]])</f>
        <v>2.6</v>
      </c>
      <c r="T1993" t="s">
        <v>24</v>
      </c>
      <c r="V1993">
        <f>IF(BBDD_fashion_boutique[[#This Row],[is_returned]]="False",0,1)</f>
        <v>0</v>
      </c>
      <c r="W1993">
        <f>IF(BBDD_fashion_boutique[[#This Row],[is_returned]]="True",0,BBDD_fashion_boutique[[#This Row],[current_price]])</f>
        <v>44.28</v>
      </c>
      <c r="X1993" t="str">
        <f>IF(BBDD_fashion_boutique[[#This Row],[return_reason]]="","No return",BBDD_fashion_boutique[[#This Row],[return_reason]])</f>
        <v>No return</v>
      </c>
      <c r="Y1993">
        <f>IF(IFERROR(VLOOKUP(BBDD_fashion_boutique[[#This Row],[product_id]],A1994:A4169,1,FALSE),0),1,0)</f>
        <v>0</v>
      </c>
    </row>
    <row r="1994" spans="1:25" x14ac:dyDescent="0.3">
      <c r="A1994" t="s">
        <v>2053</v>
      </c>
      <c r="B1994" t="s">
        <v>35</v>
      </c>
      <c r="C1994" t="s">
        <v>27</v>
      </c>
      <c r="D1994" t="s">
        <v>21</v>
      </c>
      <c r="E1994" t="s">
        <v>45</v>
      </c>
      <c r="F1994" t="str">
        <f>IF(BBDD_fashion_boutique[[#This Row],[category]]="Accessories","Accesorio",IF(BBDD_fashion_boutique[[#This Row],[size]]="","Desconocido",BBDD_fashion_boutique[[#This Row],[size]]))</f>
        <v>S</v>
      </c>
      <c r="G1994" t="s">
        <v>23</v>
      </c>
      <c r="H1994" s="2">
        <v>78.44</v>
      </c>
      <c r="I1994">
        <v>0</v>
      </c>
      <c r="J1994" s="5">
        <f>BBDD_fashion_boutique[[#This Row],[markdown_percentage]]/100</f>
        <v>0</v>
      </c>
      <c r="K1994" s="2">
        <v>78.44</v>
      </c>
      <c r="L1994" s="2">
        <f>BBDD_fashion_boutique[[#This Row],[original_price]]-BBDD_fashion_boutique[[#This Row],[current_price]]</f>
        <v>0</v>
      </c>
      <c r="M1994" s="1">
        <v>45555</v>
      </c>
      <c r="N1994" s="1" t="str">
        <f>PROPER(TEXT(BBDD_fashion_boutique[[#This Row],[purchase_date]],"dddd"))</f>
        <v>Viernes</v>
      </c>
      <c r="O1994" s="1" t="str">
        <f>PROPER(TEXT(BBDD_fashion_boutique[[#This Row],[purchase_date]],"mmmm"))</f>
        <v>Septiembre</v>
      </c>
      <c r="P1994" s="4">
        <v>42</v>
      </c>
      <c r="R1994" t="str">
        <f>IF(BBDD_fashion_boutique[[#This Row],[stock_quantity]]&gt;9,"Ok",IF(BBDD_fashion_boutique[[#This Row],[stock_quantity]]=0,"Agotado","Pocas Unidades"))</f>
        <v>Ok</v>
      </c>
      <c r="S1994" s="3" t="str">
        <f>IF(BBDD_fashion_boutique[[#This Row],[customer_rating]]="","No valorado",BBDD_fashion_boutique[[#This Row],[customer_rating]])</f>
        <v>No valorado</v>
      </c>
      <c r="T1994" t="s">
        <v>41</v>
      </c>
      <c r="U1994" t="s">
        <v>89</v>
      </c>
      <c r="V1994">
        <f>IF(BBDD_fashion_boutique[[#This Row],[is_returned]]="False",0,1)</f>
        <v>1</v>
      </c>
      <c r="W1994">
        <f>IF(BBDD_fashion_boutique[[#This Row],[is_returned]]="True",0,BBDD_fashion_boutique[[#This Row],[current_price]])</f>
        <v>0</v>
      </c>
      <c r="X1994" t="str">
        <f>IF(BBDD_fashion_boutique[[#This Row],[return_reason]]="","No return",BBDD_fashion_boutique[[#This Row],[return_reason]])</f>
        <v>Quality Issue</v>
      </c>
      <c r="Y1994">
        <f>IF(IFERROR(VLOOKUP(BBDD_fashion_boutique[[#This Row],[product_id]],A1995:A4170,1,FALSE),0),1,0)</f>
        <v>0</v>
      </c>
    </row>
    <row r="1995" spans="1:25" x14ac:dyDescent="0.3">
      <c r="A1995" t="s">
        <v>2054</v>
      </c>
      <c r="B1995" t="s">
        <v>19</v>
      </c>
      <c r="C1995" t="s">
        <v>54</v>
      </c>
      <c r="D1995" t="s">
        <v>39</v>
      </c>
      <c r="E1995" t="s">
        <v>61</v>
      </c>
      <c r="F1995" t="str">
        <f>IF(BBDD_fashion_boutique[[#This Row],[category]]="Accessories","Accesorio",IF(BBDD_fashion_boutique[[#This Row],[size]]="","Desconocido",BBDD_fashion_boutique[[#This Row],[size]]))</f>
        <v>XS</v>
      </c>
      <c r="G1995" t="s">
        <v>33</v>
      </c>
      <c r="H1995" s="2">
        <v>183.05</v>
      </c>
      <c r="I1995">
        <v>0</v>
      </c>
      <c r="J1995" s="5">
        <f>BBDD_fashion_boutique[[#This Row],[markdown_percentage]]/100</f>
        <v>0</v>
      </c>
      <c r="K1995" s="2">
        <v>183.05</v>
      </c>
      <c r="L1995" s="2">
        <f>BBDD_fashion_boutique[[#This Row],[original_price]]-BBDD_fashion_boutique[[#This Row],[current_price]]</f>
        <v>0</v>
      </c>
      <c r="M1995" s="1">
        <v>45875</v>
      </c>
      <c r="N1995" s="1" t="str">
        <f>PROPER(TEXT(BBDD_fashion_boutique[[#This Row],[purchase_date]],"dddd"))</f>
        <v>Miércoles</v>
      </c>
      <c r="O1995" s="1" t="str">
        <f>PROPER(TEXT(BBDD_fashion_boutique[[#This Row],[purchase_date]],"mmmm"))</f>
        <v>Agosto</v>
      </c>
      <c r="P1995" s="4">
        <v>4</v>
      </c>
      <c r="Q1995" s="2">
        <v>4.5999999999999996</v>
      </c>
      <c r="R1995" t="str">
        <f>IF(BBDD_fashion_boutique[[#This Row],[stock_quantity]]&gt;9,"Ok",IF(BBDD_fashion_boutique[[#This Row],[stock_quantity]]=0,"Agotado","Pocas Unidades"))</f>
        <v>Pocas Unidades</v>
      </c>
      <c r="S1995" s="3">
        <f>IF(BBDD_fashion_boutique[[#This Row],[customer_rating]]="","No valorado",BBDD_fashion_boutique[[#This Row],[customer_rating]])</f>
        <v>4.5999999999999996</v>
      </c>
      <c r="T1995" t="s">
        <v>24</v>
      </c>
      <c r="V1995">
        <f>IF(BBDD_fashion_boutique[[#This Row],[is_returned]]="False",0,1)</f>
        <v>0</v>
      </c>
      <c r="W1995">
        <f>IF(BBDD_fashion_boutique[[#This Row],[is_returned]]="True",0,BBDD_fashion_boutique[[#This Row],[current_price]])</f>
        <v>183.05</v>
      </c>
      <c r="X1995" t="str">
        <f>IF(BBDD_fashion_boutique[[#This Row],[return_reason]]="","No return",BBDD_fashion_boutique[[#This Row],[return_reason]])</f>
        <v>No return</v>
      </c>
      <c r="Y1995">
        <f>IF(IFERROR(VLOOKUP(BBDD_fashion_boutique[[#This Row],[product_id]],A1996:A4171,1,FALSE),0),1,0)</f>
        <v>0</v>
      </c>
    </row>
    <row r="1996" spans="1:25" x14ac:dyDescent="0.3">
      <c r="A1996" t="s">
        <v>2055</v>
      </c>
      <c r="B1996" t="s">
        <v>35</v>
      </c>
      <c r="C1996" t="s">
        <v>27</v>
      </c>
      <c r="D1996" t="s">
        <v>21</v>
      </c>
      <c r="E1996" t="s">
        <v>64</v>
      </c>
      <c r="F1996" t="str">
        <f>IF(BBDD_fashion_boutique[[#This Row],[category]]="Accessories","Accesorio",IF(BBDD_fashion_boutique[[#This Row],[size]]="","Desconocido",BBDD_fashion_boutique[[#This Row],[size]]))</f>
        <v>M</v>
      </c>
      <c r="G1996" t="s">
        <v>46</v>
      </c>
      <c r="H1996" s="2">
        <v>76.3</v>
      </c>
      <c r="I1996">
        <v>0</v>
      </c>
      <c r="J1996" s="5">
        <f>BBDD_fashion_boutique[[#This Row],[markdown_percentage]]/100</f>
        <v>0</v>
      </c>
      <c r="K1996" s="2">
        <v>76.3</v>
      </c>
      <c r="L1996" s="2">
        <f>BBDD_fashion_boutique[[#This Row],[original_price]]-BBDD_fashion_boutique[[#This Row],[current_price]]</f>
        <v>0</v>
      </c>
      <c r="M1996" s="1">
        <v>45841</v>
      </c>
      <c r="N1996" s="1" t="str">
        <f>PROPER(TEXT(BBDD_fashion_boutique[[#This Row],[purchase_date]],"dddd"))</f>
        <v>Jueves</v>
      </c>
      <c r="O1996" s="1" t="str">
        <f>PROPER(TEXT(BBDD_fashion_boutique[[#This Row],[purchase_date]],"mmmm"))</f>
        <v>Julio</v>
      </c>
      <c r="P1996" s="4">
        <v>35</v>
      </c>
      <c r="Q1996" s="2">
        <v>2.6</v>
      </c>
      <c r="R1996" t="str">
        <f>IF(BBDD_fashion_boutique[[#This Row],[stock_quantity]]&gt;9,"Ok",IF(BBDD_fashion_boutique[[#This Row],[stock_quantity]]=0,"Agotado","Pocas Unidades"))</f>
        <v>Ok</v>
      </c>
      <c r="S1996" s="3">
        <f>IF(BBDD_fashion_boutique[[#This Row],[customer_rating]]="","No valorado",BBDD_fashion_boutique[[#This Row],[customer_rating]])</f>
        <v>2.6</v>
      </c>
      <c r="T1996" t="s">
        <v>24</v>
      </c>
      <c r="V1996">
        <f>IF(BBDD_fashion_boutique[[#This Row],[is_returned]]="False",0,1)</f>
        <v>0</v>
      </c>
      <c r="W1996">
        <f>IF(BBDD_fashion_boutique[[#This Row],[is_returned]]="True",0,BBDD_fashion_boutique[[#This Row],[current_price]])</f>
        <v>76.3</v>
      </c>
      <c r="X1996" t="str">
        <f>IF(BBDD_fashion_boutique[[#This Row],[return_reason]]="","No return",BBDD_fashion_boutique[[#This Row],[return_reason]])</f>
        <v>No return</v>
      </c>
      <c r="Y1996">
        <f>IF(IFERROR(VLOOKUP(BBDD_fashion_boutique[[#This Row],[product_id]],A1997:A4172,1,FALSE),0),1,0)</f>
        <v>0</v>
      </c>
    </row>
    <row r="1997" spans="1:25" x14ac:dyDescent="0.3">
      <c r="A1997" t="s">
        <v>2056</v>
      </c>
      <c r="B1997" t="s">
        <v>26</v>
      </c>
      <c r="C1997" t="s">
        <v>20</v>
      </c>
      <c r="D1997" t="s">
        <v>21</v>
      </c>
      <c r="E1997" t="s">
        <v>61</v>
      </c>
      <c r="F1997" t="str">
        <f>IF(BBDD_fashion_boutique[[#This Row],[category]]="Accessories","Accesorio",IF(BBDD_fashion_boutique[[#This Row],[size]]="","Desconocido",BBDD_fashion_boutique[[#This Row],[size]]))</f>
        <v>XS</v>
      </c>
      <c r="G1997" t="s">
        <v>72</v>
      </c>
      <c r="H1997" s="2">
        <v>84.21</v>
      </c>
      <c r="I1997">
        <v>0</v>
      </c>
      <c r="J1997" s="5">
        <f>BBDD_fashion_boutique[[#This Row],[markdown_percentage]]/100</f>
        <v>0</v>
      </c>
      <c r="K1997" s="2">
        <v>84.21</v>
      </c>
      <c r="L1997" s="2">
        <f>BBDD_fashion_boutique[[#This Row],[original_price]]-BBDD_fashion_boutique[[#This Row],[current_price]]</f>
        <v>0</v>
      </c>
      <c r="M1997" s="1">
        <v>45672</v>
      </c>
      <c r="N1997" s="1" t="str">
        <f>PROPER(TEXT(BBDD_fashion_boutique[[#This Row],[purchase_date]],"dddd"))</f>
        <v>Miércoles</v>
      </c>
      <c r="O1997" s="1" t="str">
        <f>PROPER(TEXT(BBDD_fashion_boutique[[#This Row],[purchase_date]],"mmmm"))</f>
        <v>Enero</v>
      </c>
      <c r="P1997" s="4">
        <v>43</v>
      </c>
      <c r="Q1997" s="2">
        <v>3.4</v>
      </c>
      <c r="R1997" t="str">
        <f>IF(BBDD_fashion_boutique[[#This Row],[stock_quantity]]&gt;9,"Ok",IF(BBDD_fashion_boutique[[#This Row],[stock_quantity]]=0,"Agotado","Pocas Unidades"))</f>
        <v>Ok</v>
      </c>
      <c r="S1997" s="3">
        <f>IF(BBDD_fashion_boutique[[#This Row],[customer_rating]]="","No valorado",BBDD_fashion_boutique[[#This Row],[customer_rating]])</f>
        <v>3.4</v>
      </c>
      <c r="T1997" t="s">
        <v>24</v>
      </c>
      <c r="V1997">
        <f>IF(BBDD_fashion_boutique[[#This Row],[is_returned]]="False",0,1)</f>
        <v>0</v>
      </c>
      <c r="W1997">
        <f>IF(BBDD_fashion_boutique[[#This Row],[is_returned]]="True",0,BBDD_fashion_boutique[[#This Row],[current_price]])</f>
        <v>84.21</v>
      </c>
      <c r="X1997" t="str">
        <f>IF(BBDD_fashion_boutique[[#This Row],[return_reason]]="","No return",BBDD_fashion_boutique[[#This Row],[return_reason]])</f>
        <v>No return</v>
      </c>
      <c r="Y1997">
        <f>IF(IFERROR(VLOOKUP(BBDD_fashion_boutique[[#This Row],[product_id]],A1998:A4173,1,FALSE),0),1,0)</f>
        <v>0</v>
      </c>
    </row>
    <row r="1998" spans="1:25" x14ac:dyDescent="0.3">
      <c r="A1998" t="s">
        <v>2057</v>
      </c>
      <c r="B1998" t="s">
        <v>32</v>
      </c>
      <c r="C1998" t="s">
        <v>59</v>
      </c>
      <c r="D1998" t="s">
        <v>21</v>
      </c>
      <c r="F1998" t="str">
        <f>IF(BBDD_fashion_boutique[[#This Row],[category]]="Accessories","Accesorio",IF(BBDD_fashion_boutique[[#This Row],[size]]="","Desconocido",BBDD_fashion_boutique[[#This Row],[size]]))</f>
        <v>Accesorio</v>
      </c>
      <c r="G1998" t="s">
        <v>46</v>
      </c>
      <c r="H1998" s="2">
        <v>77.34</v>
      </c>
      <c r="I1998">
        <v>0</v>
      </c>
      <c r="J1998" s="5">
        <f>BBDD_fashion_boutique[[#This Row],[markdown_percentage]]/100</f>
        <v>0</v>
      </c>
      <c r="K1998" s="2">
        <v>77.34</v>
      </c>
      <c r="L1998" s="2">
        <f>BBDD_fashion_boutique[[#This Row],[original_price]]-BBDD_fashion_boutique[[#This Row],[current_price]]</f>
        <v>0</v>
      </c>
      <c r="M1998" s="1">
        <v>45667</v>
      </c>
      <c r="N1998" s="1" t="str">
        <f>PROPER(TEXT(BBDD_fashion_boutique[[#This Row],[purchase_date]],"dddd"))</f>
        <v>Viernes</v>
      </c>
      <c r="O1998" s="1" t="str">
        <f>PROPER(TEXT(BBDD_fashion_boutique[[#This Row],[purchase_date]],"mmmm"))</f>
        <v>Enero</v>
      </c>
      <c r="P1998" s="4">
        <v>27</v>
      </c>
      <c r="R1998" t="str">
        <f>IF(BBDD_fashion_boutique[[#This Row],[stock_quantity]]&gt;9,"Ok",IF(BBDD_fashion_boutique[[#This Row],[stock_quantity]]=0,"Agotado","Pocas Unidades"))</f>
        <v>Ok</v>
      </c>
      <c r="S1998" s="3" t="str">
        <f>IF(BBDD_fashion_boutique[[#This Row],[customer_rating]]="","No valorado",BBDD_fashion_boutique[[#This Row],[customer_rating]])</f>
        <v>No valorado</v>
      </c>
      <c r="T1998" t="s">
        <v>24</v>
      </c>
      <c r="V1998">
        <f>IF(BBDD_fashion_boutique[[#This Row],[is_returned]]="False",0,1)</f>
        <v>0</v>
      </c>
      <c r="W1998">
        <f>IF(BBDD_fashion_boutique[[#This Row],[is_returned]]="True",0,BBDD_fashion_boutique[[#This Row],[current_price]])</f>
        <v>77.34</v>
      </c>
      <c r="X1998" t="str">
        <f>IF(BBDD_fashion_boutique[[#This Row],[return_reason]]="","No return",BBDD_fashion_boutique[[#This Row],[return_reason]])</f>
        <v>No return</v>
      </c>
      <c r="Y1998">
        <f>IF(IFERROR(VLOOKUP(BBDD_fashion_boutique[[#This Row],[product_id]],A1999:A4174,1,FALSE),0),1,0)</f>
        <v>0</v>
      </c>
    </row>
    <row r="1999" spans="1:25" x14ac:dyDescent="0.3">
      <c r="A1999" t="s">
        <v>2058</v>
      </c>
      <c r="B1999" t="s">
        <v>48</v>
      </c>
      <c r="C1999" t="s">
        <v>20</v>
      </c>
      <c r="D1999" t="s">
        <v>21</v>
      </c>
      <c r="E1999" t="s">
        <v>45</v>
      </c>
      <c r="F1999" t="str">
        <f>IF(BBDD_fashion_boutique[[#This Row],[category]]="Accessories","Accesorio",IF(BBDD_fashion_boutique[[#This Row],[size]]="","Desconocido",BBDD_fashion_boutique[[#This Row],[size]]))</f>
        <v>S</v>
      </c>
      <c r="G1999" t="s">
        <v>70</v>
      </c>
      <c r="H1999" s="2">
        <v>122.82</v>
      </c>
      <c r="I1999">
        <v>45.4</v>
      </c>
      <c r="J1999" s="5">
        <f>BBDD_fashion_boutique[[#This Row],[markdown_percentage]]/100</f>
        <v>0.45399999999999996</v>
      </c>
      <c r="K1999" s="2">
        <v>67.06</v>
      </c>
      <c r="L1999" s="2">
        <f>BBDD_fashion_boutique[[#This Row],[original_price]]-BBDD_fashion_boutique[[#This Row],[current_price]]</f>
        <v>55.759999999999991</v>
      </c>
      <c r="M1999" s="1">
        <v>45534</v>
      </c>
      <c r="N1999" s="1" t="str">
        <f>PROPER(TEXT(BBDD_fashion_boutique[[#This Row],[purchase_date]],"dddd"))</f>
        <v>Viernes</v>
      </c>
      <c r="O1999" s="1" t="str">
        <f>PROPER(TEXT(BBDD_fashion_boutique[[#This Row],[purchase_date]],"mmmm"))</f>
        <v>Agosto</v>
      </c>
      <c r="P1999" s="4">
        <v>9</v>
      </c>
      <c r="Q1999" s="2">
        <v>3.1</v>
      </c>
      <c r="R1999" t="str">
        <f>IF(BBDD_fashion_boutique[[#This Row],[stock_quantity]]&gt;9,"Ok",IF(BBDD_fashion_boutique[[#This Row],[stock_quantity]]=0,"Agotado","Pocas Unidades"))</f>
        <v>Pocas Unidades</v>
      </c>
      <c r="S1999" s="3">
        <f>IF(BBDD_fashion_boutique[[#This Row],[customer_rating]]="","No valorado",BBDD_fashion_boutique[[#This Row],[customer_rating]])</f>
        <v>3.1</v>
      </c>
      <c r="T1999" t="s">
        <v>24</v>
      </c>
      <c r="V1999">
        <f>IF(BBDD_fashion_boutique[[#This Row],[is_returned]]="False",0,1)</f>
        <v>0</v>
      </c>
      <c r="W1999">
        <f>IF(BBDD_fashion_boutique[[#This Row],[is_returned]]="True",0,BBDD_fashion_boutique[[#This Row],[current_price]])</f>
        <v>67.06</v>
      </c>
      <c r="X1999" t="str">
        <f>IF(BBDD_fashion_boutique[[#This Row],[return_reason]]="","No return",BBDD_fashion_boutique[[#This Row],[return_reason]])</f>
        <v>No return</v>
      </c>
      <c r="Y1999">
        <f>IF(IFERROR(VLOOKUP(BBDD_fashion_boutique[[#This Row],[product_id]],A2000:A4175,1,FALSE),0),1,0)</f>
        <v>0</v>
      </c>
    </row>
    <row r="2000" spans="1:25" x14ac:dyDescent="0.3">
      <c r="A2000" t="s">
        <v>2059</v>
      </c>
      <c r="B2000" t="s">
        <v>48</v>
      </c>
      <c r="C2000" t="s">
        <v>49</v>
      </c>
      <c r="D2000" t="s">
        <v>28</v>
      </c>
      <c r="E2000" t="s">
        <v>55</v>
      </c>
      <c r="F2000" t="str">
        <f>IF(BBDD_fashion_boutique[[#This Row],[category]]="Accessories","Accesorio",IF(BBDD_fashion_boutique[[#This Row],[size]]="","Desconocido",BBDD_fashion_boutique[[#This Row],[size]]))</f>
        <v>XXL</v>
      </c>
      <c r="G2000" t="s">
        <v>50</v>
      </c>
      <c r="H2000" s="2">
        <v>103.85</v>
      </c>
      <c r="I2000">
        <v>0</v>
      </c>
      <c r="J2000" s="5">
        <f>BBDD_fashion_boutique[[#This Row],[markdown_percentage]]/100</f>
        <v>0</v>
      </c>
      <c r="K2000" s="2">
        <v>103.85</v>
      </c>
      <c r="L2000" s="2">
        <f>BBDD_fashion_boutique[[#This Row],[original_price]]-BBDD_fashion_boutique[[#This Row],[current_price]]</f>
        <v>0</v>
      </c>
      <c r="M2000" s="1">
        <v>45875</v>
      </c>
      <c r="N2000" s="1" t="str">
        <f>PROPER(TEXT(BBDD_fashion_boutique[[#This Row],[purchase_date]],"dddd"))</f>
        <v>Miércoles</v>
      </c>
      <c r="O2000" s="1" t="str">
        <f>PROPER(TEXT(BBDD_fashion_boutique[[#This Row],[purchase_date]],"mmmm"))</f>
        <v>Agosto</v>
      </c>
      <c r="P2000" s="4">
        <v>26</v>
      </c>
      <c r="Q2000" s="2">
        <v>3.1</v>
      </c>
      <c r="R2000" t="str">
        <f>IF(BBDD_fashion_boutique[[#This Row],[stock_quantity]]&gt;9,"Ok",IF(BBDD_fashion_boutique[[#This Row],[stock_quantity]]=0,"Agotado","Pocas Unidades"))</f>
        <v>Ok</v>
      </c>
      <c r="S2000" s="3">
        <f>IF(BBDD_fashion_boutique[[#This Row],[customer_rating]]="","No valorado",BBDD_fashion_boutique[[#This Row],[customer_rating]])</f>
        <v>3.1</v>
      </c>
      <c r="T2000" t="s">
        <v>24</v>
      </c>
      <c r="V2000">
        <f>IF(BBDD_fashion_boutique[[#This Row],[is_returned]]="False",0,1)</f>
        <v>0</v>
      </c>
      <c r="W2000">
        <f>IF(BBDD_fashion_boutique[[#This Row],[is_returned]]="True",0,BBDD_fashion_boutique[[#This Row],[current_price]])</f>
        <v>103.85</v>
      </c>
      <c r="X2000" t="str">
        <f>IF(BBDD_fashion_boutique[[#This Row],[return_reason]]="","No return",BBDD_fashion_boutique[[#This Row],[return_reason]])</f>
        <v>No return</v>
      </c>
      <c r="Y2000">
        <f>IF(IFERROR(VLOOKUP(BBDD_fashion_boutique[[#This Row],[product_id]],A2001:A4176,1,FALSE),0),1,0)</f>
        <v>0</v>
      </c>
    </row>
    <row r="2001" spans="1:25" x14ac:dyDescent="0.3">
      <c r="A2001" t="s">
        <v>2060</v>
      </c>
      <c r="B2001" t="s">
        <v>44</v>
      </c>
      <c r="C2001" t="s">
        <v>54</v>
      </c>
      <c r="D2001" t="s">
        <v>39</v>
      </c>
      <c r="E2001" t="s">
        <v>55</v>
      </c>
      <c r="F2001" t="str">
        <f>IF(BBDD_fashion_boutique[[#This Row],[category]]="Accessories","Accesorio",IF(BBDD_fashion_boutique[[#This Row],[size]]="","Desconocido",BBDD_fashion_boutique[[#This Row],[size]]))</f>
        <v>XXL</v>
      </c>
      <c r="G2001" t="s">
        <v>23</v>
      </c>
      <c r="H2001" s="2">
        <v>117.73</v>
      </c>
      <c r="I2001">
        <v>41.3</v>
      </c>
      <c r="J2001" s="5">
        <f>BBDD_fashion_boutique[[#This Row],[markdown_percentage]]/100</f>
        <v>0.41299999999999998</v>
      </c>
      <c r="K2001" s="2">
        <v>69.11</v>
      </c>
      <c r="L2001" s="2">
        <f>BBDD_fashion_boutique[[#This Row],[original_price]]-BBDD_fashion_boutique[[#This Row],[current_price]]</f>
        <v>48.620000000000005</v>
      </c>
      <c r="M2001" s="1">
        <v>45875</v>
      </c>
      <c r="N2001" s="1" t="str">
        <f>PROPER(TEXT(BBDD_fashion_boutique[[#This Row],[purchase_date]],"dddd"))</f>
        <v>Miércoles</v>
      </c>
      <c r="O2001" s="1" t="str">
        <f>PROPER(TEXT(BBDD_fashion_boutique[[#This Row],[purchase_date]],"mmmm"))</f>
        <v>Agosto</v>
      </c>
      <c r="P2001" s="4">
        <v>8</v>
      </c>
      <c r="R2001" t="str">
        <f>IF(BBDD_fashion_boutique[[#This Row],[stock_quantity]]&gt;9,"Ok",IF(BBDD_fashion_boutique[[#This Row],[stock_quantity]]=0,"Agotado","Pocas Unidades"))</f>
        <v>Pocas Unidades</v>
      </c>
      <c r="S2001" s="3" t="str">
        <f>IF(BBDD_fashion_boutique[[#This Row],[customer_rating]]="","No valorado",BBDD_fashion_boutique[[#This Row],[customer_rating]])</f>
        <v>No valorado</v>
      </c>
      <c r="T2001" t="s">
        <v>24</v>
      </c>
      <c r="V2001">
        <f>IF(BBDD_fashion_boutique[[#This Row],[is_returned]]="False",0,1)</f>
        <v>0</v>
      </c>
      <c r="W2001">
        <f>IF(BBDD_fashion_boutique[[#This Row],[is_returned]]="True",0,BBDD_fashion_boutique[[#This Row],[current_price]])</f>
        <v>69.11</v>
      </c>
      <c r="X2001" t="str">
        <f>IF(BBDD_fashion_boutique[[#This Row],[return_reason]]="","No return",BBDD_fashion_boutique[[#This Row],[return_reason]])</f>
        <v>No return</v>
      </c>
      <c r="Y2001">
        <f>IF(IFERROR(VLOOKUP(BBDD_fashion_boutique[[#This Row],[product_id]],A2002:A4177,1,FALSE),0),1,0)</f>
        <v>0</v>
      </c>
    </row>
    <row r="2002" spans="1:25" x14ac:dyDescent="0.3">
      <c r="A2002" t="s">
        <v>2061</v>
      </c>
      <c r="B2002" t="s">
        <v>48</v>
      </c>
      <c r="C2002" t="s">
        <v>81</v>
      </c>
      <c r="D2002" t="s">
        <v>39</v>
      </c>
      <c r="E2002" t="s">
        <v>22</v>
      </c>
      <c r="F2002" t="str">
        <f>IF(BBDD_fashion_boutique[[#This Row],[category]]="Accessories","Accesorio",IF(BBDD_fashion_boutique[[#This Row],[size]]="","Desconocido",BBDD_fashion_boutique[[#This Row],[size]]))</f>
        <v>XL</v>
      </c>
      <c r="G2002" t="s">
        <v>52</v>
      </c>
      <c r="H2002" s="2">
        <v>115.98</v>
      </c>
      <c r="I2002">
        <v>0</v>
      </c>
      <c r="J2002" s="5">
        <f>BBDD_fashion_boutique[[#This Row],[markdown_percentage]]/100</f>
        <v>0</v>
      </c>
      <c r="K2002" s="2">
        <v>115.98</v>
      </c>
      <c r="L2002" s="2">
        <f>BBDD_fashion_boutique[[#This Row],[original_price]]-BBDD_fashion_boutique[[#This Row],[current_price]]</f>
        <v>0</v>
      </c>
      <c r="M2002" s="1">
        <v>45875</v>
      </c>
      <c r="N2002" s="1" t="str">
        <f>PROPER(TEXT(BBDD_fashion_boutique[[#This Row],[purchase_date]],"dddd"))</f>
        <v>Miércoles</v>
      </c>
      <c r="O2002" s="1" t="str">
        <f>PROPER(TEXT(BBDD_fashion_boutique[[#This Row],[purchase_date]],"mmmm"))</f>
        <v>Agosto</v>
      </c>
      <c r="P2002" s="4">
        <v>42</v>
      </c>
      <c r="Q2002" s="2">
        <v>3.7</v>
      </c>
      <c r="R2002" t="str">
        <f>IF(BBDD_fashion_boutique[[#This Row],[stock_quantity]]&gt;9,"Ok",IF(BBDD_fashion_boutique[[#This Row],[stock_quantity]]=0,"Agotado","Pocas Unidades"))</f>
        <v>Ok</v>
      </c>
      <c r="S2002" s="3">
        <f>IF(BBDD_fashion_boutique[[#This Row],[customer_rating]]="","No valorado",BBDD_fashion_boutique[[#This Row],[customer_rating]])</f>
        <v>3.7</v>
      </c>
      <c r="T2002" t="s">
        <v>24</v>
      </c>
      <c r="V2002">
        <f>IF(BBDD_fashion_boutique[[#This Row],[is_returned]]="False",0,1)</f>
        <v>0</v>
      </c>
      <c r="W2002">
        <f>IF(BBDD_fashion_boutique[[#This Row],[is_returned]]="True",0,BBDD_fashion_boutique[[#This Row],[current_price]])</f>
        <v>115.98</v>
      </c>
      <c r="X2002" t="str">
        <f>IF(BBDD_fashion_boutique[[#This Row],[return_reason]]="","No return",BBDD_fashion_boutique[[#This Row],[return_reason]])</f>
        <v>No return</v>
      </c>
      <c r="Y2002">
        <f>IF(IFERROR(VLOOKUP(BBDD_fashion_boutique[[#This Row],[product_id]],A2003:A4178,1,FALSE),0),1,0)</f>
        <v>0</v>
      </c>
    </row>
    <row r="2003" spans="1:25" x14ac:dyDescent="0.3">
      <c r="A2003" t="s">
        <v>2062</v>
      </c>
      <c r="B2003" t="s">
        <v>48</v>
      </c>
      <c r="C2003" t="s">
        <v>20</v>
      </c>
      <c r="D2003" t="s">
        <v>39</v>
      </c>
      <c r="E2003" t="s">
        <v>29</v>
      </c>
      <c r="F2003" t="str">
        <f>IF(BBDD_fashion_boutique[[#This Row],[category]]="Accessories","Accesorio",IF(BBDD_fashion_boutique[[#This Row],[size]]="","Desconocido",BBDD_fashion_boutique[[#This Row],[size]]))</f>
        <v>L</v>
      </c>
      <c r="G2003" t="s">
        <v>70</v>
      </c>
      <c r="H2003" s="2">
        <v>175.43</v>
      </c>
      <c r="I2003">
        <v>0</v>
      </c>
      <c r="J2003" s="5">
        <f>BBDD_fashion_boutique[[#This Row],[markdown_percentage]]/100</f>
        <v>0</v>
      </c>
      <c r="K2003" s="2">
        <v>175.43</v>
      </c>
      <c r="L2003" s="2">
        <f>BBDD_fashion_boutique[[#This Row],[original_price]]-BBDD_fashion_boutique[[#This Row],[current_price]]</f>
        <v>0</v>
      </c>
      <c r="M2003" s="1">
        <v>45875</v>
      </c>
      <c r="N2003" s="1" t="str">
        <f>PROPER(TEXT(BBDD_fashion_boutique[[#This Row],[purchase_date]],"dddd"))</f>
        <v>Miércoles</v>
      </c>
      <c r="O2003" s="1" t="str">
        <f>PROPER(TEXT(BBDD_fashion_boutique[[#This Row],[purchase_date]],"mmmm"))</f>
        <v>Agosto</v>
      </c>
      <c r="P2003" s="4">
        <v>3</v>
      </c>
      <c r="Q2003" s="2">
        <v>1.8</v>
      </c>
      <c r="R2003" t="str">
        <f>IF(BBDD_fashion_boutique[[#This Row],[stock_quantity]]&gt;9,"Ok",IF(BBDD_fashion_boutique[[#This Row],[stock_quantity]]=0,"Agotado","Pocas Unidades"))</f>
        <v>Pocas Unidades</v>
      </c>
      <c r="S2003" s="3">
        <f>IF(BBDD_fashion_boutique[[#This Row],[customer_rating]]="","No valorado",BBDD_fashion_boutique[[#This Row],[customer_rating]])</f>
        <v>1.8</v>
      </c>
      <c r="T2003" t="s">
        <v>41</v>
      </c>
      <c r="U2003" t="s">
        <v>42</v>
      </c>
      <c r="V2003">
        <f>IF(BBDD_fashion_boutique[[#This Row],[is_returned]]="False",0,1)</f>
        <v>1</v>
      </c>
      <c r="W2003">
        <f>IF(BBDD_fashion_boutique[[#This Row],[is_returned]]="True",0,BBDD_fashion_boutique[[#This Row],[current_price]])</f>
        <v>0</v>
      </c>
      <c r="X2003" t="str">
        <f>IF(BBDD_fashion_boutique[[#This Row],[return_reason]]="","No return",BBDD_fashion_boutique[[#This Row],[return_reason]])</f>
        <v>Color Mismatch</v>
      </c>
      <c r="Y2003">
        <f>IF(IFERROR(VLOOKUP(BBDD_fashion_boutique[[#This Row],[product_id]],A2004:A4179,1,FALSE),0),1,0)</f>
        <v>0</v>
      </c>
    </row>
    <row r="2004" spans="1:25" x14ac:dyDescent="0.3">
      <c r="A2004" t="s">
        <v>2063</v>
      </c>
      <c r="B2004" t="s">
        <v>19</v>
      </c>
      <c r="C2004" t="s">
        <v>67</v>
      </c>
      <c r="D2004" t="s">
        <v>21</v>
      </c>
      <c r="E2004" t="s">
        <v>45</v>
      </c>
      <c r="F2004" t="str">
        <f>IF(BBDD_fashion_boutique[[#This Row],[category]]="Accessories","Accesorio",IF(BBDD_fashion_boutique[[#This Row],[size]]="","Desconocido",BBDD_fashion_boutique[[#This Row],[size]]))</f>
        <v>S</v>
      </c>
      <c r="G2004" t="s">
        <v>52</v>
      </c>
      <c r="H2004" s="2">
        <v>162.81</v>
      </c>
      <c r="I2004">
        <v>0</v>
      </c>
      <c r="J2004" s="5">
        <f>BBDD_fashion_boutique[[#This Row],[markdown_percentage]]/100</f>
        <v>0</v>
      </c>
      <c r="K2004" s="2">
        <v>162.81</v>
      </c>
      <c r="L2004" s="2">
        <f>BBDD_fashion_boutique[[#This Row],[original_price]]-BBDD_fashion_boutique[[#This Row],[current_price]]</f>
        <v>0</v>
      </c>
      <c r="M2004" s="1">
        <v>45667</v>
      </c>
      <c r="N2004" s="1" t="str">
        <f>PROPER(TEXT(BBDD_fashion_boutique[[#This Row],[purchase_date]],"dddd"))</f>
        <v>Viernes</v>
      </c>
      <c r="O2004" s="1" t="str">
        <f>PROPER(TEXT(BBDD_fashion_boutique[[#This Row],[purchase_date]],"mmmm"))</f>
        <v>Enero</v>
      </c>
      <c r="P2004" s="4">
        <v>40</v>
      </c>
      <c r="Q2004" s="2">
        <v>2.1</v>
      </c>
      <c r="R2004" t="str">
        <f>IF(BBDD_fashion_boutique[[#This Row],[stock_quantity]]&gt;9,"Ok",IF(BBDD_fashion_boutique[[#This Row],[stock_quantity]]=0,"Agotado","Pocas Unidades"))</f>
        <v>Ok</v>
      </c>
      <c r="S2004" s="3">
        <f>IF(BBDD_fashion_boutique[[#This Row],[customer_rating]]="","No valorado",BBDD_fashion_boutique[[#This Row],[customer_rating]])</f>
        <v>2.1</v>
      </c>
      <c r="T2004" t="s">
        <v>24</v>
      </c>
      <c r="V2004">
        <f>IF(BBDD_fashion_boutique[[#This Row],[is_returned]]="False",0,1)</f>
        <v>0</v>
      </c>
      <c r="W2004">
        <f>IF(BBDD_fashion_boutique[[#This Row],[is_returned]]="True",0,BBDD_fashion_boutique[[#This Row],[current_price]])</f>
        <v>162.81</v>
      </c>
      <c r="X2004" t="str">
        <f>IF(BBDD_fashion_boutique[[#This Row],[return_reason]]="","No return",BBDD_fashion_boutique[[#This Row],[return_reason]])</f>
        <v>No return</v>
      </c>
      <c r="Y2004">
        <f>IF(IFERROR(VLOOKUP(BBDD_fashion_boutique[[#This Row],[product_id]],A2005:A4180,1,FALSE),0),1,0)</f>
        <v>0</v>
      </c>
    </row>
    <row r="2005" spans="1:25" x14ac:dyDescent="0.3">
      <c r="A2005" t="s">
        <v>2064</v>
      </c>
      <c r="B2005" t="s">
        <v>48</v>
      </c>
      <c r="C2005" t="s">
        <v>27</v>
      </c>
      <c r="D2005" t="s">
        <v>21</v>
      </c>
      <c r="E2005" t="s">
        <v>29</v>
      </c>
      <c r="F2005" t="str">
        <f>IF(BBDD_fashion_boutique[[#This Row],[category]]="Accessories","Accesorio",IF(BBDD_fashion_boutique[[#This Row],[size]]="","Desconocido",BBDD_fashion_boutique[[#This Row],[size]]))</f>
        <v>L</v>
      </c>
      <c r="G2005" t="s">
        <v>72</v>
      </c>
      <c r="H2005" s="2">
        <v>146.68</v>
      </c>
      <c r="I2005">
        <v>0</v>
      </c>
      <c r="J2005" s="5">
        <f>BBDD_fashion_boutique[[#This Row],[markdown_percentage]]/100</f>
        <v>0</v>
      </c>
      <c r="K2005" s="2">
        <v>146.68</v>
      </c>
      <c r="L2005" s="2">
        <f>BBDD_fashion_boutique[[#This Row],[original_price]]-BBDD_fashion_boutique[[#This Row],[current_price]]</f>
        <v>0</v>
      </c>
      <c r="M2005" s="1">
        <v>45511</v>
      </c>
      <c r="N2005" s="1" t="str">
        <f>PROPER(TEXT(BBDD_fashion_boutique[[#This Row],[purchase_date]],"dddd"))</f>
        <v>Miércoles</v>
      </c>
      <c r="O2005" s="1" t="str">
        <f>PROPER(TEXT(BBDD_fashion_boutique[[#This Row],[purchase_date]],"mmmm"))</f>
        <v>Agosto</v>
      </c>
      <c r="P2005" s="4">
        <v>8</v>
      </c>
      <c r="R2005" t="str">
        <f>IF(BBDD_fashion_boutique[[#This Row],[stock_quantity]]&gt;9,"Ok",IF(BBDD_fashion_boutique[[#This Row],[stock_quantity]]=0,"Agotado","Pocas Unidades"))</f>
        <v>Pocas Unidades</v>
      </c>
      <c r="S2005" s="3" t="str">
        <f>IF(BBDD_fashion_boutique[[#This Row],[customer_rating]]="","No valorado",BBDD_fashion_boutique[[#This Row],[customer_rating]])</f>
        <v>No valorado</v>
      </c>
      <c r="T2005" t="s">
        <v>24</v>
      </c>
      <c r="V2005">
        <f>IF(BBDD_fashion_boutique[[#This Row],[is_returned]]="False",0,1)</f>
        <v>0</v>
      </c>
      <c r="W2005">
        <f>IF(BBDD_fashion_boutique[[#This Row],[is_returned]]="True",0,BBDD_fashion_boutique[[#This Row],[current_price]])</f>
        <v>146.68</v>
      </c>
      <c r="X2005" t="str">
        <f>IF(BBDD_fashion_boutique[[#This Row],[return_reason]]="","No return",BBDD_fashion_boutique[[#This Row],[return_reason]])</f>
        <v>No return</v>
      </c>
      <c r="Y2005">
        <f>IF(IFERROR(VLOOKUP(BBDD_fashion_boutique[[#This Row],[product_id]],A2006:A4181,1,FALSE),0),1,0)</f>
        <v>0</v>
      </c>
    </row>
    <row r="2006" spans="1:25" x14ac:dyDescent="0.3">
      <c r="A2006" t="s">
        <v>2065</v>
      </c>
      <c r="B2006" t="s">
        <v>48</v>
      </c>
      <c r="C2006" t="s">
        <v>54</v>
      </c>
      <c r="D2006" t="s">
        <v>39</v>
      </c>
      <c r="E2006" t="s">
        <v>29</v>
      </c>
      <c r="F2006" t="str">
        <f>IF(BBDD_fashion_boutique[[#This Row],[category]]="Accessories","Accesorio",IF(BBDD_fashion_boutique[[#This Row],[size]]="","Desconocido",BBDD_fashion_boutique[[#This Row],[size]]))</f>
        <v>L</v>
      </c>
      <c r="G2006" t="s">
        <v>30</v>
      </c>
      <c r="H2006" s="2">
        <v>82.9</v>
      </c>
      <c r="I2006">
        <v>42.2</v>
      </c>
      <c r="J2006" s="5">
        <f>BBDD_fashion_boutique[[#This Row],[markdown_percentage]]/100</f>
        <v>0.42200000000000004</v>
      </c>
      <c r="K2006" s="2">
        <v>47.92</v>
      </c>
      <c r="L2006" s="2">
        <f>BBDD_fashion_boutique[[#This Row],[original_price]]-BBDD_fashion_boutique[[#This Row],[current_price]]</f>
        <v>34.980000000000004</v>
      </c>
      <c r="M2006" s="1">
        <v>45875</v>
      </c>
      <c r="N2006" s="1" t="str">
        <f>PROPER(TEXT(BBDD_fashion_boutique[[#This Row],[purchase_date]],"dddd"))</f>
        <v>Miércoles</v>
      </c>
      <c r="O2006" s="1" t="str">
        <f>PROPER(TEXT(BBDD_fashion_boutique[[#This Row],[purchase_date]],"mmmm"))</f>
        <v>Agosto</v>
      </c>
      <c r="P2006" s="4">
        <v>4</v>
      </c>
      <c r="Q2006" s="2">
        <v>2.1</v>
      </c>
      <c r="R2006" t="str">
        <f>IF(BBDD_fashion_boutique[[#This Row],[stock_quantity]]&gt;9,"Ok",IF(BBDD_fashion_boutique[[#This Row],[stock_quantity]]=0,"Agotado","Pocas Unidades"))</f>
        <v>Pocas Unidades</v>
      </c>
      <c r="S2006" s="3">
        <f>IF(BBDD_fashion_boutique[[#This Row],[customer_rating]]="","No valorado",BBDD_fashion_boutique[[#This Row],[customer_rating]])</f>
        <v>2.1</v>
      </c>
      <c r="T2006" t="s">
        <v>24</v>
      </c>
      <c r="V2006">
        <f>IF(BBDD_fashion_boutique[[#This Row],[is_returned]]="False",0,1)</f>
        <v>0</v>
      </c>
      <c r="W2006">
        <f>IF(BBDD_fashion_boutique[[#This Row],[is_returned]]="True",0,BBDD_fashion_boutique[[#This Row],[current_price]])</f>
        <v>47.92</v>
      </c>
      <c r="X2006" t="str">
        <f>IF(BBDD_fashion_boutique[[#This Row],[return_reason]]="","No return",BBDD_fashion_boutique[[#This Row],[return_reason]])</f>
        <v>No return</v>
      </c>
      <c r="Y2006">
        <f>IF(IFERROR(VLOOKUP(BBDD_fashion_boutique[[#This Row],[product_id]],A2007:A4182,1,FALSE),0),1,0)</f>
        <v>0</v>
      </c>
    </row>
    <row r="2007" spans="1:25" x14ac:dyDescent="0.3">
      <c r="A2007" t="s">
        <v>2066</v>
      </c>
      <c r="B2007" t="s">
        <v>26</v>
      </c>
      <c r="C2007" t="s">
        <v>20</v>
      </c>
      <c r="D2007" t="s">
        <v>39</v>
      </c>
      <c r="E2007" t="s">
        <v>61</v>
      </c>
      <c r="F2007" t="str">
        <f>IF(BBDD_fashion_boutique[[#This Row],[category]]="Accessories","Accesorio",IF(BBDD_fashion_boutique[[#This Row],[size]]="","Desconocido",BBDD_fashion_boutique[[#This Row],[size]]))</f>
        <v>XS</v>
      </c>
      <c r="G2007" t="s">
        <v>40</v>
      </c>
      <c r="H2007" s="2">
        <v>92.9</v>
      </c>
      <c r="I2007">
        <v>0</v>
      </c>
      <c r="J2007" s="5">
        <f>BBDD_fashion_boutique[[#This Row],[markdown_percentage]]/100</f>
        <v>0</v>
      </c>
      <c r="K2007" s="2">
        <v>92.9</v>
      </c>
      <c r="L2007" s="2">
        <f>BBDD_fashion_boutique[[#This Row],[original_price]]-BBDD_fashion_boutique[[#This Row],[current_price]]</f>
        <v>0</v>
      </c>
      <c r="M2007" s="1">
        <v>45875</v>
      </c>
      <c r="N2007" s="1" t="str">
        <f>PROPER(TEXT(BBDD_fashion_boutique[[#This Row],[purchase_date]],"dddd"))</f>
        <v>Miércoles</v>
      </c>
      <c r="O2007" s="1" t="str">
        <f>PROPER(TEXT(BBDD_fashion_boutique[[#This Row],[purchase_date]],"mmmm"))</f>
        <v>Agosto</v>
      </c>
      <c r="P2007" s="4">
        <v>30</v>
      </c>
      <c r="R2007" t="str">
        <f>IF(BBDD_fashion_boutique[[#This Row],[stock_quantity]]&gt;9,"Ok",IF(BBDD_fashion_boutique[[#This Row],[stock_quantity]]=0,"Agotado","Pocas Unidades"))</f>
        <v>Ok</v>
      </c>
      <c r="S2007" s="3" t="str">
        <f>IF(BBDD_fashion_boutique[[#This Row],[customer_rating]]="","No valorado",BBDD_fashion_boutique[[#This Row],[customer_rating]])</f>
        <v>No valorado</v>
      </c>
      <c r="T2007" t="s">
        <v>24</v>
      </c>
      <c r="V2007">
        <f>IF(BBDD_fashion_boutique[[#This Row],[is_returned]]="False",0,1)</f>
        <v>0</v>
      </c>
      <c r="W2007">
        <f>IF(BBDD_fashion_boutique[[#This Row],[is_returned]]="True",0,BBDD_fashion_boutique[[#This Row],[current_price]])</f>
        <v>92.9</v>
      </c>
      <c r="X2007" t="str">
        <f>IF(BBDD_fashion_boutique[[#This Row],[return_reason]]="","No return",BBDD_fashion_boutique[[#This Row],[return_reason]])</f>
        <v>No return</v>
      </c>
      <c r="Y2007">
        <f>IF(IFERROR(VLOOKUP(BBDD_fashion_boutique[[#This Row],[product_id]],A2008:A4183,1,FALSE),0),1,0)</f>
        <v>0</v>
      </c>
    </row>
    <row r="2008" spans="1:25" x14ac:dyDescent="0.3">
      <c r="A2008" t="s">
        <v>2067</v>
      </c>
      <c r="B2008" t="s">
        <v>48</v>
      </c>
      <c r="C2008" t="s">
        <v>37</v>
      </c>
      <c r="D2008" t="s">
        <v>28</v>
      </c>
      <c r="E2008" t="s">
        <v>55</v>
      </c>
      <c r="F2008" t="str">
        <f>IF(BBDD_fashion_boutique[[#This Row],[category]]="Accessories","Accesorio",IF(BBDD_fashion_boutique[[#This Row],[size]]="","Desconocido",BBDD_fashion_boutique[[#This Row],[size]]))</f>
        <v>XXL</v>
      </c>
      <c r="G2008" t="s">
        <v>50</v>
      </c>
      <c r="H2008" s="2">
        <v>133.88999999999999</v>
      </c>
      <c r="I2008">
        <v>5.7</v>
      </c>
      <c r="J2008" s="5">
        <f>BBDD_fashion_boutique[[#This Row],[markdown_percentage]]/100</f>
        <v>5.7000000000000002E-2</v>
      </c>
      <c r="K2008" s="2">
        <v>126.26</v>
      </c>
      <c r="L2008" s="2">
        <f>BBDD_fashion_boutique[[#This Row],[original_price]]-BBDD_fashion_boutique[[#This Row],[current_price]]</f>
        <v>7.6299999999999812</v>
      </c>
      <c r="M2008" s="1">
        <v>45875</v>
      </c>
      <c r="N2008" s="1" t="str">
        <f>PROPER(TEXT(BBDD_fashion_boutique[[#This Row],[purchase_date]],"dddd"))</f>
        <v>Miércoles</v>
      </c>
      <c r="O2008" s="1" t="str">
        <f>PROPER(TEXT(BBDD_fashion_boutique[[#This Row],[purchase_date]],"mmmm"))</f>
        <v>Agosto</v>
      </c>
      <c r="P2008" s="4">
        <v>17</v>
      </c>
      <c r="Q2008" s="2">
        <v>3.4</v>
      </c>
      <c r="R2008" t="str">
        <f>IF(BBDD_fashion_boutique[[#This Row],[stock_quantity]]&gt;9,"Ok",IF(BBDD_fashion_boutique[[#This Row],[stock_quantity]]=0,"Agotado","Pocas Unidades"))</f>
        <v>Ok</v>
      </c>
      <c r="S2008" s="3">
        <f>IF(BBDD_fashion_boutique[[#This Row],[customer_rating]]="","No valorado",BBDD_fashion_boutique[[#This Row],[customer_rating]])</f>
        <v>3.4</v>
      </c>
      <c r="T2008" t="s">
        <v>41</v>
      </c>
      <c r="U2008" t="s">
        <v>79</v>
      </c>
      <c r="V2008">
        <f>IF(BBDD_fashion_boutique[[#This Row],[is_returned]]="False",0,1)</f>
        <v>1</v>
      </c>
      <c r="W2008">
        <f>IF(BBDD_fashion_boutique[[#This Row],[is_returned]]="True",0,BBDD_fashion_boutique[[#This Row],[current_price]])</f>
        <v>0</v>
      </c>
      <c r="X2008" t="str">
        <f>IF(BBDD_fashion_boutique[[#This Row],[return_reason]]="","No return",BBDD_fashion_boutique[[#This Row],[return_reason]])</f>
        <v>Size Issue</v>
      </c>
      <c r="Y2008">
        <f>IF(IFERROR(VLOOKUP(BBDD_fashion_boutique[[#This Row],[product_id]],A2009:A4184,1,FALSE),0),1,0)</f>
        <v>0</v>
      </c>
    </row>
    <row r="2009" spans="1:25" x14ac:dyDescent="0.3">
      <c r="A2009" t="s">
        <v>2068</v>
      </c>
      <c r="B2009" t="s">
        <v>48</v>
      </c>
      <c r="C2009" t="s">
        <v>59</v>
      </c>
      <c r="D2009" t="s">
        <v>28</v>
      </c>
      <c r="E2009" t="s">
        <v>55</v>
      </c>
      <c r="F2009" t="str">
        <f>IF(BBDD_fashion_boutique[[#This Row],[category]]="Accessories","Accesorio",IF(BBDD_fashion_boutique[[#This Row],[size]]="","Desconocido",BBDD_fashion_boutique[[#This Row],[size]]))</f>
        <v>XXL</v>
      </c>
      <c r="G2009" t="s">
        <v>62</v>
      </c>
      <c r="H2009" s="2">
        <v>89.1</v>
      </c>
      <c r="I2009">
        <v>0</v>
      </c>
      <c r="J2009" s="5">
        <f>BBDD_fashion_boutique[[#This Row],[markdown_percentage]]/100</f>
        <v>0</v>
      </c>
      <c r="K2009" s="2">
        <v>89.1</v>
      </c>
      <c r="L2009" s="2">
        <f>BBDD_fashion_boutique[[#This Row],[original_price]]-BBDD_fashion_boutique[[#This Row],[current_price]]</f>
        <v>0</v>
      </c>
      <c r="M2009" s="1">
        <v>45875</v>
      </c>
      <c r="N2009" s="1" t="str">
        <f>PROPER(TEXT(BBDD_fashion_boutique[[#This Row],[purchase_date]],"dddd"))</f>
        <v>Miércoles</v>
      </c>
      <c r="O2009" s="1" t="str">
        <f>PROPER(TEXT(BBDD_fashion_boutique[[#This Row],[purchase_date]],"mmmm"))</f>
        <v>Agosto</v>
      </c>
      <c r="P2009" s="4">
        <v>8</v>
      </c>
      <c r="Q2009" s="2">
        <v>2.2000000000000002</v>
      </c>
      <c r="R2009" t="str">
        <f>IF(BBDD_fashion_boutique[[#This Row],[stock_quantity]]&gt;9,"Ok",IF(BBDD_fashion_boutique[[#This Row],[stock_quantity]]=0,"Agotado","Pocas Unidades"))</f>
        <v>Pocas Unidades</v>
      </c>
      <c r="S2009" s="3">
        <f>IF(BBDD_fashion_boutique[[#This Row],[customer_rating]]="","No valorado",BBDD_fashion_boutique[[#This Row],[customer_rating]])</f>
        <v>2.2000000000000002</v>
      </c>
      <c r="T2009" t="s">
        <v>24</v>
      </c>
      <c r="V2009">
        <f>IF(BBDD_fashion_boutique[[#This Row],[is_returned]]="False",0,1)</f>
        <v>0</v>
      </c>
      <c r="W2009">
        <f>IF(BBDD_fashion_boutique[[#This Row],[is_returned]]="True",0,BBDD_fashion_boutique[[#This Row],[current_price]])</f>
        <v>89.1</v>
      </c>
      <c r="X2009" t="str">
        <f>IF(BBDD_fashion_boutique[[#This Row],[return_reason]]="","No return",BBDD_fashion_boutique[[#This Row],[return_reason]])</f>
        <v>No return</v>
      </c>
      <c r="Y2009">
        <f>IF(IFERROR(VLOOKUP(BBDD_fashion_boutique[[#This Row],[product_id]],A2010:A4185,1,FALSE),0),1,0)</f>
        <v>0</v>
      </c>
    </row>
    <row r="2010" spans="1:25" x14ac:dyDescent="0.3">
      <c r="A2010" t="s">
        <v>2069</v>
      </c>
      <c r="B2010" t="s">
        <v>19</v>
      </c>
      <c r="C2010" t="s">
        <v>37</v>
      </c>
      <c r="D2010" t="s">
        <v>28</v>
      </c>
      <c r="E2010" t="s">
        <v>22</v>
      </c>
      <c r="F2010" t="str">
        <f>IF(BBDD_fashion_boutique[[#This Row],[category]]="Accessories","Accesorio",IF(BBDD_fashion_boutique[[#This Row],[size]]="","Desconocido",BBDD_fashion_boutique[[#This Row],[size]]))</f>
        <v>XL</v>
      </c>
      <c r="G2010" t="s">
        <v>62</v>
      </c>
      <c r="H2010" s="2">
        <v>175.62</v>
      </c>
      <c r="I2010">
        <v>3.2</v>
      </c>
      <c r="J2010" s="5">
        <f>BBDD_fashion_boutique[[#This Row],[markdown_percentage]]/100</f>
        <v>3.2000000000000001E-2</v>
      </c>
      <c r="K2010" s="2">
        <v>170</v>
      </c>
      <c r="L2010" s="2">
        <f>BBDD_fashion_boutique[[#This Row],[original_price]]-BBDD_fashion_boutique[[#This Row],[current_price]]</f>
        <v>5.6200000000000045</v>
      </c>
      <c r="M2010" s="1">
        <v>45875</v>
      </c>
      <c r="N2010" s="1" t="str">
        <f>PROPER(TEXT(BBDD_fashion_boutique[[#This Row],[purchase_date]],"dddd"))</f>
        <v>Miércoles</v>
      </c>
      <c r="O2010" s="1" t="str">
        <f>PROPER(TEXT(BBDD_fashion_boutique[[#This Row],[purchase_date]],"mmmm"))</f>
        <v>Agosto</v>
      </c>
      <c r="P2010" s="4">
        <v>46</v>
      </c>
      <c r="R2010" t="str">
        <f>IF(BBDD_fashion_boutique[[#This Row],[stock_quantity]]&gt;9,"Ok",IF(BBDD_fashion_boutique[[#This Row],[stock_quantity]]=0,"Agotado","Pocas Unidades"))</f>
        <v>Ok</v>
      </c>
      <c r="S2010" s="3" t="str">
        <f>IF(BBDD_fashion_boutique[[#This Row],[customer_rating]]="","No valorado",BBDD_fashion_boutique[[#This Row],[customer_rating]])</f>
        <v>No valorado</v>
      </c>
      <c r="T2010" t="s">
        <v>24</v>
      </c>
      <c r="V2010">
        <f>IF(BBDD_fashion_boutique[[#This Row],[is_returned]]="False",0,1)</f>
        <v>0</v>
      </c>
      <c r="W2010">
        <f>IF(BBDD_fashion_boutique[[#This Row],[is_returned]]="True",0,BBDD_fashion_boutique[[#This Row],[current_price]])</f>
        <v>170</v>
      </c>
      <c r="X2010" t="str">
        <f>IF(BBDD_fashion_boutique[[#This Row],[return_reason]]="","No return",BBDD_fashion_boutique[[#This Row],[return_reason]])</f>
        <v>No return</v>
      </c>
      <c r="Y2010">
        <f>IF(IFERROR(VLOOKUP(BBDD_fashion_boutique[[#This Row],[product_id]],A2011:A4186,1,FALSE),0),1,0)</f>
        <v>0</v>
      </c>
    </row>
    <row r="2011" spans="1:25" x14ac:dyDescent="0.3">
      <c r="A2011" t="s">
        <v>2070</v>
      </c>
      <c r="B2011" t="s">
        <v>48</v>
      </c>
      <c r="C2011" t="s">
        <v>54</v>
      </c>
      <c r="D2011" t="s">
        <v>68</v>
      </c>
      <c r="E2011" t="s">
        <v>29</v>
      </c>
      <c r="F2011" t="str">
        <f>IF(BBDD_fashion_boutique[[#This Row],[category]]="Accessories","Accesorio",IF(BBDD_fashion_boutique[[#This Row],[size]]="","Desconocido",BBDD_fashion_boutique[[#This Row],[size]]))</f>
        <v>L</v>
      </c>
      <c r="G2011" t="s">
        <v>33</v>
      </c>
      <c r="H2011" s="2">
        <v>154.02000000000001</v>
      </c>
      <c r="I2011">
        <v>0</v>
      </c>
      <c r="J2011" s="5">
        <f>BBDD_fashion_boutique[[#This Row],[markdown_percentage]]/100</f>
        <v>0</v>
      </c>
      <c r="K2011" s="2">
        <v>154.02000000000001</v>
      </c>
      <c r="L2011" s="2">
        <f>BBDD_fashion_boutique[[#This Row],[original_price]]-BBDD_fashion_boutique[[#This Row],[current_price]]</f>
        <v>0</v>
      </c>
      <c r="M2011" s="1">
        <v>45875</v>
      </c>
      <c r="N2011" s="1" t="str">
        <f>PROPER(TEXT(BBDD_fashion_boutique[[#This Row],[purchase_date]],"dddd"))</f>
        <v>Miércoles</v>
      </c>
      <c r="O2011" s="1" t="str">
        <f>PROPER(TEXT(BBDD_fashion_boutique[[#This Row],[purchase_date]],"mmmm"))</f>
        <v>Agosto</v>
      </c>
      <c r="P2011" s="4">
        <v>21</v>
      </c>
      <c r="Q2011" s="2">
        <v>3.3</v>
      </c>
      <c r="R2011" t="str">
        <f>IF(BBDD_fashion_boutique[[#This Row],[stock_quantity]]&gt;9,"Ok",IF(BBDD_fashion_boutique[[#This Row],[stock_quantity]]=0,"Agotado","Pocas Unidades"))</f>
        <v>Ok</v>
      </c>
      <c r="S2011" s="3">
        <f>IF(BBDD_fashion_boutique[[#This Row],[customer_rating]]="","No valorado",BBDD_fashion_boutique[[#This Row],[customer_rating]])</f>
        <v>3.3</v>
      </c>
      <c r="T2011" t="s">
        <v>24</v>
      </c>
      <c r="V2011">
        <f>IF(BBDD_fashion_boutique[[#This Row],[is_returned]]="False",0,1)</f>
        <v>0</v>
      </c>
      <c r="W2011">
        <f>IF(BBDD_fashion_boutique[[#This Row],[is_returned]]="True",0,BBDD_fashion_boutique[[#This Row],[current_price]])</f>
        <v>154.02000000000001</v>
      </c>
      <c r="X2011" t="str">
        <f>IF(BBDD_fashion_boutique[[#This Row],[return_reason]]="","No return",BBDD_fashion_boutique[[#This Row],[return_reason]])</f>
        <v>No return</v>
      </c>
      <c r="Y2011">
        <f>IF(IFERROR(VLOOKUP(BBDD_fashion_boutique[[#This Row],[product_id]],A2012:A4187,1,FALSE),0),1,0)</f>
        <v>0</v>
      </c>
    </row>
    <row r="2012" spans="1:25" x14ac:dyDescent="0.3">
      <c r="A2012" t="s">
        <v>2071</v>
      </c>
      <c r="B2012" t="s">
        <v>19</v>
      </c>
      <c r="C2012" t="s">
        <v>20</v>
      </c>
      <c r="D2012" t="s">
        <v>39</v>
      </c>
      <c r="E2012" t="s">
        <v>45</v>
      </c>
      <c r="F2012" t="str">
        <f>IF(BBDD_fashion_boutique[[#This Row],[category]]="Accessories","Accesorio",IF(BBDD_fashion_boutique[[#This Row],[size]]="","Desconocido",BBDD_fashion_boutique[[#This Row],[size]]))</f>
        <v>S</v>
      </c>
      <c r="G2012" t="s">
        <v>62</v>
      </c>
      <c r="H2012" s="2">
        <v>215.1</v>
      </c>
      <c r="I2012">
        <v>0</v>
      </c>
      <c r="J2012" s="5">
        <f>BBDD_fashion_boutique[[#This Row],[markdown_percentage]]/100</f>
        <v>0</v>
      </c>
      <c r="K2012" s="2">
        <v>215.1</v>
      </c>
      <c r="L2012" s="2">
        <f>BBDD_fashion_boutique[[#This Row],[original_price]]-BBDD_fashion_boutique[[#This Row],[current_price]]</f>
        <v>0</v>
      </c>
      <c r="M2012" s="1">
        <v>45875</v>
      </c>
      <c r="N2012" s="1" t="str">
        <f>PROPER(TEXT(BBDD_fashion_boutique[[#This Row],[purchase_date]],"dddd"))</f>
        <v>Miércoles</v>
      </c>
      <c r="O2012" s="1" t="str">
        <f>PROPER(TEXT(BBDD_fashion_boutique[[#This Row],[purchase_date]],"mmmm"))</f>
        <v>Agosto</v>
      </c>
      <c r="P2012" s="4">
        <v>16</v>
      </c>
      <c r="Q2012" s="2">
        <v>2.5</v>
      </c>
      <c r="R2012" t="str">
        <f>IF(BBDD_fashion_boutique[[#This Row],[stock_quantity]]&gt;9,"Ok",IF(BBDD_fashion_boutique[[#This Row],[stock_quantity]]=0,"Agotado","Pocas Unidades"))</f>
        <v>Ok</v>
      </c>
      <c r="S2012" s="3">
        <f>IF(BBDD_fashion_boutique[[#This Row],[customer_rating]]="","No valorado",BBDD_fashion_boutique[[#This Row],[customer_rating]])</f>
        <v>2.5</v>
      </c>
      <c r="T2012" t="s">
        <v>24</v>
      </c>
      <c r="V2012">
        <f>IF(BBDD_fashion_boutique[[#This Row],[is_returned]]="False",0,1)</f>
        <v>0</v>
      </c>
      <c r="W2012">
        <f>IF(BBDD_fashion_boutique[[#This Row],[is_returned]]="True",0,BBDD_fashion_boutique[[#This Row],[current_price]])</f>
        <v>215.1</v>
      </c>
      <c r="X2012" t="str">
        <f>IF(BBDD_fashion_boutique[[#This Row],[return_reason]]="","No return",BBDD_fashion_boutique[[#This Row],[return_reason]])</f>
        <v>No return</v>
      </c>
      <c r="Y2012">
        <f>IF(IFERROR(VLOOKUP(BBDD_fashion_boutique[[#This Row],[product_id]],A2013:A4188,1,FALSE),0),1,0)</f>
        <v>0</v>
      </c>
    </row>
    <row r="2013" spans="1:25" x14ac:dyDescent="0.3">
      <c r="A2013" t="s">
        <v>2072</v>
      </c>
      <c r="B2013" t="s">
        <v>26</v>
      </c>
      <c r="C2013" t="s">
        <v>59</v>
      </c>
      <c r="D2013" t="s">
        <v>39</v>
      </c>
      <c r="E2013" t="s">
        <v>64</v>
      </c>
      <c r="F2013" t="str">
        <f>IF(BBDD_fashion_boutique[[#This Row],[category]]="Accessories","Accesorio",IF(BBDD_fashion_boutique[[#This Row],[size]]="","Desconocido",BBDD_fashion_boutique[[#This Row],[size]]))</f>
        <v>M</v>
      </c>
      <c r="G2013" t="s">
        <v>76</v>
      </c>
      <c r="H2013" s="2">
        <v>40.28</v>
      </c>
      <c r="I2013">
        <v>0</v>
      </c>
      <c r="J2013" s="5">
        <f>BBDD_fashion_boutique[[#This Row],[markdown_percentage]]/100</f>
        <v>0</v>
      </c>
      <c r="K2013" s="2">
        <v>40.28</v>
      </c>
      <c r="L2013" s="2">
        <f>BBDD_fashion_boutique[[#This Row],[original_price]]-BBDD_fashion_boutique[[#This Row],[current_price]]</f>
        <v>0</v>
      </c>
      <c r="M2013" s="1">
        <v>45875</v>
      </c>
      <c r="N2013" s="1" t="str">
        <f>PROPER(TEXT(BBDD_fashion_boutique[[#This Row],[purchase_date]],"dddd"))</f>
        <v>Miércoles</v>
      </c>
      <c r="O2013" s="1" t="str">
        <f>PROPER(TEXT(BBDD_fashion_boutique[[#This Row],[purchase_date]],"mmmm"))</f>
        <v>Agosto</v>
      </c>
      <c r="P2013" s="4">
        <v>35</v>
      </c>
      <c r="Q2013" s="2">
        <v>3.8</v>
      </c>
      <c r="R2013" t="str">
        <f>IF(BBDD_fashion_boutique[[#This Row],[stock_quantity]]&gt;9,"Ok",IF(BBDD_fashion_boutique[[#This Row],[stock_quantity]]=0,"Agotado","Pocas Unidades"))</f>
        <v>Ok</v>
      </c>
      <c r="S2013" s="3">
        <f>IF(BBDD_fashion_boutique[[#This Row],[customer_rating]]="","No valorado",BBDD_fashion_boutique[[#This Row],[customer_rating]])</f>
        <v>3.8</v>
      </c>
      <c r="T2013" t="s">
        <v>24</v>
      </c>
      <c r="V2013">
        <f>IF(BBDD_fashion_boutique[[#This Row],[is_returned]]="False",0,1)</f>
        <v>0</v>
      </c>
      <c r="W2013">
        <f>IF(BBDD_fashion_boutique[[#This Row],[is_returned]]="True",0,BBDD_fashion_boutique[[#This Row],[current_price]])</f>
        <v>40.28</v>
      </c>
      <c r="X2013" t="str">
        <f>IF(BBDD_fashion_boutique[[#This Row],[return_reason]]="","No return",BBDD_fashion_boutique[[#This Row],[return_reason]])</f>
        <v>No return</v>
      </c>
      <c r="Y2013">
        <f>IF(IFERROR(VLOOKUP(BBDD_fashion_boutique[[#This Row],[product_id]],A2014:A4189,1,FALSE),0),1,0)</f>
        <v>0</v>
      </c>
    </row>
    <row r="2014" spans="1:25" x14ac:dyDescent="0.3">
      <c r="A2014" t="s">
        <v>2073</v>
      </c>
      <c r="B2014" t="s">
        <v>32</v>
      </c>
      <c r="C2014" t="s">
        <v>81</v>
      </c>
      <c r="D2014" t="s">
        <v>39</v>
      </c>
      <c r="F2014" t="str">
        <f>IF(BBDD_fashion_boutique[[#This Row],[category]]="Accessories","Accesorio",IF(BBDD_fashion_boutique[[#This Row],[size]]="","Desconocido",BBDD_fashion_boutique[[#This Row],[size]]))</f>
        <v>Accesorio</v>
      </c>
      <c r="G2014" t="s">
        <v>46</v>
      </c>
      <c r="H2014" s="2">
        <v>25.95</v>
      </c>
      <c r="I2014">
        <v>18.8</v>
      </c>
      <c r="J2014" s="5">
        <f>BBDD_fashion_boutique[[#This Row],[markdown_percentage]]/100</f>
        <v>0.188</v>
      </c>
      <c r="K2014" s="2">
        <v>21.07</v>
      </c>
      <c r="L2014" s="2">
        <f>BBDD_fashion_boutique[[#This Row],[original_price]]-BBDD_fashion_boutique[[#This Row],[current_price]]</f>
        <v>4.879999999999999</v>
      </c>
      <c r="M2014" s="1">
        <v>45875</v>
      </c>
      <c r="N2014" s="1" t="str">
        <f>PROPER(TEXT(BBDD_fashion_boutique[[#This Row],[purchase_date]],"dddd"))</f>
        <v>Miércoles</v>
      </c>
      <c r="O2014" s="1" t="str">
        <f>PROPER(TEXT(BBDD_fashion_boutique[[#This Row],[purchase_date]],"mmmm"))</f>
        <v>Agosto</v>
      </c>
      <c r="P2014" s="4">
        <v>1</v>
      </c>
      <c r="Q2014" s="2">
        <v>4</v>
      </c>
      <c r="R2014" t="str">
        <f>IF(BBDD_fashion_boutique[[#This Row],[stock_quantity]]&gt;9,"Ok",IF(BBDD_fashion_boutique[[#This Row],[stock_quantity]]=0,"Agotado","Pocas Unidades"))</f>
        <v>Pocas Unidades</v>
      </c>
      <c r="S2014" s="3">
        <f>IF(BBDD_fashion_boutique[[#This Row],[customer_rating]]="","No valorado",BBDD_fashion_boutique[[#This Row],[customer_rating]])</f>
        <v>4</v>
      </c>
      <c r="T2014" t="s">
        <v>24</v>
      </c>
      <c r="V2014">
        <f>IF(BBDD_fashion_boutique[[#This Row],[is_returned]]="False",0,1)</f>
        <v>0</v>
      </c>
      <c r="W2014">
        <f>IF(BBDD_fashion_boutique[[#This Row],[is_returned]]="True",0,BBDD_fashion_boutique[[#This Row],[current_price]])</f>
        <v>21.07</v>
      </c>
      <c r="X2014" t="str">
        <f>IF(BBDD_fashion_boutique[[#This Row],[return_reason]]="","No return",BBDD_fashion_boutique[[#This Row],[return_reason]])</f>
        <v>No return</v>
      </c>
      <c r="Y2014">
        <f>IF(IFERROR(VLOOKUP(BBDD_fashion_boutique[[#This Row],[product_id]],A2015:A4190,1,FALSE),0),1,0)</f>
        <v>0</v>
      </c>
    </row>
    <row r="2015" spans="1:25" x14ac:dyDescent="0.3">
      <c r="A2015" t="s">
        <v>2074</v>
      </c>
      <c r="B2015" t="s">
        <v>32</v>
      </c>
      <c r="C2015" t="s">
        <v>27</v>
      </c>
      <c r="D2015" t="s">
        <v>39</v>
      </c>
      <c r="F2015" t="str">
        <f>IF(BBDD_fashion_boutique[[#This Row],[category]]="Accessories","Accesorio",IF(BBDD_fashion_boutique[[#This Row],[size]]="","Desconocido",BBDD_fashion_boutique[[#This Row],[size]]))</f>
        <v>Accesorio</v>
      </c>
      <c r="G2015" t="s">
        <v>70</v>
      </c>
      <c r="H2015" s="2">
        <v>21.26</v>
      </c>
      <c r="I2015">
        <v>50.7</v>
      </c>
      <c r="J2015" s="5">
        <f>BBDD_fashion_boutique[[#This Row],[markdown_percentage]]/100</f>
        <v>0.50700000000000001</v>
      </c>
      <c r="K2015" s="2">
        <v>10.48</v>
      </c>
      <c r="L2015" s="2">
        <f>BBDD_fashion_boutique[[#This Row],[original_price]]-BBDD_fashion_boutique[[#This Row],[current_price]]</f>
        <v>10.780000000000001</v>
      </c>
      <c r="M2015" s="1">
        <v>45875</v>
      </c>
      <c r="N2015" s="1" t="str">
        <f>PROPER(TEXT(BBDD_fashion_boutique[[#This Row],[purchase_date]],"dddd"))</f>
        <v>Miércoles</v>
      </c>
      <c r="O2015" s="1" t="str">
        <f>PROPER(TEXT(BBDD_fashion_boutique[[#This Row],[purchase_date]],"mmmm"))</f>
        <v>Agosto</v>
      </c>
      <c r="P2015" s="4">
        <v>39</v>
      </c>
      <c r="Q2015" s="2">
        <v>4.3</v>
      </c>
      <c r="R2015" t="str">
        <f>IF(BBDD_fashion_boutique[[#This Row],[stock_quantity]]&gt;9,"Ok",IF(BBDD_fashion_boutique[[#This Row],[stock_quantity]]=0,"Agotado","Pocas Unidades"))</f>
        <v>Ok</v>
      </c>
      <c r="S2015" s="3">
        <f>IF(BBDD_fashion_boutique[[#This Row],[customer_rating]]="","No valorado",BBDD_fashion_boutique[[#This Row],[customer_rating]])</f>
        <v>4.3</v>
      </c>
      <c r="T2015" t="s">
        <v>24</v>
      </c>
      <c r="V2015">
        <f>IF(BBDD_fashion_boutique[[#This Row],[is_returned]]="False",0,1)</f>
        <v>0</v>
      </c>
      <c r="W2015">
        <f>IF(BBDD_fashion_boutique[[#This Row],[is_returned]]="True",0,BBDD_fashion_boutique[[#This Row],[current_price]])</f>
        <v>10.48</v>
      </c>
      <c r="X2015" t="str">
        <f>IF(BBDD_fashion_boutique[[#This Row],[return_reason]]="","No return",BBDD_fashion_boutique[[#This Row],[return_reason]])</f>
        <v>No return</v>
      </c>
      <c r="Y2015">
        <f>IF(IFERROR(VLOOKUP(BBDD_fashion_boutique[[#This Row],[product_id]],A2016:A4191,1,FALSE),0),1,0)</f>
        <v>0</v>
      </c>
    </row>
    <row r="2016" spans="1:25" x14ac:dyDescent="0.3">
      <c r="A2016" t="s">
        <v>2075</v>
      </c>
      <c r="B2016" t="s">
        <v>48</v>
      </c>
      <c r="C2016" t="s">
        <v>20</v>
      </c>
      <c r="D2016" t="s">
        <v>21</v>
      </c>
      <c r="E2016" t="s">
        <v>61</v>
      </c>
      <c r="F2016" t="str">
        <f>IF(BBDD_fashion_boutique[[#This Row],[category]]="Accessories","Accesorio",IF(BBDD_fashion_boutique[[#This Row],[size]]="","Desconocido",BBDD_fashion_boutique[[#This Row],[size]]))</f>
        <v>XS</v>
      </c>
      <c r="G2016" t="s">
        <v>50</v>
      </c>
      <c r="H2016" s="2">
        <v>146.07</v>
      </c>
      <c r="I2016">
        <v>0</v>
      </c>
      <c r="J2016" s="5">
        <f>BBDD_fashion_boutique[[#This Row],[markdown_percentage]]/100</f>
        <v>0</v>
      </c>
      <c r="K2016" s="2">
        <v>146.07</v>
      </c>
      <c r="L2016" s="2">
        <f>BBDD_fashion_boutique[[#This Row],[original_price]]-BBDD_fashion_boutique[[#This Row],[current_price]]</f>
        <v>0</v>
      </c>
      <c r="M2016" s="1">
        <v>45847</v>
      </c>
      <c r="N2016" s="1" t="str">
        <f>PROPER(TEXT(BBDD_fashion_boutique[[#This Row],[purchase_date]],"dddd"))</f>
        <v>Miércoles</v>
      </c>
      <c r="O2016" s="1" t="str">
        <f>PROPER(TEXT(BBDD_fashion_boutique[[#This Row],[purchase_date]],"mmmm"))</f>
        <v>Julio</v>
      </c>
      <c r="P2016" s="4">
        <v>33</v>
      </c>
      <c r="Q2016" s="2">
        <v>3.7</v>
      </c>
      <c r="R2016" t="str">
        <f>IF(BBDD_fashion_boutique[[#This Row],[stock_quantity]]&gt;9,"Ok",IF(BBDD_fashion_boutique[[#This Row],[stock_quantity]]=0,"Agotado","Pocas Unidades"))</f>
        <v>Ok</v>
      </c>
      <c r="S2016" s="3">
        <f>IF(BBDD_fashion_boutique[[#This Row],[customer_rating]]="","No valorado",BBDD_fashion_boutique[[#This Row],[customer_rating]])</f>
        <v>3.7</v>
      </c>
      <c r="T2016" t="s">
        <v>24</v>
      </c>
      <c r="V2016">
        <f>IF(BBDD_fashion_boutique[[#This Row],[is_returned]]="False",0,1)</f>
        <v>0</v>
      </c>
      <c r="W2016">
        <f>IF(BBDD_fashion_boutique[[#This Row],[is_returned]]="True",0,BBDD_fashion_boutique[[#This Row],[current_price]])</f>
        <v>146.07</v>
      </c>
      <c r="X2016" t="str">
        <f>IF(BBDD_fashion_boutique[[#This Row],[return_reason]]="","No return",BBDD_fashion_boutique[[#This Row],[return_reason]])</f>
        <v>No return</v>
      </c>
      <c r="Y2016">
        <f>IF(IFERROR(VLOOKUP(BBDD_fashion_boutique[[#This Row],[product_id]],A2017:A4192,1,FALSE),0),1,0)</f>
        <v>0</v>
      </c>
    </row>
    <row r="2017" spans="1:25" x14ac:dyDescent="0.3">
      <c r="A2017" t="s">
        <v>2076</v>
      </c>
      <c r="B2017" t="s">
        <v>48</v>
      </c>
      <c r="C2017" t="s">
        <v>59</v>
      </c>
      <c r="D2017" t="s">
        <v>21</v>
      </c>
      <c r="E2017" t="s">
        <v>45</v>
      </c>
      <c r="F2017" t="str">
        <f>IF(BBDD_fashion_boutique[[#This Row],[category]]="Accessories","Accesorio",IF(BBDD_fashion_boutique[[#This Row],[size]]="","Desconocido",BBDD_fashion_boutique[[#This Row],[size]]))</f>
        <v>S</v>
      </c>
      <c r="G2017" t="s">
        <v>46</v>
      </c>
      <c r="H2017" s="2">
        <v>135.97</v>
      </c>
      <c r="I2017">
        <v>0</v>
      </c>
      <c r="J2017" s="5">
        <f>BBDD_fashion_boutique[[#This Row],[markdown_percentage]]/100</f>
        <v>0</v>
      </c>
      <c r="K2017" s="2">
        <v>135.97</v>
      </c>
      <c r="L2017" s="2">
        <f>BBDD_fashion_boutique[[#This Row],[original_price]]-BBDD_fashion_boutique[[#This Row],[current_price]]</f>
        <v>0</v>
      </c>
      <c r="M2017" s="1">
        <v>45545</v>
      </c>
      <c r="N2017" s="1" t="str">
        <f>PROPER(TEXT(BBDD_fashion_boutique[[#This Row],[purchase_date]],"dddd"))</f>
        <v>Martes</v>
      </c>
      <c r="O2017" s="1" t="str">
        <f>PROPER(TEXT(BBDD_fashion_boutique[[#This Row],[purchase_date]],"mmmm"))</f>
        <v>Septiembre</v>
      </c>
      <c r="P2017" s="4">
        <v>30</v>
      </c>
      <c r="Q2017" s="2">
        <v>1.1000000000000001</v>
      </c>
      <c r="R2017" t="str">
        <f>IF(BBDD_fashion_boutique[[#This Row],[stock_quantity]]&gt;9,"Ok",IF(BBDD_fashion_boutique[[#This Row],[stock_quantity]]=0,"Agotado","Pocas Unidades"))</f>
        <v>Ok</v>
      </c>
      <c r="S2017" s="3">
        <f>IF(BBDD_fashion_boutique[[#This Row],[customer_rating]]="","No valorado",BBDD_fashion_boutique[[#This Row],[customer_rating]])</f>
        <v>1.1000000000000001</v>
      </c>
      <c r="T2017" t="s">
        <v>24</v>
      </c>
      <c r="V2017">
        <f>IF(BBDD_fashion_boutique[[#This Row],[is_returned]]="False",0,1)</f>
        <v>0</v>
      </c>
      <c r="W2017">
        <f>IF(BBDD_fashion_boutique[[#This Row],[is_returned]]="True",0,BBDD_fashion_boutique[[#This Row],[current_price]])</f>
        <v>135.97</v>
      </c>
      <c r="X2017" t="str">
        <f>IF(BBDD_fashion_boutique[[#This Row],[return_reason]]="","No return",BBDD_fashion_boutique[[#This Row],[return_reason]])</f>
        <v>No return</v>
      </c>
      <c r="Y2017">
        <f>IF(IFERROR(VLOOKUP(BBDD_fashion_boutique[[#This Row],[product_id]],A2018:A4193,1,FALSE),0),1,0)</f>
        <v>0</v>
      </c>
    </row>
    <row r="2018" spans="1:25" x14ac:dyDescent="0.3">
      <c r="A2018" t="s">
        <v>2077</v>
      </c>
      <c r="B2018" t="s">
        <v>35</v>
      </c>
      <c r="C2018" t="s">
        <v>20</v>
      </c>
      <c r="D2018" t="s">
        <v>21</v>
      </c>
      <c r="E2018" t="s">
        <v>29</v>
      </c>
      <c r="F2018" t="str">
        <f>IF(BBDD_fashion_boutique[[#This Row],[category]]="Accessories","Accesorio",IF(BBDD_fashion_boutique[[#This Row],[size]]="","Desconocido",BBDD_fashion_boutique[[#This Row],[size]]))</f>
        <v>L</v>
      </c>
      <c r="G2018" t="s">
        <v>52</v>
      </c>
      <c r="H2018" s="2">
        <v>84.88</v>
      </c>
      <c r="I2018">
        <v>7.4</v>
      </c>
      <c r="J2018" s="5">
        <f>BBDD_fashion_boutique[[#This Row],[markdown_percentage]]/100</f>
        <v>7.400000000000001E-2</v>
      </c>
      <c r="K2018" s="2">
        <v>78.599999999999994</v>
      </c>
      <c r="L2018" s="2">
        <f>BBDD_fashion_boutique[[#This Row],[original_price]]-BBDD_fashion_boutique[[#This Row],[current_price]]</f>
        <v>6.2800000000000011</v>
      </c>
      <c r="M2018" s="1">
        <v>45742</v>
      </c>
      <c r="N2018" s="1" t="str">
        <f>PROPER(TEXT(BBDD_fashion_boutique[[#This Row],[purchase_date]],"dddd"))</f>
        <v>Miércoles</v>
      </c>
      <c r="O2018" s="1" t="str">
        <f>PROPER(TEXT(BBDD_fashion_boutique[[#This Row],[purchase_date]],"mmmm"))</f>
        <v>Marzo</v>
      </c>
      <c r="P2018" s="4">
        <v>42</v>
      </c>
      <c r="Q2018" s="2">
        <v>3.4</v>
      </c>
      <c r="R2018" t="str">
        <f>IF(BBDD_fashion_boutique[[#This Row],[stock_quantity]]&gt;9,"Ok",IF(BBDD_fashion_boutique[[#This Row],[stock_quantity]]=0,"Agotado","Pocas Unidades"))</f>
        <v>Ok</v>
      </c>
      <c r="S2018" s="3">
        <f>IF(BBDD_fashion_boutique[[#This Row],[customer_rating]]="","No valorado",BBDD_fashion_boutique[[#This Row],[customer_rating]])</f>
        <v>3.4</v>
      </c>
      <c r="T2018" t="s">
        <v>24</v>
      </c>
      <c r="V2018">
        <f>IF(BBDD_fashion_boutique[[#This Row],[is_returned]]="False",0,1)</f>
        <v>0</v>
      </c>
      <c r="W2018">
        <f>IF(BBDD_fashion_boutique[[#This Row],[is_returned]]="True",0,BBDD_fashion_boutique[[#This Row],[current_price]])</f>
        <v>78.599999999999994</v>
      </c>
      <c r="X2018" t="str">
        <f>IF(BBDD_fashion_boutique[[#This Row],[return_reason]]="","No return",BBDD_fashion_boutique[[#This Row],[return_reason]])</f>
        <v>No return</v>
      </c>
      <c r="Y2018">
        <f>IF(IFERROR(VLOOKUP(BBDD_fashion_boutique[[#This Row],[product_id]],A2019:A4194,1,FALSE),0),1,0)</f>
        <v>0</v>
      </c>
    </row>
    <row r="2019" spans="1:25" x14ac:dyDescent="0.3">
      <c r="A2019" t="s">
        <v>2078</v>
      </c>
      <c r="B2019" t="s">
        <v>35</v>
      </c>
      <c r="C2019" t="s">
        <v>54</v>
      </c>
      <c r="D2019" t="s">
        <v>28</v>
      </c>
      <c r="E2019" t="s">
        <v>61</v>
      </c>
      <c r="F2019" t="str">
        <f>IF(BBDD_fashion_boutique[[#This Row],[category]]="Accessories","Accesorio",IF(BBDD_fashion_boutique[[#This Row],[size]]="","Desconocido",BBDD_fashion_boutique[[#This Row],[size]]))</f>
        <v>XS</v>
      </c>
      <c r="G2019" t="s">
        <v>62</v>
      </c>
      <c r="H2019" s="2">
        <v>159.25</v>
      </c>
      <c r="I2019">
        <v>5.5</v>
      </c>
      <c r="J2019" s="5">
        <f>BBDD_fashion_boutique[[#This Row],[markdown_percentage]]/100</f>
        <v>5.5E-2</v>
      </c>
      <c r="K2019" s="2">
        <v>150.49</v>
      </c>
      <c r="L2019" s="2">
        <f>BBDD_fashion_boutique[[#This Row],[original_price]]-BBDD_fashion_boutique[[#This Row],[current_price]]</f>
        <v>8.7599999999999909</v>
      </c>
      <c r="M2019" s="1">
        <v>45875</v>
      </c>
      <c r="N2019" s="1" t="str">
        <f>PROPER(TEXT(BBDD_fashion_boutique[[#This Row],[purchase_date]],"dddd"))</f>
        <v>Miércoles</v>
      </c>
      <c r="O2019" s="1" t="str">
        <f>PROPER(TEXT(BBDD_fashion_boutique[[#This Row],[purchase_date]],"mmmm"))</f>
        <v>Agosto</v>
      </c>
      <c r="P2019" s="4">
        <v>8</v>
      </c>
      <c r="R2019" t="str">
        <f>IF(BBDD_fashion_boutique[[#This Row],[stock_quantity]]&gt;9,"Ok",IF(BBDD_fashion_boutique[[#This Row],[stock_quantity]]=0,"Agotado","Pocas Unidades"))</f>
        <v>Pocas Unidades</v>
      </c>
      <c r="S2019" s="3" t="str">
        <f>IF(BBDD_fashion_boutique[[#This Row],[customer_rating]]="","No valorado",BBDD_fashion_boutique[[#This Row],[customer_rating]])</f>
        <v>No valorado</v>
      </c>
      <c r="T2019" t="s">
        <v>24</v>
      </c>
      <c r="V2019">
        <f>IF(BBDD_fashion_boutique[[#This Row],[is_returned]]="False",0,1)</f>
        <v>0</v>
      </c>
      <c r="W2019">
        <f>IF(BBDD_fashion_boutique[[#This Row],[is_returned]]="True",0,BBDD_fashion_boutique[[#This Row],[current_price]])</f>
        <v>150.49</v>
      </c>
      <c r="X2019" t="str">
        <f>IF(BBDD_fashion_boutique[[#This Row],[return_reason]]="","No return",BBDD_fashion_boutique[[#This Row],[return_reason]])</f>
        <v>No return</v>
      </c>
      <c r="Y2019">
        <f>IF(IFERROR(VLOOKUP(BBDD_fashion_boutique[[#This Row],[product_id]],A2020:A4195,1,FALSE),0),1,0)</f>
        <v>0</v>
      </c>
    </row>
    <row r="2020" spans="1:25" x14ac:dyDescent="0.3">
      <c r="A2020" t="s">
        <v>2079</v>
      </c>
      <c r="B2020" t="s">
        <v>44</v>
      </c>
      <c r="C2020" t="s">
        <v>59</v>
      </c>
      <c r="D2020" t="s">
        <v>28</v>
      </c>
      <c r="E2020" t="s">
        <v>64</v>
      </c>
      <c r="F2020" t="str">
        <f>IF(BBDD_fashion_boutique[[#This Row],[category]]="Accessories","Accesorio",IF(BBDD_fashion_boutique[[#This Row],[size]]="","Desconocido",BBDD_fashion_boutique[[#This Row],[size]]))</f>
        <v>M</v>
      </c>
      <c r="G2020" t="s">
        <v>76</v>
      </c>
      <c r="H2020" s="2">
        <v>84.29</v>
      </c>
      <c r="I2020">
        <v>0</v>
      </c>
      <c r="J2020" s="5">
        <f>BBDD_fashion_boutique[[#This Row],[markdown_percentage]]/100</f>
        <v>0</v>
      </c>
      <c r="K2020" s="2">
        <v>84.29</v>
      </c>
      <c r="L2020" s="2">
        <f>BBDD_fashion_boutique[[#This Row],[original_price]]-BBDD_fashion_boutique[[#This Row],[current_price]]</f>
        <v>0</v>
      </c>
      <c r="M2020" s="1">
        <v>45875</v>
      </c>
      <c r="N2020" s="1" t="str">
        <f>PROPER(TEXT(BBDD_fashion_boutique[[#This Row],[purchase_date]],"dddd"))</f>
        <v>Miércoles</v>
      </c>
      <c r="O2020" s="1" t="str">
        <f>PROPER(TEXT(BBDD_fashion_boutique[[#This Row],[purchase_date]],"mmmm"))</f>
        <v>Agosto</v>
      </c>
      <c r="P2020" s="4">
        <v>4</v>
      </c>
      <c r="Q2020" s="2">
        <v>2.8</v>
      </c>
      <c r="R2020" t="str">
        <f>IF(BBDD_fashion_boutique[[#This Row],[stock_quantity]]&gt;9,"Ok",IF(BBDD_fashion_boutique[[#This Row],[stock_quantity]]=0,"Agotado","Pocas Unidades"))</f>
        <v>Pocas Unidades</v>
      </c>
      <c r="S2020" s="3">
        <f>IF(BBDD_fashion_boutique[[#This Row],[customer_rating]]="","No valorado",BBDD_fashion_boutique[[#This Row],[customer_rating]])</f>
        <v>2.8</v>
      </c>
      <c r="T2020" t="s">
        <v>24</v>
      </c>
      <c r="V2020">
        <f>IF(BBDD_fashion_boutique[[#This Row],[is_returned]]="False",0,1)</f>
        <v>0</v>
      </c>
      <c r="W2020">
        <f>IF(BBDD_fashion_boutique[[#This Row],[is_returned]]="True",0,BBDD_fashion_boutique[[#This Row],[current_price]])</f>
        <v>84.29</v>
      </c>
      <c r="X2020" t="str">
        <f>IF(BBDD_fashion_boutique[[#This Row],[return_reason]]="","No return",BBDD_fashion_boutique[[#This Row],[return_reason]])</f>
        <v>No return</v>
      </c>
      <c r="Y2020">
        <f>IF(IFERROR(VLOOKUP(BBDD_fashion_boutique[[#This Row],[product_id]],A2021:A4196,1,FALSE),0),1,0)</f>
        <v>0</v>
      </c>
    </row>
    <row r="2021" spans="1:25" x14ac:dyDescent="0.3">
      <c r="A2021" t="s">
        <v>2080</v>
      </c>
      <c r="B2021" t="s">
        <v>32</v>
      </c>
      <c r="C2021" t="s">
        <v>81</v>
      </c>
      <c r="D2021" t="s">
        <v>28</v>
      </c>
      <c r="F2021" t="str">
        <f>IF(BBDD_fashion_boutique[[#This Row],[category]]="Accessories","Accesorio",IF(BBDD_fashion_boutique[[#This Row],[size]]="","Desconocido",BBDD_fashion_boutique[[#This Row],[size]]))</f>
        <v>Accesorio</v>
      </c>
      <c r="G2021" t="s">
        <v>23</v>
      </c>
      <c r="H2021" s="2">
        <v>38.86</v>
      </c>
      <c r="I2021">
        <v>0</v>
      </c>
      <c r="J2021" s="5">
        <f>BBDD_fashion_boutique[[#This Row],[markdown_percentage]]/100</f>
        <v>0</v>
      </c>
      <c r="K2021" s="2">
        <v>38.86</v>
      </c>
      <c r="L2021" s="2">
        <f>BBDD_fashion_boutique[[#This Row],[original_price]]-BBDD_fashion_boutique[[#This Row],[current_price]]</f>
        <v>0</v>
      </c>
      <c r="M2021" s="1">
        <v>45875</v>
      </c>
      <c r="N2021" s="1" t="str">
        <f>PROPER(TEXT(BBDD_fashion_boutique[[#This Row],[purchase_date]],"dddd"))</f>
        <v>Miércoles</v>
      </c>
      <c r="O2021" s="1" t="str">
        <f>PROPER(TEXT(BBDD_fashion_boutique[[#This Row],[purchase_date]],"mmmm"))</f>
        <v>Agosto</v>
      </c>
      <c r="P2021" s="4">
        <v>44</v>
      </c>
      <c r="R2021" t="str">
        <f>IF(BBDD_fashion_boutique[[#This Row],[stock_quantity]]&gt;9,"Ok",IF(BBDD_fashion_boutique[[#This Row],[stock_quantity]]=0,"Agotado","Pocas Unidades"))</f>
        <v>Ok</v>
      </c>
      <c r="S2021" s="3" t="str">
        <f>IF(BBDD_fashion_boutique[[#This Row],[customer_rating]]="","No valorado",BBDD_fashion_boutique[[#This Row],[customer_rating]])</f>
        <v>No valorado</v>
      </c>
      <c r="T2021" t="s">
        <v>24</v>
      </c>
      <c r="V2021">
        <f>IF(BBDD_fashion_boutique[[#This Row],[is_returned]]="False",0,1)</f>
        <v>0</v>
      </c>
      <c r="W2021">
        <f>IF(BBDD_fashion_boutique[[#This Row],[is_returned]]="True",0,BBDD_fashion_boutique[[#This Row],[current_price]])</f>
        <v>38.86</v>
      </c>
      <c r="X2021" t="str">
        <f>IF(BBDD_fashion_boutique[[#This Row],[return_reason]]="","No return",BBDD_fashion_boutique[[#This Row],[return_reason]])</f>
        <v>No return</v>
      </c>
      <c r="Y2021">
        <f>IF(IFERROR(VLOOKUP(BBDD_fashion_boutique[[#This Row],[product_id]],A2022:A4197,1,FALSE),0),1,0)</f>
        <v>0</v>
      </c>
    </row>
    <row r="2022" spans="1:25" x14ac:dyDescent="0.3">
      <c r="A2022" t="s">
        <v>2081</v>
      </c>
      <c r="B2022" t="s">
        <v>26</v>
      </c>
      <c r="C2022" t="s">
        <v>37</v>
      </c>
      <c r="D2022" t="s">
        <v>68</v>
      </c>
      <c r="E2022" t="s">
        <v>64</v>
      </c>
      <c r="F2022" t="str">
        <f>IF(BBDD_fashion_boutique[[#This Row],[category]]="Accessories","Accesorio",IF(BBDD_fashion_boutique[[#This Row],[size]]="","Desconocido",BBDD_fashion_boutique[[#This Row],[size]]))</f>
        <v>M</v>
      </c>
      <c r="G2022" t="s">
        <v>50</v>
      </c>
      <c r="H2022" s="2">
        <v>38.72</v>
      </c>
      <c r="I2022">
        <v>0</v>
      </c>
      <c r="J2022" s="5">
        <f>BBDD_fashion_boutique[[#This Row],[markdown_percentage]]/100</f>
        <v>0</v>
      </c>
      <c r="K2022" s="2">
        <v>38.72</v>
      </c>
      <c r="L2022" s="2">
        <f>BBDD_fashion_boutique[[#This Row],[original_price]]-BBDD_fashion_boutique[[#This Row],[current_price]]</f>
        <v>0</v>
      </c>
      <c r="M2022" s="1">
        <v>45875</v>
      </c>
      <c r="N2022" s="1" t="str">
        <f>PROPER(TEXT(BBDD_fashion_boutique[[#This Row],[purchase_date]],"dddd"))</f>
        <v>Miércoles</v>
      </c>
      <c r="O2022" s="1" t="str">
        <f>PROPER(TEXT(BBDD_fashion_boutique[[#This Row],[purchase_date]],"mmmm"))</f>
        <v>Agosto</v>
      </c>
      <c r="P2022" s="4">
        <v>35</v>
      </c>
      <c r="Q2022" s="2">
        <v>4</v>
      </c>
      <c r="R2022" t="str">
        <f>IF(BBDD_fashion_boutique[[#This Row],[stock_quantity]]&gt;9,"Ok",IF(BBDD_fashion_boutique[[#This Row],[stock_quantity]]=0,"Agotado","Pocas Unidades"))</f>
        <v>Ok</v>
      </c>
      <c r="S2022" s="3">
        <f>IF(BBDD_fashion_boutique[[#This Row],[customer_rating]]="","No valorado",BBDD_fashion_boutique[[#This Row],[customer_rating]])</f>
        <v>4</v>
      </c>
      <c r="T2022" t="s">
        <v>24</v>
      </c>
      <c r="V2022">
        <f>IF(BBDD_fashion_boutique[[#This Row],[is_returned]]="False",0,1)</f>
        <v>0</v>
      </c>
      <c r="W2022">
        <f>IF(BBDD_fashion_boutique[[#This Row],[is_returned]]="True",0,BBDD_fashion_boutique[[#This Row],[current_price]])</f>
        <v>38.72</v>
      </c>
      <c r="X2022" t="str">
        <f>IF(BBDD_fashion_boutique[[#This Row],[return_reason]]="","No return",BBDD_fashion_boutique[[#This Row],[return_reason]])</f>
        <v>No return</v>
      </c>
      <c r="Y2022">
        <f>IF(IFERROR(VLOOKUP(BBDD_fashion_boutique[[#This Row],[product_id]],A2023:A4198,1,FALSE),0),1,0)</f>
        <v>0</v>
      </c>
    </row>
    <row r="2023" spans="1:25" x14ac:dyDescent="0.3">
      <c r="A2023" t="s">
        <v>2082</v>
      </c>
      <c r="B2023" t="s">
        <v>48</v>
      </c>
      <c r="C2023" t="s">
        <v>20</v>
      </c>
      <c r="D2023" t="s">
        <v>28</v>
      </c>
      <c r="E2023" t="s">
        <v>61</v>
      </c>
      <c r="F2023" t="str">
        <f>IF(BBDD_fashion_boutique[[#This Row],[category]]="Accessories","Accesorio",IF(BBDD_fashion_boutique[[#This Row],[size]]="","Desconocido",BBDD_fashion_boutique[[#This Row],[size]]))</f>
        <v>XS</v>
      </c>
      <c r="G2023" t="s">
        <v>33</v>
      </c>
      <c r="H2023" s="2">
        <v>177.1</v>
      </c>
      <c r="I2023">
        <v>0</v>
      </c>
      <c r="J2023" s="5">
        <f>BBDD_fashion_boutique[[#This Row],[markdown_percentage]]/100</f>
        <v>0</v>
      </c>
      <c r="K2023" s="2">
        <v>177.1</v>
      </c>
      <c r="L2023" s="2">
        <f>BBDD_fashion_boutique[[#This Row],[original_price]]-BBDD_fashion_boutique[[#This Row],[current_price]]</f>
        <v>0</v>
      </c>
      <c r="M2023" s="1">
        <v>45875</v>
      </c>
      <c r="N2023" s="1" t="str">
        <f>PROPER(TEXT(BBDD_fashion_boutique[[#This Row],[purchase_date]],"dddd"))</f>
        <v>Miércoles</v>
      </c>
      <c r="O2023" s="1" t="str">
        <f>PROPER(TEXT(BBDD_fashion_boutique[[#This Row],[purchase_date]],"mmmm"))</f>
        <v>Agosto</v>
      </c>
      <c r="P2023" s="4">
        <v>49</v>
      </c>
      <c r="Q2023" s="2">
        <v>1.6</v>
      </c>
      <c r="R2023" t="str">
        <f>IF(BBDD_fashion_boutique[[#This Row],[stock_quantity]]&gt;9,"Ok",IF(BBDD_fashion_boutique[[#This Row],[stock_quantity]]=0,"Agotado","Pocas Unidades"))</f>
        <v>Ok</v>
      </c>
      <c r="S2023" s="3">
        <f>IF(BBDD_fashion_boutique[[#This Row],[customer_rating]]="","No valorado",BBDD_fashion_boutique[[#This Row],[customer_rating]])</f>
        <v>1.6</v>
      </c>
      <c r="T2023" t="s">
        <v>24</v>
      </c>
      <c r="V2023">
        <f>IF(BBDD_fashion_boutique[[#This Row],[is_returned]]="False",0,1)</f>
        <v>0</v>
      </c>
      <c r="W2023">
        <f>IF(BBDD_fashion_boutique[[#This Row],[is_returned]]="True",0,BBDD_fashion_boutique[[#This Row],[current_price]])</f>
        <v>177.1</v>
      </c>
      <c r="X2023" t="str">
        <f>IF(BBDD_fashion_boutique[[#This Row],[return_reason]]="","No return",BBDD_fashion_boutique[[#This Row],[return_reason]])</f>
        <v>No return</v>
      </c>
      <c r="Y2023">
        <f>IF(IFERROR(VLOOKUP(BBDD_fashion_boutique[[#This Row],[product_id]],A2024:A4199,1,FALSE),0),1,0)</f>
        <v>0</v>
      </c>
    </row>
    <row r="2024" spans="1:25" x14ac:dyDescent="0.3">
      <c r="A2024" t="s">
        <v>2083</v>
      </c>
      <c r="B2024" t="s">
        <v>44</v>
      </c>
      <c r="C2024" t="s">
        <v>81</v>
      </c>
      <c r="D2024" t="s">
        <v>21</v>
      </c>
      <c r="E2024" t="s">
        <v>61</v>
      </c>
      <c r="F2024" t="str">
        <f>IF(BBDD_fashion_boutique[[#This Row],[category]]="Accessories","Accesorio",IF(BBDD_fashion_boutique[[#This Row],[size]]="","Desconocido",BBDD_fashion_boutique[[#This Row],[size]]))</f>
        <v>XS</v>
      </c>
      <c r="G2024" t="s">
        <v>46</v>
      </c>
      <c r="H2024" s="2">
        <v>31.49</v>
      </c>
      <c r="I2024">
        <v>0</v>
      </c>
      <c r="J2024" s="5">
        <f>BBDD_fashion_boutique[[#This Row],[markdown_percentage]]/100</f>
        <v>0</v>
      </c>
      <c r="K2024" s="2">
        <v>31.49</v>
      </c>
      <c r="L2024" s="2">
        <f>BBDD_fashion_boutique[[#This Row],[original_price]]-BBDD_fashion_boutique[[#This Row],[current_price]]</f>
        <v>0</v>
      </c>
      <c r="M2024" s="1">
        <v>45584</v>
      </c>
      <c r="N2024" s="1" t="str">
        <f>PROPER(TEXT(BBDD_fashion_boutique[[#This Row],[purchase_date]],"dddd"))</f>
        <v>Sábado</v>
      </c>
      <c r="O2024" s="1" t="str">
        <f>PROPER(TEXT(BBDD_fashion_boutique[[#This Row],[purchase_date]],"mmmm"))</f>
        <v>Octubre</v>
      </c>
      <c r="P2024" s="4">
        <v>28</v>
      </c>
      <c r="R2024" t="str">
        <f>IF(BBDD_fashion_boutique[[#This Row],[stock_quantity]]&gt;9,"Ok",IF(BBDD_fashion_boutique[[#This Row],[stock_quantity]]=0,"Agotado","Pocas Unidades"))</f>
        <v>Ok</v>
      </c>
      <c r="S2024" s="3" t="str">
        <f>IF(BBDD_fashion_boutique[[#This Row],[customer_rating]]="","No valorado",BBDD_fashion_boutique[[#This Row],[customer_rating]])</f>
        <v>No valorado</v>
      </c>
      <c r="T2024" t="s">
        <v>24</v>
      </c>
      <c r="V2024">
        <f>IF(BBDD_fashion_boutique[[#This Row],[is_returned]]="False",0,1)</f>
        <v>0</v>
      </c>
      <c r="W2024">
        <f>IF(BBDD_fashion_boutique[[#This Row],[is_returned]]="True",0,BBDD_fashion_boutique[[#This Row],[current_price]])</f>
        <v>31.49</v>
      </c>
      <c r="X2024" t="str">
        <f>IF(BBDD_fashion_boutique[[#This Row],[return_reason]]="","No return",BBDD_fashion_boutique[[#This Row],[return_reason]])</f>
        <v>No return</v>
      </c>
      <c r="Y2024">
        <f>IF(IFERROR(VLOOKUP(BBDD_fashion_boutique[[#This Row],[product_id]],A2025:A4200,1,FALSE),0),1,0)</f>
        <v>0</v>
      </c>
    </row>
    <row r="2025" spans="1:25" x14ac:dyDescent="0.3">
      <c r="A2025" t="s">
        <v>2084</v>
      </c>
      <c r="B2025" t="s">
        <v>26</v>
      </c>
      <c r="C2025" t="s">
        <v>27</v>
      </c>
      <c r="D2025" t="s">
        <v>68</v>
      </c>
      <c r="F2025" t="str">
        <f>IF(BBDD_fashion_boutique[[#This Row],[category]]="Accessories","Accesorio",IF(BBDD_fashion_boutique[[#This Row],[size]]="","Desconocido",BBDD_fashion_boutique[[#This Row],[size]]))</f>
        <v>Desconocido</v>
      </c>
      <c r="G2025" t="s">
        <v>30</v>
      </c>
      <c r="H2025" s="2">
        <v>118.14</v>
      </c>
      <c r="I2025">
        <v>0</v>
      </c>
      <c r="J2025" s="5">
        <f>BBDD_fashion_boutique[[#This Row],[markdown_percentage]]/100</f>
        <v>0</v>
      </c>
      <c r="K2025" s="2">
        <v>118.14</v>
      </c>
      <c r="L2025" s="2">
        <f>BBDD_fashion_boutique[[#This Row],[original_price]]-BBDD_fashion_boutique[[#This Row],[current_price]]</f>
        <v>0</v>
      </c>
      <c r="M2025" s="1">
        <v>45875</v>
      </c>
      <c r="N2025" s="1" t="str">
        <f>PROPER(TEXT(BBDD_fashion_boutique[[#This Row],[purchase_date]],"dddd"))</f>
        <v>Miércoles</v>
      </c>
      <c r="O2025" s="1" t="str">
        <f>PROPER(TEXT(BBDD_fashion_boutique[[#This Row],[purchase_date]],"mmmm"))</f>
        <v>Agosto</v>
      </c>
      <c r="P2025" s="4">
        <v>33</v>
      </c>
      <c r="Q2025" s="2">
        <v>2.4</v>
      </c>
      <c r="R2025" t="str">
        <f>IF(BBDD_fashion_boutique[[#This Row],[stock_quantity]]&gt;9,"Ok",IF(BBDD_fashion_boutique[[#This Row],[stock_quantity]]=0,"Agotado","Pocas Unidades"))</f>
        <v>Ok</v>
      </c>
      <c r="S2025" s="3">
        <f>IF(BBDD_fashion_boutique[[#This Row],[customer_rating]]="","No valorado",BBDD_fashion_boutique[[#This Row],[customer_rating]])</f>
        <v>2.4</v>
      </c>
      <c r="T2025" t="s">
        <v>24</v>
      </c>
      <c r="V2025">
        <f>IF(BBDD_fashion_boutique[[#This Row],[is_returned]]="False",0,1)</f>
        <v>0</v>
      </c>
      <c r="W2025">
        <f>IF(BBDD_fashion_boutique[[#This Row],[is_returned]]="True",0,BBDD_fashion_boutique[[#This Row],[current_price]])</f>
        <v>118.14</v>
      </c>
      <c r="X2025" t="str">
        <f>IF(BBDD_fashion_boutique[[#This Row],[return_reason]]="","No return",BBDD_fashion_boutique[[#This Row],[return_reason]])</f>
        <v>No return</v>
      </c>
      <c r="Y2025">
        <f>IF(IFERROR(VLOOKUP(BBDD_fashion_boutique[[#This Row],[product_id]],A2026:A4201,1,FALSE),0),1,0)</f>
        <v>0</v>
      </c>
    </row>
    <row r="2026" spans="1:25" x14ac:dyDescent="0.3">
      <c r="A2026" t="s">
        <v>2085</v>
      </c>
      <c r="B2026" t="s">
        <v>26</v>
      </c>
      <c r="C2026" t="s">
        <v>67</v>
      </c>
      <c r="D2026" t="s">
        <v>21</v>
      </c>
      <c r="E2026" t="s">
        <v>45</v>
      </c>
      <c r="F2026" t="str">
        <f>IF(BBDD_fashion_boutique[[#This Row],[category]]="Accessories","Accesorio",IF(BBDD_fashion_boutique[[#This Row],[size]]="","Desconocido",BBDD_fashion_boutique[[#This Row],[size]]))</f>
        <v>S</v>
      </c>
      <c r="G2026" t="s">
        <v>52</v>
      </c>
      <c r="H2026" s="2">
        <v>26.51</v>
      </c>
      <c r="I2026">
        <v>24</v>
      </c>
      <c r="J2026" s="5">
        <f>BBDD_fashion_boutique[[#This Row],[markdown_percentage]]/100</f>
        <v>0.24</v>
      </c>
      <c r="K2026" s="2">
        <v>20.149999999999999</v>
      </c>
      <c r="L2026" s="2">
        <f>BBDD_fashion_boutique[[#This Row],[original_price]]-BBDD_fashion_boutique[[#This Row],[current_price]]</f>
        <v>6.360000000000003</v>
      </c>
      <c r="M2026" s="1">
        <v>45801</v>
      </c>
      <c r="N2026" s="1" t="str">
        <f>PROPER(TEXT(BBDD_fashion_boutique[[#This Row],[purchase_date]],"dddd"))</f>
        <v>Sábado</v>
      </c>
      <c r="O2026" s="1" t="str">
        <f>PROPER(TEXT(BBDD_fashion_boutique[[#This Row],[purchase_date]],"mmmm"))</f>
        <v>Mayo</v>
      </c>
      <c r="P2026" s="4">
        <v>1</v>
      </c>
      <c r="Q2026" s="2">
        <v>4.7</v>
      </c>
      <c r="R2026" t="str">
        <f>IF(BBDD_fashion_boutique[[#This Row],[stock_quantity]]&gt;9,"Ok",IF(BBDD_fashion_boutique[[#This Row],[stock_quantity]]=0,"Agotado","Pocas Unidades"))</f>
        <v>Pocas Unidades</v>
      </c>
      <c r="S2026" s="3">
        <f>IF(BBDD_fashion_boutique[[#This Row],[customer_rating]]="","No valorado",BBDD_fashion_boutique[[#This Row],[customer_rating]])</f>
        <v>4.7</v>
      </c>
      <c r="T2026" t="s">
        <v>24</v>
      </c>
      <c r="V2026">
        <f>IF(BBDD_fashion_boutique[[#This Row],[is_returned]]="False",0,1)</f>
        <v>0</v>
      </c>
      <c r="W2026">
        <f>IF(BBDD_fashion_boutique[[#This Row],[is_returned]]="True",0,BBDD_fashion_boutique[[#This Row],[current_price]])</f>
        <v>20.149999999999999</v>
      </c>
      <c r="X2026" t="str">
        <f>IF(BBDD_fashion_boutique[[#This Row],[return_reason]]="","No return",BBDD_fashion_boutique[[#This Row],[return_reason]])</f>
        <v>No return</v>
      </c>
      <c r="Y2026">
        <f>IF(IFERROR(VLOOKUP(BBDD_fashion_boutique[[#This Row],[product_id]],A2027:A4202,1,FALSE),0),1,0)</f>
        <v>0</v>
      </c>
    </row>
    <row r="2027" spans="1:25" x14ac:dyDescent="0.3">
      <c r="A2027" t="s">
        <v>2086</v>
      </c>
      <c r="B2027" t="s">
        <v>26</v>
      </c>
      <c r="C2027" t="s">
        <v>81</v>
      </c>
      <c r="D2027" t="s">
        <v>39</v>
      </c>
      <c r="E2027" t="s">
        <v>29</v>
      </c>
      <c r="F2027" t="str">
        <f>IF(BBDD_fashion_boutique[[#This Row],[category]]="Accessories","Accesorio",IF(BBDD_fashion_boutique[[#This Row],[size]]="","Desconocido",BBDD_fashion_boutique[[#This Row],[size]]))</f>
        <v>L</v>
      </c>
      <c r="G2027" t="s">
        <v>50</v>
      </c>
      <c r="H2027" s="2">
        <v>29.61</v>
      </c>
      <c r="I2027">
        <v>0</v>
      </c>
      <c r="J2027" s="5">
        <f>BBDD_fashion_boutique[[#This Row],[markdown_percentage]]/100</f>
        <v>0</v>
      </c>
      <c r="K2027" s="2">
        <v>29.61</v>
      </c>
      <c r="L2027" s="2">
        <f>BBDD_fashion_boutique[[#This Row],[original_price]]-BBDD_fashion_boutique[[#This Row],[current_price]]</f>
        <v>0</v>
      </c>
      <c r="M2027" s="1">
        <v>45875</v>
      </c>
      <c r="N2027" s="1" t="str">
        <f>PROPER(TEXT(BBDD_fashion_boutique[[#This Row],[purchase_date]],"dddd"))</f>
        <v>Miércoles</v>
      </c>
      <c r="O2027" s="1" t="str">
        <f>PROPER(TEXT(BBDD_fashion_boutique[[#This Row],[purchase_date]],"mmmm"))</f>
        <v>Agosto</v>
      </c>
      <c r="P2027" s="4">
        <v>9</v>
      </c>
      <c r="Q2027" s="2">
        <v>1</v>
      </c>
      <c r="R2027" t="str">
        <f>IF(BBDD_fashion_boutique[[#This Row],[stock_quantity]]&gt;9,"Ok",IF(BBDD_fashion_boutique[[#This Row],[stock_quantity]]=0,"Agotado","Pocas Unidades"))</f>
        <v>Pocas Unidades</v>
      </c>
      <c r="S2027" s="3">
        <f>IF(BBDD_fashion_boutique[[#This Row],[customer_rating]]="","No valorado",BBDD_fashion_boutique[[#This Row],[customer_rating]])</f>
        <v>1</v>
      </c>
      <c r="T2027" t="s">
        <v>24</v>
      </c>
      <c r="V2027">
        <f>IF(BBDD_fashion_boutique[[#This Row],[is_returned]]="False",0,1)</f>
        <v>0</v>
      </c>
      <c r="W2027">
        <f>IF(BBDD_fashion_boutique[[#This Row],[is_returned]]="True",0,BBDD_fashion_boutique[[#This Row],[current_price]])</f>
        <v>29.61</v>
      </c>
      <c r="X2027" t="str">
        <f>IF(BBDD_fashion_boutique[[#This Row],[return_reason]]="","No return",BBDD_fashion_boutique[[#This Row],[return_reason]])</f>
        <v>No return</v>
      </c>
      <c r="Y2027">
        <f>IF(IFERROR(VLOOKUP(BBDD_fashion_boutique[[#This Row],[product_id]],A2028:A4203,1,FALSE),0),1,0)</f>
        <v>0</v>
      </c>
    </row>
    <row r="2028" spans="1:25" x14ac:dyDescent="0.3">
      <c r="A2028" t="s">
        <v>2087</v>
      </c>
      <c r="B2028" t="s">
        <v>19</v>
      </c>
      <c r="C2028" t="s">
        <v>59</v>
      </c>
      <c r="D2028" t="s">
        <v>68</v>
      </c>
      <c r="E2028" t="s">
        <v>45</v>
      </c>
      <c r="F2028" t="str">
        <f>IF(BBDD_fashion_boutique[[#This Row],[category]]="Accessories","Accesorio",IF(BBDD_fashion_boutique[[#This Row],[size]]="","Desconocido",BBDD_fashion_boutique[[#This Row],[size]]))</f>
        <v>S</v>
      </c>
      <c r="G2028" t="s">
        <v>46</v>
      </c>
      <c r="H2028" s="2">
        <v>244.13</v>
      </c>
      <c r="I2028">
        <v>0</v>
      </c>
      <c r="J2028" s="5">
        <f>BBDD_fashion_boutique[[#This Row],[markdown_percentage]]/100</f>
        <v>0</v>
      </c>
      <c r="K2028" s="2">
        <v>244.13</v>
      </c>
      <c r="L2028" s="2">
        <f>BBDD_fashion_boutique[[#This Row],[original_price]]-BBDD_fashion_boutique[[#This Row],[current_price]]</f>
        <v>0</v>
      </c>
      <c r="M2028" s="1">
        <v>45875</v>
      </c>
      <c r="N2028" s="1" t="str">
        <f>PROPER(TEXT(BBDD_fashion_boutique[[#This Row],[purchase_date]],"dddd"))</f>
        <v>Miércoles</v>
      </c>
      <c r="O2028" s="1" t="str">
        <f>PROPER(TEXT(BBDD_fashion_boutique[[#This Row],[purchase_date]],"mmmm"))</f>
        <v>Agosto</v>
      </c>
      <c r="P2028" s="4">
        <v>2</v>
      </c>
      <c r="Q2028" s="2">
        <v>3.5</v>
      </c>
      <c r="R2028" t="str">
        <f>IF(BBDD_fashion_boutique[[#This Row],[stock_quantity]]&gt;9,"Ok",IF(BBDD_fashion_boutique[[#This Row],[stock_quantity]]=0,"Agotado","Pocas Unidades"))</f>
        <v>Pocas Unidades</v>
      </c>
      <c r="S2028" s="3">
        <f>IF(BBDD_fashion_boutique[[#This Row],[customer_rating]]="","No valorado",BBDD_fashion_boutique[[#This Row],[customer_rating]])</f>
        <v>3.5</v>
      </c>
      <c r="T2028" t="s">
        <v>41</v>
      </c>
      <c r="U2028" t="s">
        <v>79</v>
      </c>
      <c r="V2028">
        <f>IF(BBDD_fashion_boutique[[#This Row],[is_returned]]="False",0,1)</f>
        <v>1</v>
      </c>
      <c r="W2028">
        <f>IF(BBDD_fashion_boutique[[#This Row],[is_returned]]="True",0,BBDD_fashion_boutique[[#This Row],[current_price]])</f>
        <v>0</v>
      </c>
      <c r="X2028" t="str">
        <f>IF(BBDD_fashion_boutique[[#This Row],[return_reason]]="","No return",BBDD_fashion_boutique[[#This Row],[return_reason]])</f>
        <v>Size Issue</v>
      </c>
      <c r="Y2028">
        <f>IF(IFERROR(VLOOKUP(BBDD_fashion_boutique[[#This Row],[product_id]],A2029:A4204,1,FALSE),0),1,0)</f>
        <v>0</v>
      </c>
    </row>
    <row r="2029" spans="1:25" x14ac:dyDescent="0.3">
      <c r="A2029" t="s">
        <v>2088</v>
      </c>
      <c r="B2029" t="s">
        <v>32</v>
      </c>
      <c r="C2029" t="s">
        <v>67</v>
      </c>
      <c r="D2029" t="s">
        <v>21</v>
      </c>
      <c r="F2029" t="str">
        <f>IF(BBDD_fashion_boutique[[#This Row],[category]]="Accessories","Accesorio",IF(BBDD_fashion_boutique[[#This Row],[size]]="","Desconocido",BBDD_fashion_boutique[[#This Row],[size]]))</f>
        <v>Accesorio</v>
      </c>
      <c r="G2029" t="s">
        <v>40</v>
      </c>
      <c r="H2029" s="2">
        <v>16.54</v>
      </c>
      <c r="I2029">
        <v>0</v>
      </c>
      <c r="J2029" s="5">
        <f>BBDD_fashion_boutique[[#This Row],[markdown_percentage]]/100</f>
        <v>0</v>
      </c>
      <c r="K2029" s="2">
        <v>16.54</v>
      </c>
      <c r="L2029" s="2">
        <f>BBDD_fashion_boutique[[#This Row],[original_price]]-BBDD_fashion_boutique[[#This Row],[current_price]]</f>
        <v>0</v>
      </c>
      <c r="M2029" s="1">
        <v>45773</v>
      </c>
      <c r="N2029" s="1" t="str">
        <f>PROPER(TEXT(BBDD_fashion_boutique[[#This Row],[purchase_date]],"dddd"))</f>
        <v>Sábado</v>
      </c>
      <c r="O2029" s="1" t="str">
        <f>PROPER(TEXT(BBDD_fashion_boutique[[#This Row],[purchase_date]],"mmmm"))</f>
        <v>Abril</v>
      </c>
      <c r="P2029" s="4">
        <v>30</v>
      </c>
      <c r="R2029" t="str">
        <f>IF(BBDD_fashion_boutique[[#This Row],[stock_quantity]]&gt;9,"Ok",IF(BBDD_fashion_boutique[[#This Row],[stock_quantity]]=0,"Agotado","Pocas Unidades"))</f>
        <v>Ok</v>
      </c>
      <c r="S2029" s="3" t="str">
        <f>IF(BBDD_fashion_boutique[[#This Row],[customer_rating]]="","No valorado",BBDD_fashion_boutique[[#This Row],[customer_rating]])</f>
        <v>No valorado</v>
      </c>
      <c r="T2029" t="s">
        <v>24</v>
      </c>
      <c r="V2029">
        <f>IF(BBDD_fashion_boutique[[#This Row],[is_returned]]="False",0,1)</f>
        <v>0</v>
      </c>
      <c r="W2029">
        <f>IF(BBDD_fashion_boutique[[#This Row],[is_returned]]="True",0,BBDD_fashion_boutique[[#This Row],[current_price]])</f>
        <v>16.54</v>
      </c>
      <c r="X2029" t="str">
        <f>IF(BBDD_fashion_boutique[[#This Row],[return_reason]]="","No return",BBDD_fashion_boutique[[#This Row],[return_reason]])</f>
        <v>No return</v>
      </c>
      <c r="Y2029">
        <f>IF(IFERROR(VLOOKUP(BBDD_fashion_boutique[[#This Row],[product_id]],A2030:A4205,1,FALSE),0),1,0)</f>
        <v>0</v>
      </c>
    </row>
    <row r="2030" spans="1:25" x14ac:dyDescent="0.3">
      <c r="A2030" t="s">
        <v>2089</v>
      </c>
      <c r="B2030" t="s">
        <v>26</v>
      </c>
      <c r="C2030" t="s">
        <v>20</v>
      </c>
      <c r="D2030" t="s">
        <v>39</v>
      </c>
      <c r="E2030" t="s">
        <v>45</v>
      </c>
      <c r="F2030" t="str">
        <f>IF(BBDD_fashion_boutique[[#This Row],[category]]="Accessories","Accesorio",IF(BBDD_fashion_boutique[[#This Row],[size]]="","Desconocido",BBDD_fashion_boutique[[#This Row],[size]]))</f>
        <v>S</v>
      </c>
      <c r="G2030" t="s">
        <v>40</v>
      </c>
      <c r="H2030" s="2">
        <v>100.98</v>
      </c>
      <c r="I2030">
        <v>0</v>
      </c>
      <c r="J2030" s="5">
        <f>BBDD_fashion_boutique[[#This Row],[markdown_percentage]]/100</f>
        <v>0</v>
      </c>
      <c r="K2030" s="2">
        <v>100.98</v>
      </c>
      <c r="L2030" s="2">
        <f>BBDD_fashion_boutique[[#This Row],[original_price]]-BBDD_fashion_boutique[[#This Row],[current_price]]</f>
        <v>0</v>
      </c>
      <c r="M2030" s="1">
        <v>45875</v>
      </c>
      <c r="N2030" s="1" t="str">
        <f>PROPER(TEXT(BBDD_fashion_boutique[[#This Row],[purchase_date]],"dddd"))</f>
        <v>Miércoles</v>
      </c>
      <c r="O2030" s="1" t="str">
        <f>PROPER(TEXT(BBDD_fashion_boutique[[#This Row],[purchase_date]],"mmmm"))</f>
        <v>Agosto</v>
      </c>
      <c r="P2030" s="4">
        <v>41</v>
      </c>
      <c r="R2030" t="str">
        <f>IF(BBDD_fashion_boutique[[#This Row],[stock_quantity]]&gt;9,"Ok",IF(BBDD_fashion_boutique[[#This Row],[stock_quantity]]=0,"Agotado","Pocas Unidades"))</f>
        <v>Ok</v>
      </c>
      <c r="S2030" s="3" t="str">
        <f>IF(BBDD_fashion_boutique[[#This Row],[customer_rating]]="","No valorado",BBDD_fashion_boutique[[#This Row],[customer_rating]])</f>
        <v>No valorado</v>
      </c>
      <c r="T2030" t="s">
        <v>24</v>
      </c>
      <c r="V2030">
        <f>IF(BBDD_fashion_boutique[[#This Row],[is_returned]]="False",0,1)</f>
        <v>0</v>
      </c>
      <c r="W2030">
        <f>IF(BBDD_fashion_boutique[[#This Row],[is_returned]]="True",0,BBDD_fashion_boutique[[#This Row],[current_price]])</f>
        <v>100.98</v>
      </c>
      <c r="X2030" t="str">
        <f>IF(BBDD_fashion_boutique[[#This Row],[return_reason]]="","No return",BBDD_fashion_boutique[[#This Row],[return_reason]])</f>
        <v>No return</v>
      </c>
      <c r="Y2030">
        <f>IF(IFERROR(VLOOKUP(BBDD_fashion_boutique[[#This Row],[product_id]],A2031:A4206,1,FALSE),0),1,0)</f>
        <v>0</v>
      </c>
    </row>
    <row r="2031" spans="1:25" x14ac:dyDescent="0.3">
      <c r="A2031" t="s">
        <v>2090</v>
      </c>
      <c r="B2031" t="s">
        <v>19</v>
      </c>
      <c r="C2031" t="s">
        <v>27</v>
      </c>
      <c r="D2031" t="s">
        <v>28</v>
      </c>
      <c r="F2031" t="str">
        <f>IF(BBDD_fashion_boutique[[#This Row],[category]]="Accessories","Accesorio",IF(BBDD_fashion_boutique[[#This Row],[size]]="","Desconocido",BBDD_fashion_boutique[[#This Row],[size]]))</f>
        <v>Desconocido</v>
      </c>
      <c r="G2031" t="s">
        <v>46</v>
      </c>
      <c r="H2031" s="2">
        <v>175.42</v>
      </c>
      <c r="I2031">
        <v>0</v>
      </c>
      <c r="J2031" s="5">
        <f>BBDD_fashion_boutique[[#This Row],[markdown_percentage]]/100</f>
        <v>0</v>
      </c>
      <c r="K2031" s="2">
        <v>175.42</v>
      </c>
      <c r="L2031" s="2">
        <f>BBDD_fashion_boutique[[#This Row],[original_price]]-BBDD_fashion_boutique[[#This Row],[current_price]]</f>
        <v>0</v>
      </c>
      <c r="M2031" s="1">
        <v>45875</v>
      </c>
      <c r="N2031" s="1" t="str">
        <f>PROPER(TEXT(BBDD_fashion_boutique[[#This Row],[purchase_date]],"dddd"))</f>
        <v>Miércoles</v>
      </c>
      <c r="O2031" s="1" t="str">
        <f>PROPER(TEXT(BBDD_fashion_boutique[[#This Row],[purchase_date]],"mmmm"))</f>
        <v>Agosto</v>
      </c>
      <c r="P2031" s="4">
        <v>5</v>
      </c>
      <c r="Q2031" s="2">
        <v>3.6</v>
      </c>
      <c r="R2031" t="str">
        <f>IF(BBDD_fashion_boutique[[#This Row],[stock_quantity]]&gt;9,"Ok",IF(BBDD_fashion_boutique[[#This Row],[stock_quantity]]=0,"Agotado","Pocas Unidades"))</f>
        <v>Pocas Unidades</v>
      </c>
      <c r="S2031" s="3">
        <f>IF(BBDD_fashion_boutique[[#This Row],[customer_rating]]="","No valorado",BBDD_fashion_boutique[[#This Row],[customer_rating]])</f>
        <v>3.6</v>
      </c>
      <c r="T2031" t="s">
        <v>24</v>
      </c>
      <c r="V2031">
        <f>IF(BBDD_fashion_boutique[[#This Row],[is_returned]]="False",0,1)</f>
        <v>0</v>
      </c>
      <c r="W2031">
        <f>IF(BBDD_fashion_boutique[[#This Row],[is_returned]]="True",0,BBDD_fashion_boutique[[#This Row],[current_price]])</f>
        <v>175.42</v>
      </c>
      <c r="X2031" t="str">
        <f>IF(BBDD_fashion_boutique[[#This Row],[return_reason]]="","No return",BBDD_fashion_boutique[[#This Row],[return_reason]])</f>
        <v>No return</v>
      </c>
      <c r="Y2031">
        <f>IF(IFERROR(VLOOKUP(BBDD_fashion_boutique[[#This Row],[product_id]],A2032:A4207,1,FALSE),0),1,0)</f>
        <v>0</v>
      </c>
    </row>
    <row r="2032" spans="1:25" x14ac:dyDescent="0.3">
      <c r="A2032" t="s">
        <v>2091</v>
      </c>
      <c r="B2032" t="s">
        <v>48</v>
      </c>
      <c r="C2032" t="s">
        <v>59</v>
      </c>
      <c r="D2032" t="s">
        <v>21</v>
      </c>
      <c r="E2032" t="s">
        <v>55</v>
      </c>
      <c r="F2032" t="str">
        <f>IF(BBDD_fashion_boutique[[#This Row],[category]]="Accessories","Accesorio",IF(BBDD_fashion_boutique[[#This Row],[size]]="","Desconocido",BBDD_fashion_boutique[[#This Row],[size]]))</f>
        <v>XXL</v>
      </c>
      <c r="G2032" t="s">
        <v>30</v>
      </c>
      <c r="H2032" s="2">
        <v>133.15</v>
      </c>
      <c r="I2032">
        <v>20.3</v>
      </c>
      <c r="J2032" s="5">
        <f>BBDD_fashion_boutique[[#This Row],[markdown_percentage]]/100</f>
        <v>0.20300000000000001</v>
      </c>
      <c r="K2032" s="2">
        <v>106.12</v>
      </c>
      <c r="L2032" s="2">
        <f>BBDD_fashion_boutique[[#This Row],[original_price]]-BBDD_fashion_boutique[[#This Row],[current_price]]</f>
        <v>27.03</v>
      </c>
      <c r="M2032" s="1">
        <v>45811</v>
      </c>
      <c r="N2032" s="1" t="str">
        <f>PROPER(TEXT(BBDD_fashion_boutique[[#This Row],[purchase_date]],"dddd"))</f>
        <v>Martes</v>
      </c>
      <c r="O2032" s="1" t="str">
        <f>PROPER(TEXT(BBDD_fashion_boutique[[#This Row],[purchase_date]],"mmmm"))</f>
        <v>Junio</v>
      </c>
      <c r="P2032" s="4">
        <v>9</v>
      </c>
      <c r="Q2032" s="2">
        <v>3.2</v>
      </c>
      <c r="R2032" t="str">
        <f>IF(BBDD_fashion_boutique[[#This Row],[stock_quantity]]&gt;9,"Ok",IF(BBDD_fashion_boutique[[#This Row],[stock_quantity]]=0,"Agotado","Pocas Unidades"))</f>
        <v>Pocas Unidades</v>
      </c>
      <c r="S2032" s="3">
        <f>IF(BBDD_fashion_boutique[[#This Row],[customer_rating]]="","No valorado",BBDD_fashion_boutique[[#This Row],[customer_rating]])</f>
        <v>3.2</v>
      </c>
      <c r="T2032" t="s">
        <v>24</v>
      </c>
      <c r="V2032">
        <f>IF(BBDD_fashion_boutique[[#This Row],[is_returned]]="False",0,1)</f>
        <v>0</v>
      </c>
      <c r="W2032">
        <f>IF(BBDD_fashion_boutique[[#This Row],[is_returned]]="True",0,BBDD_fashion_boutique[[#This Row],[current_price]])</f>
        <v>106.12</v>
      </c>
      <c r="X2032" t="str">
        <f>IF(BBDD_fashion_boutique[[#This Row],[return_reason]]="","No return",BBDD_fashion_boutique[[#This Row],[return_reason]])</f>
        <v>No return</v>
      </c>
      <c r="Y2032">
        <f>IF(IFERROR(VLOOKUP(BBDD_fashion_boutique[[#This Row],[product_id]],A2033:A4208,1,FALSE),0),1,0)</f>
        <v>0</v>
      </c>
    </row>
    <row r="2033" spans="1:25" x14ac:dyDescent="0.3">
      <c r="A2033" t="s">
        <v>2092</v>
      </c>
      <c r="B2033" t="s">
        <v>48</v>
      </c>
      <c r="C2033" t="s">
        <v>27</v>
      </c>
      <c r="D2033" t="s">
        <v>39</v>
      </c>
      <c r="F2033" t="str">
        <f>IF(BBDD_fashion_boutique[[#This Row],[category]]="Accessories","Accesorio",IF(BBDD_fashion_boutique[[#This Row],[size]]="","Desconocido",BBDD_fashion_boutique[[#This Row],[size]]))</f>
        <v>Desconocido</v>
      </c>
      <c r="G2033" t="s">
        <v>30</v>
      </c>
      <c r="H2033" s="2">
        <v>94.21</v>
      </c>
      <c r="I2033">
        <v>44.7</v>
      </c>
      <c r="J2033" s="5">
        <f>BBDD_fashion_boutique[[#This Row],[markdown_percentage]]/100</f>
        <v>0.44700000000000001</v>
      </c>
      <c r="K2033" s="2">
        <v>52.1</v>
      </c>
      <c r="L2033" s="2">
        <f>BBDD_fashion_boutique[[#This Row],[original_price]]-BBDD_fashion_boutique[[#This Row],[current_price]]</f>
        <v>42.109999999999992</v>
      </c>
      <c r="M2033" s="1">
        <v>45875</v>
      </c>
      <c r="N2033" s="1" t="str">
        <f>PROPER(TEXT(BBDD_fashion_boutique[[#This Row],[purchase_date]],"dddd"))</f>
        <v>Miércoles</v>
      </c>
      <c r="O2033" s="1" t="str">
        <f>PROPER(TEXT(BBDD_fashion_boutique[[#This Row],[purchase_date]],"mmmm"))</f>
        <v>Agosto</v>
      </c>
      <c r="P2033" s="4">
        <v>48</v>
      </c>
      <c r="Q2033" s="2">
        <v>4.3</v>
      </c>
      <c r="R2033" t="str">
        <f>IF(BBDD_fashion_boutique[[#This Row],[stock_quantity]]&gt;9,"Ok",IF(BBDD_fashion_boutique[[#This Row],[stock_quantity]]=0,"Agotado","Pocas Unidades"))</f>
        <v>Ok</v>
      </c>
      <c r="S2033" s="3">
        <f>IF(BBDD_fashion_boutique[[#This Row],[customer_rating]]="","No valorado",BBDD_fashion_boutique[[#This Row],[customer_rating]])</f>
        <v>4.3</v>
      </c>
      <c r="T2033" t="s">
        <v>24</v>
      </c>
      <c r="V2033">
        <f>IF(BBDD_fashion_boutique[[#This Row],[is_returned]]="False",0,1)</f>
        <v>0</v>
      </c>
      <c r="W2033">
        <f>IF(BBDD_fashion_boutique[[#This Row],[is_returned]]="True",0,BBDD_fashion_boutique[[#This Row],[current_price]])</f>
        <v>52.1</v>
      </c>
      <c r="X2033" t="str">
        <f>IF(BBDD_fashion_boutique[[#This Row],[return_reason]]="","No return",BBDD_fashion_boutique[[#This Row],[return_reason]])</f>
        <v>No return</v>
      </c>
      <c r="Y2033">
        <f>IF(IFERROR(VLOOKUP(BBDD_fashion_boutique[[#This Row],[product_id]],A2034:A4209,1,FALSE),0),1,0)</f>
        <v>0</v>
      </c>
    </row>
    <row r="2034" spans="1:25" x14ac:dyDescent="0.3">
      <c r="A2034" t="s">
        <v>2093</v>
      </c>
      <c r="B2034" t="s">
        <v>26</v>
      </c>
      <c r="C2034" t="s">
        <v>81</v>
      </c>
      <c r="D2034" t="s">
        <v>28</v>
      </c>
      <c r="E2034" t="s">
        <v>64</v>
      </c>
      <c r="F2034" t="str">
        <f>IF(BBDD_fashion_boutique[[#This Row],[category]]="Accessories","Accesorio",IF(BBDD_fashion_boutique[[#This Row],[size]]="","Desconocido",BBDD_fashion_boutique[[#This Row],[size]]))</f>
        <v>M</v>
      </c>
      <c r="G2034" t="s">
        <v>30</v>
      </c>
      <c r="H2034" s="2">
        <v>115.44</v>
      </c>
      <c r="I2034">
        <v>0</v>
      </c>
      <c r="J2034" s="5">
        <f>BBDD_fashion_boutique[[#This Row],[markdown_percentage]]/100</f>
        <v>0</v>
      </c>
      <c r="K2034" s="2">
        <v>115.44</v>
      </c>
      <c r="L2034" s="2">
        <f>BBDD_fashion_boutique[[#This Row],[original_price]]-BBDD_fashion_boutique[[#This Row],[current_price]]</f>
        <v>0</v>
      </c>
      <c r="M2034" s="1">
        <v>45875</v>
      </c>
      <c r="N2034" s="1" t="str">
        <f>PROPER(TEXT(BBDD_fashion_boutique[[#This Row],[purchase_date]],"dddd"))</f>
        <v>Miércoles</v>
      </c>
      <c r="O2034" s="1" t="str">
        <f>PROPER(TEXT(BBDD_fashion_boutique[[#This Row],[purchase_date]],"mmmm"))</f>
        <v>Agosto</v>
      </c>
      <c r="P2034" s="4">
        <v>21</v>
      </c>
      <c r="Q2034" s="2">
        <v>1.2</v>
      </c>
      <c r="R2034" t="str">
        <f>IF(BBDD_fashion_boutique[[#This Row],[stock_quantity]]&gt;9,"Ok",IF(BBDD_fashion_boutique[[#This Row],[stock_quantity]]=0,"Agotado","Pocas Unidades"))</f>
        <v>Ok</v>
      </c>
      <c r="S2034" s="3">
        <f>IF(BBDD_fashion_boutique[[#This Row],[customer_rating]]="","No valorado",BBDD_fashion_boutique[[#This Row],[customer_rating]])</f>
        <v>1.2</v>
      </c>
      <c r="T2034" t="s">
        <v>24</v>
      </c>
      <c r="V2034">
        <f>IF(BBDD_fashion_boutique[[#This Row],[is_returned]]="False",0,1)</f>
        <v>0</v>
      </c>
      <c r="W2034">
        <f>IF(BBDD_fashion_boutique[[#This Row],[is_returned]]="True",0,BBDD_fashion_boutique[[#This Row],[current_price]])</f>
        <v>115.44</v>
      </c>
      <c r="X2034" t="str">
        <f>IF(BBDD_fashion_boutique[[#This Row],[return_reason]]="","No return",BBDD_fashion_boutique[[#This Row],[return_reason]])</f>
        <v>No return</v>
      </c>
      <c r="Y2034">
        <f>IF(IFERROR(VLOOKUP(BBDD_fashion_boutique[[#This Row],[product_id]],A2035:A4210,1,FALSE),0),1,0)</f>
        <v>0</v>
      </c>
    </row>
    <row r="2035" spans="1:25" x14ac:dyDescent="0.3">
      <c r="A2035" t="s">
        <v>2094</v>
      </c>
      <c r="B2035" t="s">
        <v>19</v>
      </c>
      <c r="C2035" t="s">
        <v>20</v>
      </c>
      <c r="D2035" t="s">
        <v>21</v>
      </c>
      <c r="E2035" t="s">
        <v>45</v>
      </c>
      <c r="F2035" t="str">
        <f>IF(BBDD_fashion_boutique[[#This Row],[category]]="Accessories","Accesorio",IF(BBDD_fashion_boutique[[#This Row],[size]]="","Desconocido",BBDD_fashion_boutique[[#This Row],[size]]))</f>
        <v>S</v>
      </c>
      <c r="G2035" t="s">
        <v>40</v>
      </c>
      <c r="H2035" s="2">
        <v>194.39</v>
      </c>
      <c r="I2035">
        <v>26.5</v>
      </c>
      <c r="J2035" s="5">
        <f>BBDD_fashion_boutique[[#This Row],[markdown_percentage]]/100</f>
        <v>0.26500000000000001</v>
      </c>
      <c r="K2035" s="2">
        <v>142.88</v>
      </c>
      <c r="L2035" s="2">
        <f>BBDD_fashion_boutique[[#This Row],[original_price]]-BBDD_fashion_boutique[[#This Row],[current_price]]</f>
        <v>51.509999999999991</v>
      </c>
      <c r="M2035" s="1">
        <v>45762</v>
      </c>
      <c r="N2035" s="1" t="str">
        <f>PROPER(TEXT(BBDD_fashion_boutique[[#This Row],[purchase_date]],"dddd"))</f>
        <v>Martes</v>
      </c>
      <c r="O2035" s="1" t="str">
        <f>PROPER(TEXT(BBDD_fashion_boutique[[#This Row],[purchase_date]],"mmmm"))</f>
        <v>Abril</v>
      </c>
      <c r="P2035" s="4">
        <v>12</v>
      </c>
      <c r="Q2035" s="2">
        <v>1.2</v>
      </c>
      <c r="R2035" t="str">
        <f>IF(BBDD_fashion_boutique[[#This Row],[stock_quantity]]&gt;9,"Ok",IF(BBDD_fashion_boutique[[#This Row],[stock_quantity]]=0,"Agotado","Pocas Unidades"))</f>
        <v>Ok</v>
      </c>
      <c r="S2035" s="3">
        <f>IF(BBDD_fashion_boutique[[#This Row],[customer_rating]]="","No valorado",BBDD_fashion_boutique[[#This Row],[customer_rating]])</f>
        <v>1.2</v>
      </c>
      <c r="T2035" t="s">
        <v>24</v>
      </c>
      <c r="V2035">
        <f>IF(BBDD_fashion_boutique[[#This Row],[is_returned]]="False",0,1)</f>
        <v>0</v>
      </c>
      <c r="W2035">
        <f>IF(BBDD_fashion_boutique[[#This Row],[is_returned]]="True",0,BBDD_fashion_boutique[[#This Row],[current_price]])</f>
        <v>142.88</v>
      </c>
      <c r="X2035" t="str">
        <f>IF(BBDD_fashion_boutique[[#This Row],[return_reason]]="","No return",BBDD_fashion_boutique[[#This Row],[return_reason]])</f>
        <v>No return</v>
      </c>
      <c r="Y2035">
        <f>IF(IFERROR(VLOOKUP(BBDD_fashion_boutique[[#This Row],[product_id]],A2036:A4211,1,FALSE),0),1,0)</f>
        <v>0</v>
      </c>
    </row>
    <row r="2036" spans="1:25" x14ac:dyDescent="0.3">
      <c r="A2036" t="s">
        <v>2095</v>
      </c>
      <c r="B2036" t="s">
        <v>35</v>
      </c>
      <c r="C2036" t="s">
        <v>37</v>
      </c>
      <c r="D2036" t="s">
        <v>21</v>
      </c>
      <c r="E2036" t="s">
        <v>29</v>
      </c>
      <c r="F2036" t="str">
        <f>IF(BBDD_fashion_boutique[[#This Row],[category]]="Accessories","Accesorio",IF(BBDD_fashion_boutique[[#This Row],[size]]="","Desconocido",BBDD_fashion_boutique[[#This Row],[size]]))</f>
        <v>L</v>
      </c>
      <c r="G2036" t="s">
        <v>40</v>
      </c>
      <c r="H2036" s="2">
        <v>132.38999999999999</v>
      </c>
      <c r="I2036">
        <v>27.6</v>
      </c>
      <c r="J2036" s="5">
        <f>BBDD_fashion_boutique[[#This Row],[markdown_percentage]]/100</f>
        <v>0.27600000000000002</v>
      </c>
      <c r="K2036" s="2">
        <v>95.85</v>
      </c>
      <c r="L2036" s="2">
        <f>BBDD_fashion_boutique[[#This Row],[original_price]]-BBDD_fashion_boutique[[#This Row],[current_price]]</f>
        <v>36.539999999999992</v>
      </c>
      <c r="M2036" s="1">
        <v>45596</v>
      </c>
      <c r="N2036" s="1" t="str">
        <f>PROPER(TEXT(BBDD_fashion_boutique[[#This Row],[purchase_date]],"dddd"))</f>
        <v>Jueves</v>
      </c>
      <c r="O2036" s="1" t="str">
        <f>PROPER(TEXT(BBDD_fashion_boutique[[#This Row],[purchase_date]],"mmmm"))</f>
        <v>Octubre</v>
      </c>
      <c r="P2036" s="4">
        <v>16</v>
      </c>
      <c r="R2036" t="str">
        <f>IF(BBDD_fashion_boutique[[#This Row],[stock_quantity]]&gt;9,"Ok",IF(BBDD_fashion_boutique[[#This Row],[stock_quantity]]=0,"Agotado","Pocas Unidades"))</f>
        <v>Ok</v>
      </c>
      <c r="S2036" s="3" t="str">
        <f>IF(BBDD_fashion_boutique[[#This Row],[customer_rating]]="","No valorado",BBDD_fashion_boutique[[#This Row],[customer_rating]])</f>
        <v>No valorado</v>
      </c>
      <c r="T2036" t="s">
        <v>24</v>
      </c>
      <c r="V2036">
        <f>IF(BBDD_fashion_boutique[[#This Row],[is_returned]]="False",0,1)</f>
        <v>0</v>
      </c>
      <c r="W2036">
        <f>IF(BBDD_fashion_boutique[[#This Row],[is_returned]]="True",0,BBDD_fashion_boutique[[#This Row],[current_price]])</f>
        <v>95.85</v>
      </c>
      <c r="X2036" t="str">
        <f>IF(BBDD_fashion_boutique[[#This Row],[return_reason]]="","No return",BBDD_fashion_boutique[[#This Row],[return_reason]])</f>
        <v>No return</v>
      </c>
      <c r="Y2036">
        <f>IF(IFERROR(VLOOKUP(BBDD_fashion_boutique[[#This Row],[product_id]],A2037:A4212,1,FALSE),0),1,0)</f>
        <v>0</v>
      </c>
    </row>
    <row r="2037" spans="1:25" x14ac:dyDescent="0.3">
      <c r="A2037" t="s">
        <v>2096</v>
      </c>
      <c r="B2037" t="s">
        <v>32</v>
      </c>
      <c r="C2037" t="s">
        <v>27</v>
      </c>
      <c r="D2037" t="s">
        <v>21</v>
      </c>
      <c r="F2037" t="str">
        <f>IF(BBDD_fashion_boutique[[#This Row],[category]]="Accessories","Accesorio",IF(BBDD_fashion_boutique[[#This Row],[size]]="","Desconocido",BBDD_fashion_boutique[[#This Row],[size]]))</f>
        <v>Accesorio</v>
      </c>
      <c r="G2037" t="s">
        <v>23</v>
      </c>
      <c r="H2037" s="2">
        <v>52.54</v>
      </c>
      <c r="I2037">
        <v>14.6</v>
      </c>
      <c r="J2037" s="5">
        <f>BBDD_fashion_boutique[[#This Row],[markdown_percentage]]/100</f>
        <v>0.14599999999999999</v>
      </c>
      <c r="K2037" s="2">
        <v>44.87</v>
      </c>
      <c r="L2037" s="2">
        <f>BBDD_fashion_boutique[[#This Row],[original_price]]-BBDD_fashion_boutique[[#This Row],[current_price]]</f>
        <v>7.6700000000000017</v>
      </c>
      <c r="M2037" s="1">
        <v>45552</v>
      </c>
      <c r="N2037" s="1" t="str">
        <f>PROPER(TEXT(BBDD_fashion_boutique[[#This Row],[purchase_date]],"dddd"))</f>
        <v>Martes</v>
      </c>
      <c r="O2037" s="1" t="str">
        <f>PROPER(TEXT(BBDD_fashion_boutique[[#This Row],[purchase_date]],"mmmm"))</f>
        <v>Septiembre</v>
      </c>
      <c r="P2037" s="4">
        <v>7</v>
      </c>
      <c r="Q2037" s="2">
        <v>1.4</v>
      </c>
      <c r="R2037" t="str">
        <f>IF(BBDD_fashion_boutique[[#This Row],[stock_quantity]]&gt;9,"Ok",IF(BBDD_fashion_boutique[[#This Row],[stock_quantity]]=0,"Agotado","Pocas Unidades"))</f>
        <v>Pocas Unidades</v>
      </c>
      <c r="S2037" s="3">
        <f>IF(BBDD_fashion_boutique[[#This Row],[customer_rating]]="","No valorado",BBDD_fashion_boutique[[#This Row],[customer_rating]])</f>
        <v>1.4</v>
      </c>
      <c r="T2037" t="s">
        <v>24</v>
      </c>
      <c r="V2037">
        <f>IF(BBDD_fashion_boutique[[#This Row],[is_returned]]="False",0,1)</f>
        <v>0</v>
      </c>
      <c r="W2037">
        <f>IF(BBDD_fashion_boutique[[#This Row],[is_returned]]="True",0,BBDD_fashion_boutique[[#This Row],[current_price]])</f>
        <v>44.87</v>
      </c>
      <c r="X2037" t="str">
        <f>IF(BBDD_fashion_boutique[[#This Row],[return_reason]]="","No return",BBDD_fashion_boutique[[#This Row],[return_reason]])</f>
        <v>No return</v>
      </c>
      <c r="Y2037">
        <f>IF(IFERROR(VLOOKUP(BBDD_fashion_boutique[[#This Row],[product_id]],A2038:A4213,1,FALSE),0),1,0)</f>
        <v>0</v>
      </c>
    </row>
    <row r="2038" spans="1:25" x14ac:dyDescent="0.3">
      <c r="A2038" t="s">
        <v>2097</v>
      </c>
      <c r="B2038" t="s">
        <v>48</v>
      </c>
      <c r="C2038" t="s">
        <v>27</v>
      </c>
      <c r="D2038" t="s">
        <v>21</v>
      </c>
      <c r="E2038" t="s">
        <v>22</v>
      </c>
      <c r="F2038" t="str">
        <f>IF(BBDD_fashion_boutique[[#This Row],[category]]="Accessories","Accesorio",IF(BBDD_fashion_boutique[[#This Row],[size]]="","Desconocido",BBDD_fashion_boutique[[#This Row],[size]]))</f>
        <v>XL</v>
      </c>
      <c r="G2038" t="s">
        <v>33</v>
      </c>
      <c r="H2038" s="2">
        <v>165.01</v>
      </c>
      <c r="I2038">
        <v>41.2</v>
      </c>
      <c r="J2038" s="5">
        <f>BBDD_fashion_boutique[[#This Row],[markdown_percentage]]/100</f>
        <v>0.41200000000000003</v>
      </c>
      <c r="K2038" s="2">
        <v>97.03</v>
      </c>
      <c r="L2038" s="2">
        <f>BBDD_fashion_boutique[[#This Row],[original_price]]-BBDD_fashion_boutique[[#This Row],[current_price]]</f>
        <v>67.97999999999999</v>
      </c>
      <c r="M2038" s="1">
        <v>45584</v>
      </c>
      <c r="N2038" s="1" t="str">
        <f>PROPER(TEXT(BBDD_fashion_boutique[[#This Row],[purchase_date]],"dddd"))</f>
        <v>Sábado</v>
      </c>
      <c r="O2038" s="1" t="str">
        <f>PROPER(TEXT(BBDD_fashion_boutique[[#This Row],[purchase_date]],"mmmm"))</f>
        <v>Octubre</v>
      </c>
      <c r="P2038" s="4">
        <v>22</v>
      </c>
      <c r="R2038" t="str">
        <f>IF(BBDD_fashion_boutique[[#This Row],[stock_quantity]]&gt;9,"Ok",IF(BBDD_fashion_boutique[[#This Row],[stock_quantity]]=0,"Agotado","Pocas Unidades"))</f>
        <v>Ok</v>
      </c>
      <c r="S2038" s="3" t="str">
        <f>IF(BBDD_fashion_boutique[[#This Row],[customer_rating]]="","No valorado",BBDD_fashion_boutique[[#This Row],[customer_rating]])</f>
        <v>No valorado</v>
      </c>
      <c r="T2038" t="s">
        <v>24</v>
      </c>
      <c r="V2038">
        <f>IF(BBDD_fashion_boutique[[#This Row],[is_returned]]="False",0,1)</f>
        <v>0</v>
      </c>
      <c r="W2038">
        <f>IF(BBDD_fashion_boutique[[#This Row],[is_returned]]="True",0,BBDD_fashion_boutique[[#This Row],[current_price]])</f>
        <v>97.03</v>
      </c>
      <c r="X2038" t="str">
        <f>IF(BBDD_fashion_boutique[[#This Row],[return_reason]]="","No return",BBDD_fashion_boutique[[#This Row],[return_reason]])</f>
        <v>No return</v>
      </c>
      <c r="Y2038">
        <f>IF(IFERROR(VLOOKUP(BBDD_fashion_boutique[[#This Row],[product_id]],A2039:A4214,1,FALSE),0),1,0)</f>
        <v>0</v>
      </c>
    </row>
    <row r="2039" spans="1:25" x14ac:dyDescent="0.3">
      <c r="A2039" t="s">
        <v>2098</v>
      </c>
      <c r="B2039" t="s">
        <v>32</v>
      </c>
      <c r="C2039" t="s">
        <v>59</v>
      </c>
      <c r="D2039" t="s">
        <v>21</v>
      </c>
      <c r="F2039" t="str">
        <f>IF(BBDD_fashion_boutique[[#This Row],[category]]="Accessories","Accesorio",IF(BBDD_fashion_boutique[[#This Row],[size]]="","Desconocido",BBDD_fashion_boutique[[#This Row],[size]]))</f>
        <v>Accesorio</v>
      </c>
      <c r="G2039" t="s">
        <v>72</v>
      </c>
      <c r="H2039" s="2">
        <v>42.94</v>
      </c>
      <c r="I2039">
        <v>34.299999999999997</v>
      </c>
      <c r="J2039" s="5">
        <f>BBDD_fashion_boutique[[#This Row],[markdown_percentage]]/100</f>
        <v>0.34299999999999997</v>
      </c>
      <c r="K2039" s="2">
        <v>28.21</v>
      </c>
      <c r="L2039" s="2">
        <f>BBDD_fashion_boutique[[#This Row],[original_price]]-BBDD_fashion_boutique[[#This Row],[current_price]]</f>
        <v>14.729999999999997</v>
      </c>
      <c r="M2039" s="1">
        <v>45648</v>
      </c>
      <c r="N2039" s="1" t="str">
        <f>PROPER(TEXT(BBDD_fashion_boutique[[#This Row],[purchase_date]],"dddd"))</f>
        <v>Domingo</v>
      </c>
      <c r="O2039" s="1" t="str">
        <f>PROPER(TEXT(BBDD_fashion_boutique[[#This Row],[purchase_date]],"mmmm"))</f>
        <v>Diciembre</v>
      </c>
      <c r="P2039" s="4">
        <v>41</v>
      </c>
      <c r="R2039" t="str">
        <f>IF(BBDD_fashion_boutique[[#This Row],[stock_quantity]]&gt;9,"Ok",IF(BBDD_fashion_boutique[[#This Row],[stock_quantity]]=0,"Agotado","Pocas Unidades"))</f>
        <v>Ok</v>
      </c>
      <c r="S2039" s="3" t="str">
        <f>IF(BBDD_fashion_boutique[[#This Row],[customer_rating]]="","No valorado",BBDD_fashion_boutique[[#This Row],[customer_rating]])</f>
        <v>No valorado</v>
      </c>
      <c r="T2039" t="s">
        <v>24</v>
      </c>
      <c r="V2039">
        <f>IF(BBDD_fashion_boutique[[#This Row],[is_returned]]="False",0,1)</f>
        <v>0</v>
      </c>
      <c r="W2039">
        <f>IF(BBDD_fashion_boutique[[#This Row],[is_returned]]="True",0,BBDD_fashion_boutique[[#This Row],[current_price]])</f>
        <v>28.21</v>
      </c>
      <c r="X2039" t="str">
        <f>IF(BBDD_fashion_boutique[[#This Row],[return_reason]]="","No return",BBDD_fashion_boutique[[#This Row],[return_reason]])</f>
        <v>No return</v>
      </c>
      <c r="Y2039">
        <f>IF(IFERROR(VLOOKUP(BBDD_fashion_boutique[[#This Row],[product_id]],A2040:A4215,1,FALSE),0),1,0)</f>
        <v>0</v>
      </c>
    </row>
    <row r="2040" spans="1:25" x14ac:dyDescent="0.3">
      <c r="A2040" t="s">
        <v>2099</v>
      </c>
      <c r="B2040" t="s">
        <v>26</v>
      </c>
      <c r="C2040" t="s">
        <v>27</v>
      </c>
      <c r="D2040" t="s">
        <v>39</v>
      </c>
      <c r="E2040" t="s">
        <v>22</v>
      </c>
      <c r="F2040" t="str">
        <f>IF(BBDD_fashion_boutique[[#This Row],[category]]="Accessories","Accesorio",IF(BBDD_fashion_boutique[[#This Row],[size]]="","Desconocido",BBDD_fashion_boutique[[#This Row],[size]]))</f>
        <v>XL</v>
      </c>
      <c r="G2040" t="s">
        <v>62</v>
      </c>
      <c r="H2040" s="2">
        <v>72.78</v>
      </c>
      <c r="I2040">
        <v>0</v>
      </c>
      <c r="J2040" s="5">
        <f>BBDD_fashion_boutique[[#This Row],[markdown_percentage]]/100</f>
        <v>0</v>
      </c>
      <c r="K2040" s="2">
        <v>72.78</v>
      </c>
      <c r="L2040" s="2">
        <f>BBDD_fashion_boutique[[#This Row],[original_price]]-BBDD_fashion_boutique[[#This Row],[current_price]]</f>
        <v>0</v>
      </c>
      <c r="M2040" s="1">
        <v>45875</v>
      </c>
      <c r="N2040" s="1" t="str">
        <f>PROPER(TEXT(BBDD_fashion_boutique[[#This Row],[purchase_date]],"dddd"))</f>
        <v>Miércoles</v>
      </c>
      <c r="O2040" s="1" t="str">
        <f>PROPER(TEXT(BBDD_fashion_boutique[[#This Row],[purchase_date]],"mmmm"))</f>
        <v>Agosto</v>
      </c>
      <c r="P2040" s="4">
        <v>49</v>
      </c>
      <c r="Q2040" s="2">
        <v>3.1</v>
      </c>
      <c r="R2040" t="str">
        <f>IF(BBDD_fashion_boutique[[#This Row],[stock_quantity]]&gt;9,"Ok",IF(BBDD_fashion_boutique[[#This Row],[stock_quantity]]=0,"Agotado","Pocas Unidades"))</f>
        <v>Ok</v>
      </c>
      <c r="S2040" s="3">
        <f>IF(BBDD_fashion_boutique[[#This Row],[customer_rating]]="","No valorado",BBDD_fashion_boutique[[#This Row],[customer_rating]])</f>
        <v>3.1</v>
      </c>
      <c r="T2040" t="s">
        <v>24</v>
      </c>
      <c r="V2040">
        <f>IF(BBDD_fashion_boutique[[#This Row],[is_returned]]="False",0,1)</f>
        <v>0</v>
      </c>
      <c r="W2040">
        <f>IF(BBDD_fashion_boutique[[#This Row],[is_returned]]="True",0,BBDD_fashion_boutique[[#This Row],[current_price]])</f>
        <v>72.78</v>
      </c>
      <c r="X2040" t="str">
        <f>IF(BBDD_fashion_boutique[[#This Row],[return_reason]]="","No return",BBDD_fashion_boutique[[#This Row],[return_reason]])</f>
        <v>No return</v>
      </c>
      <c r="Y2040">
        <f>IF(IFERROR(VLOOKUP(BBDD_fashion_boutique[[#This Row],[product_id]],A2041:A4216,1,FALSE),0),1,0)</f>
        <v>0</v>
      </c>
    </row>
    <row r="2041" spans="1:25" x14ac:dyDescent="0.3">
      <c r="A2041" t="s">
        <v>2100</v>
      </c>
      <c r="B2041" t="s">
        <v>35</v>
      </c>
      <c r="C2041" t="s">
        <v>27</v>
      </c>
      <c r="D2041" t="s">
        <v>39</v>
      </c>
      <c r="E2041" t="s">
        <v>45</v>
      </c>
      <c r="F2041" t="str">
        <f>IF(BBDD_fashion_boutique[[#This Row],[category]]="Accessories","Accesorio",IF(BBDD_fashion_boutique[[#This Row],[size]]="","Desconocido",BBDD_fashion_boutique[[#This Row],[size]]))</f>
        <v>S</v>
      </c>
      <c r="G2041" t="s">
        <v>23</v>
      </c>
      <c r="H2041" s="2">
        <v>189.32</v>
      </c>
      <c r="I2041">
        <v>0</v>
      </c>
      <c r="J2041" s="5">
        <f>BBDD_fashion_boutique[[#This Row],[markdown_percentage]]/100</f>
        <v>0</v>
      </c>
      <c r="K2041" s="2">
        <v>189.32</v>
      </c>
      <c r="L2041" s="2">
        <f>BBDD_fashion_boutique[[#This Row],[original_price]]-BBDD_fashion_boutique[[#This Row],[current_price]]</f>
        <v>0</v>
      </c>
      <c r="M2041" s="1">
        <v>45875</v>
      </c>
      <c r="N2041" s="1" t="str">
        <f>PROPER(TEXT(BBDD_fashion_boutique[[#This Row],[purchase_date]],"dddd"))</f>
        <v>Miércoles</v>
      </c>
      <c r="O2041" s="1" t="str">
        <f>PROPER(TEXT(BBDD_fashion_boutique[[#This Row],[purchase_date]],"mmmm"))</f>
        <v>Agosto</v>
      </c>
      <c r="P2041" s="4">
        <v>35</v>
      </c>
      <c r="Q2041" s="2">
        <v>2.5</v>
      </c>
      <c r="R2041" t="str">
        <f>IF(BBDD_fashion_boutique[[#This Row],[stock_quantity]]&gt;9,"Ok",IF(BBDD_fashion_boutique[[#This Row],[stock_quantity]]=0,"Agotado","Pocas Unidades"))</f>
        <v>Ok</v>
      </c>
      <c r="S2041" s="3">
        <f>IF(BBDD_fashion_boutique[[#This Row],[customer_rating]]="","No valorado",BBDD_fashion_boutique[[#This Row],[customer_rating]])</f>
        <v>2.5</v>
      </c>
      <c r="T2041" t="s">
        <v>24</v>
      </c>
      <c r="V2041">
        <f>IF(BBDD_fashion_boutique[[#This Row],[is_returned]]="False",0,1)</f>
        <v>0</v>
      </c>
      <c r="W2041">
        <f>IF(BBDD_fashion_boutique[[#This Row],[is_returned]]="True",0,BBDD_fashion_boutique[[#This Row],[current_price]])</f>
        <v>189.32</v>
      </c>
      <c r="X2041" t="str">
        <f>IF(BBDD_fashion_boutique[[#This Row],[return_reason]]="","No return",BBDD_fashion_boutique[[#This Row],[return_reason]])</f>
        <v>No return</v>
      </c>
      <c r="Y2041">
        <f>IF(IFERROR(VLOOKUP(BBDD_fashion_boutique[[#This Row],[product_id]],A2042:A4217,1,FALSE),0),1,0)</f>
        <v>0</v>
      </c>
    </row>
    <row r="2042" spans="1:25" x14ac:dyDescent="0.3">
      <c r="A2042" t="s">
        <v>2101</v>
      </c>
      <c r="B2042" t="s">
        <v>48</v>
      </c>
      <c r="C2042" t="s">
        <v>59</v>
      </c>
      <c r="D2042" t="s">
        <v>68</v>
      </c>
      <c r="E2042" t="s">
        <v>22</v>
      </c>
      <c r="F2042" t="str">
        <f>IF(BBDD_fashion_boutique[[#This Row],[category]]="Accessories","Accesorio",IF(BBDD_fashion_boutique[[#This Row],[size]]="","Desconocido",BBDD_fashion_boutique[[#This Row],[size]]))</f>
        <v>XL</v>
      </c>
      <c r="G2042" t="s">
        <v>40</v>
      </c>
      <c r="H2042" s="2">
        <v>157</v>
      </c>
      <c r="I2042">
        <v>55.7</v>
      </c>
      <c r="J2042" s="5">
        <f>BBDD_fashion_boutique[[#This Row],[markdown_percentage]]/100</f>
        <v>0.55700000000000005</v>
      </c>
      <c r="K2042" s="2">
        <v>69.55</v>
      </c>
      <c r="L2042" s="2">
        <f>BBDD_fashion_boutique[[#This Row],[original_price]]-BBDD_fashion_boutique[[#This Row],[current_price]]</f>
        <v>87.45</v>
      </c>
      <c r="M2042" s="1">
        <v>45875</v>
      </c>
      <c r="N2042" s="1" t="str">
        <f>PROPER(TEXT(BBDD_fashion_boutique[[#This Row],[purchase_date]],"dddd"))</f>
        <v>Miércoles</v>
      </c>
      <c r="O2042" s="1" t="str">
        <f>PROPER(TEXT(BBDD_fashion_boutique[[#This Row],[purchase_date]],"mmmm"))</f>
        <v>Agosto</v>
      </c>
      <c r="P2042" s="4">
        <v>6</v>
      </c>
      <c r="Q2042" s="2">
        <v>2.1</v>
      </c>
      <c r="R2042" t="str">
        <f>IF(BBDD_fashion_boutique[[#This Row],[stock_quantity]]&gt;9,"Ok",IF(BBDD_fashion_boutique[[#This Row],[stock_quantity]]=0,"Agotado","Pocas Unidades"))</f>
        <v>Pocas Unidades</v>
      </c>
      <c r="S2042" s="3">
        <f>IF(BBDD_fashion_boutique[[#This Row],[customer_rating]]="","No valorado",BBDD_fashion_boutique[[#This Row],[customer_rating]])</f>
        <v>2.1</v>
      </c>
      <c r="T2042" t="s">
        <v>24</v>
      </c>
      <c r="V2042">
        <f>IF(BBDD_fashion_boutique[[#This Row],[is_returned]]="False",0,1)</f>
        <v>0</v>
      </c>
      <c r="W2042">
        <f>IF(BBDD_fashion_boutique[[#This Row],[is_returned]]="True",0,BBDD_fashion_boutique[[#This Row],[current_price]])</f>
        <v>69.55</v>
      </c>
      <c r="X2042" t="str">
        <f>IF(BBDD_fashion_boutique[[#This Row],[return_reason]]="","No return",BBDD_fashion_boutique[[#This Row],[return_reason]])</f>
        <v>No return</v>
      </c>
      <c r="Y2042">
        <f>IF(IFERROR(VLOOKUP(BBDD_fashion_boutique[[#This Row],[product_id]],A2043:A4218,1,FALSE),0),1,0)</f>
        <v>0</v>
      </c>
    </row>
    <row r="2043" spans="1:25" x14ac:dyDescent="0.3">
      <c r="A2043" t="s">
        <v>2102</v>
      </c>
      <c r="B2043" t="s">
        <v>26</v>
      </c>
      <c r="C2043" t="s">
        <v>67</v>
      </c>
      <c r="D2043" t="s">
        <v>21</v>
      </c>
      <c r="E2043" t="s">
        <v>45</v>
      </c>
      <c r="F2043" t="str">
        <f>IF(BBDD_fashion_boutique[[#This Row],[category]]="Accessories","Accesorio",IF(BBDD_fashion_boutique[[#This Row],[size]]="","Desconocido",BBDD_fashion_boutique[[#This Row],[size]]))</f>
        <v>S</v>
      </c>
      <c r="G2043" t="s">
        <v>72</v>
      </c>
      <c r="H2043" s="2">
        <v>28.73</v>
      </c>
      <c r="I2043">
        <v>26.4</v>
      </c>
      <c r="J2043" s="5">
        <f>BBDD_fashion_boutique[[#This Row],[markdown_percentage]]/100</f>
        <v>0.26400000000000001</v>
      </c>
      <c r="K2043" s="2">
        <v>21.15</v>
      </c>
      <c r="L2043" s="2">
        <f>BBDD_fashion_boutique[[#This Row],[original_price]]-BBDD_fashion_boutique[[#This Row],[current_price]]</f>
        <v>7.5800000000000018</v>
      </c>
      <c r="M2043" s="1">
        <v>45575</v>
      </c>
      <c r="N2043" s="1" t="str">
        <f>PROPER(TEXT(BBDD_fashion_boutique[[#This Row],[purchase_date]],"dddd"))</f>
        <v>Jueves</v>
      </c>
      <c r="O2043" s="1" t="str">
        <f>PROPER(TEXT(BBDD_fashion_boutique[[#This Row],[purchase_date]],"mmmm"))</f>
        <v>Octubre</v>
      </c>
      <c r="P2043" s="4">
        <v>47</v>
      </c>
      <c r="Q2043" s="2">
        <v>2.2999999999999998</v>
      </c>
      <c r="R2043" t="str">
        <f>IF(BBDD_fashion_boutique[[#This Row],[stock_quantity]]&gt;9,"Ok",IF(BBDD_fashion_boutique[[#This Row],[stock_quantity]]=0,"Agotado","Pocas Unidades"))</f>
        <v>Ok</v>
      </c>
      <c r="S2043" s="3">
        <f>IF(BBDD_fashion_boutique[[#This Row],[customer_rating]]="","No valorado",BBDD_fashion_boutique[[#This Row],[customer_rating]])</f>
        <v>2.2999999999999998</v>
      </c>
      <c r="T2043" t="s">
        <v>41</v>
      </c>
      <c r="U2043" t="s">
        <v>79</v>
      </c>
      <c r="V2043">
        <f>IF(BBDD_fashion_boutique[[#This Row],[is_returned]]="False",0,1)</f>
        <v>1</v>
      </c>
      <c r="W2043">
        <f>IF(BBDD_fashion_boutique[[#This Row],[is_returned]]="True",0,BBDD_fashion_boutique[[#This Row],[current_price]])</f>
        <v>0</v>
      </c>
      <c r="X2043" t="str">
        <f>IF(BBDD_fashion_boutique[[#This Row],[return_reason]]="","No return",BBDD_fashion_boutique[[#This Row],[return_reason]])</f>
        <v>Size Issue</v>
      </c>
      <c r="Y2043">
        <f>IF(IFERROR(VLOOKUP(BBDD_fashion_boutique[[#This Row],[product_id]],A2044:A4219,1,FALSE),0),1,0)</f>
        <v>0</v>
      </c>
    </row>
    <row r="2044" spans="1:25" x14ac:dyDescent="0.3">
      <c r="A2044" t="s">
        <v>2103</v>
      </c>
      <c r="B2044" t="s">
        <v>19</v>
      </c>
      <c r="C2044" t="s">
        <v>81</v>
      </c>
      <c r="D2044" t="s">
        <v>28</v>
      </c>
      <c r="E2044" t="s">
        <v>29</v>
      </c>
      <c r="F2044" t="str">
        <f>IF(BBDD_fashion_boutique[[#This Row],[category]]="Accessories","Accesorio",IF(BBDD_fashion_boutique[[#This Row],[size]]="","Desconocido",BBDD_fashion_boutique[[#This Row],[size]]))</f>
        <v>L</v>
      </c>
      <c r="G2044" t="s">
        <v>46</v>
      </c>
      <c r="H2044" s="2">
        <v>144.63999999999999</v>
      </c>
      <c r="I2044">
        <v>0</v>
      </c>
      <c r="J2044" s="5">
        <f>BBDD_fashion_boutique[[#This Row],[markdown_percentage]]/100</f>
        <v>0</v>
      </c>
      <c r="K2044" s="2">
        <v>144.63999999999999</v>
      </c>
      <c r="L2044" s="2">
        <f>BBDD_fashion_boutique[[#This Row],[original_price]]-BBDD_fashion_boutique[[#This Row],[current_price]]</f>
        <v>0</v>
      </c>
      <c r="M2044" s="1">
        <v>45875</v>
      </c>
      <c r="N2044" s="1" t="str">
        <f>PROPER(TEXT(BBDD_fashion_boutique[[#This Row],[purchase_date]],"dddd"))</f>
        <v>Miércoles</v>
      </c>
      <c r="O2044" s="1" t="str">
        <f>PROPER(TEXT(BBDD_fashion_boutique[[#This Row],[purchase_date]],"mmmm"))</f>
        <v>Agosto</v>
      </c>
      <c r="P2044" s="4">
        <v>0</v>
      </c>
      <c r="Q2044" s="2">
        <v>4.5</v>
      </c>
      <c r="R2044" t="str">
        <f>IF(BBDD_fashion_boutique[[#This Row],[stock_quantity]]&gt;9,"Ok",IF(BBDD_fashion_boutique[[#This Row],[stock_quantity]]=0,"Agotado","Pocas Unidades"))</f>
        <v>Agotado</v>
      </c>
      <c r="S2044" s="3">
        <f>IF(BBDD_fashion_boutique[[#This Row],[customer_rating]]="","No valorado",BBDD_fashion_boutique[[#This Row],[customer_rating]])</f>
        <v>4.5</v>
      </c>
      <c r="T2044" t="s">
        <v>24</v>
      </c>
      <c r="V2044">
        <f>IF(BBDD_fashion_boutique[[#This Row],[is_returned]]="False",0,1)</f>
        <v>0</v>
      </c>
      <c r="W2044">
        <f>IF(BBDD_fashion_boutique[[#This Row],[is_returned]]="True",0,BBDD_fashion_boutique[[#This Row],[current_price]])</f>
        <v>144.63999999999999</v>
      </c>
      <c r="X2044" t="str">
        <f>IF(BBDD_fashion_boutique[[#This Row],[return_reason]]="","No return",BBDD_fashion_boutique[[#This Row],[return_reason]])</f>
        <v>No return</v>
      </c>
      <c r="Y2044">
        <f>IF(IFERROR(VLOOKUP(BBDD_fashion_boutique[[#This Row],[product_id]],A2045:A4220,1,FALSE),0),1,0)</f>
        <v>0</v>
      </c>
    </row>
    <row r="2045" spans="1:25" x14ac:dyDescent="0.3">
      <c r="A2045" t="s">
        <v>2104</v>
      </c>
      <c r="B2045" t="s">
        <v>35</v>
      </c>
      <c r="C2045" t="s">
        <v>37</v>
      </c>
      <c r="D2045" t="s">
        <v>39</v>
      </c>
      <c r="E2045" t="s">
        <v>29</v>
      </c>
      <c r="F2045" t="str">
        <f>IF(BBDD_fashion_boutique[[#This Row],[category]]="Accessories","Accesorio",IF(BBDD_fashion_boutique[[#This Row],[size]]="","Desconocido",BBDD_fashion_boutique[[#This Row],[size]]))</f>
        <v>L</v>
      </c>
      <c r="G2045" t="s">
        <v>50</v>
      </c>
      <c r="H2045" s="2">
        <v>180.99</v>
      </c>
      <c r="I2045">
        <v>0</v>
      </c>
      <c r="J2045" s="5">
        <f>BBDD_fashion_boutique[[#This Row],[markdown_percentage]]/100</f>
        <v>0</v>
      </c>
      <c r="K2045" s="2">
        <v>180.99</v>
      </c>
      <c r="L2045" s="2">
        <f>BBDD_fashion_boutique[[#This Row],[original_price]]-BBDD_fashion_boutique[[#This Row],[current_price]]</f>
        <v>0</v>
      </c>
      <c r="M2045" s="1">
        <v>45875</v>
      </c>
      <c r="N2045" s="1" t="str">
        <f>PROPER(TEXT(BBDD_fashion_boutique[[#This Row],[purchase_date]],"dddd"))</f>
        <v>Miércoles</v>
      </c>
      <c r="O2045" s="1" t="str">
        <f>PROPER(TEXT(BBDD_fashion_boutique[[#This Row],[purchase_date]],"mmmm"))</f>
        <v>Agosto</v>
      </c>
      <c r="P2045" s="4">
        <v>0</v>
      </c>
      <c r="Q2045" s="2">
        <v>4.5</v>
      </c>
      <c r="R2045" t="str">
        <f>IF(BBDD_fashion_boutique[[#This Row],[stock_quantity]]&gt;9,"Ok",IF(BBDD_fashion_boutique[[#This Row],[stock_quantity]]=0,"Agotado","Pocas Unidades"))</f>
        <v>Agotado</v>
      </c>
      <c r="S2045" s="3">
        <f>IF(BBDD_fashion_boutique[[#This Row],[customer_rating]]="","No valorado",BBDD_fashion_boutique[[#This Row],[customer_rating]])</f>
        <v>4.5</v>
      </c>
      <c r="T2045" t="s">
        <v>24</v>
      </c>
      <c r="V2045">
        <f>IF(BBDD_fashion_boutique[[#This Row],[is_returned]]="False",0,1)</f>
        <v>0</v>
      </c>
      <c r="W2045">
        <f>IF(BBDD_fashion_boutique[[#This Row],[is_returned]]="True",0,BBDD_fashion_boutique[[#This Row],[current_price]])</f>
        <v>180.99</v>
      </c>
      <c r="X2045" t="str">
        <f>IF(BBDD_fashion_boutique[[#This Row],[return_reason]]="","No return",BBDD_fashion_boutique[[#This Row],[return_reason]])</f>
        <v>No return</v>
      </c>
      <c r="Y2045">
        <f>IF(IFERROR(VLOOKUP(BBDD_fashion_boutique[[#This Row],[product_id]],A2046:A4221,1,FALSE),0),1,0)</f>
        <v>0</v>
      </c>
    </row>
    <row r="2046" spans="1:25" x14ac:dyDescent="0.3">
      <c r="A2046" t="s">
        <v>2105</v>
      </c>
      <c r="B2046" t="s">
        <v>26</v>
      </c>
      <c r="C2046" t="s">
        <v>59</v>
      </c>
      <c r="D2046" t="s">
        <v>39</v>
      </c>
      <c r="E2046" t="s">
        <v>64</v>
      </c>
      <c r="F2046" t="str">
        <f>IF(BBDD_fashion_boutique[[#This Row],[category]]="Accessories","Accesorio",IF(BBDD_fashion_boutique[[#This Row],[size]]="","Desconocido",BBDD_fashion_boutique[[#This Row],[size]]))</f>
        <v>M</v>
      </c>
      <c r="G2046" t="s">
        <v>52</v>
      </c>
      <c r="H2046" s="2">
        <v>74.959999999999994</v>
      </c>
      <c r="I2046">
        <v>56.1</v>
      </c>
      <c r="J2046" s="5">
        <f>BBDD_fashion_boutique[[#This Row],[markdown_percentage]]/100</f>
        <v>0.56100000000000005</v>
      </c>
      <c r="K2046" s="2">
        <v>32.909999999999997</v>
      </c>
      <c r="L2046" s="2">
        <f>BBDD_fashion_boutique[[#This Row],[original_price]]-BBDD_fashion_boutique[[#This Row],[current_price]]</f>
        <v>42.05</v>
      </c>
      <c r="M2046" s="1">
        <v>45875</v>
      </c>
      <c r="N2046" s="1" t="str">
        <f>PROPER(TEXT(BBDD_fashion_boutique[[#This Row],[purchase_date]],"dddd"))</f>
        <v>Miércoles</v>
      </c>
      <c r="O2046" s="1" t="str">
        <f>PROPER(TEXT(BBDD_fashion_boutique[[#This Row],[purchase_date]],"mmmm"))</f>
        <v>Agosto</v>
      </c>
      <c r="P2046" s="4">
        <v>16</v>
      </c>
      <c r="R2046" t="str">
        <f>IF(BBDD_fashion_boutique[[#This Row],[stock_quantity]]&gt;9,"Ok",IF(BBDD_fashion_boutique[[#This Row],[stock_quantity]]=0,"Agotado","Pocas Unidades"))</f>
        <v>Ok</v>
      </c>
      <c r="S2046" s="3" t="str">
        <f>IF(BBDD_fashion_boutique[[#This Row],[customer_rating]]="","No valorado",BBDD_fashion_boutique[[#This Row],[customer_rating]])</f>
        <v>No valorado</v>
      </c>
      <c r="T2046" t="s">
        <v>41</v>
      </c>
      <c r="U2046" t="s">
        <v>131</v>
      </c>
      <c r="V2046">
        <f>IF(BBDD_fashion_boutique[[#This Row],[is_returned]]="False",0,1)</f>
        <v>1</v>
      </c>
      <c r="W2046">
        <f>IF(BBDD_fashion_boutique[[#This Row],[is_returned]]="True",0,BBDD_fashion_boutique[[#This Row],[current_price]])</f>
        <v>0</v>
      </c>
      <c r="X2046" t="str">
        <f>IF(BBDD_fashion_boutique[[#This Row],[return_reason]]="","No return",BBDD_fashion_boutique[[#This Row],[return_reason]])</f>
        <v>Wrong Item</v>
      </c>
      <c r="Y2046">
        <f>IF(IFERROR(VLOOKUP(BBDD_fashion_boutique[[#This Row],[product_id]],A2047:A4222,1,FALSE),0),1,0)</f>
        <v>0</v>
      </c>
    </row>
    <row r="2047" spans="1:25" x14ac:dyDescent="0.3">
      <c r="A2047" t="s">
        <v>2106</v>
      </c>
      <c r="B2047" t="s">
        <v>48</v>
      </c>
      <c r="C2047" t="s">
        <v>59</v>
      </c>
      <c r="D2047" t="s">
        <v>39</v>
      </c>
      <c r="E2047" t="s">
        <v>55</v>
      </c>
      <c r="F2047" t="str">
        <f>IF(BBDD_fashion_boutique[[#This Row],[category]]="Accessories","Accesorio",IF(BBDD_fashion_boutique[[#This Row],[size]]="","Desconocido",BBDD_fashion_boutique[[#This Row],[size]]))</f>
        <v>XXL</v>
      </c>
      <c r="G2047" t="s">
        <v>70</v>
      </c>
      <c r="H2047" s="2">
        <v>63.46</v>
      </c>
      <c r="I2047">
        <v>0</v>
      </c>
      <c r="J2047" s="5">
        <f>BBDD_fashion_boutique[[#This Row],[markdown_percentage]]/100</f>
        <v>0</v>
      </c>
      <c r="K2047" s="2">
        <v>63.46</v>
      </c>
      <c r="L2047" s="2">
        <f>BBDD_fashion_boutique[[#This Row],[original_price]]-BBDD_fashion_boutique[[#This Row],[current_price]]</f>
        <v>0</v>
      </c>
      <c r="M2047" s="1">
        <v>45875</v>
      </c>
      <c r="N2047" s="1" t="str">
        <f>PROPER(TEXT(BBDD_fashion_boutique[[#This Row],[purchase_date]],"dddd"))</f>
        <v>Miércoles</v>
      </c>
      <c r="O2047" s="1" t="str">
        <f>PROPER(TEXT(BBDD_fashion_boutique[[#This Row],[purchase_date]],"mmmm"))</f>
        <v>Agosto</v>
      </c>
      <c r="P2047" s="4">
        <v>36</v>
      </c>
      <c r="Q2047" s="2">
        <v>1.2</v>
      </c>
      <c r="R2047" t="str">
        <f>IF(BBDD_fashion_boutique[[#This Row],[stock_quantity]]&gt;9,"Ok",IF(BBDD_fashion_boutique[[#This Row],[stock_quantity]]=0,"Agotado","Pocas Unidades"))</f>
        <v>Ok</v>
      </c>
      <c r="S2047" s="3">
        <f>IF(BBDD_fashion_boutique[[#This Row],[customer_rating]]="","No valorado",BBDD_fashion_boutique[[#This Row],[customer_rating]])</f>
        <v>1.2</v>
      </c>
      <c r="T2047" t="s">
        <v>24</v>
      </c>
      <c r="V2047">
        <f>IF(BBDD_fashion_boutique[[#This Row],[is_returned]]="False",0,1)</f>
        <v>0</v>
      </c>
      <c r="W2047">
        <f>IF(BBDD_fashion_boutique[[#This Row],[is_returned]]="True",0,BBDD_fashion_boutique[[#This Row],[current_price]])</f>
        <v>63.46</v>
      </c>
      <c r="X2047" t="str">
        <f>IF(BBDD_fashion_boutique[[#This Row],[return_reason]]="","No return",BBDD_fashion_boutique[[#This Row],[return_reason]])</f>
        <v>No return</v>
      </c>
      <c r="Y2047">
        <f>IF(IFERROR(VLOOKUP(BBDD_fashion_boutique[[#This Row],[product_id]],A2048:A4223,1,FALSE),0),1,0)</f>
        <v>0</v>
      </c>
    </row>
    <row r="2048" spans="1:25" x14ac:dyDescent="0.3">
      <c r="A2048" t="s">
        <v>2107</v>
      </c>
      <c r="B2048" t="s">
        <v>35</v>
      </c>
      <c r="C2048" t="s">
        <v>49</v>
      </c>
      <c r="D2048" t="s">
        <v>21</v>
      </c>
      <c r="E2048" t="s">
        <v>45</v>
      </c>
      <c r="F2048" t="str">
        <f>IF(BBDD_fashion_boutique[[#This Row],[category]]="Accessories","Accesorio",IF(BBDD_fashion_boutique[[#This Row],[size]]="","Desconocido",BBDD_fashion_boutique[[#This Row],[size]]))</f>
        <v>S</v>
      </c>
      <c r="G2048" t="s">
        <v>33</v>
      </c>
      <c r="H2048" s="2">
        <v>105.95</v>
      </c>
      <c r="I2048">
        <v>31.6</v>
      </c>
      <c r="J2048" s="5">
        <f>BBDD_fashion_boutique[[#This Row],[markdown_percentage]]/100</f>
        <v>0.316</v>
      </c>
      <c r="K2048" s="2">
        <v>72.47</v>
      </c>
      <c r="L2048" s="2">
        <f>BBDD_fashion_boutique[[#This Row],[original_price]]-BBDD_fashion_boutique[[#This Row],[current_price]]</f>
        <v>33.480000000000004</v>
      </c>
      <c r="M2048" s="1">
        <v>45748</v>
      </c>
      <c r="N2048" s="1" t="str">
        <f>PROPER(TEXT(BBDD_fashion_boutique[[#This Row],[purchase_date]],"dddd"))</f>
        <v>Martes</v>
      </c>
      <c r="O2048" s="1" t="str">
        <f>PROPER(TEXT(BBDD_fashion_boutique[[#This Row],[purchase_date]],"mmmm"))</f>
        <v>Abril</v>
      </c>
      <c r="P2048" s="4">
        <v>38</v>
      </c>
      <c r="Q2048" s="2">
        <v>3.5</v>
      </c>
      <c r="R2048" t="str">
        <f>IF(BBDD_fashion_boutique[[#This Row],[stock_quantity]]&gt;9,"Ok",IF(BBDD_fashion_boutique[[#This Row],[stock_quantity]]=0,"Agotado","Pocas Unidades"))</f>
        <v>Ok</v>
      </c>
      <c r="S2048" s="3">
        <f>IF(BBDD_fashion_boutique[[#This Row],[customer_rating]]="","No valorado",BBDD_fashion_boutique[[#This Row],[customer_rating]])</f>
        <v>3.5</v>
      </c>
      <c r="T2048" t="s">
        <v>24</v>
      </c>
      <c r="V2048">
        <f>IF(BBDD_fashion_boutique[[#This Row],[is_returned]]="False",0,1)</f>
        <v>0</v>
      </c>
      <c r="W2048">
        <f>IF(BBDD_fashion_boutique[[#This Row],[is_returned]]="True",0,BBDD_fashion_boutique[[#This Row],[current_price]])</f>
        <v>72.47</v>
      </c>
      <c r="X2048" t="str">
        <f>IF(BBDD_fashion_boutique[[#This Row],[return_reason]]="","No return",BBDD_fashion_boutique[[#This Row],[return_reason]])</f>
        <v>No return</v>
      </c>
      <c r="Y2048">
        <f>IF(IFERROR(VLOOKUP(BBDD_fashion_boutique[[#This Row],[product_id]],A2049:A4224,1,FALSE),0),1,0)</f>
        <v>0</v>
      </c>
    </row>
    <row r="2049" spans="1:25" x14ac:dyDescent="0.3">
      <c r="A2049" t="s">
        <v>2108</v>
      </c>
      <c r="B2049" t="s">
        <v>48</v>
      </c>
      <c r="C2049" t="s">
        <v>49</v>
      </c>
      <c r="D2049" t="s">
        <v>68</v>
      </c>
      <c r="E2049" t="s">
        <v>45</v>
      </c>
      <c r="F2049" t="str">
        <f>IF(BBDD_fashion_boutique[[#This Row],[category]]="Accessories","Accesorio",IF(BBDD_fashion_boutique[[#This Row],[size]]="","Desconocido",BBDD_fashion_boutique[[#This Row],[size]]))</f>
        <v>S</v>
      </c>
      <c r="G2049" t="s">
        <v>70</v>
      </c>
      <c r="H2049" s="2">
        <v>86.55</v>
      </c>
      <c r="I2049">
        <v>24.5</v>
      </c>
      <c r="J2049" s="5">
        <f>BBDD_fashion_boutique[[#This Row],[markdown_percentage]]/100</f>
        <v>0.245</v>
      </c>
      <c r="K2049" s="2">
        <v>65.349999999999994</v>
      </c>
      <c r="L2049" s="2">
        <f>BBDD_fashion_boutique[[#This Row],[original_price]]-BBDD_fashion_boutique[[#This Row],[current_price]]</f>
        <v>21.200000000000003</v>
      </c>
      <c r="M2049" s="1">
        <v>45875</v>
      </c>
      <c r="N2049" s="1" t="str">
        <f>PROPER(TEXT(BBDD_fashion_boutique[[#This Row],[purchase_date]],"dddd"))</f>
        <v>Miércoles</v>
      </c>
      <c r="O2049" s="1" t="str">
        <f>PROPER(TEXT(BBDD_fashion_boutique[[#This Row],[purchase_date]],"mmmm"))</f>
        <v>Agosto</v>
      </c>
      <c r="P2049" s="4">
        <v>40</v>
      </c>
      <c r="Q2049" s="2">
        <v>3.5</v>
      </c>
      <c r="R2049" t="str">
        <f>IF(BBDD_fashion_boutique[[#This Row],[stock_quantity]]&gt;9,"Ok",IF(BBDD_fashion_boutique[[#This Row],[stock_quantity]]=0,"Agotado","Pocas Unidades"))</f>
        <v>Ok</v>
      </c>
      <c r="S2049" s="3">
        <f>IF(BBDD_fashion_boutique[[#This Row],[customer_rating]]="","No valorado",BBDD_fashion_boutique[[#This Row],[customer_rating]])</f>
        <v>3.5</v>
      </c>
      <c r="T2049" t="s">
        <v>24</v>
      </c>
      <c r="V2049">
        <f>IF(BBDD_fashion_boutique[[#This Row],[is_returned]]="False",0,1)</f>
        <v>0</v>
      </c>
      <c r="W2049">
        <f>IF(BBDD_fashion_boutique[[#This Row],[is_returned]]="True",0,BBDD_fashion_boutique[[#This Row],[current_price]])</f>
        <v>65.349999999999994</v>
      </c>
      <c r="X2049" t="str">
        <f>IF(BBDD_fashion_boutique[[#This Row],[return_reason]]="","No return",BBDD_fashion_boutique[[#This Row],[return_reason]])</f>
        <v>No return</v>
      </c>
      <c r="Y2049">
        <f>IF(IFERROR(VLOOKUP(BBDD_fashion_boutique[[#This Row],[product_id]],A2050:A4225,1,FALSE),0),1,0)</f>
        <v>0</v>
      </c>
    </row>
    <row r="2050" spans="1:25" x14ac:dyDescent="0.3">
      <c r="A2050" t="s">
        <v>2109</v>
      </c>
      <c r="B2050" t="s">
        <v>44</v>
      </c>
      <c r="C2050" t="s">
        <v>67</v>
      </c>
      <c r="D2050" t="s">
        <v>39</v>
      </c>
      <c r="E2050" t="s">
        <v>64</v>
      </c>
      <c r="F2050" t="str">
        <f>IF(BBDD_fashion_boutique[[#This Row],[category]]="Accessories","Accesorio",IF(BBDD_fashion_boutique[[#This Row],[size]]="","Desconocido",BBDD_fashion_boutique[[#This Row],[size]]))</f>
        <v>M</v>
      </c>
      <c r="G2050" t="s">
        <v>70</v>
      </c>
      <c r="H2050" s="2">
        <v>90.97</v>
      </c>
      <c r="I2050">
        <v>10.8</v>
      </c>
      <c r="J2050" s="5">
        <f>BBDD_fashion_boutique[[#This Row],[markdown_percentage]]/100</f>
        <v>0.10800000000000001</v>
      </c>
      <c r="K2050" s="2">
        <v>81.150000000000006</v>
      </c>
      <c r="L2050" s="2">
        <f>BBDD_fashion_boutique[[#This Row],[original_price]]-BBDD_fashion_boutique[[#This Row],[current_price]]</f>
        <v>9.8199999999999932</v>
      </c>
      <c r="M2050" s="1">
        <v>45875</v>
      </c>
      <c r="N2050" s="1" t="str">
        <f>PROPER(TEXT(BBDD_fashion_boutique[[#This Row],[purchase_date]],"dddd"))</f>
        <v>Miércoles</v>
      </c>
      <c r="O2050" s="1" t="str">
        <f>PROPER(TEXT(BBDD_fashion_boutique[[#This Row],[purchase_date]],"mmmm"))</f>
        <v>Agosto</v>
      </c>
      <c r="P2050" s="4">
        <v>33</v>
      </c>
      <c r="Q2050" s="2">
        <v>2.2000000000000002</v>
      </c>
      <c r="R2050" t="str">
        <f>IF(BBDD_fashion_boutique[[#This Row],[stock_quantity]]&gt;9,"Ok",IF(BBDD_fashion_boutique[[#This Row],[stock_quantity]]=0,"Agotado","Pocas Unidades"))</f>
        <v>Ok</v>
      </c>
      <c r="S2050" s="3">
        <f>IF(BBDD_fashion_boutique[[#This Row],[customer_rating]]="","No valorado",BBDD_fashion_boutique[[#This Row],[customer_rating]])</f>
        <v>2.2000000000000002</v>
      </c>
      <c r="T2050" t="s">
        <v>41</v>
      </c>
      <c r="U2050" t="s">
        <v>84</v>
      </c>
      <c r="V2050">
        <f>IF(BBDD_fashion_boutique[[#This Row],[is_returned]]="False",0,1)</f>
        <v>1</v>
      </c>
      <c r="W2050">
        <f>IF(BBDD_fashion_boutique[[#This Row],[is_returned]]="True",0,BBDD_fashion_boutique[[#This Row],[current_price]])</f>
        <v>0</v>
      </c>
      <c r="X2050" t="str">
        <f>IF(BBDD_fashion_boutique[[#This Row],[return_reason]]="","No return",BBDD_fashion_boutique[[#This Row],[return_reason]])</f>
        <v>Damaged</v>
      </c>
      <c r="Y2050">
        <f>IF(IFERROR(VLOOKUP(BBDD_fashion_boutique[[#This Row],[product_id]],A2051:A4226,1,FALSE),0),1,0)</f>
        <v>0</v>
      </c>
    </row>
    <row r="2051" spans="1:25" x14ac:dyDescent="0.3">
      <c r="A2051" t="s">
        <v>2110</v>
      </c>
      <c r="B2051" t="s">
        <v>48</v>
      </c>
      <c r="C2051" t="s">
        <v>49</v>
      </c>
      <c r="D2051" t="s">
        <v>28</v>
      </c>
      <c r="E2051" t="s">
        <v>29</v>
      </c>
      <c r="F2051" t="str">
        <f>IF(BBDD_fashion_boutique[[#This Row],[category]]="Accessories","Accesorio",IF(BBDD_fashion_boutique[[#This Row],[size]]="","Desconocido",BBDD_fashion_boutique[[#This Row],[size]]))</f>
        <v>L</v>
      </c>
      <c r="G2051" t="s">
        <v>62</v>
      </c>
      <c r="H2051" s="2">
        <v>122.41</v>
      </c>
      <c r="I2051">
        <v>48.2</v>
      </c>
      <c r="J2051" s="5">
        <f>BBDD_fashion_boutique[[#This Row],[markdown_percentage]]/100</f>
        <v>0.48200000000000004</v>
      </c>
      <c r="K2051" s="2">
        <v>63.41</v>
      </c>
      <c r="L2051" s="2">
        <f>BBDD_fashion_boutique[[#This Row],[original_price]]-BBDD_fashion_boutique[[#This Row],[current_price]]</f>
        <v>59</v>
      </c>
      <c r="M2051" s="1">
        <v>45875</v>
      </c>
      <c r="N2051" s="1" t="str">
        <f>PROPER(TEXT(BBDD_fashion_boutique[[#This Row],[purchase_date]],"dddd"))</f>
        <v>Miércoles</v>
      </c>
      <c r="O2051" s="1" t="str">
        <f>PROPER(TEXT(BBDD_fashion_boutique[[#This Row],[purchase_date]],"mmmm"))</f>
        <v>Agosto</v>
      </c>
      <c r="P2051" s="4">
        <v>49</v>
      </c>
      <c r="Q2051" s="2">
        <v>4.5</v>
      </c>
      <c r="R2051" t="str">
        <f>IF(BBDD_fashion_boutique[[#This Row],[stock_quantity]]&gt;9,"Ok",IF(BBDD_fashion_boutique[[#This Row],[stock_quantity]]=0,"Agotado","Pocas Unidades"))</f>
        <v>Ok</v>
      </c>
      <c r="S2051" s="3">
        <f>IF(BBDD_fashion_boutique[[#This Row],[customer_rating]]="","No valorado",BBDD_fashion_boutique[[#This Row],[customer_rating]])</f>
        <v>4.5</v>
      </c>
      <c r="T2051" t="s">
        <v>24</v>
      </c>
      <c r="V2051">
        <f>IF(BBDD_fashion_boutique[[#This Row],[is_returned]]="False",0,1)</f>
        <v>0</v>
      </c>
      <c r="W2051">
        <f>IF(BBDD_fashion_boutique[[#This Row],[is_returned]]="True",0,BBDD_fashion_boutique[[#This Row],[current_price]])</f>
        <v>63.41</v>
      </c>
      <c r="X2051" t="str">
        <f>IF(BBDD_fashion_boutique[[#This Row],[return_reason]]="","No return",BBDD_fashion_boutique[[#This Row],[return_reason]])</f>
        <v>No return</v>
      </c>
      <c r="Y2051">
        <f>IF(IFERROR(VLOOKUP(BBDD_fashion_boutique[[#This Row],[product_id]],A2052:A4227,1,FALSE),0),1,0)</f>
        <v>0</v>
      </c>
    </row>
    <row r="2052" spans="1:25" x14ac:dyDescent="0.3">
      <c r="A2052" t="s">
        <v>2111</v>
      </c>
      <c r="B2052" t="s">
        <v>35</v>
      </c>
      <c r="C2052" t="s">
        <v>37</v>
      </c>
      <c r="D2052" t="s">
        <v>28</v>
      </c>
      <c r="E2052" t="s">
        <v>55</v>
      </c>
      <c r="F2052" t="str">
        <f>IF(BBDD_fashion_boutique[[#This Row],[category]]="Accessories","Accesorio",IF(BBDD_fashion_boutique[[#This Row],[size]]="","Desconocido",BBDD_fashion_boutique[[#This Row],[size]]))</f>
        <v>XXL</v>
      </c>
      <c r="G2052" t="s">
        <v>46</v>
      </c>
      <c r="H2052" s="2">
        <v>198.22</v>
      </c>
      <c r="I2052">
        <v>0</v>
      </c>
      <c r="J2052" s="5">
        <f>BBDD_fashion_boutique[[#This Row],[markdown_percentage]]/100</f>
        <v>0</v>
      </c>
      <c r="K2052" s="2">
        <v>198.22</v>
      </c>
      <c r="L2052" s="2">
        <f>BBDD_fashion_boutique[[#This Row],[original_price]]-BBDD_fashion_boutique[[#This Row],[current_price]]</f>
        <v>0</v>
      </c>
      <c r="M2052" s="1">
        <v>45875</v>
      </c>
      <c r="N2052" s="1" t="str">
        <f>PROPER(TEXT(BBDD_fashion_boutique[[#This Row],[purchase_date]],"dddd"))</f>
        <v>Miércoles</v>
      </c>
      <c r="O2052" s="1" t="str">
        <f>PROPER(TEXT(BBDD_fashion_boutique[[#This Row],[purchase_date]],"mmmm"))</f>
        <v>Agosto</v>
      </c>
      <c r="P2052" s="4">
        <v>12</v>
      </c>
      <c r="R2052" t="str">
        <f>IF(BBDD_fashion_boutique[[#This Row],[stock_quantity]]&gt;9,"Ok",IF(BBDD_fashion_boutique[[#This Row],[stock_quantity]]=0,"Agotado","Pocas Unidades"))</f>
        <v>Ok</v>
      </c>
      <c r="S2052" s="3" t="str">
        <f>IF(BBDD_fashion_boutique[[#This Row],[customer_rating]]="","No valorado",BBDD_fashion_boutique[[#This Row],[customer_rating]])</f>
        <v>No valorado</v>
      </c>
      <c r="T2052" t="s">
        <v>24</v>
      </c>
      <c r="V2052">
        <f>IF(BBDD_fashion_boutique[[#This Row],[is_returned]]="False",0,1)</f>
        <v>0</v>
      </c>
      <c r="W2052">
        <f>IF(BBDD_fashion_boutique[[#This Row],[is_returned]]="True",0,BBDD_fashion_boutique[[#This Row],[current_price]])</f>
        <v>198.22</v>
      </c>
      <c r="X2052" t="str">
        <f>IF(BBDD_fashion_boutique[[#This Row],[return_reason]]="","No return",BBDD_fashion_boutique[[#This Row],[return_reason]])</f>
        <v>No return</v>
      </c>
      <c r="Y2052">
        <f>IF(IFERROR(VLOOKUP(BBDD_fashion_boutique[[#This Row],[product_id]],A2053:A4228,1,FALSE),0),1,0)</f>
        <v>0</v>
      </c>
    </row>
    <row r="2053" spans="1:25" x14ac:dyDescent="0.3">
      <c r="A2053" t="s">
        <v>2112</v>
      </c>
      <c r="B2053" t="s">
        <v>35</v>
      </c>
      <c r="C2053" t="s">
        <v>20</v>
      </c>
      <c r="D2053" t="s">
        <v>28</v>
      </c>
      <c r="E2053" t="s">
        <v>64</v>
      </c>
      <c r="F2053" t="str">
        <f>IF(BBDD_fashion_boutique[[#This Row],[category]]="Accessories","Accesorio",IF(BBDD_fashion_boutique[[#This Row],[size]]="","Desconocido",BBDD_fashion_boutique[[#This Row],[size]]))</f>
        <v>M</v>
      </c>
      <c r="G2053" t="s">
        <v>62</v>
      </c>
      <c r="H2053" s="2">
        <v>129.56</v>
      </c>
      <c r="I2053">
        <v>20.8</v>
      </c>
      <c r="J2053" s="5">
        <f>BBDD_fashion_boutique[[#This Row],[markdown_percentage]]/100</f>
        <v>0.20800000000000002</v>
      </c>
      <c r="K2053" s="2">
        <v>102.61</v>
      </c>
      <c r="L2053" s="2">
        <f>BBDD_fashion_boutique[[#This Row],[original_price]]-BBDD_fashion_boutique[[#This Row],[current_price]]</f>
        <v>26.950000000000003</v>
      </c>
      <c r="M2053" s="1">
        <v>45875</v>
      </c>
      <c r="N2053" s="1" t="str">
        <f>PROPER(TEXT(BBDD_fashion_boutique[[#This Row],[purchase_date]],"dddd"))</f>
        <v>Miércoles</v>
      </c>
      <c r="O2053" s="1" t="str">
        <f>PROPER(TEXT(BBDD_fashion_boutique[[#This Row],[purchase_date]],"mmmm"))</f>
        <v>Agosto</v>
      </c>
      <c r="P2053" s="4">
        <v>3</v>
      </c>
      <c r="Q2053" s="2">
        <v>2.9</v>
      </c>
      <c r="R2053" t="str">
        <f>IF(BBDD_fashion_boutique[[#This Row],[stock_quantity]]&gt;9,"Ok",IF(BBDD_fashion_boutique[[#This Row],[stock_quantity]]=0,"Agotado","Pocas Unidades"))</f>
        <v>Pocas Unidades</v>
      </c>
      <c r="S2053" s="3">
        <f>IF(BBDD_fashion_boutique[[#This Row],[customer_rating]]="","No valorado",BBDD_fashion_boutique[[#This Row],[customer_rating]])</f>
        <v>2.9</v>
      </c>
      <c r="T2053" t="s">
        <v>24</v>
      </c>
      <c r="V2053">
        <f>IF(BBDD_fashion_boutique[[#This Row],[is_returned]]="False",0,1)</f>
        <v>0</v>
      </c>
      <c r="W2053">
        <f>IF(BBDD_fashion_boutique[[#This Row],[is_returned]]="True",0,BBDD_fashion_boutique[[#This Row],[current_price]])</f>
        <v>102.61</v>
      </c>
      <c r="X2053" t="str">
        <f>IF(BBDD_fashion_boutique[[#This Row],[return_reason]]="","No return",BBDD_fashion_boutique[[#This Row],[return_reason]])</f>
        <v>No return</v>
      </c>
      <c r="Y2053">
        <f>IF(IFERROR(VLOOKUP(BBDD_fashion_boutique[[#This Row],[product_id]],A2054:A4229,1,FALSE),0),1,0)</f>
        <v>0</v>
      </c>
    </row>
    <row r="2054" spans="1:25" x14ac:dyDescent="0.3">
      <c r="A2054" t="s">
        <v>2113</v>
      </c>
      <c r="B2054" t="s">
        <v>32</v>
      </c>
      <c r="C2054" t="s">
        <v>20</v>
      </c>
      <c r="D2054" t="s">
        <v>68</v>
      </c>
      <c r="F2054" t="str">
        <f>IF(BBDD_fashion_boutique[[#This Row],[category]]="Accessories","Accesorio",IF(BBDD_fashion_boutique[[#This Row],[size]]="","Desconocido",BBDD_fashion_boutique[[#This Row],[size]]))</f>
        <v>Accesorio</v>
      </c>
      <c r="G2054" t="s">
        <v>30</v>
      </c>
      <c r="H2054" s="2">
        <v>49.31</v>
      </c>
      <c r="I2054">
        <v>0</v>
      </c>
      <c r="J2054" s="5">
        <f>BBDD_fashion_boutique[[#This Row],[markdown_percentage]]/100</f>
        <v>0</v>
      </c>
      <c r="K2054" s="2">
        <v>49.31</v>
      </c>
      <c r="L2054" s="2">
        <f>BBDD_fashion_boutique[[#This Row],[original_price]]-BBDD_fashion_boutique[[#This Row],[current_price]]</f>
        <v>0</v>
      </c>
      <c r="M2054" s="1">
        <v>45875</v>
      </c>
      <c r="N2054" s="1" t="str">
        <f>PROPER(TEXT(BBDD_fashion_boutique[[#This Row],[purchase_date]],"dddd"))</f>
        <v>Miércoles</v>
      </c>
      <c r="O2054" s="1" t="str">
        <f>PROPER(TEXT(BBDD_fashion_boutique[[#This Row],[purchase_date]],"mmmm"))</f>
        <v>Agosto</v>
      </c>
      <c r="P2054" s="4">
        <v>49</v>
      </c>
      <c r="Q2054" s="2">
        <v>3.4</v>
      </c>
      <c r="R2054" t="str">
        <f>IF(BBDD_fashion_boutique[[#This Row],[stock_quantity]]&gt;9,"Ok",IF(BBDD_fashion_boutique[[#This Row],[stock_quantity]]=0,"Agotado","Pocas Unidades"))</f>
        <v>Ok</v>
      </c>
      <c r="S2054" s="3">
        <f>IF(BBDD_fashion_boutique[[#This Row],[customer_rating]]="","No valorado",BBDD_fashion_boutique[[#This Row],[customer_rating]])</f>
        <v>3.4</v>
      </c>
      <c r="T2054" t="s">
        <v>24</v>
      </c>
      <c r="V2054">
        <f>IF(BBDD_fashion_boutique[[#This Row],[is_returned]]="False",0,1)</f>
        <v>0</v>
      </c>
      <c r="W2054">
        <f>IF(BBDD_fashion_boutique[[#This Row],[is_returned]]="True",0,BBDD_fashion_boutique[[#This Row],[current_price]])</f>
        <v>49.31</v>
      </c>
      <c r="X2054" t="str">
        <f>IF(BBDD_fashion_boutique[[#This Row],[return_reason]]="","No return",BBDD_fashion_boutique[[#This Row],[return_reason]])</f>
        <v>No return</v>
      </c>
      <c r="Y2054">
        <f>IF(IFERROR(VLOOKUP(BBDD_fashion_boutique[[#This Row],[product_id]],A2055:A4230,1,FALSE),0),1,0)</f>
        <v>0</v>
      </c>
    </row>
    <row r="2055" spans="1:25" x14ac:dyDescent="0.3">
      <c r="A2055" t="s">
        <v>2114</v>
      </c>
      <c r="B2055" t="s">
        <v>19</v>
      </c>
      <c r="C2055" t="s">
        <v>27</v>
      </c>
      <c r="D2055" t="s">
        <v>68</v>
      </c>
      <c r="E2055" t="s">
        <v>45</v>
      </c>
      <c r="F2055" t="str">
        <f>IF(BBDD_fashion_boutique[[#This Row],[category]]="Accessories","Accesorio",IF(BBDD_fashion_boutique[[#This Row],[size]]="","Desconocido",BBDD_fashion_boutique[[#This Row],[size]]))</f>
        <v>S</v>
      </c>
      <c r="G2055" t="s">
        <v>30</v>
      </c>
      <c r="H2055" s="2">
        <v>206.94</v>
      </c>
      <c r="I2055">
        <v>0</v>
      </c>
      <c r="J2055" s="5">
        <f>BBDD_fashion_boutique[[#This Row],[markdown_percentage]]/100</f>
        <v>0</v>
      </c>
      <c r="K2055" s="2">
        <v>206.94</v>
      </c>
      <c r="L2055" s="2">
        <f>BBDD_fashion_boutique[[#This Row],[original_price]]-BBDD_fashion_boutique[[#This Row],[current_price]]</f>
        <v>0</v>
      </c>
      <c r="M2055" s="1">
        <v>45875</v>
      </c>
      <c r="N2055" s="1" t="str">
        <f>PROPER(TEXT(BBDD_fashion_boutique[[#This Row],[purchase_date]],"dddd"))</f>
        <v>Miércoles</v>
      </c>
      <c r="O2055" s="1" t="str">
        <f>PROPER(TEXT(BBDD_fashion_boutique[[#This Row],[purchase_date]],"mmmm"))</f>
        <v>Agosto</v>
      </c>
      <c r="P2055" s="4">
        <v>43</v>
      </c>
      <c r="Q2055" s="2">
        <v>3.3</v>
      </c>
      <c r="R2055" t="str">
        <f>IF(BBDD_fashion_boutique[[#This Row],[stock_quantity]]&gt;9,"Ok",IF(BBDD_fashion_boutique[[#This Row],[stock_quantity]]=0,"Agotado","Pocas Unidades"))</f>
        <v>Ok</v>
      </c>
      <c r="S2055" s="3">
        <f>IF(BBDD_fashion_boutique[[#This Row],[customer_rating]]="","No valorado",BBDD_fashion_boutique[[#This Row],[customer_rating]])</f>
        <v>3.3</v>
      </c>
      <c r="T2055" t="s">
        <v>24</v>
      </c>
      <c r="V2055">
        <f>IF(BBDD_fashion_boutique[[#This Row],[is_returned]]="False",0,1)</f>
        <v>0</v>
      </c>
      <c r="W2055">
        <f>IF(BBDD_fashion_boutique[[#This Row],[is_returned]]="True",0,BBDD_fashion_boutique[[#This Row],[current_price]])</f>
        <v>206.94</v>
      </c>
      <c r="X2055" t="str">
        <f>IF(BBDD_fashion_boutique[[#This Row],[return_reason]]="","No return",BBDD_fashion_boutique[[#This Row],[return_reason]])</f>
        <v>No return</v>
      </c>
      <c r="Y2055">
        <f>IF(IFERROR(VLOOKUP(BBDD_fashion_boutique[[#This Row],[product_id]],A2056:A4231,1,FALSE),0),1,0)</f>
        <v>0</v>
      </c>
    </row>
    <row r="2056" spans="1:25" x14ac:dyDescent="0.3">
      <c r="A2056" t="s">
        <v>2115</v>
      </c>
      <c r="B2056" t="s">
        <v>32</v>
      </c>
      <c r="C2056" t="s">
        <v>37</v>
      </c>
      <c r="D2056" t="s">
        <v>68</v>
      </c>
      <c r="F2056" t="str">
        <f>IF(BBDD_fashion_boutique[[#This Row],[category]]="Accessories","Accesorio",IF(BBDD_fashion_boutique[[#This Row],[size]]="","Desconocido",BBDD_fashion_boutique[[#This Row],[size]]))</f>
        <v>Accesorio</v>
      </c>
      <c r="G2056" t="s">
        <v>33</v>
      </c>
      <c r="H2056" s="2">
        <v>36.93</v>
      </c>
      <c r="I2056">
        <v>0</v>
      </c>
      <c r="J2056" s="5">
        <f>BBDD_fashion_boutique[[#This Row],[markdown_percentage]]/100</f>
        <v>0</v>
      </c>
      <c r="K2056" s="2">
        <v>36.93</v>
      </c>
      <c r="L2056" s="2">
        <f>BBDD_fashion_boutique[[#This Row],[original_price]]-BBDD_fashion_boutique[[#This Row],[current_price]]</f>
        <v>0</v>
      </c>
      <c r="M2056" s="1">
        <v>45875</v>
      </c>
      <c r="N2056" s="1" t="str">
        <f>PROPER(TEXT(BBDD_fashion_boutique[[#This Row],[purchase_date]],"dddd"))</f>
        <v>Miércoles</v>
      </c>
      <c r="O2056" s="1" t="str">
        <f>PROPER(TEXT(BBDD_fashion_boutique[[#This Row],[purchase_date]],"mmmm"))</f>
        <v>Agosto</v>
      </c>
      <c r="P2056" s="4">
        <v>18</v>
      </c>
      <c r="R2056" t="str">
        <f>IF(BBDD_fashion_boutique[[#This Row],[stock_quantity]]&gt;9,"Ok",IF(BBDD_fashion_boutique[[#This Row],[stock_quantity]]=0,"Agotado","Pocas Unidades"))</f>
        <v>Ok</v>
      </c>
      <c r="S2056" s="3" t="str">
        <f>IF(BBDD_fashion_boutique[[#This Row],[customer_rating]]="","No valorado",BBDD_fashion_boutique[[#This Row],[customer_rating]])</f>
        <v>No valorado</v>
      </c>
      <c r="T2056" t="s">
        <v>24</v>
      </c>
      <c r="V2056">
        <f>IF(BBDD_fashion_boutique[[#This Row],[is_returned]]="False",0,1)</f>
        <v>0</v>
      </c>
      <c r="W2056">
        <f>IF(BBDD_fashion_boutique[[#This Row],[is_returned]]="True",0,BBDD_fashion_boutique[[#This Row],[current_price]])</f>
        <v>36.93</v>
      </c>
      <c r="X2056" t="str">
        <f>IF(BBDD_fashion_boutique[[#This Row],[return_reason]]="","No return",BBDD_fashion_boutique[[#This Row],[return_reason]])</f>
        <v>No return</v>
      </c>
      <c r="Y2056">
        <f>IF(IFERROR(VLOOKUP(BBDD_fashion_boutique[[#This Row],[product_id]],A2057:A4232,1,FALSE),0),1,0)</f>
        <v>0</v>
      </c>
    </row>
    <row r="2057" spans="1:25" x14ac:dyDescent="0.3">
      <c r="A2057" t="s">
        <v>2116</v>
      </c>
      <c r="B2057" t="s">
        <v>32</v>
      </c>
      <c r="C2057" t="s">
        <v>27</v>
      </c>
      <c r="D2057" t="s">
        <v>68</v>
      </c>
      <c r="F2057" t="str">
        <f>IF(BBDD_fashion_boutique[[#This Row],[category]]="Accessories","Accesorio",IF(BBDD_fashion_boutique[[#This Row],[size]]="","Desconocido",BBDD_fashion_boutique[[#This Row],[size]]))</f>
        <v>Accesorio</v>
      </c>
      <c r="G2057" t="s">
        <v>52</v>
      </c>
      <c r="H2057" s="2">
        <v>21.85</v>
      </c>
      <c r="I2057">
        <v>12</v>
      </c>
      <c r="J2057" s="5">
        <f>BBDD_fashion_boutique[[#This Row],[markdown_percentage]]/100</f>
        <v>0.12</v>
      </c>
      <c r="K2057" s="2">
        <v>19.23</v>
      </c>
      <c r="L2057" s="2">
        <f>BBDD_fashion_boutique[[#This Row],[original_price]]-BBDD_fashion_boutique[[#This Row],[current_price]]</f>
        <v>2.620000000000001</v>
      </c>
      <c r="M2057" s="1">
        <v>45875</v>
      </c>
      <c r="N2057" s="1" t="str">
        <f>PROPER(TEXT(BBDD_fashion_boutique[[#This Row],[purchase_date]],"dddd"))</f>
        <v>Miércoles</v>
      </c>
      <c r="O2057" s="1" t="str">
        <f>PROPER(TEXT(BBDD_fashion_boutique[[#This Row],[purchase_date]],"mmmm"))</f>
        <v>Agosto</v>
      </c>
      <c r="P2057" s="4">
        <v>18</v>
      </c>
      <c r="Q2057" s="2">
        <v>4.8</v>
      </c>
      <c r="R2057" t="str">
        <f>IF(BBDD_fashion_boutique[[#This Row],[stock_quantity]]&gt;9,"Ok",IF(BBDD_fashion_boutique[[#This Row],[stock_quantity]]=0,"Agotado","Pocas Unidades"))</f>
        <v>Ok</v>
      </c>
      <c r="S2057" s="3">
        <f>IF(BBDD_fashion_boutique[[#This Row],[customer_rating]]="","No valorado",BBDD_fashion_boutique[[#This Row],[customer_rating]])</f>
        <v>4.8</v>
      </c>
      <c r="T2057" t="s">
        <v>24</v>
      </c>
      <c r="V2057">
        <f>IF(BBDD_fashion_boutique[[#This Row],[is_returned]]="False",0,1)</f>
        <v>0</v>
      </c>
      <c r="W2057">
        <f>IF(BBDD_fashion_boutique[[#This Row],[is_returned]]="True",0,BBDD_fashion_boutique[[#This Row],[current_price]])</f>
        <v>19.23</v>
      </c>
      <c r="X2057" t="str">
        <f>IF(BBDD_fashion_boutique[[#This Row],[return_reason]]="","No return",BBDD_fashion_boutique[[#This Row],[return_reason]])</f>
        <v>No return</v>
      </c>
      <c r="Y2057">
        <f>IF(IFERROR(VLOOKUP(BBDD_fashion_boutique[[#This Row],[product_id]],A2058:A4233,1,FALSE),0),1,0)</f>
        <v>0</v>
      </c>
    </row>
    <row r="2058" spans="1:25" x14ac:dyDescent="0.3">
      <c r="A2058" t="s">
        <v>2117</v>
      </c>
      <c r="B2058" t="s">
        <v>35</v>
      </c>
      <c r="C2058" t="s">
        <v>37</v>
      </c>
      <c r="D2058" t="s">
        <v>28</v>
      </c>
      <c r="E2058" t="s">
        <v>45</v>
      </c>
      <c r="F2058" t="str">
        <f>IF(BBDD_fashion_boutique[[#This Row],[category]]="Accessories","Accesorio",IF(BBDD_fashion_boutique[[#This Row],[size]]="","Desconocido",BBDD_fashion_boutique[[#This Row],[size]]))</f>
        <v>S</v>
      </c>
      <c r="G2058" t="s">
        <v>76</v>
      </c>
      <c r="H2058" s="2">
        <v>174.65</v>
      </c>
      <c r="I2058">
        <v>43.8</v>
      </c>
      <c r="J2058" s="5">
        <f>BBDD_fashion_boutique[[#This Row],[markdown_percentage]]/100</f>
        <v>0.43799999999999994</v>
      </c>
      <c r="K2058" s="2">
        <v>98.15</v>
      </c>
      <c r="L2058" s="2">
        <f>BBDD_fashion_boutique[[#This Row],[original_price]]-BBDD_fashion_boutique[[#This Row],[current_price]]</f>
        <v>76.5</v>
      </c>
      <c r="M2058" s="1">
        <v>45875</v>
      </c>
      <c r="N2058" s="1" t="str">
        <f>PROPER(TEXT(BBDD_fashion_boutique[[#This Row],[purchase_date]],"dddd"))</f>
        <v>Miércoles</v>
      </c>
      <c r="O2058" s="1" t="str">
        <f>PROPER(TEXT(BBDD_fashion_boutique[[#This Row],[purchase_date]],"mmmm"))</f>
        <v>Agosto</v>
      </c>
      <c r="P2058" s="4">
        <v>28</v>
      </c>
      <c r="Q2058" s="2">
        <v>3.3</v>
      </c>
      <c r="R2058" t="str">
        <f>IF(BBDD_fashion_boutique[[#This Row],[stock_quantity]]&gt;9,"Ok",IF(BBDD_fashion_boutique[[#This Row],[stock_quantity]]=0,"Agotado","Pocas Unidades"))</f>
        <v>Ok</v>
      </c>
      <c r="S2058" s="3">
        <f>IF(BBDD_fashion_boutique[[#This Row],[customer_rating]]="","No valorado",BBDD_fashion_boutique[[#This Row],[customer_rating]])</f>
        <v>3.3</v>
      </c>
      <c r="T2058" t="s">
        <v>24</v>
      </c>
      <c r="V2058">
        <f>IF(BBDD_fashion_boutique[[#This Row],[is_returned]]="False",0,1)</f>
        <v>0</v>
      </c>
      <c r="W2058">
        <f>IF(BBDD_fashion_boutique[[#This Row],[is_returned]]="True",0,BBDD_fashion_boutique[[#This Row],[current_price]])</f>
        <v>98.15</v>
      </c>
      <c r="X2058" t="str">
        <f>IF(BBDD_fashion_boutique[[#This Row],[return_reason]]="","No return",BBDD_fashion_boutique[[#This Row],[return_reason]])</f>
        <v>No return</v>
      </c>
      <c r="Y2058">
        <f>IF(IFERROR(VLOOKUP(BBDD_fashion_boutique[[#This Row],[product_id]],A2059:A4234,1,FALSE),0),1,0)</f>
        <v>0</v>
      </c>
    </row>
    <row r="2059" spans="1:25" x14ac:dyDescent="0.3">
      <c r="A2059" t="s">
        <v>2118</v>
      </c>
      <c r="B2059" t="s">
        <v>32</v>
      </c>
      <c r="C2059" t="s">
        <v>49</v>
      </c>
      <c r="D2059" t="s">
        <v>21</v>
      </c>
      <c r="F2059" t="str">
        <f>IF(BBDD_fashion_boutique[[#This Row],[category]]="Accessories","Accesorio",IF(BBDD_fashion_boutique[[#This Row],[size]]="","Desconocido",BBDD_fashion_boutique[[#This Row],[size]]))</f>
        <v>Accesorio</v>
      </c>
      <c r="G2059" t="s">
        <v>30</v>
      </c>
      <c r="H2059" s="2">
        <v>19.96</v>
      </c>
      <c r="I2059">
        <v>0</v>
      </c>
      <c r="J2059" s="5">
        <f>BBDD_fashion_boutique[[#This Row],[markdown_percentage]]/100</f>
        <v>0</v>
      </c>
      <c r="K2059" s="2">
        <v>19.96</v>
      </c>
      <c r="L2059" s="2">
        <f>BBDD_fashion_boutique[[#This Row],[original_price]]-BBDD_fashion_boutique[[#This Row],[current_price]]</f>
        <v>0</v>
      </c>
      <c r="M2059" s="1">
        <v>45827</v>
      </c>
      <c r="N2059" s="1" t="str">
        <f>PROPER(TEXT(BBDD_fashion_boutique[[#This Row],[purchase_date]],"dddd"))</f>
        <v>Jueves</v>
      </c>
      <c r="O2059" s="1" t="str">
        <f>PROPER(TEXT(BBDD_fashion_boutique[[#This Row],[purchase_date]],"mmmm"))</f>
        <v>Junio</v>
      </c>
      <c r="P2059" s="4">
        <v>16</v>
      </c>
      <c r="Q2059" s="2">
        <v>1.4</v>
      </c>
      <c r="R2059" t="str">
        <f>IF(BBDD_fashion_boutique[[#This Row],[stock_quantity]]&gt;9,"Ok",IF(BBDD_fashion_boutique[[#This Row],[stock_quantity]]=0,"Agotado","Pocas Unidades"))</f>
        <v>Ok</v>
      </c>
      <c r="S2059" s="3">
        <f>IF(BBDD_fashion_boutique[[#This Row],[customer_rating]]="","No valorado",BBDD_fashion_boutique[[#This Row],[customer_rating]])</f>
        <v>1.4</v>
      </c>
      <c r="T2059" t="s">
        <v>24</v>
      </c>
      <c r="V2059">
        <f>IF(BBDD_fashion_boutique[[#This Row],[is_returned]]="False",0,1)</f>
        <v>0</v>
      </c>
      <c r="W2059">
        <f>IF(BBDD_fashion_boutique[[#This Row],[is_returned]]="True",0,BBDD_fashion_boutique[[#This Row],[current_price]])</f>
        <v>19.96</v>
      </c>
      <c r="X2059" t="str">
        <f>IF(BBDD_fashion_boutique[[#This Row],[return_reason]]="","No return",BBDD_fashion_boutique[[#This Row],[return_reason]])</f>
        <v>No return</v>
      </c>
      <c r="Y2059">
        <f>IF(IFERROR(VLOOKUP(BBDD_fashion_boutique[[#This Row],[product_id]],A2060:A4235,1,FALSE),0),1,0)</f>
        <v>0</v>
      </c>
    </row>
    <row r="2060" spans="1:25" x14ac:dyDescent="0.3">
      <c r="A2060" t="s">
        <v>2119</v>
      </c>
      <c r="B2060" t="s">
        <v>26</v>
      </c>
      <c r="C2060" t="s">
        <v>54</v>
      </c>
      <c r="D2060" t="s">
        <v>39</v>
      </c>
      <c r="E2060" t="s">
        <v>64</v>
      </c>
      <c r="F2060" t="str">
        <f>IF(BBDD_fashion_boutique[[#This Row],[category]]="Accessories","Accesorio",IF(BBDD_fashion_boutique[[#This Row],[size]]="","Desconocido",BBDD_fashion_boutique[[#This Row],[size]]))</f>
        <v>M</v>
      </c>
      <c r="G2060" t="s">
        <v>52</v>
      </c>
      <c r="H2060" s="2">
        <v>90.46</v>
      </c>
      <c r="I2060">
        <v>54.1</v>
      </c>
      <c r="J2060" s="5">
        <f>BBDD_fashion_boutique[[#This Row],[markdown_percentage]]/100</f>
        <v>0.54100000000000004</v>
      </c>
      <c r="K2060" s="2">
        <v>41.52</v>
      </c>
      <c r="L2060" s="2">
        <f>BBDD_fashion_boutique[[#This Row],[original_price]]-BBDD_fashion_boutique[[#This Row],[current_price]]</f>
        <v>48.939999999999991</v>
      </c>
      <c r="M2060" s="1">
        <v>45875</v>
      </c>
      <c r="N2060" s="1" t="str">
        <f>PROPER(TEXT(BBDD_fashion_boutique[[#This Row],[purchase_date]],"dddd"))</f>
        <v>Miércoles</v>
      </c>
      <c r="O2060" s="1" t="str">
        <f>PROPER(TEXT(BBDD_fashion_boutique[[#This Row],[purchase_date]],"mmmm"))</f>
        <v>Agosto</v>
      </c>
      <c r="P2060" s="4">
        <v>15</v>
      </c>
      <c r="Q2060" s="2">
        <v>2.5</v>
      </c>
      <c r="R2060" t="str">
        <f>IF(BBDD_fashion_boutique[[#This Row],[stock_quantity]]&gt;9,"Ok",IF(BBDD_fashion_boutique[[#This Row],[stock_quantity]]=0,"Agotado","Pocas Unidades"))</f>
        <v>Ok</v>
      </c>
      <c r="S2060" s="3">
        <f>IF(BBDD_fashion_boutique[[#This Row],[customer_rating]]="","No valorado",BBDD_fashion_boutique[[#This Row],[customer_rating]])</f>
        <v>2.5</v>
      </c>
      <c r="T2060" t="s">
        <v>24</v>
      </c>
      <c r="V2060">
        <f>IF(BBDD_fashion_boutique[[#This Row],[is_returned]]="False",0,1)</f>
        <v>0</v>
      </c>
      <c r="W2060">
        <f>IF(BBDD_fashion_boutique[[#This Row],[is_returned]]="True",0,BBDD_fashion_boutique[[#This Row],[current_price]])</f>
        <v>41.52</v>
      </c>
      <c r="X2060" t="str">
        <f>IF(BBDD_fashion_boutique[[#This Row],[return_reason]]="","No return",BBDD_fashion_boutique[[#This Row],[return_reason]])</f>
        <v>No return</v>
      </c>
      <c r="Y2060">
        <f>IF(IFERROR(VLOOKUP(BBDD_fashion_boutique[[#This Row],[product_id]],A2061:A4236,1,FALSE),0),1,0)</f>
        <v>0</v>
      </c>
    </row>
    <row r="2061" spans="1:25" x14ac:dyDescent="0.3">
      <c r="A2061" t="s">
        <v>2120</v>
      </c>
      <c r="B2061" t="s">
        <v>35</v>
      </c>
      <c r="C2061" t="s">
        <v>54</v>
      </c>
      <c r="D2061" t="s">
        <v>39</v>
      </c>
      <c r="E2061" t="s">
        <v>29</v>
      </c>
      <c r="F2061" t="str">
        <f>IF(BBDD_fashion_boutique[[#This Row],[category]]="Accessories","Accesorio",IF(BBDD_fashion_boutique[[#This Row],[size]]="","Desconocido",BBDD_fashion_boutique[[#This Row],[size]]))</f>
        <v>L</v>
      </c>
      <c r="G2061" t="s">
        <v>50</v>
      </c>
      <c r="H2061" s="2">
        <v>189.24</v>
      </c>
      <c r="I2061">
        <v>0</v>
      </c>
      <c r="J2061" s="5">
        <f>BBDD_fashion_boutique[[#This Row],[markdown_percentage]]/100</f>
        <v>0</v>
      </c>
      <c r="K2061" s="2">
        <v>189.24</v>
      </c>
      <c r="L2061" s="2">
        <f>BBDD_fashion_boutique[[#This Row],[original_price]]-BBDD_fashion_boutique[[#This Row],[current_price]]</f>
        <v>0</v>
      </c>
      <c r="M2061" s="1">
        <v>45875</v>
      </c>
      <c r="N2061" s="1" t="str">
        <f>PROPER(TEXT(BBDD_fashion_boutique[[#This Row],[purchase_date]],"dddd"))</f>
        <v>Miércoles</v>
      </c>
      <c r="O2061" s="1" t="str">
        <f>PROPER(TEXT(BBDD_fashion_boutique[[#This Row],[purchase_date]],"mmmm"))</f>
        <v>Agosto</v>
      </c>
      <c r="P2061" s="4">
        <v>25</v>
      </c>
      <c r="Q2061" s="2">
        <v>3.6</v>
      </c>
      <c r="R2061" t="str">
        <f>IF(BBDD_fashion_boutique[[#This Row],[stock_quantity]]&gt;9,"Ok",IF(BBDD_fashion_boutique[[#This Row],[stock_quantity]]=0,"Agotado","Pocas Unidades"))</f>
        <v>Ok</v>
      </c>
      <c r="S2061" s="3">
        <f>IF(BBDD_fashion_boutique[[#This Row],[customer_rating]]="","No valorado",BBDD_fashion_boutique[[#This Row],[customer_rating]])</f>
        <v>3.6</v>
      </c>
      <c r="T2061" t="s">
        <v>41</v>
      </c>
      <c r="U2061" t="s">
        <v>42</v>
      </c>
      <c r="V2061">
        <f>IF(BBDD_fashion_boutique[[#This Row],[is_returned]]="False",0,1)</f>
        <v>1</v>
      </c>
      <c r="W2061">
        <f>IF(BBDD_fashion_boutique[[#This Row],[is_returned]]="True",0,BBDD_fashion_boutique[[#This Row],[current_price]])</f>
        <v>0</v>
      </c>
      <c r="X2061" t="str">
        <f>IF(BBDD_fashion_boutique[[#This Row],[return_reason]]="","No return",BBDD_fashion_boutique[[#This Row],[return_reason]])</f>
        <v>Color Mismatch</v>
      </c>
      <c r="Y2061">
        <f>IF(IFERROR(VLOOKUP(BBDD_fashion_boutique[[#This Row],[product_id]],A2062:A4237,1,FALSE),0),1,0)</f>
        <v>0</v>
      </c>
    </row>
    <row r="2062" spans="1:25" x14ac:dyDescent="0.3">
      <c r="A2062" t="s">
        <v>2121</v>
      </c>
      <c r="B2062" t="s">
        <v>19</v>
      </c>
      <c r="C2062" t="s">
        <v>37</v>
      </c>
      <c r="D2062" t="s">
        <v>68</v>
      </c>
      <c r="E2062" t="s">
        <v>55</v>
      </c>
      <c r="F2062" t="str">
        <f>IF(BBDD_fashion_boutique[[#This Row],[category]]="Accessories","Accesorio",IF(BBDD_fashion_boutique[[#This Row],[size]]="","Desconocido",BBDD_fashion_boutique[[#This Row],[size]]))</f>
        <v>XXL</v>
      </c>
      <c r="G2062" t="s">
        <v>33</v>
      </c>
      <c r="H2062" s="2">
        <v>231.24</v>
      </c>
      <c r="I2062">
        <v>44.6</v>
      </c>
      <c r="J2062" s="5">
        <f>BBDD_fashion_boutique[[#This Row],[markdown_percentage]]/100</f>
        <v>0.44600000000000001</v>
      </c>
      <c r="K2062" s="2">
        <v>128.11000000000001</v>
      </c>
      <c r="L2062" s="2">
        <f>BBDD_fashion_boutique[[#This Row],[original_price]]-BBDD_fashion_boutique[[#This Row],[current_price]]</f>
        <v>103.13</v>
      </c>
      <c r="M2062" s="1">
        <v>45875</v>
      </c>
      <c r="N2062" s="1" t="str">
        <f>PROPER(TEXT(BBDD_fashion_boutique[[#This Row],[purchase_date]],"dddd"))</f>
        <v>Miércoles</v>
      </c>
      <c r="O2062" s="1" t="str">
        <f>PROPER(TEXT(BBDD_fashion_boutique[[#This Row],[purchase_date]],"mmmm"))</f>
        <v>Agosto</v>
      </c>
      <c r="P2062" s="4">
        <v>15</v>
      </c>
      <c r="Q2062" s="2">
        <v>3.7</v>
      </c>
      <c r="R2062" t="str">
        <f>IF(BBDD_fashion_boutique[[#This Row],[stock_quantity]]&gt;9,"Ok",IF(BBDD_fashion_boutique[[#This Row],[stock_quantity]]=0,"Agotado","Pocas Unidades"))</f>
        <v>Ok</v>
      </c>
      <c r="S2062" s="3">
        <f>IF(BBDD_fashion_boutique[[#This Row],[customer_rating]]="","No valorado",BBDD_fashion_boutique[[#This Row],[customer_rating]])</f>
        <v>3.7</v>
      </c>
      <c r="T2062" t="s">
        <v>24</v>
      </c>
      <c r="V2062">
        <f>IF(BBDD_fashion_boutique[[#This Row],[is_returned]]="False",0,1)</f>
        <v>0</v>
      </c>
      <c r="W2062">
        <f>IF(BBDD_fashion_boutique[[#This Row],[is_returned]]="True",0,BBDD_fashion_boutique[[#This Row],[current_price]])</f>
        <v>128.11000000000001</v>
      </c>
      <c r="X2062" t="str">
        <f>IF(BBDD_fashion_boutique[[#This Row],[return_reason]]="","No return",BBDD_fashion_boutique[[#This Row],[return_reason]])</f>
        <v>No return</v>
      </c>
      <c r="Y2062">
        <f>IF(IFERROR(VLOOKUP(BBDD_fashion_boutique[[#This Row],[product_id]],A2063:A4238,1,FALSE),0),1,0)</f>
        <v>0</v>
      </c>
    </row>
    <row r="2063" spans="1:25" x14ac:dyDescent="0.3">
      <c r="A2063" t="s">
        <v>2122</v>
      </c>
      <c r="B2063" t="s">
        <v>32</v>
      </c>
      <c r="C2063" t="s">
        <v>49</v>
      </c>
      <c r="D2063" t="s">
        <v>39</v>
      </c>
      <c r="F2063" t="str">
        <f>IF(BBDD_fashion_boutique[[#This Row],[category]]="Accessories","Accesorio",IF(BBDD_fashion_boutique[[#This Row],[size]]="","Desconocido",BBDD_fashion_boutique[[#This Row],[size]]))</f>
        <v>Accesorio</v>
      </c>
      <c r="G2063" t="s">
        <v>62</v>
      </c>
      <c r="H2063" s="2">
        <v>66.48</v>
      </c>
      <c r="I2063">
        <v>0</v>
      </c>
      <c r="J2063" s="5">
        <f>BBDD_fashion_boutique[[#This Row],[markdown_percentage]]/100</f>
        <v>0</v>
      </c>
      <c r="K2063" s="2">
        <v>66.48</v>
      </c>
      <c r="L2063" s="2">
        <f>BBDD_fashion_boutique[[#This Row],[original_price]]-BBDD_fashion_boutique[[#This Row],[current_price]]</f>
        <v>0</v>
      </c>
      <c r="M2063" s="1">
        <v>45875</v>
      </c>
      <c r="N2063" s="1" t="str">
        <f>PROPER(TEXT(BBDD_fashion_boutique[[#This Row],[purchase_date]],"dddd"))</f>
        <v>Miércoles</v>
      </c>
      <c r="O2063" s="1" t="str">
        <f>PROPER(TEXT(BBDD_fashion_boutique[[#This Row],[purchase_date]],"mmmm"))</f>
        <v>Agosto</v>
      </c>
      <c r="P2063" s="4">
        <v>38</v>
      </c>
      <c r="Q2063" s="2">
        <v>1.4</v>
      </c>
      <c r="R2063" t="str">
        <f>IF(BBDD_fashion_boutique[[#This Row],[stock_quantity]]&gt;9,"Ok",IF(BBDD_fashion_boutique[[#This Row],[stock_quantity]]=0,"Agotado","Pocas Unidades"))</f>
        <v>Ok</v>
      </c>
      <c r="S2063" s="3">
        <f>IF(BBDD_fashion_boutique[[#This Row],[customer_rating]]="","No valorado",BBDD_fashion_boutique[[#This Row],[customer_rating]])</f>
        <v>1.4</v>
      </c>
      <c r="T2063" t="s">
        <v>24</v>
      </c>
      <c r="V2063">
        <f>IF(BBDD_fashion_boutique[[#This Row],[is_returned]]="False",0,1)</f>
        <v>0</v>
      </c>
      <c r="W2063">
        <f>IF(BBDD_fashion_boutique[[#This Row],[is_returned]]="True",0,BBDD_fashion_boutique[[#This Row],[current_price]])</f>
        <v>66.48</v>
      </c>
      <c r="X2063" t="str">
        <f>IF(BBDD_fashion_boutique[[#This Row],[return_reason]]="","No return",BBDD_fashion_boutique[[#This Row],[return_reason]])</f>
        <v>No return</v>
      </c>
      <c r="Y2063">
        <f>IF(IFERROR(VLOOKUP(BBDD_fashion_boutique[[#This Row],[product_id]],A2064:A4239,1,FALSE),0),1,0)</f>
        <v>0</v>
      </c>
    </row>
    <row r="2064" spans="1:25" x14ac:dyDescent="0.3">
      <c r="A2064" t="s">
        <v>2123</v>
      </c>
      <c r="B2064" t="s">
        <v>32</v>
      </c>
      <c r="C2064" t="s">
        <v>54</v>
      </c>
      <c r="D2064" t="s">
        <v>39</v>
      </c>
      <c r="F2064" t="str">
        <f>IF(BBDD_fashion_boutique[[#This Row],[category]]="Accessories","Accesorio",IF(BBDD_fashion_boutique[[#This Row],[size]]="","Desconocido",BBDD_fashion_boutique[[#This Row],[size]]))</f>
        <v>Accesorio</v>
      </c>
      <c r="G2064" t="s">
        <v>62</v>
      </c>
      <c r="H2064" s="2">
        <v>37.270000000000003</v>
      </c>
      <c r="I2064">
        <v>0</v>
      </c>
      <c r="J2064" s="5">
        <f>BBDD_fashion_boutique[[#This Row],[markdown_percentage]]/100</f>
        <v>0</v>
      </c>
      <c r="K2064" s="2">
        <v>37.270000000000003</v>
      </c>
      <c r="L2064" s="2">
        <f>BBDD_fashion_boutique[[#This Row],[original_price]]-BBDD_fashion_boutique[[#This Row],[current_price]]</f>
        <v>0</v>
      </c>
      <c r="M2064" s="1">
        <v>45875</v>
      </c>
      <c r="N2064" s="1" t="str">
        <f>PROPER(TEXT(BBDD_fashion_boutique[[#This Row],[purchase_date]],"dddd"))</f>
        <v>Miércoles</v>
      </c>
      <c r="O2064" s="1" t="str">
        <f>PROPER(TEXT(BBDD_fashion_boutique[[#This Row],[purchase_date]],"mmmm"))</f>
        <v>Agosto</v>
      </c>
      <c r="P2064" s="4">
        <v>15</v>
      </c>
      <c r="Q2064" s="2">
        <v>3.8</v>
      </c>
      <c r="R2064" t="str">
        <f>IF(BBDD_fashion_boutique[[#This Row],[stock_quantity]]&gt;9,"Ok",IF(BBDD_fashion_boutique[[#This Row],[stock_quantity]]=0,"Agotado","Pocas Unidades"))</f>
        <v>Ok</v>
      </c>
      <c r="S2064" s="3">
        <f>IF(BBDD_fashion_boutique[[#This Row],[customer_rating]]="","No valorado",BBDD_fashion_boutique[[#This Row],[customer_rating]])</f>
        <v>3.8</v>
      </c>
      <c r="T2064" t="s">
        <v>24</v>
      </c>
      <c r="V2064">
        <f>IF(BBDD_fashion_boutique[[#This Row],[is_returned]]="False",0,1)</f>
        <v>0</v>
      </c>
      <c r="W2064">
        <f>IF(BBDD_fashion_boutique[[#This Row],[is_returned]]="True",0,BBDD_fashion_boutique[[#This Row],[current_price]])</f>
        <v>37.270000000000003</v>
      </c>
      <c r="X2064" t="str">
        <f>IF(BBDD_fashion_boutique[[#This Row],[return_reason]]="","No return",BBDD_fashion_boutique[[#This Row],[return_reason]])</f>
        <v>No return</v>
      </c>
      <c r="Y2064">
        <f>IF(IFERROR(VLOOKUP(BBDD_fashion_boutique[[#This Row],[product_id]],A2065:A4240,1,FALSE),0),1,0)</f>
        <v>0</v>
      </c>
    </row>
    <row r="2065" spans="1:25" x14ac:dyDescent="0.3">
      <c r="A2065" t="s">
        <v>2124</v>
      </c>
      <c r="B2065" t="s">
        <v>35</v>
      </c>
      <c r="C2065" t="s">
        <v>27</v>
      </c>
      <c r="D2065" t="s">
        <v>21</v>
      </c>
      <c r="E2065" t="s">
        <v>29</v>
      </c>
      <c r="F2065" t="str">
        <f>IF(BBDD_fashion_boutique[[#This Row],[category]]="Accessories","Accesorio",IF(BBDD_fashion_boutique[[#This Row],[size]]="","Desconocido",BBDD_fashion_boutique[[#This Row],[size]]))</f>
        <v>L</v>
      </c>
      <c r="G2065" t="s">
        <v>76</v>
      </c>
      <c r="H2065" s="2">
        <v>178.05</v>
      </c>
      <c r="I2065">
        <v>0</v>
      </c>
      <c r="J2065" s="5">
        <f>BBDD_fashion_boutique[[#This Row],[markdown_percentage]]/100</f>
        <v>0</v>
      </c>
      <c r="K2065" s="2">
        <v>178.05</v>
      </c>
      <c r="L2065" s="2">
        <f>BBDD_fashion_boutique[[#This Row],[original_price]]-BBDD_fashion_boutique[[#This Row],[current_price]]</f>
        <v>0</v>
      </c>
      <c r="M2065" s="1">
        <v>45724</v>
      </c>
      <c r="N2065" s="1" t="str">
        <f>PROPER(TEXT(BBDD_fashion_boutique[[#This Row],[purchase_date]],"dddd"))</f>
        <v>Sábado</v>
      </c>
      <c r="O2065" s="1" t="str">
        <f>PROPER(TEXT(BBDD_fashion_boutique[[#This Row],[purchase_date]],"mmmm"))</f>
        <v>Marzo</v>
      </c>
      <c r="P2065" s="4">
        <v>24</v>
      </c>
      <c r="R2065" t="str">
        <f>IF(BBDD_fashion_boutique[[#This Row],[stock_quantity]]&gt;9,"Ok",IF(BBDD_fashion_boutique[[#This Row],[stock_quantity]]=0,"Agotado","Pocas Unidades"))</f>
        <v>Ok</v>
      </c>
      <c r="S2065" s="3" t="str">
        <f>IF(BBDD_fashion_boutique[[#This Row],[customer_rating]]="","No valorado",BBDD_fashion_boutique[[#This Row],[customer_rating]])</f>
        <v>No valorado</v>
      </c>
      <c r="T2065" t="s">
        <v>24</v>
      </c>
      <c r="V2065">
        <f>IF(BBDD_fashion_boutique[[#This Row],[is_returned]]="False",0,1)</f>
        <v>0</v>
      </c>
      <c r="W2065">
        <f>IF(BBDD_fashion_boutique[[#This Row],[is_returned]]="True",0,BBDD_fashion_boutique[[#This Row],[current_price]])</f>
        <v>178.05</v>
      </c>
      <c r="X2065" t="str">
        <f>IF(BBDD_fashion_boutique[[#This Row],[return_reason]]="","No return",BBDD_fashion_boutique[[#This Row],[return_reason]])</f>
        <v>No return</v>
      </c>
      <c r="Y2065">
        <f>IF(IFERROR(VLOOKUP(BBDD_fashion_boutique[[#This Row],[product_id]],A2066:A4241,1,FALSE),0),1,0)</f>
        <v>0</v>
      </c>
    </row>
    <row r="2066" spans="1:25" x14ac:dyDescent="0.3">
      <c r="A2066" t="s">
        <v>2125</v>
      </c>
      <c r="B2066" t="s">
        <v>26</v>
      </c>
      <c r="C2066" t="s">
        <v>81</v>
      </c>
      <c r="D2066" t="s">
        <v>21</v>
      </c>
      <c r="E2066" t="s">
        <v>61</v>
      </c>
      <c r="F2066" t="str">
        <f>IF(BBDD_fashion_boutique[[#This Row],[category]]="Accessories","Accesorio",IF(BBDD_fashion_boutique[[#This Row],[size]]="","Desconocido",BBDD_fashion_boutique[[#This Row],[size]]))</f>
        <v>XS</v>
      </c>
      <c r="G2066" t="s">
        <v>30</v>
      </c>
      <c r="H2066" s="2">
        <v>73.760000000000005</v>
      </c>
      <c r="I2066">
        <v>0</v>
      </c>
      <c r="J2066" s="5">
        <f>BBDD_fashion_boutique[[#This Row],[markdown_percentage]]/100</f>
        <v>0</v>
      </c>
      <c r="K2066" s="2">
        <v>73.760000000000005</v>
      </c>
      <c r="L2066" s="2">
        <f>BBDD_fashion_boutique[[#This Row],[original_price]]-BBDD_fashion_boutique[[#This Row],[current_price]]</f>
        <v>0</v>
      </c>
      <c r="M2066" s="1">
        <v>45523</v>
      </c>
      <c r="N2066" s="1" t="str">
        <f>PROPER(TEXT(BBDD_fashion_boutique[[#This Row],[purchase_date]],"dddd"))</f>
        <v>Lunes</v>
      </c>
      <c r="O2066" s="1" t="str">
        <f>PROPER(TEXT(BBDD_fashion_boutique[[#This Row],[purchase_date]],"mmmm"))</f>
        <v>Agosto</v>
      </c>
      <c r="P2066" s="4">
        <v>25</v>
      </c>
      <c r="Q2066" s="2">
        <v>1.3</v>
      </c>
      <c r="R2066" t="str">
        <f>IF(BBDD_fashion_boutique[[#This Row],[stock_quantity]]&gt;9,"Ok",IF(BBDD_fashion_boutique[[#This Row],[stock_quantity]]=0,"Agotado","Pocas Unidades"))</f>
        <v>Ok</v>
      </c>
      <c r="S2066" s="3">
        <f>IF(BBDD_fashion_boutique[[#This Row],[customer_rating]]="","No valorado",BBDD_fashion_boutique[[#This Row],[customer_rating]])</f>
        <v>1.3</v>
      </c>
      <c r="T2066" t="s">
        <v>24</v>
      </c>
      <c r="V2066">
        <f>IF(BBDD_fashion_boutique[[#This Row],[is_returned]]="False",0,1)</f>
        <v>0</v>
      </c>
      <c r="W2066">
        <f>IF(BBDD_fashion_boutique[[#This Row],[is_returned]]="True",0,BBDD_fashion_boutique[[#This Row],[current_price]])</f>
        <v>73.760000000000005</v>
      </c>
      <c r="X2066" t="str">
        <f>IF(BBDD_fashion_boutique[[#This Row],[return_reason]]="","No return",BBDD_fashion_boutique[[#This Row],[return_reason]])</f>
        <v>No return</v>
      </c>
      <c r="Y2066">
        <f>IF(IFERROR(VLOOKUP(BBDD_fashion_boutique[[#This Row],[product_id]],A2067:A4242,1,FALSE),0),1,0)</f>
        <v>0</v>
      </c>
    </row>
    <row r="2067" spans="1:25" x14ac:dyDescent="0.3">
      <c r="A2067" t="s">
        <v>2126</v>
      </c>
      <c r="B2067" t="s">
        <v>44</v>
      </c>
      <c r="C2067" t="s">
        <v>20</v>
      </c>
      <c r="D2067" t="s">
        <v>28</v>
      </c>
      <c r="E2067" t="s">
        <v>22</v>
      </c>
      <c r="F2067" t="str">
        <f>IF(BBDD_fashion_boutique[[#This Row],[category]]="Accessories","Accesorio",IF(BBDD_fashion_boutique[[#This Row],[size]]="","Desconocido",BBDD_fashion_boutique[[#This Row],[size]]))</f>
        <v>XL</v>
      </c>
      <c r="G2067" t="s">
        <v>30</v>
      </c>
      <c r="H2067" s="2">
        <v>36.229999999999997</v>
      </c>
      <c r="I2067">
        <v>0</v>
      </c>
      <c r="J2067" s="5">
        <f>BBDD_fashion_boutique[[#This Row],[markdown_percentage]]/100</f>
        <v>0</v>
      </c>
      <c r="K2067" s="2">
        <v>36.229999999999997</v>
      </c>
      <c r="L2067" s="2">
        <f>BBDD_fashion_boutique[[#This Row],[original_price]]-BBDD_fashion_boutique[[#This Row],[current_price]]</f>
        <v>0</v>
      </c>
      <c r="M2067" s="1">
        <v>45875</v>
      </c>
      <c r="N2067" s="1" t="str">
        <f>PROPER(TEXT(BBDD_fashion_boutique[[#This Row],[purchase_date]],"dddd"))</f>
        <v>Miércoles</v>
      </c>
      <c r="O2067" s="1" t="str">
        <f>PROPER(TEXT(BBDD_fashion_boutique[[#This Row],[purchase_date]],"mmmm"))</f>
        <v>Agosto</v>
      </c>
      <c r="P2067" s="4">
        <v>49</v>
      </c>
      <c r="R2067" t="str">
        <f>IF(BBDD_fashion_boutique[[#This Row],[stock_quantity]]&gt;9,"Ok",IF(BBDD_fashion_boutique[[#This Row],[stock_quantity]]=0,"Agotado","Pocas Unidades"))</f>
        <v>Ok</v>
      </c>
      <c r="S2067" s="3" t="str">
        <f>IF(BBDD_fashion_boutique[[#This Row],[customer_rating]]="","No valorado",BBDD_fashion_boutique[[#This Row],[customer_rating]])</f>
        <v>No valorado</v>
      </c>
      <c r="T2067" t="s">
        <v>24</v>
      </c>
      <c r="V2067">
        <f>IF(BBDD_fashion_boutique[[#This Row],[is_returned]]="False",0,1)</f>
        <v>0</v>
      </c>
      <c r="W2067">
        <f>IF(BBDD_fashion_boutique[[#This Row],[is_returned]]="True",0,BBDD_fashion_boutique[[#This Row],[current_price]])</f>
        <v>36.229999999999997</v>
      </c>
      <c r="X2067" t="str">
        <f>IF(BBDD_fashion_boutique[[#This Row],[return_reason]]="","No return",BBDD_fashion_boutique[[#This Row],[return_reason]])</f>
        <v>No return</v>
      </c>
      <c r="Y2067">
        <f>IF(IFERROR(VLOOKUP(BBDD_fashion_boutique[[#This Row],[product_id]],A2068:A4243,1,FALSE),0),1,0)</f>
        <v>0</v>
      </c>
    </row>
    <row r="2068" spans="1:25" x14ac:dyDescent="0.3">
      <c r="A2068" t="s">
        <v>2127</v>
      </c>
      <c r="B2068" t="s">
        <v>44</v>
      </c>
      <c r="C2068" t="s">
        <v>54</v>
      </c>
      <c r="D2068" t="s">
        <v>21</v>
      </c>
      <c r="E2068" t="s">
        <v>45</v>
      </c>
      <c r="F2068" t="str">
        <f>IF(BBDD_fashion_boutique[[#This Row],[category]]="Accessories","Accesorio",IF(BBDD_fashion_boutique[[#This Row],[size]]="","Desconocido",BBDD_fashion_boutique[[#This Row],[size]]))</f>
        <v>S</v>
      </c>
      <c r="G2068" t="s">
        <v>72</v>
      </c>
      <c r="H2068" s="2">
        <v>48.89</v>
      </c>
      <c r="I2068">
        <v>0</v>
      </c>
      <c r="J2068" s="5">
        <f>BBDD_fashion_boutique[[#This Row],[markdown_percentage]]/100</f>
        <v>0</v>
      </c>
      <c r="K2068" s="2">
        <v>48.89</v>
      </c>
      <c r="L2068" s="2">
        <f>BBDD_fashion_boutique[[#This Row],[original_price]]-BBDD_fashion_boutique[[#This Row],[current_price]]</f>
        <v>0</v>
      </c>
      <c r="M2068" s="1">
        <v>45636</v>
      </c>
      <c r="N2068" s="1" t="str">
        <f>PROPER(TEXT(BBDD_fashion_boutique[[#This Row],[purchase_date]],"dddd"))</f>
        <v>Martes</v>
      </c>
      <c r="O2068" s="1" t="str">
        <f>PROPER(TEXT(BBDD_fashion_boutique[[#This Row],[purchase_date]],"mmmm"))</f>
        <v>Diciembre</v>
      </c>
      <c r="P2068" s="4">
        <v>9</v>
      </c>
      <c r="Q2068" s="2">
        <v>3.1</v>
      </c>
      <c r="R2068" t="str">
        <f>IF(BBDD_fashion_boutique[[#This Row],[stock_quantity]]&gt;9,"Ok",IF(BBDD_fashion_boutique[[#This Row],[stock_quantity]]=0,"Agotado","Pocas Unidades"))</f>
        <v>Pocas Unidades</v>
      </c>
      <c r="S2068" s="3">
        <f>IF(BBDD_fashion_boutique[[#This Row],[customer_rating]]="","No valorado",BBDD_fashion_boutique[[#This Row],[customer_rating]])</f>
        <v>3.1</v>
      </c>
      <c r="T2068" t="s">
        <v>24</v>
      </c>
      <c r="V2068">
        <f>IF(BBDD_fashion_boutique[[#This Row],[is_returned]]="False",0,1)</f>
        <v>0</v>
      </c>
      <c r="W2068">
        <f>IF(BBDD_fashion_boutique[[#This Row],[is_returned]]="True",0,BBDD_fashion_boutique[[#This Row],[current_price]])</f>
        <v>48.89</v>
      </c>
      <c r="X2068" t="str">
        <f>IF(BBDD_fashion_boutique[[#This Row],[return_reason]]="","No return",BBDD_fashion_boutique[[#This Row],[return_reason]])</f>
        <v>No return</v>
      </c>
      <c r="Y2068">
        <f>IF(IFERROR(VLOOKUP(BBDD_fashion_boutique[[#This Row],[product_id]],A2069:A4244,1,FALSE),0),1,0)</f>
        <v>0</v>
      </c>
    </row>
    <row r="2069" spans="1:25" x14ac:dyDescent="0.3">
      <c r="A2069" t="s">
        <v>2128</v>
      </c>
      <c r="B2069" t="s">
        <v>26</v>
      </c>
      <c r="C2069" t="s">
        <v>54</v>
      </c>
      <c r="D2069" t="s">
        <v>28</v>
      </c>
      <c r="E2069" t="s">
        <v>22</v>
      </c>
      <c r="F2069" t="str">
        <f>IF(BBDD_fashion_boutique[[#This Row],[category]]="Accessories","Accesorio",IF(BBDD_fashion_boutique[[#This Row],[size]]="","Desconocido",BBDD_fashion_boutique[[#This Row],[size]]))</f>
        <v>XL</v>
      </c>
      <c r="G2069" t="s">
        <v>30</v>
      </c>
      <c r="H2069" s="2">
        <v>94.15</v>
      </c>
      <c r="I2069">
        <v>31</v>
      </c>
      <c r="J2069" s="5">
        <f>BBDD_fashion_boutique[[#This Row],[markdown_percentage]]/100</f>
        <v>0.31</v>
      </c>
      <c r="K2069" s="2">
        <v>64.959999999999994</v>
      </c>
      <c r="L2069" s="2">
        <f>BBDD_fashion_boutique[[#This Row],[original_price]]-BBDD_fashion_boutique[[#This Row],[current_price]]</f>
        <v>29.190000000000012</v>
      </c>
      <c r="M2069" s="1">
        <v>45875</v>
      </c>
      <c r="N2069" s="1" t="str">
        <f>PROPER(TEXT(BBDD_fashion_boutique[[#This Row],[purchase_date]],"dddd"))</f>
        <v>Miércoles</v>
      </c>
      <c r="O2069" s="1" t="str">
        <f>PROPER(TEXT(BBDD_fashion_boutique[[#This Row],[purchase_date]],"mmmm"))</f>
        <v>Agosto</v>
      </c>
      <c r="P2069" s="4">
        <v>25</v>
      </c>
      <c r="R2069" t="str">
        <f>IF(BBDD_fashion_boutique[[#This Row],[stock_quantity]]&gt;9,"Ok",IF(BBDD_fashion_boutique[[#This Row],[stock_quantity]]=0,"Agotado","Pocas Unidades"))</f>
        <v>Ok</v>
      </c>
      <c r="S2069" s="3" t="str">
        <f>IF(BBDD_fashion_boutique[[#This Row],[customer_rating]]="","No valorado",BBDD_fashion_boutique[[#This Row],[customer_rating]])</f>
        <v>No valorado</v>
      </c>
      <c r="T2069" t="s">
        <v>24</v>
      </c>
      <c r="V2069">
        <f>IF(BBDD_fashion_boutique[[#This Row],[is_returned]]="False",0,1)</f>
        <v>0</v>
      </c>
      <c r="W2069">
        <f>IF(BBDD_fashion_boutique[[#This Row],[is_returned]]="True",0,BBDD_fashion_boutique[[#This Row],[current_price]])</f>
        <v>64.959999999999994</v>
      </c>
      <c r="X2069" t="str">
        <f>IF(BBDD_fashion_boutique[[#This Row],[return_reason]]="","No return",BBDD_fashion_boutique[[#This Row],[return_reason]])</f>
        <v>No return</v>
      </c>
      <c r="Y2069">
        <f>IF(IFERROR(VLOOKUP(BBDD_fashion_boutique[[#This Row],[product_id]],A2070:A4245,1,FALSE),0),1,0)</f>
        <v>0</v>
      </c>
    </row>
    <row r="2070" spans="1:25" x14ac:dyDescent="0.3">
      <c r="A2070" t="s">
        <v>2129</v>
      </c>
      <c r="B2070" t="s">
        <v>32</v>
      </c>
      <c r="C2070" t="s">
        <v>81</v>
      </c>
      <c r="D2070" t="s">
        <v>68</v>
      </c>
      <c r="F2070" t="str">
        <f>IF(BBDD_fashion_boutique[[#This Row],[category]]="Accessories","Accesorio",IF(BBDD_fashion_boutique[[#This Row],[size]]="","Desconocido",BBDD_fashion_boutique[[#This Row],[size]]))</f>
        <v>Accesorio</v>
      </c>
      <c r="G2070" t="s">
        <v>76</v>
      </c>
      <c r="H2070" s="2">
        <v>27.7</v>
      </c>
      <c r="I2070">
        <v>0</v>
      </c>
      <c r="J2070" s="5">
        <f>BBDD_fashion_boutique[[#This Row],[markdown_percentage]]/100</f>
        <v>0</v>
      </c>
      <c r="K2070" s="2">
        <v>27.7</v>
      </c>
      <c r="L2070" s="2">
        <f>BBDD_fashion_boutique[[#This Row],[original_price]]-BBDD_fashion_boutique[[#This Row],[current_price]]</f>
        <v>0</v>
      </c>
      <c r="M2070" s="1">
        <v>45875</v>
      </c>
      <c r="N2070" s="1" t="str">
        <f>PROPER(TEXT(BBDD_fashion_boutique[[#This Row],[purchase_date]],"dddd"))</f>
        <v>Miércoles</v>
      </c>
      <c r="O2070" s="1" t="str">
        <f>PROPER(TEXT(BBDD_fashion_boutique[[#This Row],[purchase_date]],"mmmm"))</f>
        <v>Agosto</v>
      </c>
      <c r="P2070" s="4">
        <v>27</v>
      </c>
      <c r="Q2070" s="2">
        <v>4.8</v>
      </c>
      <c r="R2070" t="str">
        <f>IF(BBDD_fashion_boutique[[#This Row],[stock_quantity]]&gt;9,"Ok",IF(BBDD_fashion_boutique[[#This Row],[stock_quantity]]=0,"Agotado","Pocas Unidades"))</f>
        <v>Ok</v>
      </c>
      <c r="S2070" s="3">
        <f>IF(BBDD_fashion_boutique[[#This Row],[customer_rating]]="","No valorado",BBDD_fashion_boutique[[#This Row],[customer_rating]])</f>
        <v>4.8</v>
      </c>
      <c r="T2070" t="s">
        <v>24</v>
      </c>
      <c r="V2070">
        <f>IF(BBDD_fashion_boutique[[#This Row],[is_returned]]="False",0,1)</f>
        <v>0</v>
      </c>
      <c r="W2070">
        <f>IF(BBDD_fashion_boutique[[#This Row],[is_returned]]="True",0,BBDD_fashion_boutique[[#This Row],[current_price]])</f>
        <v>27.7</v>
      </c>
      <c r="X2070" t="str">
        <f>IF(BBDD_fashion_boutique[[#This Row],[return_reason]]="","No return",BBDD_fashion_boutique[[#This Row],[return_reason]])</f>
        <v>No return</v>
      </c>
      <c r="Y2070">
        <f>IF(IFERROR(VLOOKUP(BBDD_fashion_boutique[[#This Row],[product_id]],A2071:A4246,1,FALSE),0),1,0)</f>
        <v>0</v>
      </c>
    </row>
    <row r="2071" spans="1:25" x14ac:dyDescent="0.3">
      <c r="A2071" t="s">
        <v>2130</v>
      </c>
      <c r="B2071" t="s">
        <v>35</v>
      </c>
      <c r="C2071" t="s">
        <v>54</v>
      </c>
      <c r="D2071" t="s">
        <v>21</v>
      </c>
      <c r="E2071" t="s">
        <v>55</v>
      </c>
      <c r="F2071" t="str">
        <f>IF(BBDD_fashion_boutique[[#This Row],[category]]="Accessories","Accesorio",IF(BBDD_fashion_boutique[[#This Row],[size]]="","Desconocido",BBDD_fashion_boutique[[#This Row],[size]]))</f>
        <v>XXL</v>
      </c>
      <c r="G2071" t="s">
        <v>46</v>
      </c>
      <c r="H2071" s="2">
        <v>122.55</v>
      </c>
      <c r="I2071">
        <v>11.2</v>
      </c>
      <c r="J2071" s="5">
        <f>BBDD_fashion_boutique[[#This Row],[markdown_percentage]]/100</f>
        <v>0.11199999999999999</v>
      </c>
      <c r="K2071" s="2">
        <v>108.82</v>
      </c>
      <c r="L2071" s="2">
        <f>BBDD_fashion_boutique[[#This Row],[original_price]]-BBDD_fashion_boutique[[#This Row],[current_price]]</f>
        <v>13.730000000000004</v>
      </c>
      <c r="M2071" s="1">
        <v>45567</v>
      </c>
      <c r="N2071" s="1" t="str">
        <f>PROPER(TEXT(BBDD_fashion_boutique[[#This Row],[purchase_date]],"dddd"))</f>
        <v>Miércoles</v>
      </c>
      <c r="O2071" s="1" t="str">
        <f>PROPER(TEXT(BBDD_fashion_boutique[[#This Row],[purchase_date]],"mmmm"))</f>
        <v>Octubre</v>
      </c>
      <c r="P2071" s="4">
        <v>23</v>
      </c>
      <c r="R2071" t="str">
        <f>IF(BBDD_fashion_boutique[[#This Row],[stock_quantity]]&gt;9,"Ok",IF(BBDD_fashion_boutique[[#This Row],[stock_quantity]]=0,"Agotado","Pocas Unidades"))</f>
        <v>Ok</v>
      </c>
      <c r="S2071" s="3" t="str">
        <f>IF(BBDD_fashion_boutique[[#This Row],[customer_rating]]="","No valorado",BBDD_fashion_boutique[[#This Row],[customer_rating]])</f>
        <v>No valorado</v>
      </c>
      <c r="T2071" t="s">
        <v>24</v>
      </c>
      <c r="V2071">
        <f>IF(BBDD_fashion_boutique[[#This Row],[is_returned]]="False",0,1)</f>
        <v>0</v>
      </c>
      <c r="W2071">
        <f>IF(BBDD_fashion_boutique[[#This Row],[is_returned]]="True",0,BBDD_fashion_boutique[[#This Row],[current_price]])</f>
        <v>108.82</v>
      </c>
      <c r="X2071" t="str">
        <f>IF(BBDD_fashion_boutique[[#This Row],[return_reason]]="","No return",BBDD_fashion_boutique[[#This Row],[return_reason]])</f>
        <v>No return</v>
      </c>
      <c r="Y2071">
        <f>IF(IFERROR(VLOOKUP(BBDD_fashion_boutique[[#This Row],[product_id]],A2072:A4247,1,FALSE),0),1,0)</f>
        <v>0</v>
      </c>
    </row>
    <row r="2072" spans="1:25" x14ac:dyDescent="0.3">
      <c r="A2072" t="s">
        <v>2131</v>
      </c>
      <c r="B2072" t="s">
        <v>48</v>
      </c>
      <c r="C2072" t="s">
        <v>49</v>
      </c>
      <c r="D2072" t="s">
        <v>21</v>
      </c>
      <c r="E2072" t="s">
        <v>22</v>
      </c>
      <c r="F2072" t="str">
        <f>IF(BBDD_fashion_boutique[[#This Row],[category]]="Accessories","Accesorio",IF(BBDD_fashion_boutique[[#This Row],[size]]="","Desconocido",BBDD_fashion_boutique[[#This Row],[size]]))</f>
        <v>XL</v>
      </c>
      <c r="G2072" t="s">
        <v>30</v>
      </c>
      <c r="H2072" s="2">
        <v>173.77</v>
      </c>
      <c r="I2072">
        <v>17</v>
      </c>
      <c r="J2072" s="5">
        <f>BBDD_fashion_boutique[[#This Row],[markdown_percentage]]/100</f>
        <v>0.17</v>
      </c>
      <c r="K2072" s="2">
        <v>144.22999999999999</v>
      </c>
      <c r="L2072" s="2">
        <f>BBDD_fashion_boutique[[#This Row],[original_price]]-BBDD_fashion_boutique[[#This Row],[current_price]]</f>
        <v>29.54000000000002</v>
      </c>
      <c r="M2072" s="1">
        <v>45616</v>
      </c>
      <c r="N2072" s="1" t="str">
        <f>PROPER(TEXT(BBDD_fashion_boutique[[#This Row],[purchase_date]],"dddd"))</f>
        <v>Miércoles</v>
      </c>
      <c r="O2072" s="1" t="str">
        <f>PROPER(TEXT(BBDD_fashion_boutique[[#This Row],[purchase_date]],"mmmm"))</f>
        <v>Noviembre</v>
      </c>
      <c r="P2072" s="4">
        <v>5</v>
      </c>
      <c r="Q2072" s="2">
        <v>1.9</v>
      </c>
      <c r="R2072" t="str">
        <f>IF(BBDD_fashion_boutique[[#This Row],[stock_quantity]]&gt;9,"Ok",IF(BBDD_fashion_boutique[[#This Row],[stock_quantity]]=0,"Agotado","Pocas Unidades"))</f>
        <v>Pocas Unidades</v>
      </c>
      <c r="S2072" s="3">
        <f>IF(BBDD_fashion_boutique[[#This Row],[customer_rating]]="","No valorado",BBDD_fashion_boutique[[#This Row],[customer_rating]])</f>
        <v>1.9</v>
      </c>
      <c r="T2072" t="s">
        <v>24</v>
      </c>
      <c r="V2072">
        <f>IF(BBDD_fashion_boutique[[#This Row],[is_returned]]="False",0,1)</f>
        <v>0</v>
      </c>
      <c r="W2072">
        <f>IF(BBDD_fashion_boutique[[#This Row],[is_returned]]="True",0,BBDD_fashion_boutique[[#This Row],[current_price]])</f>
        <v>144.22999999999999</v>
      </c>
      <c r="X2072" t="str">
        <f>IF(BBDD_fashion_boutique[[#This Row],[return_reason]]="","No return",BBDD_fashion_boutique[[#This Row],[return_reason]])</f>
        <v>No return</v>
      </c>
      <c r="Y2072">
        <f>IF(IFERROR(VLOOKUP(BBDD_fashion_boutique[[#This Row],[product_id]],A2073:A4248,1,FALSE),0),1,0)</f>
        <v>0</v>
      </c>
    </row>
    <row r="2073" spans="1:25" x14ac:dyDescent="0.3">
      <c r="A2073" t="s">
        <v>2132</v>
      </c>
      <c r="B2073" t="s">
        <v>32</v>
      </c>
      <c r="C2073" t="s">
        <v>27</v>
      </c>
      <c r="D2073" t="s">
        <v>68</v>
      </c>
      <c r="F2073" t="str">
        <f>IF(BBDD_fashion_boutique[[#This Row],[category]]="Accessories","Accesorio",IF(BBDD_fashion_boutique[[#This Row],[size]]="","Desconocido",BBDD_fashion_boutique[[#This Row],[size]]))</f>
        <v>Accesorio</v>
      </c>
      <c r="G2073" t="s">
        <v>30</v>
      </c>
      <c r="H2073" s="2">
        <v>77.45</v>
      </c>
      <c r="I2073">
        <v>0</v>
      </c>
      <c r="J2073" s="5">
        <f>BBDD_fashion_boutique[[#This Row],[markdown_percentage]]/100</f>
        <v>0</v>
      </c>
      <c r="K2073" s="2">
        <v>77.45</v>
      </c>
      <c r="L2073" s="2">
        <f>BBDD_fashion_boutique[[#This Row],[original_price]]-BBDD_fashion_boutique[[#This Row],[current_price]]</f>
        <v>0</v>
      </c>
      <c r="M2073" s="1">
        <v>45875</v>
      </c>
      <c r="N2073" s="1" t="str">
        <f>PROPER(TEXT(BBDD_fashion_boutique[[#This Row],[purchase_date]],"dddd"))</f>
        <v>Miércoles</v>
      </c>
      <c r="O2073" s="1" t="str">
        <f>PROPER(TEXT(BBDD_fashion_boutique[[#This Row],[purchase_date]],"mmmm"))</f>
        <v>Agosto</v>
      </c>
      <c r="P2073" s="4">
        <v>0</v>
      </c>
      <c r="Q2073" s="2">
        <v>3.1</v>
      </c>
      <c r="R2073" t="str">
        <f>IF(BBDD_fashion_boutique[[#This Row],[stock_quantity]]&gt;9,"Ok",IF(BBDD_fashion_boutique[[#This Row],[stock_quantity]]=0,"Agotado","Pocas Unidades"))</f>
        <v>Agotado</v>
      </c>
      <c r="S2073" s="3">
        <f>IF(BBDD_fashion_boutique[[#This Row],[customer_rating]]="","No valorado",BBDD_fashion_boutique[[#This Row],[customer_rating]])</f>
        <v>3.1</v>
      </c>
      <c r="T2073" t="s">
        <v>24</v>
      </c>
      <c r="V2073">
        <f>IF(BBDD_fashion_boutique[[#This Row],[is_returned]]="False",0,1)</f>
        <v>0</v>
      </c>
      <c r="W2073">
        <f>IF(BBDD_fashion_boutique[[#This Row],[is_returned]]="True",0,BBDD_fashion_boutique[[#This Row],[current_price]])</f>
        <v>77.45</v>
      </c>
      <c r="X2073" t="str">
        <f>IF(BBDD_fashion_boutique[[#This Row],[return_reason]]="","No return",BBDD_fashion_boutique[[#This Row],[return_reason]])</f>
        <v>No return</v>
      </c>
      <c r="Y2073">
        <f>IF(IFERROR(VLOOKUP(BBDD_fashion_boutique[[#This Row],[product_id]],A2074:A4249,1,FALSE),0),1,0)</f>
        <v>0</v>
      </c>
    </row>
    <row r="2074" spans="1:25" x14ac:dyDescent="0.3">
      <c r="A2074" t="s">
        <v>2133</v>
      </c>
      <c r="B2074" t="s">
        <v>44</v>
      </c>
      <c r="C2074" t="s">
        <v>27</v>
      </c>
      <c r="D2074" t="s">
        <v>28</v>
      </c>
      <c r="E2074" t="s">
        <v>64</v>
      </c>
      <c r="F2074" t="str">
        <f>IF(BBDD_fashion_boutique[[#This Row],[category]]="Accessories","Accesorio",IF(BBDD_fashion_boutique[[#This Row],[size]]="","Desconocido",BBDD_fashion_boutique[[#This Row],[size]]))</f>
        <v>M</v>
      </c>
      <c r="G2074" t="s">
        <v>33</v>
      </c>
      <c r="H2074" s="2">
        <v>34.159999999999997</v>
      </c>
      <c r="I2074">
        <v>0</v>
      </c>
      <c r="J2074" s="5">
        <f>BBDD_fashion_boutique[[#This Row],[markdown_percentage]]/100</f>
        <v>0</v>
      </c>
      <c r="K2074" s="2">
        <v>34.159999999999997</v>
      </c>
      <c r="L2074" s="2">
        <f>BBDD_fashion_boutique[[#This Row],[original_price]]-BBDD_fashion_boutique[[#This Row],[current_price]]</f>
        <v>0</v>
      </c>
      <c r="M2074" s="1">
        <v>45875</v>
      </c>
      <c r="N2074" s="1" t="str">
        <f>PROPER(TEXT(BBDD_fashion_boutique[[#This Row],[purchase_date]],"dddd"))</f>
        <v>Miércoles</v>
      </c>
      <c r="O2074" s="1" t="str">
        <f>PROPER(TEXT(BBDD_fashion_boutique[[#This Row],[purchase_date]],"mmmm"))</f>
        <v>Agosto</v>
      </c>
      <c r="P2074" s="4">
        <v>37</v>
      </c>
      <c r="Q2074" s="2">
        <v>1.3</v>
      </c>
      <c r="R2074" t="str">
        <f>IF(BBDD_fashion_boutique[[#This Row],[stock_quantity]]&gt;9,"Ok",IF(BBDD_fashion_boutique[[#This Row],[stock_quantity]]=0,"Agotado","Pocas Unidades"))</f>
        <v>Ok</v>
      </c>
      <c r="S2074" s="3">
        <f>IF(BBDD_fashion_boutique[[#This Row],[customer_rating]]="","No valorado",BBDD_fashion_boutique[[#This Row],[customer_rating]])</f>
        <v>1.3</v>
      </c>
      <c r="T2074" t="s">
        <v>24</v>
      </c>
      <c r="V2074">
        <f>IF(BBDD_fashion_boutique[[#This Row],[is_returned]]="False",0,1)</f>
        <v>0</v>
      </c>
      <c r="W2074">
        <f>IF(BBDD_fashion_boutique[[#This Row],[is_returned]]="True",0,BBDD_fashion_boutique[[#This Row],[current_price]])</f>
        <v>34.159999999999997</v>
      </c>
      <c r="X2074" t="str">
        <f>IF(BBDD_fashion_boutique[[#This Row],[return_reason]]="","No return",BBDD_fashion_boutique[[#This Row],[return_reason]])</f>
        <v>No return</v>
      </c>
      <c r="Y2074">
        <f>IF(IFERROR(VLOOKUP(BBDD_fashion_boutique[[#This Row],[product_id]],A2075:A4250,1,FALSE),0),1,0)</f>
        <v>0</v>
      </c>
    </row>
    <row r="2075" spans="1:25" x14ac:dyDescent="0.3">
      <c r="A2075" t="s">
        <v>2134</v>
      </c>
      <c r="B2075" t="s">
        <v>32</v>
      </c>
      <c r="C2075" t="s">
        <v>81</v>
      </c>
      <c r="D2075" t="s">
        <v>68</v>
      </c>
      <c r="F2075" t="str">
        <f>IF(BBDD_fashion_boutique[[#This Row],[category]]="Accessories","Accesorio",IF(BBDD_fashion_boutique[[#This Row],[size]]="","Desconocido",BBDD_fashion_boutique[[#This Row],[size]]))</f>
        <v>Accesorio</v>
      </c>
      <c r="G2075" t="s">
        <v>40</v>
      </c>
      <c r="H2075" s="2">
        <v>71.3</v>
      </c>
      <c r="I2075">
        <v>0</v>
      </c>
      <c r="J2075" s="5">
        <f>BBDD_fashion_boutique[[#This Row],[markdown_percentage]]/100</f>
        <v>0</v>
      </c>
      <c r="K2075" s="2">
        <v>71.3</v>
      </c>
      <c r="L2075" s="2">
        <f>BBDD_fashion_boutique[[#This Row],[original_price]]-BBDD_fashion_boutique[[#This Row],[current_price]]</f>
        <v>0</v>
      </c>
      <c r="M2075" s="1">
        <v>45875</v>
      </c>
      <c r="N2075" s="1" t="str">
        <f>PROPER(TEXT(BBDD_fashion_boutique[[#This Row],[purchase_date]],"dddd"))</f>
        <v>Miércoles</v>
      </c>
      <c r="O2075" s="1" t="str">
        <f>PROPER(TEXT(BBDD_fashion_boutique[[#This Row],[purchase_date]],"mmmm"))</f>
        <v>Agosto</v>
      </c>
      <c r="P2075" s="4">
        <v>21</v>
      </c>
      <c r="Q2075" s="2">
        <v>1.6</v>
      </c>
      <c r="R2075" t="str">
        <f>IF(BBDD_fashion_boutique[[#This Row],[stock_quantity]]&gt;9,"Ok",IF(BBDD_fashion_boutique[[#This Row],[stock_quantity]]=0,"Agotado","Pocas Unidades"))</f>
        <v>Ok</v>
      </c>
      <c r="S2075" s="3">
        <f>IF(BBDD_fashion_boutique[[#This Row],[customer_rating]]="","No valorado",BBDD_fashion_boutique[[#This Row],[customer_rating]])</f>
        <v>1.6</v>
      </c>
      <c r="T2075" t="s">
        <v>24</v>
      </c>
      <c r="V2075">
        <f>IF(BBDD_fashion_boutique[[#This Row],[is_returned]]="False",0,1)</f>
        <v>0</v>
      </c>
      <c r="W2075">
        <f>IF(BBDD_fashion_boutique[[#This Row],[is_returned]]="True",0,BBDD_fashion_boutique[[#This Row],[current_price]])</f>
        <v>71.3</v>
      </c>
      <c r="X2075" t="str">
        <f>IF(BBDD_fashion_boutique[[#This Row],[return_reason]]="","No return",BBDD_fashion_boutique[[#This Row],[return_reason]])</f>
        <v>No return</v>
      </c>
      <c r="Y2075">
        <f>IF(IFERROR(VLOOKUP(BBDD_fashion_boutique[[#This Row],[product_id]],A2076:A4251,1,FALSE),0),1,0)</f>
        <v>0</v>
      </c>
    </row>
    <row r="2076" spans="1:25" x14ac:dyDescent="0.3">
      <c r="A2076" t="s">
        <v>2135</v>
      </c>
      <c r="B2076" t="s">
        <v>26</v>
      </c>
      <c r="C2076" t="s">
        <v>54</v>
      </c>
      <c r="D2076" t="s">
        <v>68</v>
      </c>
      <c r="E2076" t="s">
        <v>64</v>
      </c>
      <c r="F2076" t="str">
        <f>IF(BBDD_fashion_boutique[[#This Row],[category]]="Accessories","Accesorio",IF(BBDD_fashion_boutique[[#This Row],[size]]="","Desconocido",BBDD_fashion_boutique[[#This Row],[size]]))</f>
        <v>M</v>
      </c>
      <c r="G2076" t="s">
        <v>76</v>
      </c>
      <c r="H2076" s="2">
        <v>63.67</v>
      </c>
      <c r="I2076">
        <v>0</v>
      </c>
      <c r="J2076" s="5">
        <f>BBDD_fashion_boutique[[#This Row],[markdown_percentage]]/100</f>
        <v>0</v>
      </c>
      <c r="K2076" s="2">
        <v>63.67</v>
      </c>
      <c r="L2076" s="2">
        <f>BBDD_fashion_boutique[[#This Row],[original_price]]-BBDD_fashion_boutique[[#This Row],[current_price]]</f>
        <v>0</v>
      </c>
      <c r="M2076" s="1">
        <v>45875</v>
      </c>
      <c r="N2076" s="1" t="str">
        <f>PROPER(TEXT(BBDD_fashion_boutique[[#This Row],[purchase_date]],"dddd"))</f>
        <v>Miércoles</v>
      </c>
      <c r="O2076" s="1" t="str">
        <f>PROPER(TEXT(BBDD_fashion_boutique[[#This Row],[purchase_date]],"mmmm"))</f>
        <v>Agosto</v>
      </c>
      <c r="P2076" s="4">
        <v>18</v>
      </c>
      <c r="Q2076" s="2">
        <v>1.6</v>
      </c>
      <c r="R2076" t="str">
        <f>IF(BBDD_fashion_boutique[[#This Row],[stock_quantity]]&gt;9,"Ok",IF(BBDD_fashion_boutique[[#This Row],[stock_quantity]]=0,"Agotado","Pocas Unidades"))</f>
        <v>Ok</v>
      </c>
      <c r="S2076" s="3">
        <f>IF(BBDD_fashion_boutique[[#This Row],[customer_rating]]="","No valorado",BBDD_fashion_boutique[[#This Row],[customer_rating]])</f>
        <v>1.6</v>
      </c>
      <c r="T2076" t="s">
        <v>24</v>
      </c>
      <c r="V2076">
        <f>IF(BBDD_fashion_boutique[[#This Row],[is_returned]]="False",0,1)</f>
        <v>0</v>
      </c>
      <c r="W2076">
        <f>IF(BBDD_fashion_boutique[[#This Row],[is_returned]]="True",0,BBDD_fashion_boutique[[#This Row],[current_price]])</f>
        <v>63.67</v>
      </c>
      <c r="X2076" t="str">
        <f>IF(BBDD_fashion_boutique[[#This Row],[return_reason]]="","No return",BBDD_fashion_boutique[[#This Row],[return_reason]])</f>
        <v>No return</v>
      </c>
      <c r="Y2076">
        <f>IF(IFERROR(VLOOKUP(BBDD_fashion_boutique[[#This Row],[product_id]],A2077:A4252,1,FALSE),0),1,0)</f>
        <v>0</v>
      </c>
    </row>
    <row r="2077" spans="1:25" x14ac:dyDescent="0.3">
      <c r="A2077" t="s">
        <v>2136</v>
      </c>
      <c r="B2077" t="s">
        <v>19</v>
      </c>
      <c r="C2077" t="s">
        <v>81</v>
      </c>
      <c r="D2077" t="s">
        <v>39</v>
      </c>
      <c r="E2077" t="s">
        <v>45</v>
      </c>
      <c r="F2077" t="str">
        <f>IF(BBDD_fashion_boutique[[#This Row],[category]]="Accessories","Accesorio",IF(BBDD_fashion_boutique[[#This Row],[size]]="","Desconocido",BBDD_fashion_boutique[[#This Row],[size]]))</f>
        <v>S</v>
      </c>
      <c r="G2077" t="s">
        <v>46</v>
      </c>
      <c r="H2077" s="2">
        <v>249.98</v>
      </c>
      <c r="I2077">
        <v>0</v>
      </c>
      <c r="J2077" s="5">
        <f>BBDD_fashion_boutique[[#This Row],[markdown_percentage]]/100</f>
        <v>0</v>
      </c>
      <c r="K2077" s="2">
        <v>249.98</v>
      </c>
      <c r="L2077" s="2">
        <f>BBDD_fashion_boutique[[#This Row],[original_price]]-BBDD_fashion_boutique[[#This Row],[current_price]]</f>
        <v>0</v>
      </c>
      <c r="M2077" s="1">
        <v>45875</v>
      </c>
      <c r="N2077" s="1" t="str">
        <f>PROPER(TEXT(BBDD_fashion_boutique[[#This Row],[purchase_date]],"dddd"))</f>
        <v>Miércoles</v>
      </c>
      <c r="O2077" s="1" t="str">
        <f>PROPER(TEXT(BBDD_fashion_boutique[[#This Row],[purchase_date]],"mmmm"))</f>
        <v>Agosto</v>
      </c>
      <c r="P2077" s="4">
        <v>46</v>
      </c>
      <c r="Q2077" s="2">
        <v>3.6</v>
      </c>
      <c r="R2077" t="str">
        <f>IF(BBDD_fashion_boutique[[#This Row],[stock_quantity]]&gt;9,"Ok",IF(BBDD_fashion_boutique[[#This Row],[stock_quantity]]=0,"Agotado","Pocas Unidades"))</f>
        <v>Ok</v>
      </c>
      <c r="S2077" s="3">
        <f>IF(BBDD_fashion_boutique[[#This Row],[customer_rating]]="","No valorado",BBDD_fashion_boutique[[#This Row],[customer_rating]])</f>
        <v>3.6</v>
      </c>
      <c r="T2077" t="s">
        <v>24</v>
      </c>
      <c r="V2077">
        <f>IF(BBDD_fashion_boutique[[#This Row],[is_returned]]="False",0,1)</f>
        <v>0</v>
      </c>
      <c r="W2077">
        <f>IF(BBDD_fashion_boutique[[#This Row],[is_returned]]="True",0,BBDD_fashion_boutique[[#This Row],[current_price]])</f>
        <v>249.98</v>
      </c>
      <c r="X2077" t="str">
        <f>IF(BBDD_fashion_boutique[[#This Row],[return_reason]]="","No return",BBDD_fashion_boutique[[#This Row],[return_reason]])</f>
        <v>No return</v>
      </c>
      <c r="Y2077">
        <f>IF(IFERROR(VLOOKUP(BBDD_fashion_boutique[[#This Row],[product_id]],A2078:A4253,1,FALSE),0),1,0)</f>
        <v>0</v>
      </c>
    </row>
    <row r="2078" spans="1:25" x14ac:dyDescent="0.3">
      <c r="A2078" t="s">
        <v>2137</v>
      </c>
      <c r="B2078" t="s">
        <v>19</v>
      </c>
      <c r="C2078" t="s">
        <v>59</v>
      </c>
      <c r="D2078" t="s">
        <v>21</v>
      </c>
      <c r="E2078" t="s">
        <v>22</v>
      </c>
      <c r="F2078" t="str">
        <f>IF(BBDD_fashion_boutique[[#This Row],[category]]="Accessories","Accesorio",IF(BBDD_fashion_boutique[[#This Row],[size]]="","Desconocido",BBDD_fashion_boutique[[#This Row],[size]]))</f>
        <v>XL</v>
      </c>
      <c r="G2078" t="s">
        <v>52</v>
      </c>
      <c r="H2078" s="2">
        <v>103.92</v>
      </c>
      <c r="I2078">
        <v>0</v>
      </c>
      <c r="J2078" s="5">
        <f>BBDD_fashion_boutique[[#This Row],[markdown_percentage]]/100</f>
        <v>0</v>
      </c>
      <c r="K2078" s="2">
        <v>103.92</v>
      </c>
      <c r="L2078" s="2">
        <f>BBDD_fashion_boutique[[#This Row],[original_price]]-BBDD_fashion_boutique[[#This Row],[current_price]]</f>
        <v>0</v>
      </c>
      <c r="M2078" s="1">
        <v>45589</v>
      </c>
      <c r="N2078" s="1" t="str">
        <f>PROPER(TEXT(BBDD_fashion_boutique[[#This Row],[purchase_date]],"dddd"))</f>
        <v>Jueves</v>
      </c>
      <c r="O2078" s="1" t="str">
        <f>PROPER(TEXT(BBDD_fashion_boutique[[#This Row],[purchase_date]],"mmmm"))</f>
        <v>Octubre</v>
      </c>
      <c r="P2078" s="4">
        <v>5</v>
      </c>
      <c r="R2078" t="str">
        <f>IF(BBDD_fashion_boutique[[#This Row],[stock_quantity]]&gt;9,"Ok",IF(BBDD_fashion_boutique[[#This Row],[stock_quantity]]=0,"Agotado","Pocas Unidades"))</f>
        <v>Pocas Unidades</v>
      </c>
      <c r="S2078" s="3" t="str">
        <f>IF(BBDD_fashion_boutique[[#This Row],[customer_rating]]="","No valorado",BBDD_fashion_boutique[[#This Row],[customer_rating]])</f>
        <v>No valorado</v>
      </c>
      <c r="T2078" t="s">
        <v>24</v>
      </c>
      <c r="V2078">
        <f>IF(BBDD_fashion_boutique[[#This Row],[is_returned]]="False",0,1)</f>
        <v>0</v>
      </c>
      <c r="W2078">
        <f>IF(BBDD_fashion_boutique[[#This Row],[is_returned]]="True",0,BBDD_fashion_boutique[[#This Row],[current_price]])</f>
        <v>103.92</v>
      </c>
      <c r="X2078" t="str">
        <f>IF(BBDD_fashion_boutique[[#This Row],[return_reason]]="","No return",BBDD_fashion_boutique[[#This Row],[return_reason]])</f>
        <v>No return</v>
      </c>
      <c r="Y2078">
        <f>IF(IFERROR(VLOOKUP(BBDD_fashion_boutique[[#This Row],[product_id]],A2079:A4254,1,FALSE),0),1,0)</f>
        <v>0</v>
      </c>
    </row>
    <row r="2079" spans="1:25" x14ac:dyDescent="0.3">
      <c r="A2079" t="s">
        <v>2138</v>
      </c>
      <c r="B2079" t="s">
        <v>35</v>
      </c>
      <c r="C2079" t="s">
        <v>27</v>
      </c>
      <c r="D2079" t="s">
        <v>68</v>
      </c>
      <c r="E2079" t="s">
        <v>22</v>
      </c>
      <c r="F2079" t="str">
        <f>IF(BBDD_fashion_boutique[[#This Row],[category]]="Accessories","Accesorio",IF(BBDD_fashion_boutique[[#This Row],[size]]="","Desconocido",BBDD_fashion_boutique[[#This Row],[size]]))</f>
        <v>XL</v>
      </c>
      <c r="G2079" t="s">
        <v>33</v>
      </c>
      <c r="H2079" s="2">
        <v>116.76</v>
      </c>
      <c r="I2079">
        <v>0</v>
      </c>
      <c r="J2079" s="5">
        <f>BBDD_fashion_boutique[[#This Row],[markdown_percentage]]/100</f>
        <v>0</v>
      </c>
      <c r="K2079" s="2">
        <v>116.76</v>
      </c>
      <c r="L2079" s="2">
        <f>BBDD_fashion_boutique[[#This Row],[original_price]]-BBDD_fashion_boutique[[#This Row],[current_price]]</f>
        <v>0</v>
      </c>
      <c r="M2079" s="1">
        <v>45875</v>
      </c>
      <c r="N2079" s="1" t="str">
        <f>PROPER(TEXT(BBDD_fashion_boutique[[#This Row],[purchase_date]],"dddd"))</f>
        <v>Miércoles</v>
      </c>
      <c r="O2079" s="1" t="str">
        <f>PROPER(TEXT(BBDD_fashion_boutique[[#This Row],[purchase_date]],"mmmm"))</f>
        <v>Agosto</v>
      </c>
      <c r="P2079" s="4">
        <v>13</v>
      </c>
      <c r="R2079" t="str">
        <f>IF(BBDD_fashion_boutique[[#This Row],[stock_quantity]]&gt;9,"Ok",IF(BBDD_fashion_boutique[[#This Row],[stock_quantity]]=0,"Agotado","Pocas Unidades"))</f>
        <v>Ok</v>
      </c>
      <c r="S2079" s="3" t="str">
        <f>IF(BBDD_fashion_boutique[[#This Row],[customer_rating]]="","No valorado",BBDD_fashion_boutique[[#This Row],[customer_rating]])</f>
        <v>No valorado</v>
      </c>
      <c r="T2079" t="s">
        <v>24</v>
      </c>
      <c r="V2079">
        <f>IF(BBDD_fashion_boutique[[#This Row],[is_returned]]="False",0,1)</f>
        <v>0</v>
      </c>
      <c r="W2079">
        <f>IF(BBDD_fashion_boutique[[#This Row],[is_returned]]="True",0,BBDD_fashion_boutique[[#This Row],[current_price]])</f>
        <v>116.76</v>
      </c>
      <c r="X2079" t="str">
        <f>IF(BBDD_fashion_boutique[[#This Row],[return_reason]]="","No return",BBDD_fashion_boutique[[#This Row],[return_reason]])</f>
        <v>No return</v>
      </c>
      <c r="Y2079">
        <f>IF(IFERROR(VLOOKUP(BBDD_fashion_boutique[[#This Row],[product_id]],A2080:A4255,1,FALSE),0),1,0)</f>
        <v>0</v>
      </c>
    </row>
    <row r="2080" spans="1:25" x14ac:dyDescent="0.3">
      <c r="A2080" t="s">
        <v>2139</v>
      </c>
      <c r="B2080" t="s">
        <v>35</v>
      </c>
      <c r="C2080" t="s">
        <v>67</v>
      </c>
      <c r="D2080" t="s">
        <v>28</v>
      </c>
      <c r="E2080" t="s">
        <v>55</v>
      </c>
      <c r="F2080" t="str">
        <f>IF(BBDD_fashion_boutique[[#This Row],[category]]="Accessories","Accesorio",IF(BBDD_fashion_boutique[[#This Row],[size]]="","Desconocido",BBDD_fashion_boutique[[#This Row],[size]]))</f>
        <v>XXL</v>
      </c>
      <c r="G2080" t="s">
        <v>40</v>
      </c>
      <c r="H2080" s="2">
        <v>102.61</v>
      </c>
      <c r="I2080">
        <v>0</v>
      </c>
      <c r="J2080" s="5">
        <f>BBDD_fashion_boutique[[#This Row],[markdown_percentage]]/100</f>
        <v>0</v>
      </c>
      <c r="K2080" s="2">
        <v>102.61</v>
      </c>
      <c r="L2080" s="2">
        <f>BBDD_fashion_boutique[[#This Row],[original_price]]-BBDD_fashion_boutique[[#This Row],[current_price]]</f>
        <v>0</v>
      </c>
      <c r="M2080" s="1">
        <v>45875</v>
      </c>
      <c r="N2080" s="1" t="str">
        <f>PROPER(TEXT(BBDD_fashion_boutique[[#This Row],[purchase_date]],"dddd"))</f>
        <v>Miércoles</v>
      </c>
      <c r="O2080" s="1" t="str">
        <f>PROPER(TEXT(BBDD_fashion_boutique[[#This Row],[purchase_date]],"mmmm"))</f>
        <v>Agosto</v>
      </c>
      <c r="P2080" s="4">
        <v>47</v>
      </c>
      <c r="Q2080" s="2">
        <v>3.5</v>
      </c>
      <c r="R2080" t="str">
        <f>IF(BBDD_fashion_boutique[[#This Row],[stock_quantity]]&gt;9,"Ok",IF(BBDD_fashion_boutique[[#This Row],[stock_quantity]]=0,"Agotado","Pocas Unidades"))</f>
        <v>Ok</v>
      </c>
      <c r="S2080" s="3">
        <f>IF(BBDD_fashion_boutique[[#This Row],[customer_rating]]="","No valorado",BBDD_fashion_boutique[[#This Row],[customer_rating]])</f>
        <v>3.5</v>
      </c>
      <c r="T2080" t="s">
        <v>24</v>
      </c>
      <c r="V2080">
        <f>IF(BBDD_fashion_boutique[[#This Row],[is_returned]]="False",0,1)</f>
        <v>0</v>
      </c>
      <c r="W2080">
        <f>IF(BBDD_fashion_boutique[[#This Row],[is_returned]]="True",0,BBDD_fashion_boutique[[#This Row],[current_price]])</f>
        <v>102.61</v>
      </c>
      <c r="X2080" t="str">
        <f>IF(BBDD_fashion_boutique[[#This Row],[return_reason]]="","No return",BBDD_fashion_boutique[[#This Row],[return_reason]])</f>
        <v>No return</v>
      </c>
      <c r="Y2080">
        <f>IF(IFERROR(VLOOKUP(BBDD_fashion_boutique[[#This Row],[product_id]],A2081:A4256,1,FALSE),0),1,0)</f>
        <v>0</v>
      </c>
    </row>
    <row r="2081" spans="1:25" x14ac:dyDescent="0.3">
      <c r="A2081" t="s">
        <v>2140</v>
      </c>
      <c r="B2081" t="s">
        <v>32</v>
      </c>
      <c r="C2081" t="s">
        <v>59</v>
      </c>
      <c r="D2081" t="s">
        <v>21</v>
      </c>
      <c r="F2081" t="str">
        <f>IF(BBDD_fashion_boutique[[#This Row],[category]]="Accessories","Accesorio",IF(BBDD_fashion_boutique[[#This Row],[size]]="","Desconocido",BBDD_fashion_boutique[[#This Row],[size]]))</f>
        <v>Accesorio</v>
      </c>
      <c r="G2081" t="s">
        <v>30</v>
      </c>
      <c r="H2081" s="2">
        <v>43.48</v>
      </c>
      <c r="I2081">
        <v>0</v>
      </c>
      <c r="J2081" s="5">
        <f>BBDD_fashion_boutique[[#This Row],[markdown_percentage]]/100</f>
        <v>0</v>
      </c>
      <c r="K2081" s="2">
        <v>43.48</v>
      </c>
      <c r="L2081" s="2">
        <f>BBDD_fashion_boutique[[#This Row],[original_price]]-BBDD_fashion_boutique[[#This Row],[current_price]]</f>
        <v>0</v>
      </c>
      <c r="M2081" s="1">
        <v>45527</v>
      </c>
      <c r="N2081" s="1" t="str">
        <f>PROPER(TEXT(BBDD_fashion_boutique[[#This Row],[purchase_date]],"dddd"))</f>
        <v>Viernes</v>
      </c>
      <c r="O2081" s="1" t="str">
        <f>PROPER(TEXT(BBDD_fashion_boutique[[#This Row],[purchase_date]],"mmmm"))</f>
        <v>Agosto</v>
      </c>
      <c r="P2081" s="4">
        <v>11</v>
      </c>
      <c r="Q2081" s="2">
        <v>4.7</v>
      </c>
      <c r="R2081" t="str">
        <f>IF(BBDD_fashion_boutique[[#This Row],[stock_quantity]]&gt;9,"Ok",IF(BBDD_fashion_boutique[[#This Row],[stock_quantity]]=0,"Agotado","Pocas Unidades"))</f>
        <v>Ok</v>
      </c>
      <c r="S2081" s="3">
        <f>IF(BBDD_fashion_boutique[[#This Row],[customer_rating]]="","No valorado",BBDD_fashion_boutique[[#This Row],[customer_rating]])</f>
        <v>4.7</v>
      </c>
      <c r="T2081" t="s">
        <v>24</v>
      </c>
      <c r="V2081">
        <f>IF(BBDD_fashion_boutique[[#This Row],[is_returned]]="False",0,1)</f>
        <v>0</v>
      </c>
      <c r="W2081">
        <f>IF(BBDD_fashion_boutique[[#This Row],[is_returned]]="True",0,BBDD_fashion_boutique[[#This Row],[current_price]])</f>
        <v>43.48</v>
      </c>
      <c r="X2081" t="str">
        <f>IF(BBDD_fashion_boutique[[#This Row],[return_reason]]="","No return",BBDD_fashion_boutique[[#This Row],[return_reason]])</f>
        <v>No return</v>
      </c>
      <c r="Y2081">
        <f>IF(IFERROR(VLOOKUP(BBDD_fashion_boutique[[#This Row],[product_id]],A2082:A4257,1,FALSE),0),1,0)</f>
        <v>0</v>
      </c>
    </row>
    <row r="2082" spans="1:25" x14ac:dyDescent="0.3">
      <c r="A2082" t="s">
        <v>2141</v>
      </c>
      <c r="B2082" t="s">
        <v>32</v>
      </c>
      <c r="C2082" t="s">
        <v>81</v>
      </c>
      <c r="D2082" t="s">
        <v>28</v>
      </c>
      <c r="F2082" t="str">
        <f>IF(BBDD_fashion_boutique[[#This Row],[category]]="Accessories","Accesorio",IF(BBDD_fashion_boutique[[#This Row],[size]]="","Desconocido",BBDD_fashion_boutique[[#This Row],[size]]))</f>
        <v>Accesorio</v>
      </c>
      <c r="G2082" t="s">
        <v>30</v>
      </c>
      <c r="H2082" s="2">
        <v>39.9</v>
      </c>
      <c r="I2082">
        <v>0</v>
      </c>
      <c r="J2082" s="5">
        <f>BBDD_fashion_boutique[[#This Row],[markdown_percentage]]/100</f>
        <v>0</v>
      </c>
      <c r="K2082" s="2">
        <v>39.9</v>
      </c>
      <c r="L2082" s="2">
        <f>BBDD_fashion_boutique[[#This Row],[original_price]]-BBDD_fashion_boutique[[#This Row],[current_price]]</f>
        <v>0</v>
      </c>
      <c r="M2082" s="1">
        <v>45875</v>
      </c>
      <c r="N2082" s="1" t="str">
        <f>PROPER(TEXT(BBDD_fashion_boutique[[#This Row],[purchase_date]],"dddd"))</f>
        <v>Miércoles</v>
      </c>
      <c r="O2082" s="1" t="str">
        <f>PROPER(TEXT(BBDD_fashion_boutique[[#This Row],[purchase_date]],"mmmm"))</f>
        <v>Agosto</v>
      </c>
      <c r="P2082" s="4">
        <v>6</v>
      </c>
      <c r="Q2082" s="2">
        <v>2.4</v>
      </c>
      <c r="R2082" t="str">
        <f>IF(BBDD_fashion_boutique[[#This Row],[stock_quantity]]&gt;9,"Ok",IF(BBDD_fashion_boutique[[#This Row],[stock_quantity]]=0,"Agotado","Pocas Unidades"))</f>
        <v>Pocas Unidades</v>
      </c>
      <c r="S2082" s="3">
        <f>IF(BBDD_fashion_boutique[[#This Row],[customer_rating]]="","No valorado",BBDD_fashion_boutique[[#This Row],[customer_rating]])</f>
        <v>2.4</v>
      </c>
      <c r="T2082" t="s">
        <v>41</v>
      </c>
      <c r="U2082" t="s">
        <v>84</v>
      </c>
      <c r="V2082">
        <f>IF(BBDD_fashion_boutique[[#This Row],[is_returned]]="False",0,1)</f>
        <v>1</v>
      </c>
      <c r="W2082">
        <f>IF(BBDD_fashion_boutique[[#This Row],[is_returned]]="True",0,BBDD_fashion_boutique[[#This Row],[current_price]])</f>
        <v>0</v>
      </c>
      <c r="X2082" t="str">
        <f>IF(BBDD_fashion_boutique[[#This Row],[return_reason]]="","No return",BBDD_fashion_boutique[[#This Row],[return_reason]])</f>
        <v>Damaged</v>
      </c>
      <c r="Y2082">
        <f>IF(IFERROR(VLOOKUP(BBDD_fashion_boutique[[#This Row],[product_id]],A2083:A4258,1,FALSE),0),1,0)</f>
        <v>0</v>
      </c>
    </row>
    <row r="2083" spans="1:25" x14ac:dyDescent="0.3">
      <c r="A2083" t="s">
        <v>2142</v>
      </c>
      <c r="B2083" t="s">
        <v>44</v>
      </c>
      <c r="C2083" t="s">
        <v>20</v>
      </c>
      <c r="D2083" t="s">
        <v>21</v>
      </c>
      <c r="E2083" t="s">
        <v>45</v>
      </c>
      <c r="F2083" t="str">
        <f>IF(BBDD_fashion_boutique[[#This Row],[category]]="Accessories","Accesorio",IF(BBDD_fashion_boutique[[#This Row],[size]]="","Desconocido",BBDD_fashion_boutique[[#This Row],[size]]))</f>
        <v>S</v>
      </c>
      <c r="G2083" t="s">
        <v>30</v>
      </c>
      <c r="H2083" s="2">
        <v>86</v>
      </c>
      <c r="I2083">
        <v>36.700000000000003</v>
      </c>
      <c r="J2083" s="5">
        <f>BBDD_fashion_boutique[[#This Row],[markdown_percentage]]/100</f>
        <v>0.36700000000000005</v>
      </c>
      <c r="K2083" s="2">
        <v>54.44</v>
      </c>
      <c r="L2083" s="2">
        <f>BBDD_fashion_boutique[[#This Row],[original_price]]-BBDD_fashion_boutique[[#This Row],[current_price]]</f>
        <v>31.560000000000002</v>
      </c>
      <c r="M2083" s="1">
        <v>45770</v>
      </c>
      <c r="N2083" s="1" t="str">
        <f>PROPER(TEXT(BBDD_fashion_boutique[[#This Row],[purchase_date]],"dddd"))</f>
        <v>Miércoles</v>
      </c>
      <c r="O2083" s="1" t="str">
        <f>PROPER(TEXT(BBDD_fashion_boutique[[#This Row],[purchase_date]],"mmmm"))</f>
        <v>Abril</v>
      </c>
      <c r="P2083" s="4">
        <v>18</v>
      </c>
      <c r="Q2083" s="2">
        <v>2.4</v>
      </c>
      <c r="R2083" t="str">
        <f>IF(BBDD_fashion_boutique[[#This Row],[stock_quantity]]&gt;9,"Ok",IF(BBDD_fashion_boutique[[#This Row],[stock_quantity]]=0,"Agotado","Pocas Unidades"))</f>
        <v>Ok</v>
      </c>
      <c r="S2083" s="3">
        <f>IF(BBDD_fashion_boutique[[#This Row],[customer_rating]]="","No valorado",BBDD_fashion_boutique[[#This Row],[customer_rating]])</f>
        <v>2.4</v>
      </c>
      <c r="T2083" t="s">
        <v>41</v>
      </c>
      <c r="U2083" t="s">
        <v>79</v>
      </c>
      <c r="V2083">
        <f>IF(BBDD_fashion_boutique[[#This Row],[is_returned]]="False",0,1)</f>
        <v>1</v>
      </c>
      <c r="W2083">
        <f>IF(BBDD_fashion_boutique[[#This Row],[is_returned]]="True",0,BBDD_fashion_boutique[[#This Row],[current_price]])</f>
        <v>0</v>
      </c>
      <c r="X2083" t="str">
        <f>IF(BBDD_fashion_boutique[[#This Row],[return_reason]]="","No return",BBDD_fashion_boutique[[#This Row],[return_reason]])</f>
        <v>Size Issue</v>
      </c>
      <c r="Y2083">
        <f>IF(IFERROR(VLOOKUP(BBDD_fashion_boutique[[#This Row],[product_id]],A2084:A4259,1,FALSE),0),1,0)</f>
        <v>0</v>
      </c>
    </row>
    <row r="2084" spans="1:25" x14ac:dyDescent="0.3">
      <c r="A2084" t="s">
        <v>2143</v>
      </c>
      <c r="B2084" t="s">
        <v>35</v>
      </c>
      <c r="C2084" t="s">
        <v>67</v>
      </c>
      <c r="D2084" t="s">
        <v>68</v>
      </c>
      <c r="E2084" t="s">
        <v>55</v>
      </c>
      <c r="F2084" t="str">
        <f>IF(BBDD_fashion_boutique[[#This Row],[category]]="Accessories","Accesorio",IF(BBDD_fashion_boutique[[#This Row],[size]]="","Desconocido",BBDD_fashion_boutique[[#This Row],[size]]))</f>
        <v>XXL</v>
      </c>
      <c r="G2084" t="s">
        <v>50</v>
      </c>
      <c r="H2084" s="2">
        <v>154.47999999999999</v>
      </c>
      <c r="I2084">
        <v>58.5</v>
      </c>
      <c r="J2084" s="5">
        <f>BBDD_fashion_boutique[[#This Row],[markdown_percentage]]/100</f>
        <v>0.58499999999999996</v>
      </c>
      <c r="K2084" s="2">
        <v>64.11</v>
      </c>
      <c r="L2084" s="2">
        <f>BBDD_fashion_boutique[[#This Row],[original_price]]-BBDD_fashion_boutique[[#This Row],[current_price]]</f>
        <v>90.36999999999999</v>
      </c>
      <c r="M2084" s="1">
        <v>45875</v>
      </c>
      <c r="N2084" s="1" t="str">
        <f>PROPER(TEXT(BBDD_fashion_boutique[[#This Row],[purchase_date]],"dddd"))</f>
        <v>Miércoles</v>
      </c>
      <c r="O2084" s="1" t="str">
        <f>PROPER(TEXT(BBDD_fashion_boutique[[#This Row],[purchase_date]],"mmmm"))</f>
        <v>Agosto</v>
      </c>
      <c r="P2084" s="4">
        <v>19</v>
      </c>
      <c r="Q2084" s="2">
        <v>3.2</v>
      </c>
      <c r="R2084" t="str">
        <f>IF(BBDD_fashion_boutique[[#This Row],[stock_quantity]]&gt;9,"Ok",IF(BBDD_fashion_boutique[[#This Row],[stock_quantity]]=0,"Agotado","Pocas Unidades"))</f>
        <v>Ok</v>
      </c>
      <c r="S2084" s="3">
        <f>IF(BBDD_fashion_boutique[[#This Row],[customer_rating]]="","No valorado",BBDD_fashion_boutique[[#This Row],[customer_rating]])</f>
        <v>3.2</v>
      </c>
      <c r="T2084" t="s">
        <v>24</v>
      </c>
      <c r="V2084">
        <f>IF(BBDD_fashion_boutique[[#This Row],[is_returned]]="False",0,1)</f>
        <v>0</v>
      </c>
      <c r="W2084">
        <f>IF(BBDD_fashion_boutique[[#This Row],[is_returned]]="True",0,BBDD_fashion_boutique[[#This Row],[current_price]])</f>
        <v>64.11</v>
      </c>
      <c r="X2084" t="str">
        <f>IF(BBDD_fashion_boutique[[#This Row],[return_reason]]="","No return",BBDD_fashion_boutique[[#This Row],[return_reason]])</f>
        <v>No return</v>
      </c>
      <c r="Y2084">
        <f>IF(IFERROR(VLOOKUP(BBDD_fashion_boutique[[#This Row],[product_id]],A2085:A4260,1,FALSE),0),1,0)</f>
        <v>0</v>
      </c>
    </row>
    <row r="2085" spans="1:25" x14ac:dyDescent="0.3">
      <c r="A2085" t="s">
        <v>2144</v>
      </c>
      <c r="B2085" t="s">
        <v>48</v>
      </c>
      <c r="C2085" t="s">
        <v>67</v>
      </c>
      <c r="D2085" t="s">
        <v>68</v>
      </c>
      <c r="E2085" t="s">
        <v>45</v>
      </c>
      <c r="F2085" t="str">
        <f>IF(BBDD_fashion_boutique[[#This Row],[category]]="Accessories","Accesorio",IF(BBDD_fashion_boutique[[#This Row],[size]]="","Desconocido",BBDD_fashion_boutique[[#This Row],[size]]))</f>
        <v>S</v>
      </c>
      <c r="G2085" t="s">
        <v>23</v>
      </c>
      <c r="H2085" s="2">
        <v>141.97</v>
      </c>
      <c r="I2085">
        <v>35.299999999999997</v>
      </c>
      <c r="J2085" s="5">
        <f>BBDD_fashion_boutique[[#This Row],[markdown_percentage]]/100</f>
        <v>0.35299999999999998</v>
      </c>
      <c r="K2085" s="2">
        <v>91.85</v>
      </c>
      <c r="L2085" s="2">
        <f>BBDD_fashion_boutique[[#This Row],[original_price]]-BBDD_fashion_boutique[[#This Row],[current_price]]</f>
        <v>50.120000000000005</v>
      </c>
      <c r="M2085" s="1">
        <v>45875</v>
      </c>
      <c r="N2085" s="1" t="str">
        <f>PROPER(TEXT(BBDD_fashion_boutique[[#This Row],[purchase_date]],"dddd"))</f>
        <v>Miércoles</v>
      </c>
      <c r="O2085" s="1" t="str">
        <f>PROPER(TEXT(BBDD_fashion_boutique[[#This Row],[purchase_date]],"mmmm"))</f>
        <v>Agosto</v>
      </c>
      <c r="P2085" s="4">
        <v>12</v>
      </c>
      <c r="Q2085" s="2">
        <v>2.6</v>
      </c>
      <c r="R2085" t="str">
        <f>IF(BBDD_fashion_boutique[[#This Row],[stock_quantity]]&gt;9,"Ok",IF(BBDD_fashion_boutique[[#This Row],[stock_quantity]]=0,"Agotado","Pocas Unidades"))</f>
        <v>Ok</v>
      </c>
      <c r="S2085" s="3">
        <f>IF(BBDD_fashion_boutique[[#This Row],[customer_rating]]="","No valorado",BBDD_fashion_boutique[[#This Row],[customer_rating]])</f>
        <v>2.6</v>
      </c>
      <c r="T2085" t="s">
        <v>24</v>
      </c>
      <c r="V2085">
        <f>IF(BBDD_fashion_boutique[[#This Row],[is_returned]]="False",0,1)</f>
        <v>0</v>
      </c>
      <c r="W2085">
        <f>IF(BBDD_fashion_boutique[[#This Row],[is_returned]]="True",0,BBDD_fashion_boutique[[#This Row],[current_price]])</f>
        <v>91.85</v>
      </c>
      <c r="X2085" t="str">
        <f>IF(BBDD_fashion_boutique[[#This Row],[return_reason]]="","No return",BBDD_fashion_boutique[[#This Row],[return_reason]])</f>
        <v>No return</v>
      </c>
      <c r="Y2085">
        <f>IF(IFERROR(VLOOKUP(BBDD_fashion_boutique[[#This Row],[product_id]],A2086:A4261,1,FALSE),0),1,0)</f>
        <v>0</v>
      </c>
    </row>
    <row r="2086" spans="1:25" x14ac:dyDescent="0.3">
      <c r="A2086" t="s">
        <v>2145</v>
      </c>
      <c r="B2086" t="s">
        <v>19</v>
      </c>
      <c r="C2086" t="s">
        <v>67</v>
      </c>
      <c r="D2086" t="s">
        <v>21</v>
      </c>
      <c r="E2086" t="s">
        <v>61</v>
      </c>
      <c r="F2086" t="str">
        <f>IF(BBDD_fashion_boutique[[#This Row],[category]]="Accessories","Accesorio",IF(BBDD_fashion_boutique[[#This Row],[size]]="","Desconocido",BBDD_fashion_boutique[[#This Row],[size]]))</f>
        <v>XS</v>
      </c>
      <c r="G2086" t="s">
        <v>23</v>
      </c>
      <c r="H2086" s="2">
        <v>119.36</v>
      </c>
      <c r="I2086">
        <v>0</v>
      </c>
      <c r="J2086" s="5">
        <f>BBDD_fashion_boutique[[#This Row],[markdown_percentage]]/100</f>
        <v>0</v>
      </c>
      <c r="K2086" s="2">
        <v>119.36</v>
      </c>
      <c r="L2086" s="2">
        <f>BBDD_fashion_boutique[[#This Row],[original_price]]-BBDD_fashion_boutique[[#This Row],[current_price]]</f>
        <v>0</v>
      </c>
      <c r="M2086" s="1">
        <v>45840</v>
      </c>
      <c r="N2086" s="1" t="str">
        <f>PROPER(TEXT(BBDD_fashion_boutique[[#This Row],[purchase_date]],"dddd"))</f>
        <v>Miércoles</v>
      </c>
      <c r="O2086" s="1" t="str">
        <f>PROPER(TEXT(BBDD_fashion_boutique[[#This Row],[purchase_date]],"mmmm"))</f>
        <v>Julio</v>
      </c>
      <c r="P2086" s="4">
        <v>30</v>
      </c>
      <c r="Q2086" s="2">
        <v>2.7</v>
      </c>
      <c r="R2086" t="str">
        <f>IF(BBDD_fashion_boutique[[#This Row],[stock_quantity]]&gt;9,"Ok",IF(BBDD_fashion_boutique[[#This Row],[stock_quantity]]=0,"Agotado","Pocas Unidades"))</f>
        <v>Ok</v>
      </c>
      <c r="S2086" s="3">
        <f>IF(BBDD_fashion_boutique[[#This Row],[customer_rating]]="","No valorado",BBDD_fashion_boutique[[#This Row],[customer_rating]])</f>
        <v>2.7</v>
      </c>
      <c r="T2086" t="s">
        <v>41</v>
      </c>
      <c r="U2086" t="s">
        <v>79</v>
      </c>
      <c r="V2086">
        <f>IF(BBDD_fashion_boutique[[#This Row],[is_returned]]="False",0,1)</f>
        <v>1</v>
      </c>
      <c r="W2086">
        <f>IF(BBDD_fashion_boutique[[#This Row],[is_returned]]="True",0,BBDD_fashion_boutique[[#This Row],[current_price]])</f>
        <v>0</v>
      </c>
      <c r="X2086" t="str">
        <f>IF(BBDD_fashion_boutique[[#This Row],[return_reason]]="","No return",BBDD_fashion_boutique[[#This Row],[return_reason]])</f>
        <v>Size Issue</v>
      </c>
      <c r="Y2086">
        <f>IF(IFERROR(VLOOKUP(BBDD_fashion_boutique[[#This Row],[product_id]],A2087:A4262,1,FALSE),0),1,0)</f>
        <v>0</v>
      </c>
    </row>
    <row r="2087" spans="1:25" x14ac:dyDescent="0.3">
      <c r="A2087" t="s">
        <v>2146</v>
      </c>
      <c r="B2087" t="s">
        <v>32</v>
      </c>
      <c r="C2087" t="s">
        <v>81</v>
      </c>
      <c r="D2087" t="s">
        <v>68</v>
      </c>
      <c r="F2087" t="str">
        <f>IF(BBDD_fashion_boutique[[#This Row],[category]]="Accessories","Accesorio",IF(BBDD_fashion_boutique[[#This Row],[size]]="","Desconocido",BBDD_fashion_boutique[[#This Row],[size]]))</f>
        <v>Accesorio</v>
      </c>
      <c r="G2087" t="s">
        <v>70</v>
      </c>
      <c r="H2087" s="2">
        <v>15.71</v>
      </c>
      <c r="I2087">
        <v>47.6</v>
      </c>
      <c r="J2087" s="5">
        <f>BBDD_fashion_boutique[[#This Row],[markdown_percentage]]/100</f>
        <v>0.47600000000000003</v>
      </c>
      <c r="K2087" s="2">
        <v>8.23</v>
      </c>
      <c r="L2087" s="2">
        <f>BBDD_fashion_boutique[[#This Row],[original_price]]-BBDD_fashion_boutique[[#This Row],[current_price]]</f>
        <v>7.48</v>
      </c>
      <c r="M2087" s="1">
        <v>45875</v>
      </c>
      <c r="N2087" s="1" t="str">
        <f>PROPER(TEXT(BBDD_fashion_boutique[[#This Row],[purchase_date]],"dddd"))</f>
        <v>Miércoles</v>
      </c>
      <c r="O2087" s="1" t="str">
        <f>PROPER(TEXT(BBDD_fashion_boutique[[#This Row],[purchase_date]],"mmmm"))</f>
        <v>Agosto</v>
      </c>
      <c r="P2087" s="4">
        <v>42</v>
      </c>
      <c r="Q2087" s="2">
        <v>2</v>
      </c>
      <c r="R2087" t="str">
        <f>IF(BBDD_fashion_boutique[[#This Row],[stock_quantity]]&gt;9,"Ok",IF(BBDD_fashion_boutique[[#This Row],[stock_quantity]]=0,"Agotado","Pocas Unidades"))</f>
        <v>Ok</v>
      </c>
      <c r="S2087" s="3">
        <f>IF(BBDD_fashion_boutique[[#This Row],[customer_rating]]="","No valorado",BBDD_fashion_boutique[[#This Row],[customer_rating]])</f>
        <v>2</v>
      </c>
      <c r="T2087" t="s">
        <v>24</v>
      </c>
      <c r="V2087">
        <f>IF(BBDD_fashion_boutique[[#This Row],[is_returned]]="False",0,1)</f>
        <v>0</v>
      </c>
      <c r="W2087">
        <f>IF(BBDD_fashion_boutique[[#This Row],[is_returned]]="True",0,BBDD_fashion_boutique[[#This Row],[current_price]])</f>
        <v>8.23</v>
      </c>
      <c r="X2087" t="str">
        <f>IF(BBDD_fashion_boutique[[#This Row],[return_reason]]="","No return",BBDD_fashion_boutique[[#This Row],[return_reason]])</f>
        <v>No return</v>
      </c>
      <c r="Y2087">
        <f>IF(IFERROR(VLOOKUP(BBDD_fashion_boutique[[#This Row],[product_id]],A2088:A4263,1,FALSE),0),1,0)</f>
        <v>0</v>
      </c>
    </row>
    <row r="2088" spans="1:25" x14ac:dyDescent="0.3">
      <c r="A2088" t="s">
        <v>2147</v>
      </c>
      <c r="B2088" t="s">
        <v>35</v>
      </c>
      <c r="C2088" t="s">
        <v>49</v>
      </c>
      <c r="D2088" t="s">
        <v>28</v>
      </c>
      <c r="E2088" t="s">
        <v>64</v>
      </c>
      <c r="F2088" t="str">
        <f>IF(BBDD_fashion_boutique[[#This Row],[category]]="Accessories","Accesorio",IF(BBDD_fashion_boutique[[#This Row],[size]]="","Desconocido",BBDD_fashion_boutique[[#This Row],[size]]))</f>
        <v>M</v>
      </c>
      <c r="G2088" t="s">
        <v>33</v>
      </c>
      <c r="H2088" s="2">
        <v>89.12</v>
      </c>
      <c r="I2088">
        <v>0</v>
      </c>
      <c r="J2088" s="5">
        <f>BBDD_fashion_boutique[[#This Row],[markdown_percentage]]/100</f>
        <v>0</v>
      </c>
      <c r="K2088" s="2">
        <v>89.12</v>
      </c>
      <c r="L2088" s="2">
        <f>BBDD_fashion_boutique[[#This Row],[original_price]]-BBDD_fashion_boutique[[#This Row],[current_price]]</f>
        <v>0</v>
      </c>
      <c r="M2088" s="1">
        <v>45875</v>
      </c>
      <c r="N2088" s="1" t="str">
        <f>PROPER(TEXT(BBDD_fashion_boutique[[#This Row],[purchase_date]],"dddd"))</f>
        <v>Miércoles</v>
      </c>
      <c r="O2088" s="1" t="str">
        <f>PROPER(TEXT(BBDD_fashion_boutique[[#This Row],[purchase_date]],"mmmm"))</f>
        <v>Agosto</v>
      </c>
      <c r="P2088" s="4">
        <v>27</v>
      </c>
      <c r="R2088" t="str">
        <f>IF(BBDD_fashion_boutique[[#This Row],[stock_quantity]]&gt;9,"Ok",IF(BBDD_fashion_boutique[[#This Row],[stock_quantity]]=0,"Agotado","Pocas Unidades"))</f>
        <v>Ok</v>
      </c>
      <c r="S2088" s="3" t="str">
        <f>IF(BBDD_fashion_boutique[[#This Row],[customer_rating]]="","No valorado",BBDD_fashion_boutique[[#This Row],[customer_rating]])</f>
        <v>No valorado</v>
      </c>
      <c r="T2088" t="s">
        <v>41</v>
      </c>
      <c r="U2088" t="s">
        <v>84</v>
      </c>
      <c r="V2088">
        <f>IF(BBDD_fashion_boutique[[#This Row],[is_returned]]="False",0,1)</f>
        <v>1</v>
      </c>
      <c r="W2088">
        <f>IF(BBDD_fashion_boutique[[#This Row],[is_returned]]="True",0,BBDD_fashion_boutique[[#This Row],[current_price]])</f>
        <v>0</v>
      </c>
      <c r="X2088" t="str">
        <f>IF(BBDD_fashion_boutique[[#This Row],[return_reason]]="","No return",BBDD_fashion_boutique[[#This Row],[return_reason]])</f>
        <v>Damaged</v>
      </c>
      <c r="Y2088">
        <f>IF(IFERROR(VLOOKUP(BBDD_fashion_boutique[[#This Row],[product_id]],A2089:A4264,1,FALSE),0),1,0)</f>
        <v>0</v>
      </c>
    </row>
    <row r="2089" spans="1:25" x14ac:dyDescent="0.3">
      <c r="A2089" t="s">
        <v>2148</v>
      </c>
      <c r="B2089" t="s">
        <v>44</v>
      </c>
      <c r="C2089" t="s">
        <v>54</v>
      </c>
      <c r="D2089" t="s">
        <v>39</v>
      </c>
      <c r="E2089" t="s">
        <v>45</v>
      </c>
      <c r="F2089" t="str">
        <f>IF(BBDD_fashion_boutique[[#This Row],[category]]="Accessories","Accesorio",IF(BBDD_fashion_boutique[[#This Row],[size]]="","Desconocido",BBDD_fashion_boutique[[#This Row],[size]]))</f>
        <v>S</v>
      </c>
      <c r="G2089" t="s">
        <v>50</v>
      </c>
      <c r="H2089" s="2">
        <v>30.43</v>
      </c>
      <c r="I2089">
        <v>0</v>
      </c>
      <c r="J2089" s="5">
        <f>BBDD_fashion_boutique[[#This Row],[markdown_percentage]]/100</f>
        <v>0</v>
      </c>
      <c r="K2089" s="2">
        <v>30.43</v>
      </c>
      <c r="L2089" s="2">
        <f>BBDD_fashion_boutique[[#This Row],[original_price]]-BBDD_fashion_boutique[[#This Row],[current_price]]</f>
        <v>0</v>
      </c>
      <c r="M2089" s="1">
        <v>45875</v>
      </c>
      <c r="N2089" s="1" t="str">
        <f>PROPER(TEXT(BBDD_fashion_boutique[[#This Row],[purchase_date]],"dddd"))</f>
        <v>Miércoles</v>
      </c>
      <c r="O2089" s="1" t="str">
        <f>PROPER(TEXT(BBDD_fashion_boutique[[#This Row],[purchase_date]],"mmmm"))</f>
        <v>Agosto</v>
      </c>
      <c r="P2089" s="4">
        <v>32</v>
      </c>
      <c r="Q2089" s="2">
        <v>3.1</v>
      </c>
      <c r="R2089" t="str">
        <f>IF(BBDD_fashion_boutique[[#This Row],[stock_quantity]]&gt;9,"Ok",IF(BBDD_fashion_boutique[[#This Row],[stock_quantity]]=0,"Agotado","Pocas Unidades"))</f>
        <v>Ok</v>
      </c>
      <c r="S2089" s="3">
        <f>IF(BBDD_fashion_boutique[[#This Row],[customer_rating]]="","No valorado",BBDD_fashion_boutique[[#This Row],[customer_rating]])</f>
        <v>3.1</v>
      </c>
      <c r="T2089" t="s">
        <v>24</v>
      </c>
      <c r="V2089">
        <f>IF(BBDD_fashion_boutique[[#This Row],[is_returned]]="False",0,1)</f>
        <v>0</v>
      </c>
      <c r="W2089">
        <f>IF(BBDD_fashion_boutique[[#This Row],[is_returned]]="True",0,BBDD_fashion_boutique[[#This Row],[current_price]])</f>
        <v>30.43</v>
      </c>
      <c r="X2089" t="str">
        <f>IF(BBDD_fashion_boutique[[#This Row],[return_reason]]="","No return",BBDD_fashion_boutique[[#This Row],[return_reason]])</f>
        <v>No return</v>
      </c>
      <c r="Y2089">
        <f>IF(IFERROR(VLOOKUP(BBDD_fashion_boutique[[#This Row],[product_id]],A2090:A4265,1,FALSE),0),1,0)</f>
        <v>0</v>
      </c>
    </row>
    <row r="2090" spans="1:25" x14ac:dyDescent="0.3">
      <c r="A2090" t="s">
        <v>2149</v>
      </c>
      <c r="B2090" t="s">
        <v>48</v>
      </c>
      <c r="C2090" t="s">
        <v>81</v>
      </c>
      <c r="D2090" t="s">
        <v>28</v>
      </c>
      <c r="E2090" t="s">
        <v>61</v>
      </c>
      <c r="F2090" t="str">
        <f>IF(BBDD_fashion_boutique[[#This Row],[category]]="Accessories","Accesorio",IF(BBDD_fashion_boutique[[#This Row],[size]]="","Desconocido",BBDD_fashion_boutique[[#This Row],[size]]))</f>
        <v>XS</v>
      </c>
      <c r="G2090" t="s">
        <v>30</v>
      </c>
      <c r="H2090" s="2">
        <v>115.4</v>
      </c>
      <c r="I2090">
        <v>0</v>
      </c>
      <c r="J2090" s="5">
        <f>BBDD_fashion_boutique[[#This Row],[markdown_percentage]]/100</f>
        <v>0</v>
      </c>
      <c r="K2090" s="2">
        <v>115.4</v>
      </c>
      <c r="L2090" s="2">
        <f>BBDD_fashion_boutique[[#This Row],[original_price]]-BBDD_fashion_boutique[[#This Row],[current_price]]</f>
        <v>0</v>
      </c>
      <c r="M2090" s="1">
        <v>45875</v>
      </c>
      <c r="N2090" s="1" t="str">
        <f>PROPER(TEXT(BBDD_fashion_boutique[[#This Row],[purchase_date]],"dddd"))</f>
        <v>Miércoles</v>
      </c>
      <c r="O2090" s="1" t="str">
        <f>PROPER(TEXT(BBDD_fashion_boutique[[#This Row],[purchase_date]],"mmmm"))</f>
        <v>Agosto</v>
      </c>
      <c r="P2090" s="4">
        <v>7</v>
      </c>
      <c r="Q2090" s="2">
        <v>4.5</v>
      </c>
      <c r="R2090" t="str">
        <f>IF(BBDD_fashion_boutique[[#This Row],[stock_quantity]]&gt;9,"Ok",IF(BBDD_fashion_boutique[[#This Row],[stock_quantity]]=0,"Agotado","Pocas Unidades"))</f>
        <v>Pocas Unidades</v>
      </c>
      <c r="S2090" s="3">
        <f>IF(BBDD_fashion_boutique[[#This Row],[customer_rating]]="","No valorado",BBDD_fashion_boutique[[#This Row],[customer_rating]])</f>
        <v>4.5</v>
      </c>
      <c r="T2090" t="s">
        <v>24</v>
      </c>
      <c r="V2090">
        <f>IF(BBDD_fashion_boutique[[#This Row],[is_returned]]="False",0,1)</f>
        <v>0</v>
      </c>
      <c r="W2090">
        <f>IF(BBDD_fashion_boutique[[#This Row],[is_returned]]="True",0,BBDD_fashion_boutique[[#This Row],[current_price]])</f>
        <v>115.4</v>
      </c>
      <c r="X2090" t="str">
        <f>IF(BBDD_fashion_boutique[[#This Row],[return_reason]]="","No return",BBDD_fashion_boutique[[#This Row],[return_reason]])</f>
        <v>No return</v>
      </c>
      <c r="Y2090">
        <f>IF(IFERROR(VLOOKUP(BBDD_fashion_boutique[[#This Row],[product_id]],A2091:A4266,1,FALSE),0),1,0)</f>
        <v>0</v>
      </c>
    </row>
    <row r="2091" spans="1:25" x14ac:dyDescent="0.3">
      <c r="A2091" t="s">
        <v>2150</v>
      </c>
      <c r="B2091" t="s">
        <v>19</v>
      </c>
      <c r="C2091" t="s">
        <v>67</v>
      </c>
      <c r="D2091" t="s">
        <v>28</v>
      </c>
      <c r="E2091" t="s">
        <v>45</v>
      </c>
      <c r="F2091" t="str">
        <f>IF(BBDD_fashion_boutique[[#This Row],[category]]="Accessories","Accesorio",IF(BBDD_fashion_boutique[[#This Row],[size]]="","Desconocido",BBDD_fashion_boutique[[#This Row],[size]]))</f>
        <v>S</v>
      </c>
      <c r="G2091" t="s">
        <v>23</v>
      </c>
      <c r="H2091" s="2">
        <v>155.19999999999999</v>
      </c>
      <c r="I2091">
        <v>0</v>
      </c>
      <c r="J2091" s="5">
        <f>BBDD_fashion_boutique[[#This Row],[markdown_percentage]]/100</f>
        <v>0</v>
      </c>
      <c r="K2091" s="2">
        <v>155.19999999999999</v>
      </c>
      <c r="L2091" s="2">
        <f>BBDD_fashion_boutique[[#This Row],[original_price]]-BBDD_fashion_boutique[[#This Row],[current_price]]</f>
        <v>0</v>
      </c>
      <c r="M2091" s="1">
        <v>45875</v>
      </c>
      <c r="N2091" s="1" t="str">
        <f>PROPER(TEXT(BBDD_fashion_boutique[[#This Row],[purchase_date]],"dddd"))</f>
        <v>Miércoles</v>
      </c>
      <c r="O2091" s="1" t="str">
        <f>PROPER(TEXT(BBDD_fashion_boutique[[#This Row],[purchase_date]],"mmmm"))</f>
        <v>Agosto</v>
      </c>
      <c r="P2091" s="4">
        <v>5</v>
      </c>
      <c r="Q2091" s="2">
        <v>4.8</v>
      </c>
      <c r="R2091" t="str">
        <f>IF(BBDD_fashion_boutique[[#This Row],[stock_quantity]]&gt;9,"Ok",IF(BBDD_fashion_boutique[[#This Row],[stock_quantity]]=0,"Agotado","Pocas Unidades"))</f>
        <v>Pocas Unidades</v>
      </c>
      <c r="S2091" s="3">
        <f>IF(BBDD_fashion_boutique[[#This Row],[customer_rating]]="","No valorado",BBDD_fashion_boutique[[#This Row],[customer_rating]])</f>
        <v>4.8</v>
      </c>
      <c r="T2091" t="s">
        <v>24</v>
      </c>
      <c r="V2091">
        <f>IF(BBDD_fashion_boutique[[#This Row],[is_returned]]="False",0,1)</f>
        <v>0</v>
      </c>
      <c r="W2091">
        <f>IF(BBDD_fashion_boutique[[#This Row],[is_returned]]="True",0,BBDD_fashion_boutique[[#This Row],[current_price]])</f>
        <v>155.19999999999999</v>
      </c>
      <c r="X2091" t="str">
        <f>IF(BBDD_fashion_boutique[[#This Row],[return_reason]]="","No return",BBDD_fashion_boutique[[#This Row],[return_reason]])</f>
        <v>No return</v>
      </c>
      <c r="Y2091">
        <f>IF(IFERROR(VLOOKUP(BBDD_fashion_boutique[[#This Row],[product_id]],A2092:A4267,1,FALSE),0),1,0)</f>
        <v>0</v>
      </c>
    </row>
    <row r="2092" spans="1:25" x14ac:dyDescent="0.3">
      <c r="A2092" t="s">
        <v>2151</v>
      </c>
      <c r="B2092" t="s">
        <v>44</v>
      </c>
      <c r="C2092" t="s">
        <v>81</v>
      </c>
      <c r="D2092" t="s">
        <v>39</v>
      </c>
      <c r="E2092" t="s">
        <v>29</v>
      </c>
      <c r="F2092" t="str">
        <f>IF(BBDD_fashion_boutique[[#This Row],[category]]="Accessories","Accesorio",IF(BBDD_fashion_boutique[[#This Row],[size]]="","Desconocido",BBDD_fashion_boutique[[#This Row],[size]]))</f>
        <v>L</v>
      </c>
      <c r="G2092" t="s">
        <v>46</v>
      </c>
      <c r="H2092" s="2">
        <v>104.83</v>
      </c>
      <c r="I2092">
        <v>0</v>
      </c>
      <c r="J2092" s="5">
        <f>BBDD_fashion_boutique[[#This Row],[markdown_percentage]]/100</f>
        <v>0</v>
      </c>
      <c r="K2092" s="2">
        <v>104.83</v>
      </c>
      <c r="L2092" s="2">
        <f>BBDD_fashion_boutique[[#This Row],[original_price]]-BBDD_fashion_boutique[[#This Row],[current_price]]</f>
        <v>0</v>
      </c>
      <c r="M2092" s="1">
        <v>45875</v>
      </c>
      <c r="N2092" s="1" t="str">
        <f>PROPER(TEXT(BBDD_fashion_boutique[[#This Row],[purchase_date]],"dddd"))</f>
        <v>Miércoles</v>
      </c>
      <c r="O2092" s="1" t="str">
        <f>PROPER(TEXT(BBDD_fashion_boutique[[#This Row],[purchase_date]],"mmmm"))</f>
        <v>Agosto</v>
      </c>
      <c r="P2092" s="4">
        <v>26</v>
      </c>
      <c r="Q2092" s="2">
        <v>4</v>
      </c>
      <c r="R2092" t="str">
        <f>IF(BBDD_fashion_boutique[[#This Row],[stock_quantity]]&gt;9,"Ok",IF(BBDD_fashion_boutique[[#This Row],[stock_quantity]]=0,"Agotado","Pocas Unidades"))</f>
        <v>Ok</v>
      </c>
      <c r="S2092" s="3">
        <f>IF(BBDD_fashion_boutique[[#This Row],[customer_rating]]="","No valorado",BBDD_fashion_boutique[[#This Row],[customer_rating]])</f>
        <v>4</v>
      </c>
      <c r="T2092" t="s">
        <v>24</v>
      </c>
      <c r="V2092">
        <f>IF(BBDD_fashion_boutique[[#This Row],[is_returned]]="False",0,1)</f>
        <v>0</v>
      </c>
      <c r="W2092">
        <f>IF(BBDD_fashion_boutique[[#This Row],[is_returned]]="True",0,BBDD_fashion_boutique[[#This Row],[current_price]])</f>
        <v>104.83</v>
      </c>
      <c r="X2092" t="str">
        <f>IF(BBDD_fashion_boutique[[#This Row],[return_reason]]="","No return",BBDD_fashion_boutique[[#This Row],[return_reason]])</f>
        <v>No return</v>
      </c>
      <c r="Y2092">
        <f>IF(IFERROR(VLOOKUP(BBDD_fashion_boutique[[#This Row],[product_id]],A2093:A4268,1,FALSE),0),1,0)</f>
        <v>0</v>
      </c>
    </row>
    <row r="2093" spans="1:25" x14ac:dyDescent="0.3">
      <c r="A2093" t="s">
        <v>2152</v>
      </c>
      <c r="B2093" t="s">
        <v>32</v>
      </c>
      <c r="C2093" t="s">
        <v>67</v>
      </c>
      <c r="D2093" t="s">
        <v>68</v>
      </c>
      <c r="F2093" t="str">
        <f>IF(BBDD_fashion_boutique[[#This Row],[category]]="Accessories","Accesorio",IF(BBDD_fashion_boutique[[#This Row],[size]]="","Desconocido",BBDD_fashion_boutique[[#This Row],[size]]))</f>
        <v>Accesorio</v>
      </c>
      <c r="G2093" t="s">
        <v>46</v>
      </c>
      <c r="H2093" s="2">
        <v>41.62</v>
      </c>
      <c r="I2093">
        <v>0</v>
      </c>
      <c r="J2093" s="5">
        <f>BBDD_fashion_boutique[[#This Row],[markdown_percentage]]/100</f>
        <v>0</v>
      </c>
      <c r="K2093" s="2">
        <v>41.62</v>
      </c>
      <c r="L2093" s="2">
        <f>BBDD_fashion_boutique[[#This Row],[original_price]]-BBDD_fashion_boutique[[#This Row],[current_price]]</f>
        <v>0</v>
      </c>
      <c r="M2093" s="1">
        <v>45875</v>
      </c>
      <c r="N2093" s="1" t="str">
        <f>PROPER(TEXT(BBDD_fashion_boutique[[#This Row],[purchase_date]],"dddd"))</f>
        <v>Miércoles</v>
      </c>
      <c r="O2093" s="1" t="str">
        <f>PROPER(TEXT(BBDD_fashion_boutique[[#This Row],[purchase_date]],"mmmm"))</f>
        <v>Agosto</v>
      </c>
      <c r="P2093" s="4">
        <v>33</v>
      </c>
      <c r="R2093" t="str">
        <f>IF(BBDD_fashion_boutique[[#This Row],[stock_quantity]]&gt;9,"Ok",IF(BBDD_fashion_boutique[[#This Row],[stock_quantity]]=0,"Agotado","Pocas Unidades"))</f>
        <v>Ok</v>
      </c>
      <c r="S2093" s="3" t="str">
        <f>IF(BBDD_fashion_boutique[[#This Row],[customer_rating]]="","No valorado",BBDD_fashion_boutique[[#This Row],[customer_rating]])</f>
        <v>No valorado</v>
      </c>
      <c r="T2093" t="s">
        <v>24</v>
      </c>
      <c r="V2093">
        <f>IF(BBDD_fashion_boutique[[#This Row],[is_returned]]="False",0,1)</f>
        <v>0</v>
      </c>
      <c r="W2093">
        <f>IF(BBDD_fashion_boutique[[#This Row],[is_returned]]="True",0,BBDD_fashion_boutique[[#This Row],[current_price]])</f>
        <v>41.62</v>
      </c>
      <c r="X2093" t="str">
        <f>IF(BBDD_fashion_boutique[[#This Row],[return_reason]]="","No return",BBDD_fashion_boutique[[#This Row],[return_reason]])</f>
        <v>No return</v>
      </c>
      <c r="Y2093">
        <f>IF(IFERROR(VLOOKUP(BBDD_fashion_boutique[[#This Row],[product_id]],A2094:A4269,1,FALSE),0),1,0)</f>
        <v>0</v>
      </c>
    </row>
    <row r="2094" spans="1:25" x14ac:dyDescent="0.3">
      <c r="A2094" t="s">
        <v>2153</v>
      </c>
      <c r="B2094" t="s">
        <v>44</v>
      </c>
      <c r="C2094" t="s">
        <v>59</v>
      </c>
      <c r="D2094" t="s">
        <v>21</v>
      </c>
      <c r="E2094" t="s">
        <v>64</v>
      </c>
      <c r="F2094" t="str">
        <f>IF(BBDD_fashion_boutique[[#This Row],[category]]="Accessories","Accesorio",IF(BBDD_fashion_boutique[[#This Row],[size]]="","Desconocido",BBDD_fashion_boutique[[#This Row],[size]]))</f>
        <v>M</v>
      </c>
      <c r="G2094" t="s">
        <v>62</v>
      </c>
      <c r="H2094" s="2">
        <v>94.92</v>
      </c>
      <c r="I2094">
        <v>0</v>
      </c>
      <c r="J2094" s="5">
        <f>BBDD_fashion_boutique[[#This Row],[markdown_percentage]]/100</f>
        <v>0</v>
      </c>
      <c r="K2094" s="2">
        <v>94.92</v>
      </c>
      <c r="L2094" s="2">
        <f>BBDD_fashion_boutique[[#This Row],[original_price]]-BBDD_fashion_boutique[[#This Row],[current_price]]</f>
        <v>0</v>
      </c>
      <c r="M2094" s="1">
        <v>45564</v>
      </c>
      <c r="N2094" s="1" t="str">
        <f>PROPER(TEXT(BBDD_fashion_boutique[[#This Row],[purchase_date]],"dddd"))</f>
        <v>Domingo</v>
      </c>
      <c r="O2094" s="1" t="str">
        <f>PROPER(TEXT(BBDD_fashion_boutique[[#This Row],[purchase_date]],"mmmm"))</f>
        <v>Septiembre</v>
      </c>
      <c r="P2094" s="4">
        <v>20</v>
      </c>
      <c r="Q2094" s="2">
        <v>2.2999999999999998</v>
      </c>
      <c r="R2094" t="str">
        <f>IF(BBDD_fashion_boutique[[#This Row],[stock_quantity]]&gt;9,"Ok",IF(BBDD_fashion_boutique[[#This Row],[stock_quantity]]=0,"Agotado","Pocas Unidades"))</f>
        <v>Ok</v>
      </c>
      <c r="S2094" s="3">
        <f>IF(BBDD_fashion_boutique[[#This Row],[customer_rating]]="","No valorado",BBDD_fashion_boutique[[#This Row],[customer_rating]])</f>
        <v>2.2999999999999998</v>
      </c>
      <c r="T2094" t="s">
        <v>24</v>
      </c>
      <c r="V2094">
        <f>IF(BBDD_fashion_boutique[[#This Row],[is_returned]]="False",0,1)</f>
        <v>0</v>
      </c>
      <c r="W2094">
        <f>IF(BBDD_fashion_boutique[[#This Row],[is_returned]]="True",0,BBDD_fashion_boutique[[#This Row],[current_price]])</f>
        <v>94.92</v>
      </c>
      <c r="X2094" t="str">
        <f>IF(BBDD_fashion_boutique[[#This Row],[return_reason]]="","No return",BBDD_fashion_boutique[[#This Row],[return_reason]])</f>
        <v>No return</v>
      </c>
      <c r="Y2094">
        <f>IF(IFERROR(VLOOKUP(BBDD_fashion_boutique[[#This Row],[product_id]],A2095:A4270,1,FALSE),0),1,0)</f>
        <v>0</v>
      </c>
    </row>
    <row r="2095" spans="1:25" x14ac:dyDescent="0.3">
      <c r="A2095" t="s">
        <v>2154</v>
      </c>
      <c r="B2095" t="s">
        <v>44</v>
      </c>
      <c r="C2095" t="s">
        <v>49</v>
      </c>
      <c r="D2095" t="s">
        <v>39</v>
      </c>
      <c r="E2095" t="s">
        <v>55</v>
      </c>
      <c r="F2095" t="str">
        <f>IF(BBDD_fashion_boutique[[#This Row],[category]]="Accessories","Accesorio",IF(BBDD_fashion_boutique[[#This Row],[size]]="","Desconocido",BBDD_fashion_boutique[[#This Row],[size]]))</f>
        <v>XXL</v>
      </c>
      <c r="G2095" t="s">
        <v>23</v>
      </c>
      <c r="H2095" s="2">
        <v>107.92</v>
      </c>
      <c r="I2095">
        <v>22.2</v>
      </c>
      <c r="J2095" s="5">
        <f>BBDD_fashion_boutique[[#This Row],[markdown_percentage]]/100</f>
        <v>0.222</v>
      </c>
      <c r="K2095" s="2">
        <v>83.96</v>
      </c>
      <c r="L2095" s="2">
        <f>BBDD_fashion_boutique[[#This Row],[original_price]]-BBDD_fashion_boutique[[#This Row],[current_price]]</f>
        <v>23.960000000000008</v>
      </c>
      <c r="M2095" s="1">
        <v>45875</v>
      </c>
      <c r="N2095" s="1" t="str">
        <f>PROPER(TEXT(BBDD_fashion_boutique[[#This Row],[purchase_date]],"dddd"))</f>
        <v>Miércoles</v>
      </c>
      <c r="O2095" s="1" t="str">
        <f>PROPER(TEXT(BBDD_fashion_boutique[[#This Row],[purchase_date]],"mmmm"))</f>
        <v>Agosto</v>
      </c>
      <c r="P2095" s="4">
        <v>35</v>
      </c>
      <c r="Q2095" s="2">
        <v>3.7</v>
      </c>
      <c r="R2095" t="str">
        <f>IF(BBDD_fashion_boutique[[#This Row],[stock_quantity]]&gt;9,"Ok",IF(BBDD_fashion_boutique[[#This Row],[stock_quantity]]=0,"Agotado","Pocas Unidades"))</f>
        <v>Ok</v>
      </c>
      <c r="S2095" s="3">
        <f>IF(BBDD_fashion_boutique[[#This Row],[customer_rating]]="","No valorado",BBDD_fashion_boutique[[#This Row],[customer_rating]])</f>
        <v>3.7</v>
      </c>
      <c r="T2095" t="s">
        <v>24</v>
      </c>
      <c r="V2095">
        <f>IF(BBDD_fashion_boutique[[#This Row],[is_returned]]="False",0,1)</f>
        <v>0</v>
      </c>
      <c r="W2095">
        <f>IF(BBDD_fashion_boutique[[#This Row],[is_returned]]="True",0,BBDD_fashion_boutique[[#This Row],[current_price]])</f>
        <v>83.96</v>
      </c>
      <c r="X2095" t="str">
        <f>IF(BBDD_fashion_boutique[[#This Row],[return_reason]]="","No return",BBDD_fashion_boutique[[#This Row],[return_reason]])</f>
        <v>No return</v>
      </c>
      <c r="Y2095">
        <f>IF(IFERROR(VLOOKUP(BBDD_fashion_boutique[[#This Row],[product_id]],A2096:A4271,1,FALSE),0),1,0)</f>
        <v>0</v>
      </c>
    </row>
    <row r="2096" spans="1:25" x14ac:dyDescent="0.3">
      <c r="A2096" t="s">
        <v>2155</v>
      </c>
      <c r="B2096" t="s">
        <v>32</v>
      </c>
      <c r="C2096" t="s">
        <v>81</v>
      </c>
      <c r="D2096" t="s">
        <v>68</v>
      </c>
      <c r="F2096" t="str">
        <f>IF(BBDD_fashion_boutique[[#This Row],[category]]="Accessories","Accesorio",IF(BBDD_fashion_boutique[[#This Row],[size]]="","Desconocido",BBDD_fashion_boutique[[#This Row],[size]]))</f>
        <v>Accesorio</v>
      </c>
      <c r="G2096" t="s">
        <v>52</v>
      </c>
      <c r="H2096" s="2">
        <v>45.52</v>
      </c>
      <c r="I2096">
        <v>0</v>
      </c>
      <c r="J2096" s="5">
        <f>BBDD_fashion_boutique[[#This Row],[markdown_percentage]]/100</f>
        <v>0</v>
      </c>
      <c r="K2096" s="2">
        <v>45.52</v>
      </c>
      <c r="L2096" s="2">
        <f>BBDD_fashion_boutique[[#This Row],[original_price]]-BBDD_fashion_boutique[[#This Row],[current_price]]</f>
        <v>0</v>
      </c>
      <c r="M2096" s="1">
        <v>45875</v>
      </c>
      <c r="N2096" s="1" t="str">
        <f>PROPER(TEXT(BBDD_fashion_boutique[[#This Row],[purchase_date]],"dddd"))</f>
        <v>Miércoles</v>
      </c>
      <c r="O2096" s="1" t="str">
        <f>PROPER(TEXT(BBDD_fashion_boutique[[#This Row],[purchase_date]],"mmmm"))</f>
        <v>Agosto</v>
      </c>
      <c r="P2096" s="4">
        <v>41</v>
      </c>
      <c r="Q2096" s="2">
        <v>1.6</v>
      </c>
      <c r="R2096" t="str">
        <f>IF(BBDD_fashion_boutique[[#This Row],[stock_quantity]]&gt;9,"Ok",IF(BBDD_fashion_boutique[[#This Row],[stock_quantity]]=0,"Agotado","Pocas Unidades"))</f>
        <v>Ok</v>
      </c>
      <c r="S2096" s="3">
        <f>IF(BBDD_fashion_boutique[[#This Row],[customer_rating]]="","No valorado",BBDD_fashion_boutique[[#This Row],[customer_rating]])</f>
        <v>1.6</v>
      </c>
      <c r="T2096" t="s">
        <v>24</v>
      </c>
      <c r="V2096">
        <f>IF(BBDD_fashion_boutique[[#This Row],[is_returned]]="False",0,1)</f>
        <v>0</v>
      </c>
      <c r="W2096">
        <f>IF(BBDD_fashion_boutique[[#This Row],[is_returned]]="True",0,BBDD_fashion_boutique[[#This Row],[current_price]])</f>
        <v>45.52</v>
      </c>
      <c r="X2096" t="str">
        <f>IF(BBDD_fashion_boutique[[#This Row],[return_reason]]="","No return",BBDD_fashion_boutique[[#This Row],[return_reason]])</f>
        <v>No return</v>
      </c>
      <c r="Y2096">
        <f>IF(IFERROR(VLOOKUP(BBDD_fashion_boutique[[#This Row],[product_id]],A2097:A4272,1,FALSE),0),1,0)</f>
        <v>0</v>
      </c>
    </row>
    <row r="2097" spans="1:25" x14ac:dyDescent="0.3">
      <c r="A2097" t="s">
        <v>2156</v>
      </c>
      <c r="B2097" t="s">
        <v>44</v>
      </c>
      <c r="C2097" t="s">
        <v>67</v>
      </c>
      <c r="D2097" t="s">
        <v>28</v>
      </c>
      <c r="E2097" t="s">
        <v>64</v>
      </c>
      <c r="F2097" t="str">
        <f>IF(BBDD_fashion_boutique[[#This Row],[category]]="Accessories","Accesorio",IF(BBDD_fashion_boutique[[#This Row],[size]]="","Desconocido",BBDD_fashion_boutique[[#This Row],[size]]))</f>
        <v>M</v>
      </c>
      <c r="G2097" t="s">
        <v>52</v>
      </c>
      <c r="H2097" s="2">
        <v>112.1</v>
      </c>
      <c r="I2097">
        <v>30.7</v>
      </c>
      <c r="J2097" s="5">
        <f>BBDD_fashion_boutique[[#This Row],[markdown_percentage]]/100</f>
        <v>0.307</v>
      </c>
      <c r="K2097" s="2">
        <v>77.69</v>
      </c>
      <c r="L2097" s="2">
        <f>BBDD_fashion_boutique[[#This Row],[original_price]]-BBDD_fashion_boutique[[#This Row],[current_price]]</f>
        <v>34.409999999999997</v>
      </c>
      <c r="M2097" s="1">
        <v>45875</v>
      </c>
      <c r="N2097" s="1" t="str">
        <f>PROPER(TEXT(BBDD_fashion_boutique[[#This Row],[purchase_date]],"dddd"))</f>
        <v>Miércoles</v>
      </c>
      <c r="O2097" s="1" t="str">
        <f>PROPER(TEXT(BBDD_fashion_boutique[[#This Row],[purchase_date]],"mmmm"))</f>
        <v>Agosto</v>
      </c>
      <c r="P2097" s="4">
        <v>10</v>
      </c>
      <c r="Q2097" s="2">
        <v>1</v>
      </c>
      <c r="R2097" t="str">
        <f>IF(BBDD_fashion_boutique[[#This Row],[stock_quantity]]&gt;9,"Ok",IF(BBDD_fashion_boutique[[#This Row],[stock_quantity]]=0,"Agotado","Pocas Unidades"))</f>
        <v>Ok</v>
      </c>
      <c r="S2097" s="3">
        <f>IF(BBDD_fashion_boutique[[#This Row],[customer_rating]]="","No valorado",BBDD_fashion_boutique[[#This Row],[customer_rating]])</f>
        <v>1</v>
      </c>
      <c r="T2097" t="s">
        <v>24</v>
      </c>
      <c r="V2097">
        <f>IF(BBDD_fashion_boutique[[#This Row],[is_returned]]="False",0,1)</f>
        <v>0</v>
      </c>
      <c r="W2097">
        <f>IF(BBDD_fashion_boutique[[#This Row],[is_returned]]="True",0,BBDD_fashion_boutique[[#This Row],[current_price]])</f>
        <v>77.69</v>
      </c>
      <c r="X2097" t="str">
        <f>IF(BBDD_fashion_boutique[[#This Row],[return_reason]]="","No return",BBDD_fashion_boutique[[#This Row],[return_reason]])</f>
        <v>No return</v>
      </c>
      <c r="Y2097">
        <f>IF(IFERROR(VLOOKUP(BBDD_fashion_boutique[[#This Row],[product_id]],A2098:A4273,1,FALSE),0),1,0)</f>
        <v>0</v>
      </c>
    </row>
    <row r="2098" spans="1:25" x14ac:dyDescent="0.3">
      <c r="A2098" t="s">
        <v>2157</v>
      </c>
      <c r="B2098" t="s">
        <v>35</v>
      </c>
      <c r="C2098" t="s">
        <v>27</v>
      </c>
      <c r="D2098" t="s">
        <v>21</v>
      </c>
      <c r="E2098" t="s">
        <v>29</v>
      </c>
      <c r="F2098" t="str">
        <f>IF(BBDD_fashion_boutique[[#This Row],[category]]="Accessories","Accesorio",IF(BBDD_fashion_boutique[[#This Row],[size]]="","Desconocido",BBDD_fashion_boutique[[#This Row],[size]]))</f>
        <v>L</v>
      </c>
      <c r="G2098" t="s">
        <v>72</v>
      </c>
      <c r="H2098" s="2">
        <v>103.9</v>
      </c>
      <c r="I2098">
        <v>0</v>
      </c>
      <c r="J2098" s="5">
        <f>BBDD_fashion_boutique[[#This Row],[markdown_percentage]]/100</f>
        <v>0</v>
      </c>
      <c r="K2098" s="2">
        <v>103.9</v>
      </c>
      <c r="L2098" s="2">
        <f>BBDD_fashion_boutique[[#This Row],[original_price]]-BBDD_fashion_boutique[[#This Row],[current_price]]</f>
        <v>0</v>
      </c>
      <c r="M2098" s="1">
        <v>45861</v>
      </c>
      <c r="N2098" s="1" t="str">
        <f>PROPER(TEXT(BBDD_fashion_boutique[[#This Row],[purchase_date]],"dddd"))</f>
        <v>Miércoles</v>
      </c>
      <c r="O2098" s="1" t="str">
        <f>PROPER(TEXT(BBDD_fashion_boutique[[#This Row],[purchase_date]],"mmmm"))</f>
        <v>Julio</v>
      </c>
      <c r="P2098" s="4">
        <v>27</v>
      </c>
      <c r="Q2098" s="2">
        <v>2.1</v>
      </c>
      <c r="R2098" t="str">
        <f>IF(BBDD_fashion_boutique[[#This Row],[stock_quantity]]&gt;9,"Ok",IF(BBDD_fashion_boutique[[#This Row],[stock_quantity]]=0,"Agotado","Pocas Unidades"))</f>
        <v>Ok</v>
      </c>
      <c r="S2098" s="3">
        <f>IF(BBDD_fashion_boutique[[#This Row],[customer_rating]]="","No valorado",BBDD_fashion_boutique[[#This Row],[customer_rating]])</f>
        <v>2.1</v>
      </c>
      <c r="T2098" t="s">
        <v>24</v>
      </c>
      <c r="V2098">
        <f>IF(BBDD_fashion_boutique[[#This Row],[is_returned]]="False",0,1)</f>
        <v>0</v>
      </c>
      <c r="W2098">
        <f>IF(BBDD_fashion_boutique[[#This Row],[is_returned]]="True",0,BBDD_fashion_boutique[[#This Row],[current_price]])</f>
        <v>103.9</v>
      </c>
      <c r="X2098" t="str">
        <f>IF(BBDD_fashion_boutique[[#This Row],[return_reason]]="","No return",BBDD_fashion_boutique[[#This Row],[return_reason]])</f>
        <v>No return</v>
      </c>
      <c r="Y2098">
        <f>IF(IFERROR(VLOOKUP(BBDD_fashion_boutique[[#This Row],[product_id]],A2099:A4274,1,FALSE),0),1,0)</f>
        <v>0</v>
      </c>
    </row>
    <row r="2099" spans="1:25" x14ac:dyDescent="0.3">
      <c r="A2099" t="s">
        <v>2158</v>
      </c>
      <c r="B2099" t="s">
        <v>19</v>
      </c>
      <c r="C2099" t="s">
        <v>37</v>
      </c>
      <c r="D2099" t="s">
        <v>28</v>
      </c>
      <c r="E2099" t="s">
        <v>29</v>
      </c>
      <c r="F2099" t="str">
        <f>IF(BBDD_fashion_boutique[[#This Row],[category]]="Accessories","Accesorio",IF(BBDD_fashion_boutique[[#This Row],[size]]="","Desconocido",BBDD_fashion_boutique[[#This Row],[size]]))</f>
        <v>L</v>
      </c>
      <c r="G2099" t="s">
        <v>30</v>
      </c>
      <c r="H2099" s="2">
        <v>168.02</v>
      </c>
      <c r="I2099">
        <v>0</v>
      </c>
      <c r="J2099" s="5">
        <f>BBDD_fashion_boutique[[#This Row],[markdown_percentage]]/100</f>
        <v>0</v>
      </c>
      <c r="K2099" s="2">
        <v>168.02</v>
      </c>
      <c r="L2099" s="2">
        <f>BBDD_fashion_boutique[[#This Row],[original_price]]-BBDD_fashion_boutique[[#This Row],[current_price]]</f>
        <v>0</v>
      </c>
      <c r="M2099" s="1">
        <v>45875</v>
      </c>
      <c r="N2099" s="1" t="str">
        <f>PROPER(TEXT(BBDD_fashion_boutique[[#This Row],[purchase_date]],"dddd"))</f>
        <v>Miércoles</v>
      </c>
      <c r="O2099" s="1" t="str">
        <f>PROPER(TEXT(BBDD_fashion_boutique[[#This Row],[purchase_date]],"mmmm"))</f>
        <v>Agosto</v>
      </c>
      <c r="P2099" s="4">
        <v>30</v>
      </c>
      <c r="Q2099" s="2">
        <v>1.6</v>
      </c>
      <c r="R2099" t="str">
        <f>IF(BBDD_fashion_boutique[[#This Row],[stock_quantity]]&gt;9,"Ok",IF(BBDD_fashion_boutique[[#This Row],[stock_quantity]]=0,"Agotado","Pocas Unidades"))</f>
        <v>Ok</v>
      </c>
      <c r="S2099" s="3">
        <f>IF(BBDD_fashion_boutique[[#This Row],[customer_rating]]="","No valorado",BBDD_fashion_boutique[[#This Row],[customer_rating]])</f>
        <v>1.6</v>
      </c>
      <c r="T2099" t="s">
        <v>41</v>
      </c>
      <c r="U2099" t="s">
        <v>79</v>
      </c>
      <c r="V2099">
        <f>IF(BBDD_fashion_boutique[[#This Row],[is_returned]]="False",0,1)</f>
        <v>1</v>
      </c>
      <c r="W2099">
        <f>IF(BBDD_fashion_boutique[[#This Row],[is_returned]]="True",0,BBDD_fashion_boutique[[#This Row],[current_price]])</f>
        <v>0</v>
      </c>
      <c r="X2099" t="str">
        <f>IF(BBDD_fashion_boutique[[#This Row],[return_reason]]="","No return",BBDD_fashion_boutique[[#This Row],[return_reason]])</f>
        <v>Size Issue</v>
      </c>
      <c r="Y2099">
        <f>IF(IFERROR(VLOOKUP(BBDD_fashion_boutique[[#This Row],[product_id]],A2100:A4275,1,FALSE),0),1,0)</f>
        <v>0</v>
      </c>
    </row>
    <row r="2100" spans="1:25" x14ac:dyDescent="0.3">
      <c r="A2100" t="s">
        <v>2159</v>
      </c>
      <c r="B2100" t="s">
        <v>35</v>
      </c>
      <c r="C2100" t="s">
        <v>49</v>
      </c>
      <c r="D2100" t="s">
        <v>39</v>
      </c>
      <c r="E2100" t="s">
        <v>64</v>
      </c>
      <c r="F2100" t="str">
        <f>IF(BBDD_fashion_boutique[[#This Row],[category]]="Accessories","Accesorio",IF(BBDD_fashion_boutique[[#This Row],[size]]="","Desconocido",BBDD_fashion_boutique[[#This Row],[size]]))</f>
        <v>M</v>
      </c>
      <c r="G2100" t="s">
        <v>76</v>
      </c>
      <c r="H2100" s="2">
        <v>80.41</v>
      </c>
      <c r="I2100">
        <v>0</v>
      </c>
      <c r="J2100" s="5">
        <f>BBDD_fashion_boutique[[#This Row],[markdown_percentage]]/100</f>
        <v>0</v>
      </c>
      <c r="K2100" s="2">
        <v>80.41</v>
      </c>
      <c r="L2100" s="2">
        <f>BBDD_fashion_boutique[[#This Row],[original_price]]-BBDD_fashion_boutique[[#This Row],[current_price]]</f>
        <v>0</v>
      </c>
      <c r="M2100" s="1">
        <v>45875</v>
      </c>
      <c r="N2100" s="1" t="str">
        <f>PROPER(TEXT(BBDD_fashion_boutique[[#This Row],[purchase_date]],"dddd"))</f>
        <v>Miércoles</v>
      </c>
      <c r="O2100" s="1" t="str">
        <f>PROPER(TEXT(BBDD_fashion_boutique[[#This Row],[purchase_date]],"mmmm"))</f>
        <v>Agosto</v>
      </c>
      <c r="P2100" s="4">
        <v>46</v>
      </c>
      <c r="Q2100" s="2">
        <v>2.8</v>
      </c>
      <c r="R2100" t="str">
        <f>IF(BBDD_fashion_boutique[[#This Row],[stock_quantity]]&gt;9,"Ok",IF(BBDD_fashion_boutique[[#This Row],[stock_quantity]]=0,"Agotado","Pocas Unidades"))</f>
        <v>Ok</v>
      </c>
      <c r="S2100" s="3">
        <f>IF(BBDD_fashion_boutique[[#This Row],[customer_rating]]="","No valorado",BBDD_fashion_boutique[[#This Row],[customer_rating]])</f>
        <v>2.8</v>
      </c>
      <c r="T2100" t="s">
        <v>24</v>
      </c>
      <c r="V2100">
        <f>IF(BBDD_fashion_boutique[[#This Row],[is_returned]]="False",0,1)</f>
        <v>0</v>
      </c>
      <c r="W2100">
        <f>IF(BBDD_fashion_boutique[[#This Row],[is_returned]]="True",0,BBDD_fashion_boutique[[#This Row],[current_price]])</f>
        <v>80.41</v>
      </c>
      <c r="X2100" t="str">
        <f>IF(BBDD_fashion_boutique[[#This Row],[return_reason]]="","No return",BBDD_fashion_boutique[[#This Row],[return_reason]])</f>
        <v>No return</v>
      </c>
      <c r="Y2100">
        <f>IF(IFERROR(VLOOKUP(BBDD_fashion_boutique[[#This Row],[product_id]],A2101:A4276,1,FALSE),0),1,0)</f>
        <v>0</v>
      </c>
    </row>
    <row r="2101" spans="1:25" x14ac:dyDescent="0.3">
      <c r="A2101" t="s">
        <v>2160</v>
      </c>
      <c r="B2101" t="s">
        <v>44</v>
      </c>
      <c r="C2101" t="s">
        <v>81</v>
      </c>
      <c r="D2101" t="s">
        <v>21</v>
      </c>
      <c r="E2101" t="s">
        <v>22</v>
      </c>
      <c r="F2101" t="str">
        <f>IF(BBDD_fashion_boutique[[#This Row],[category]]="Accessories","Accesorio",IF(BBDD_fashion_boutique[[#This Row],[size]]="","Desconocido",BBDD_fashion_boutique[[#This Row],[size]]))</f>
        <v>XL</v>
      </c>
      <c r="G2101" t="s">
        <v>52</v>
      </c>
      <c r="H2101" s="2">
        <v>102.76</v>
      </c>
      <c r="I2101">
        <v>0</v>
      </c>
      <c r="J2101" s="5">
        <f>BBDD_fashion_boutique[[#This Row],[markdown_percentage]]/100</f>
        <v>0</v>
      </c>
      <c r="K2101" s="2">
        <v>102.76</v>
      </c>
      <c r="L2101" s="2">
        <f>BBDD_fashion_boutique[[#This Row],[original_price]]-BBDD_fashion_boutique[[#This Row],[current_price]]</f>
        <v>0</v>
      </c>
      <c r="M2101" s="1">
        <v>45612</v>
      </c>
      <c r="N2101" s="1" t="str">
        <f>PROPER(TEXT(BBDD_fashion_boutique[[#This Row],[purchase_date]],"dddd"))</f>
        <v>Sábado</v>
      </c>
      <c r="O2101" s="1" t="str">
        <f>PROPER(TEXT(BBDD_fashion_boutique[[#This Row],[purchase_date]],"mmmm"))</f>
        <v>Noviembre</v>
      </c>
      <c r="P2101" s="4">
        <v>35</v>
      </c>
      <c r="Q2101" s="2">
        <v>2.2000000000000002</v>
      </c>
      <c r="R2101" t="str">
        <f>IF(BBDD_fashion_boutique[[#This Row],[stock_quantity]]&gt;9,"Ok",IF(BBDD_fashion_boutique[[#This Row],[stock_quantity]]=0,"Agotado","Pocas Unidades"))</f>
        <v>Ok</v>
      </c>
      <c r="S2101" s="3">
        <f>IF(BBDD_fashion_boutique[[#This Row],[customer_rating]]="","No valorado",BBDD_fashion_boutique[[#This Row],[customer_rating]])</f>
        <v>2.2000000000000002</v>
      </c>
      <c r="T2101" t="s">
        <v>24</v>
      </c>
      <c r="V2101">
        <f>IF(BBDD_fashion_boutique[[#This Row],[is_returned]]="False",0,1)</f>
        <v>0</v>
      </c>
      <c r="W2101">
        <f>IF(BBDD_fashion_boutique[[#This Row],[is_returned]]="True",0,BBDD_fashion_boutique[[#This Row],[current_price]])</f>
        <v>102.76</v>
      </c>
      <c r="X2101" t="str">
        <f>IF(BBDD_fashion_boutique[[#This Row],[return_reason]]="","No return",BBDD_fashion_boutique[[#This Row],[return_reason]])</f>
        <v>No return</v>
      </c>
      <c r="Y2101">
        <f>IF(IFERROR(VLOOKUP(BBDD_fashion_boutique[[#This Row],[product_id]],A2102:A4277,1,FALSE),0),1,0)</f>
        <v>0</v>
      </c>
    </row>
    <row r="2102" spans="1:25" x14ac:dyDescent="0.3">
      <c r="A2102" t="s">
        <v>2161</v>
      </c>
      <c r="B2102" t="s">
        <v>26</v>
      </c>
      <c r="C2102" t="s">
        <v>81</v>
      </c>
      <c r="D2102" t="s">
        <v>39</v>
      </c>
      <c r="E2102" t="s">
        <v>55</v>
      </c>
      <c r="F2102" t="str">
        <f>IF(BBDD_fashion_boutique[[#This Row],[category]]="Accessories","Accesorio",IF(BBDD_fashion_boutique[[#This Row],[size]]="","Desconocido",BBDD_fashion_boutique[[#This Row],[size]]))</f>
        <v>XXL</v>
      </c>
      <c r="G2102" t="s">
        <v>33</v>
      </c>
      <c r="H2102" s="2">
        <v>81.2</v>
      </c>
      <c r="I2102">
        <v>0</v>
      </c>
      <c r="J2102" s="5">
        <f>BBDD_fashion_boutique[[#This Row],[markdown_percentage]]/100</f>
        <v>0</v>
      </c>
      <c r="K2102" s="2">
        <v>81.2</v>
      </c>
      <c r="L2102" s="2">
        <f>BBDD_fashion_boutique[[#This Row],[original_price]]-BBDD_fashion_boutique[[#This Row],[current_price]]</f>
        <v>0</v>
      </c>
      <c r="M2102" s="1">
        <v>45875</v>
      </c>
      <c r="N2102" s="1" t="str">
        <f>PROPER(TEXT(BBDD_fashion_boutique[[#This Row],[purchase_date]],"dddd"))</f>
        <v>Miércoles</v>
      </c>
      <c r="O2102" s="1" t="str">
        <f>PROPER(TEXT(BBDD_fashion_boutique[[#This Row],[purchase_date]],"mmmm"))</f>
        <v>Agosto</v>
      </c>
      <c r="P2102" s="4">
        <v>27</v>
      </c>
      <c r="Q2102" s="2">
        <v>1.7</v>
      </c>
      <c r="R2102" t="str">
        <f>IF(BBDD_fashion_boutique[[#This Row],[stock_quantity]]&gt;9,"Ok",IF(BBDD_fashion_boutique[[#This Row],[stock_quantity]]=0,"Agotado","Pocas Unidades"))</f>
        <v>Ok</v>
      </c>
      <c r="S2102" s="3">
        <f>IF(BBDD_fashion_boutique[[#This Row],[customer_rating]]="","No valorado",BBDD_fashion_boutique[[#This Row],[customer_rating]])</f>
        <v>1.7</v>
      </c>
      <c r="T2102" t="s">
        <v>24</v>
      </c>
      <c r="V2102">
        <f>IF(BBDD_fashion_boutique[[#This Row],[is_returned]]="False",0,1)</f>
        <v>0</v>
      </c>
      <c r="W2102">
        <f>IF(BBDD_fashion_boutique[[#This Row],[is_returned]]="True",0,BBDD_fashion_boutique[[#This Row],[current_price]])</f>
        <v>81.2</v>
      </c>
      <c r="X2102" t="str">
        <f>IF(BBDD_fashion_boutique[[#This Row],[return_reason]]="","No return",BBDD_fashion_boutique[[#This Row],[return_reason]])</f>
        <v>No return</v>
      </c>
      <c r="Y2102">
        <f>IF(IFERROR(VLOOKUP(BBDD_fashion_boutique[[#This Row],[product_id]],A2103:A4278,1,FALSE),0),1,0)</f>
        <v>0</v>
      </c>
    </row>
    <row r="2103" spans="1:25" x14ac:dyDescent="0.3">
      <c r="A2103" t="s">
        <v>2162</v>
      </c>
      <c r="B2103" t="s">
        <v>32</v>
      </c>
      <c r="C2103" t="s">
        <v>27</v>
      </c>
      <c r="D2103" t="s">
        <v>39</v>
      </c>
      <c r="F2103" t="str">
        <f>IF(BBDD_fashion_boutique[[#This Row],[category]]="Accessories","Accesorio",IF(BBDD_fashion_boutique[[#This Row],[size]]="","Desconocido",BBDD_fashion_boutique[[#This Row],[size]]))</f>
        <v>Accesorio</v>
      </c>
      <c r="G2103" t="s">
        <v>46</v>
      </c>
      <c r="H2103" s="2">
        <v>68.95</v>
      </c>
      <c r="I2103">
        <v>0</v>
      </c>
      <c r="J2103" s="5">
        <f>BBDD_fashion_boutique[[#This Row],[markdown_percentage]]/100</f>
        <v>0</v>
      </c>
      <c r="K2103" s="2">
        <v>68.95</v>
      </c>
      <c r="L2103" s="2">
        <f>BBDD_fashion_boutique[[#This Row],[original_price]]-BBDD_fashion_boutique[[#This Row],[current_price]]</f>
        <v>0</v>
      </c>
      <c r="M2103" s="1">
        <v>45875</v>
      </c>
      <c r="N2103" s="1" t="str">
        <f>PROPER(TEXT(BBDD_fashion_boutique[[#This Row],[purchase_date]],"dddd"))</f>
        <v>Miércoles</v>
      </c>
      <c r="O2103" s="1" t="str">
        <f>PROPER(TEXT(BBDD_fashion_boutique[[#This Row],[purchase_date]],"mmmm"))</f>
        <v>Agosto</v>
      </c>
      <c r="P2103" s="4">
        <v>47</v>
      </c>
      <c r="Q2103" s="2">
        <v>3.6</v>
      </c>
      <c r="R2103" t="str">
        <f>IF(BBDD_fashion_boutique[[#This Row],[stock_quantity]]&gt;9,"Ok",IF(BBDD_fashion_boutique[[#This Row],[stock_quantity]]=0,"Agotado","Pocas Unidades"))</f>
        <v>Ok</v>
      </c>
      <c r="S2103" s="3">
        <f>IF(BBDD_fashion_boutique[[#This Row],[customer_rating]]="","No valorado",BBDD_fashion_boutique[[#This Row],[customer_rating]])</f>
        <v>3.6</v>
      </c>
      <c r="T2103" t="s">
        <v>24</v>
      </c>
      <c r="V2103">
        <f>IF(BBDD_fashion_boutique[[#This Row],[is_returned]]="False",0,1)</f>
        <v>0</v>
      </c>
      <c r="W2103">
        <f>IF(BBDD_fashion_boutique[[#This Row],[is_returned]]="True",0,BBDD_fashion_boutique[[#This Row],[current_price]])</f>
        <v>68.95</v>
      </c>
      <c r="X2103" t="str">
        <f>IF(BBDD_fashion_boutique[[#This Row],[return_reason]]="","No return",BBDD_fashion_boutique[[#This Row],[return_reason]])</f>
        <v>No return</v>
      </c>
      <c r="Y2103">
        <f>IF(IFERROR(VLOOKUP(BBDD_fashion_boutique[[#This Row],[product_id]],A2104:A4279,1,FALSE),0),1,0)</f>
        <v>0</v>
      </c>
    </row>
    <row r="2104" spans="1:25" x14ac:dyDescent="0.3">
      <c r="A2104" t="s">
        <v>2163</v>
      </c>
      <c r="B2104" t="s">
        <v>44</v>
      </c>
      <c r="C2104" t="s">
        <v>20</v>
      </c>
      <c r="D2104" t="s">
        <v>68</v>
      </c>
      <c r="E2104" t="s">
        <v>61</v>
      </c>
      <c r="F2104" t="str">
        <f>IF(BBDD_fashion_boutique[[#This Row],[category]]="Accessories","Accesorio",IF(BBDD_fashion_boutique[[#This Row],[size]]="","Desconocido",BBDD_fashion_boutique[[#This Row],[size]]))</f>
        <v>XS</v>
      </c>
      <c r="G2104" t="s">
        <v>72</v>
      </c>
      <c r="H2104" s="2">
        <v>43.04</v>
      </c>
      <c r="I2104">
        <v>0</v>
      </c>
      <c r="J2104" s="5">
        <f>BBDD_fashion_boutique[[#This Row],[markdown_percentage]]/100</f>
        <v>0</v>
      </c>
      <c r="K2104" s="2">
        <v>43.04</v>
      </c>
      <c r="L2104" s="2">
        <f>BBDD_fashion_boutique[[#This Row],[original_price]]-BBDD_fashion_boutique[[#This Row],[current_price]]</f>
        <v>0</v>
      </c>
      <c r="M2104" s="1">
        <v>45875</v>
      </c>
      <c r="N2104" s="1" t="str">
        <f>PROPER(TEXT(BBDD_fashion_boutique[[#This Row],[purchase_date]],"dddd"))</f>
        <v>Miércoles</v>
      </c>
      <c r="O2104" s="1" t="str">
        <f>PROPER(TEXT(BBDD_fashion_boutique[[#This Row],[purchase_date]],"mmmm"))</f>
        <v>Agosto</v>
      </c>
      <c r="P2104" s="4">
        <v>26</v>
      </c>
      <c r="Q2104" s="2">
        <v>4.8</v>
      </c>
      <c r="R2104" t="str">
        <f>IF(BBDD_fashion_boutique[[#This Row],[stock_quantity]]&gt;9,"Ok",IF(BBDD_fashion_boutique[[#This Row],[stock_quantity]]=0,"Agotado","Pocas Unidades"))</f>
        <v>Ok</v>
      </c>
      <c r="S2104" s="3">
        <f>IF(BBDD_fashion_boutique[[#This Row],[customer_rating]]="","No valorado",BBDD_fashion_boutique[[#This Row],[customer_rating]])</f>
        <v>4.8</v>
      </c>
      <c r="T2104" t="s">
        <v>41</v>
      </c>
      <c r="U2104" t="s">
        <v>131</v>
      </c>
      <c r="V2104">
        <f>IF(BBDD_fashion_boutique[[#This Row],[is_returned]]="False",0,1)</f>
        <v>1</v>
      </c>
      <c r="W2104">
        <f>IF(BBDD_fashion_boutique[[#This Row],[is_returned]]="True",0,BBDD_fashion_boutique[[#This Row],[current_price]])</f>
        <v>0</v>
      </c>
      <c r="X2104" t="str">
        <f>IF(BBDD_fashion_boutique[[#This Row],[return_reason]]="","No return",BBDD_fashion_boutique[[#This Row],[return_reason]])</f>
        <v>Wrong Item</v>
      </c>
      <c r="Y2104">
        <f>IF(IFERROR(VLOOKUP(BBDD_fashion_boutique[[#This Row],[product_id]],A2105:A4280,1,FALSE),0),1,0)</f>
        <v>0</v>
      </c>
    </row>
    <row r="2105" spans="1:25" x14ac:dyDescent="0.3">
      <c r="A2105" t="s">
        <v>2164</v>
      </c>
      <c r="B2105" t="s">
        <v>26</v>
      </c>
      <c r="C2105" t="s">
        <v>20</v>
      </c>
      <c r="D2105" t="s">
        <v>21</v>
      </c>
      <c r="E2105" t="s">
        <v>61</v>
      </c>
      <c r="F2105" t="str">
        <f>IF(BBDD_fashion_boutique[[#This Row],[category]]="Accessories","Accesorio",IF(BBDD_fashion_boutique[[#This Row],[size]]="","Desconocido",BBDD_fashion_boutique[[#This Row],[size]]))</f>
        <v>XS</v>
      </c>
      <c r="G2105" t="s">
        <v>62</v>
      </c>
      <c r="H2105" s="2">
        <v>81.819999999999993</v>
      </c>
      <c r="I2105">
        <v>0</v>
      </c>
      <c r="J2105" s="5">
        <f>BBDD_fashion_boutique[[#This Row],[markdown_percentage]]/100</f>
        <v>0</v>
      </c>
      <c r="K2105" s="2">
        <v>81.819999999999993</v>
      </c>
      <c r="L2105" s="2">
        <f>BBDD_fashion_boutique[[#This Row],[original_price]]-BBDD_fashion_boutique[[#This Row],[current_price]]</f>
        <v>0</v>
      </c>
      <c r="M2105" s="1">
        <v>45786</v>
      </c>
      <c r="N2105" s="1" t="str">
        <f>PROPER(TEXT(BBDD_fashion_boutique[[#This Row],[purchase_date]],"dddd"))</f>
        <v>Viernes</v>
      </c>
      <c r="O2105" s="1" t="str">
        <f>PROPER(TEXT(BBDD_fashion_boutique[[#This Row],[purchase_date]],"mmmm"))</f>
        <v>Mayo</v>
      </c>
      <c r="P2105" s="4">
        <v>1</v>
      </c>
      <c r="Q2105" s="2">
        <v>3.5</v>
      </c>
      <c r="R2105" t="str">
        <f>IF(BBDD_fashion_boutique[[#This Row],[stock_quantity]]&gt;9,"Ok",IF(BBDD_fashion_boutique[[#This Row],[stock_quantity]]=0,"Agotado","Pocas Unidades"))</f>
        <v>Pocas Unidades</v>
      </c>
      <c r="S2105" s="3">
        <f>IF(BBDD_fashion_boutique[[#This Row],[customer_rating]]="","No valorado",BBDD_fashion_boutique[[#This Row],[customer_rating]])</f>
        <v>3.5</v>
      </c>
      <c r="T2105" t="s">
        <v>24</v>
      </c>
      <c r="V2105">
        <f>IF(BBDD_fashion_boutique[[#This Row],[is_returned]]="False",0,1)</f>
        <v>0</v>
      </c>
      <c r="W2105">
        <f>IF(BBDD_fashion_boutique[[#This Row],[is_returned]]="True",0,BBDD_fashion_boutique[[#This Row],[current_price]])</f>
        <v>81.819999999999993</v>
      </c>
      <c r="X2105" t="str">
        <f>IF(BBDD_fashion_boutique[[#This Row],[return_reason]]="","No return",BBDD_fashion_boutique[[#This Row],[return_reason]])</f>
        <v>No return</v>
      </c>
      <c r="Y2105">
        <f>IF(IFERROR(VLOOKUP(BBDD_fashion_boutique[[#This Row],[product_id]],A2106:A4281,1,FALSE),0),1,0)</f>
        <v>0</v>
      </c>
    </row>
    <row r="2106" spans="1:25" x14ac:dyDescent="0.3">
      <c r="A2106" t="s">
        <v>2165</v>
      </c>
      <c r="B2106" t="s">
        <v>32</v>
      </c>
      <c r="C2106" t="s">
        <v>49</v>
      </c>
      <c r="D2106" t="s">
        <v>68</v>
      </c>
      <c r="F2106" t="str">
        <f>IF(BBDD_fashion_boutique[[#This Row],[category]]="Accessories","Accesorio",IF(BBDD_fashion_boutique[[#This Row],[size]]="","Desconocido",BBDD_fashion_boutique[[#This Row],[size]]))</f>
        <v>Accesorio</v>
      </c>
      <c r="G2106" t="s">
        <v>50</v>
      </c>
      <c r="H2106" s="2">
        <v>53.7</v>
      </c>
      <c r="I2106">
        <v>0</v>
      </c>
      <c r="J2106" s="5">
        <f>BBDD_fashion_boutique[[#This Row],[markdown_percentage]]/100</f>
        <v>0</v>
      </c>
      <c r="K2106" s="2">
        <v>53.7</v>
      </c>
      <c r="L2106" s="2">
        <f>BBDD_fashion_boutique[[#This Row],[original_price]]-BBDD_fashion_boutique[[#This Row],[current_price]]</f>
        <v>0</v>
      </c>
      <c r="M2106" s="1">
        <v>45875</v>
      </c>
      <c r="N2106" s="1" t="str">
        <f>PROPER(TEXT(BBDD_fashion_boutique[[#This Row],[purchase_date]],"dddd"))</f>
        <v>Miércoles</v>
      </c>
      <c r="O2106" s="1" t="str">
        <f>PROPER(TEXT(BBDD_fashion_boutique[[#This Row],[purchase_date]],"mmmm"))</f>
        <v>Agosto</v>
      </c>
      <c r="P2106" s="4">
        <v>16</v>
      </c>
      <c r="Q2106" s="2">
        <v>1.4</v>
      </c>
      <c r="R2106" t="str">
        <f>IF(BBDD_fashion_boutique[[#This Row],[stock_quantity]]&gt;9,"Ok",IF(BBDD_fashion_boutique[[#This Row],[stock_quantity]]=0,"Agotado","Pocas Unidades"))</f>
        <v>Ok</v>
      </c>
      <c r="S2106" s="3">
        <f>IF(BBDD_fashion_boutique[[#This Row],[customer_rating]]="","No valorado",BBDD_fashion_boutique[[#This Row],[customer_rating]])</f>
        <v>1.4</v>
      </c>
      <c r="T2106" t="s">
        <v>41</v>
      </c>
      <c r="U2106" t="s">
        <v>84</v>
      </c>
      <c r="V2106">
        <f>IF(BBDD_fashion_boutique[[#This Row],[is_returned]]="False",0,1)</f>
        <v>1</v>
      </c>
      <c r="W2106">
        <f>IF(BBDD_fashion_boutique[[#This Row],[is_returned]]="True",0,BBDD_fashion_boutique[[#This Row],[current_price]])</f>
        <v>0</v>
      </c>
      <c r="X2106" t="str">
        <f>IF(BBDD_fashion_boutique[[#This Row],[return_reason]]="","No return",BBDD_fashion_boutique[[#This Row],[return_reason]])</f>
        <v>Damaged</v>
      </c>
      <c r="Y2106">
        <f>IF(IFERROR(VLOOKUP(BBDD_fashion_boutique[[#This Row],[product_id]],A2107:A4282,1,FALSE),0),1,0)</f>
        <v>0</v>
      </c>
    </row>
    <row r="2107" spans="1:25" x14ac:dyDescent="0.3">
      <c r="A2107" t="s">
        <v>2166</v>
      </c>
      <c r="B2107" t="s">
        <v>26</v>
      </c>
      <c r="C2107" t="s">
        <v>49</v>
      </c>
      <c r="D2107" t="s">
        <v>68</v>
      </c>
      <c r="E2107" t="s">
        <v>29</v>
      </c>
      <c r="F2107" t="str">
        <f>IF(BBDD_fashion_boutique[[#This Row],[category]]="Accessories","Accesorio",IF(BBDD_fashion_boutique[[#This Row],[size]]="","Desconocido",BBDD_fashion_boutique[[#This Row],[size]]))</f>
        <v>L</v>
      </c>
      <c r="G2107" t="s">
        <v>23</v>
      </c>
      <c r="H2107" s="2">
        <v>100.11</v>
      </c>
      <c r="I2107">
        <v>0</v>
      </c>
      <c r="J2107" s="5">
        <f>BBDD_fashion_boutique[[#This Row],[markdown_percentage]]/100</f>
        <v>0</v>
      </c>
      <c r="K2107" s="2">
        <v>100.11</v>
      </c>
      <c r="L2107" s="2">
        <f>BBDD_fashion_boutique[[#This Row],[original_price]]-BBDD_fashion_boutique[[#This Row],[current_price]]</f>
        <v>0</v>
      </c>
      <c r="M2107" s="1">
        <v>45875</v>
      </c>
      <c r="N2107" s="1" t="str">
        <f>PROPER(TEXT(BBDD_fashion_boutique[[#This Row],[purchase_date]],"dddd"))</f>
        <v>Miércoles</v>
      </c>
      <c r="O2107" s="1" t="str">
        <f>PROPER(TEXT(BBDD_fashion_boutique[[#This Row],[purchase_date]],"mmmm"))</f>
        <v>Agosto</v>
      </c>
      <c r="P2107" s="4">
        <v>41</v>
      </c>
      <c r="Q2107" s="2">
        <v>4.7</v>
      </c>
      <c r="R2107" t="str">
        <f>IF(BBDD_fashion_boutique[[#This Row],[stock_quantity]]&gt;9,"Ok",IF(BBDD_fashion_boutique[[#This Row],[stock_quantity]]=0,"Agotado","Pocas Unidades"))</f>
        <v>Ok</v>
      </c>
      <c r="S2107" s="3">
        <f>IF(BBDD_fashion_boutique[[#This Row],[customer_rating]]="","No valorado",BBDD_fashion_boutique[[#This Row],[customer_rating]])</f>
        <v>4.7</v>
      </c>
      <c r="T2107" t="s">
        <v>24</v>
      </c>
      <c r="V2107">
        <f>IF(BBDD_fashion_boutique[[#This Row],[is_returned]]="False",0,1)</f>
        <v>0</v>
      </c>
      <c r="W2107">
        <f>IF(BBDD_fashion_boutique[[#This Row],[is_returned]]="True",0,BBDD_fashion_boutique[[#This Row],[current_price]])</f>
        <v>100.11</v>
      </c>
      <c r="X2107" t="str">
        <f>IF(BBDD_fashion_boutique[[#This Row],[return_reason]]="","No return",BBDD_fashion_boutique[[#This Row],[return_reason]])</f>
        <v>No return</v>
      </c>
      <c r="Y2107">
        <f>IF(IFERROR(VLOOKUP(BBDD_fashion_boutique[[#This Row],[product_id]],A2108:A4283,1,FALSE),0),1,0)</f>
        <v>0</v>
      </c>
    </row>
    <row r="2108" spans="1:25" x14ac:dyDescent="0.3">
      <c r="A2108" t="s">
        <v>2167</v>
      </c>
      <c r="B2108" t="s">
        <v>32</v>
      </c>
      <c r="C2108" t="s">
        <v>59</v>
      </c>
      <c r="D2108" t="s">
        <v>28</v>
      </c>
      <c r="F2108" t="str">
        <f>IF(BBDD_fashion_boutique[[#This Row],[category]]="Accessories","Accesorio",IF(BBDD_fashion_boutique[[#This Row],[size]]="","Desconocido",BBDD_fashion_boutique[[#This Row],[size]]))</f>
        <v>Accesorio</v>
      </c>
      <c r="G2108" t="s">
        <v>46</v>
      </c>
      <c r="H2108" s="2">
        <v>24.08</v>
      </c>
      <c r="I2108">
        <v>38.5</v>
      </c>
      <c r="J2108" s="5">
        <f>BBDD_fashion_boutique[[#This Row],[markdown_percentage]]/100</f>
        <v>0.38500000000000001</v>
      </c>
      <c r="K2108" s="2">
        <v>14.81</v>
      </c>
      <c r="L2108" s="2">
        <f>BBDD_fashion_boutique[[#This Row],[original_price]]-BBDD_fashion_boutique[[#This Row],[current_price]]</f>
        <v>9.2699999999999978</v>
      </c>
      <c r="M2108" s="1">
        <v>45875</v>
      </c>
      <c r="N2108" s="1" t="str">
        <f>PROPER(TEXT(BBDD_fashion_boutique[[#This Row],[purchase_date]],"dddd"))</f>
        <v>Miércoles</v>
      </c>
      <c r="O2108" s="1" t="str">
        <f>PROPER(TEXT(BBDD_fashion_boutique[[#This Row],[purchase_date]],"mmmm"))</f>
        <v>Agosto</v>
      </c>
      <c r="P2108" s="4">
        <v>43</v>
      </c>
      <c r="Q2108" s="2">
        <v>4.0999999999999996</v>
      </c>
      <c r="R2108" t="str">
        <f>IF(BBDD_fashion_boutique[[#This Row],[stock_quantity]]&gt;9,"Ok",IF(BBDD_fashion_boutique[[#This Row],[stock_quantity]]=0,"Agotado","Pocas Unidades"))</f>
        <v>Ok</v>
      </c>
      <c r="S2108" s="3">
        <f>IF(BBDD_fashion_boutique[[#This Row],[customer_rating]]="","No valorado",BBDD_fashion_boutique[[#This Row],[customer_rating]])</f>
        <v>4.0999999999999996</v>
      </c>
      <c r="T2108" t="s">
        <v>24</v>
      </c>
      <c r="V2108">
        <f>IF(BBDD_fashion_boutique[[#This Row],[is_returned]]="False",0,1)</f>
        <v>0</v>
      </c>
      <c r="W2108">
        <f>IF(BBDD_fashion_boutique[[#This Row],[is_returned]]="True",0,BBDD_fashion_boutique[[#This Row],[current_price]])</f>
        <v>14.81</v>
      </c>
      <c r="X2108" t="str">
        <f>IF(BBDD_fashion_boutique[[#This Row],[return_reason]]="","No return",BBDD_fashion_boutique[[#This Row],[return_reason]])</f>
        <v>No return</v>
      </c>
      <c r="Y2108">
        <f>IF(IFERROR(VLOOKUP(BBDD_fashion_boutique[[#This Row],[product_id]],A2109:A4284,1,FALSE),0),1,0)</f>
        <v>0</v>
      </c>
    </row>
    <row r="2109" spans="1:25" x14ac:dyDescent="0.3">
      <c r="A2109" t="s">
        <v>2168</v>
      </c>
      <c r="B2109" t="s">
        <v>32</v>
      </c>
      <c r="C2109" t="s">
        <v>59</v>
      </c>
      <c r="D2109" t="s">
        <v>21</v>
      </c>
      <c r="F2109" t="str">
        <f>IF(BBDD_fashion_boutique[[#This Row],[category]]="Accessories","Accesorio",IF(BBDD_fashion_boutique[[#This Row],[size]]="","Desconocido",BBDD_fashion_boutique[[#This Row],[size]]))</f>
        <v>Accesorio</v>
      </c>
      <c r="G2109" t="s">
        <v>23</v>
      </c>
      <c r="H2109" s="2">
        <v>74.77</v>
      </c>
      <c r="I2109">
        <v>0</v>
      </c>
      <c r="J2109" s="5">
        <f>BBDD_fashion_boutique[[#This Row],[markdown_percentage]]/100</f>
        <v>0</v>
      </c>
      <c r="K2109" s="2">
        <v>74.77</v>
      </c>
      <c r="L2109" s="2">
        <f>BBDD_fashion_boutique[[#This Row],[original_price]]-BBDD_fashion_boutique[[#This Row],[current_price]]</f>
        <v>0</v>
      </c>
      <c r="M2109" s="1">
        <v>45734</v>
      </c>
      <c r="N2109" s="1" t="str">
        <f>PROPER(TEXT(BBDD_fashion_boutique[[#This Row],[purchase_date]],"dddd"))</f>
        <v>Martes</v>
      </c>
      <c r="O2109" s="1" t="str">
        <f>PROPER(TEXT(BBDD_fashion_boutique[[#This Row],[purchase_date]],"mmmm"))</f>
        <v>Marzo</v>
      </c>
      <c r="P2109" s="4">
        <v>26</v>
      </c>
      <c r="Q2109" s="2">
        <v>2.9</v>
      </c>
      <c r="R2109" t="str">
        <f>IF(BBDD_fashion_boutique[[#This Row],[stock_quantity]]&gt;9,"Ok",IF(BBDD_fashion_boutique[[#This Row],[stock_quantity]]=0,"Agotado","Pocas Unidades"))</f>
        <v>Ok</v>
      </c>
      <c r="S2109" s="3">
        <f>IF(BBDD_fashion_boutique[[#This Row],[customer_rating]]="","No valorado",BBDD_fashion_boutique[[#This Row],[customer_rating]])</f>
        <v>2.9</v>
      </c>
      <c r="T2109" t="s">
        <v>24</v>
      </c>
      <c r="V2109">
        <f>IF(BBDD_fashion_boutique[[#This Row],[is_returned]]="False",0,1)</f>
        <v>0</v>
      </c>
      <c r="W2109">
        <f>IF(BBDD_fashion_boutique[[#This Row],[is_returned]]="True",0,BBDD_fashion_boutique[[#This Row],[current_price]])</f>
        <v>74.77</v>
      </c>
      <c r="X2109" t="str">
        <f>IF(BBDD_fashion_boutique[[#This Row],[return_reason]]="","No return",BBDD_fashion_boutique[[#This Row],[return_reason]])</f>
        <v>No return</v>
      </c>
      <c r="Y2109">
        <f>IF(IFERROR(VLOOKUP(BBDD_fashion_boutique[[#This Row],[product_id]],A2110:A4285,1,FALSE),0),1,0)</f>
        <v>0</v>
      </c>
    </row>
    <row r="2110" spans="1:25" x14ac:dyDescent="0.3">
      <c r="A2110" t="s">
        <v>2169</v>
      </c>
      <c r="B2110" t="s">
        <v>48</v>
      </c>
      <c r="C2110" t="s">
        <v>54</v>
      </c>
      <c r="D2110" t="s">
        <v>21</v>
      </c>
      <c r="E2110" t="s">
        <v>22</v>
      </c>
      <c r="F2110" t="str">
        <f>IF(BBDD_fashion_boutique[[#This Row],[category]]="Accessories","Accesorio",IF(BBDD_fashion_boutique[[#This Row],[size]]="","Desconocido",BBDD_fashion_boutique[[#This Row],[size]]))</f>
        <v>XL</v>
      </c>
      <c r="G2110" t="s">
        <v>70</v>
      </c>
      <c r="H2110" s="2">
        <v>105.98</v>
      </c>
      <c r="I2110">
        <v>0</v>
      </c>
      <c r="J2110" s="5">
        <f>BBDD_fashion_boutique[[#This Row],[markdown_percentage]]/100</f>
        <v>0</v>
      </c>
      <c r="K2110" s="2">
        <v>105.98</v>
      </c>
      <c r="L2110" s="2">
        <f>BBDD_fashion_boutique[[#This Row],[original_price]]-BBDD_fashion_boutique[[#This Row],[current_price]]</f>
        <v>0</v>
      </c>
      <c r="M2110" s="1">
        <v>45567</v>
      </c>
      <c r="N2110" s="1" t="str">
        <f>PROPER(TEXT(BBDD_fashion_boutique[[#This Row],[purchase_date]],"dddd"))</f>
        <v>Miércoles</v>
      </c>
      <c r="O2110" s="1" t="str">
        <f>PROPER(TEXT(BBDD_fashion_boutique[[#This Row],[purchase_date]],"mmmm"))</f>
        <v>Octubre</v>
      </c>
      <c r="P2110" s="4">
        <v>32</v>
      </c>
      <c r="Q2110" s="2">
        <v>2.5</v>
      </c>
      <c r="R2110" t="str">
        <f>IF(BBDD_fashion_boutique[[#This Row],[stock_quantity]]&gt;9,"Ok",IF(BBDD_fashion_boutique[[#This Row],[stock_quantity]]=0,"Agotado","Pocas Unidades"))</f>
        <v>Ok</v>
      </c>
      <c r="S2110" s="3">
        <f>IF(BBDD_fashion_boutique[[#This Row],[customer_rating]]="","No valorado",BBDD_fashion_boutique[[#This Row],[customer_rating]])</f>
        <v>2.5</v>
      </c>
      <c r="T2110" t="s">
        <v>41</v>
      </c>
      <c r="U2110" t="s">
        <v>79</v>
      </c>
      <c r="V2110">
        <f>IF(BBDD_fashion_boutique[[#This Row],[is_returned]]="False",0,1)</f>
        <v>1</v>
      </c>
      <c r="W2110">
        <f>IF(BBDD_fashion_boutique[[#This Row],[is_returned]]="True",0,BBDD_fashion_boutique[[#This Row],[current_price]])</f>
        <v>0</v>
      </c>
      <c r="X2110" t="str">
        <f>IF(BBDD_fashion_boutique[[#This Row],[return_reason]]="","No return",BBDD_fashion_boutique[[#This Row],[return_reason]])</f>
        <v>Size Issue</v>
      </c>
      <c r="Y2110">
        <f>IF(IFERROR(VLOOKUP(BBDD_fashion_boutique[[#This Row],[product_id]],A2111:A4286,1,FALSE),0),1,0)</f>
        <v>0</v>
      </c>
    </row>
    <row r="2111" spans="1:25" x14ac:dyDescent="0.3">
      <c r="A2111" t="s">
        <v>2170</v>
      </c>
      <c r="B2111" t="s">
        <v>35</v>
      </c>
      <c r="C2111" t="s">
        <v>20</v>
      </c>
      <c r="D2111" t="s">
        <v>68</v>
      </c>
      <c r="E2111" t="s">
        <v>29</v>
      </c>
      <c r="F2111" t="str">
        <f>IF(BBDD_fashion_boutique[[#This Row],[category]]="Accessories","Accesorio",IF(BBDD_fashion_boutique[[#This Row],[size]]="","Desconocido",BBDD_fashion_boutique[[#This Row],[size]]))</f>
        <v>L</v>
      </c>
      <c r="G2111" t="s">
        <v>40</v>
      </c>
      <c r="H2111" s="2">
        <v>81.650000000000006</v>
      </c>
      <c r="I2111">
        <v>7.7</v>
      </c>
      <c r="J2111" s="5">
        <f>BBDD_fashion_boutique[[#This Row],[markdown_percentage]]/100</f>
        <v>7.6999999999999999E-2</v>
      </c>
      <c r="K2111" s="2">
        <v>75.36</v>
      </c>
      <c r="L2111" s="2">
        <f>BBDD_fashion_boutique[[#This Row],[original_price]]-BBDD_fashion_boutique[[#This Row],[current_price]]</f>
        <v>6.2900000000000063</v>
      </c>
      <c r="M2111" s="1">
        <v>45875</v>
      </c>
      <c r="N2111" s="1" t="str">
        <f>PROPER(TEXT(BBDD_fashion_boutique[[#This Row],[purchase_date]],"dddd"))</f>
        <v>Miércoles</v>
      </c>
      <c r="O2111" s="1" t="str">
        <f>PROPER(TEXT(BBDD_fashion_boutique[[#This Row],[purchase_date]],"mmmm"))</f>
        <v>Agosto</v>
      </c>
      <c r="P2111" s="4">
        <v>23</v>
      </c>
      <c r="Q2111" s="2">
        <v>2.6</v>
      </c>
      <c r="R2111" t="str">
        <f>IF(BBDD_fashion_boutique[[#This Row],[stock_quantity]]&gt;9,"Ok",IF(BBDD_fashion_boutique[[#This Row],[stock_quantity]]=0,"Agotado","Pocas Unidades"))</f>
        <v>Ok</v>
      </c>
      <c r="S2111" s="3">
        <f>IF(BBDD_fashion_boutique[[#This Row],[customer_rating]]="","No valorado",BBDD_fashion_boutique[[#This Row],[customer_rating]])</f>
        <v>2.6</v>
      </c>
      <c r="T2111" t="s">
        <v>24</v>
      </c>
      <c r="V2111">
        <f>IF(BBDD_fashion_boutique[[#This Row],[is_returned]]="False",0,1)</f>
        <v>0</v>
      </c>
      <c r="W2111">
        <f>IF(BBDD_fashion_boutique[[#This Row],[is_returned]]="True",0,BBDD_fashion_boutique[[#This Row],[current_price]])</f>
        <v>75.36</v>
      </c>
      <c r="X2111" t="str">
        <f>IF(BBDD_fashion_boutique[[#This Row],[return_reason]]="","No return",BBDD_fashion_boutique[[#This Row],[return_reason]])</f>
        <v>No return</v>
      </c>
      <c r="Y2111">
        <f>IF(IFERROR(VLOOKUP(BBDD_fashion_boutique[[#This Row],[product_id]],A2112:A4287,1,FALSE),0),1,0)</f>
        <v>0</v>
      </c>
    </row>
    <row r="2112" spans="1:25" x14ac:dyDescent="0.3">
      <c r="A2112" t="s">
        <v>2171</v>
      </c>
      <c r="B2112" t="s">
        <v>35</v>
      </c>
      <c r="C2112" t="s">
        <v>81</v>
      </c>
      <c r="D2112" t="s">
        <v>39</v>
      </c>
      <c r="E2112" t="s">
        <v>45</v>
      </c>
      <c r="F2112" t="str">
        <f>IF(BBDD_fashion_boutique[[#This Row],[category]]="Accessories","Accesorio",IF(BBDD_fashion_boutique[[#This Row],[size]]="","Desconocido",BBDD_fashion_boutique[[#This Row],[size]]))</f>
        <v>S</v>
      </c>
      <c r="G2112" t="s">
        <v>33</v>
      </c>
      <c r="H2112" s="2">
        <v>92.66</v>
      </c>
      <c r="I2112">
        <v>8.3000000000000007</v>
      </c>
      <c r="J2112" s="5">
        <f>BBDD_fashion_boutique[[#This Row],[markdown_percentage]]/100</f>
        <v>8.3000000000000004E-2</v>
      </c>
      <c r="K2112" s="2">
        <v>84.97</v>
      </c>
      <c r="L2112" s="2">
        <f>BBDD_fashion_boutique[[#This Row],[original_price]]-BBDD_fashion_boutique[[#This Row],[current_price]]</f>
        <v>7.6899999999999977</v>
      </c>
      <c r="M2112" s="1">
        <v>45875</v>
      </c>
      <c r="N2112" s="1" t="str">
        <f>PROPER(TEXT(BBDD_fashion_boutique[[#This Row],[purchase_date]],"dddd"))</f>
        <v>Miércoles</v>
      </c>
      <c r="O2112" s="1" t="str">
        <f>PROPER(TEXT(BBDD_fashion_boutique[[#This Row],[purchase_date]],"mmmm"))</f>
        <v>Agosto</v>
      </c>
      <c r="P2112" s="4">
        <v>5</v>
      </c>
      <c r="Q2112" s="2">
        <v>3.3</v>
      </c>
      <c r="R2112" t="str">
        <f>IF(BBDD_fashion_boutique[[#This Row],[stock_quantity]]&gt;9,"Ok",IF(BBDD_fashion_boutique[[#This Row],[stock_quantity]]=0,"Agotado","Pocas Unidades"))</f>
        <v>Pocas Unidades</v>
      </c>
      <c r="S2112" s="3">
        <f>IF(BBDD_fashion_boutique[[#This Row],[customer_rating]]="","No valorado",BBDD_fashion_boutique[[#This Row],[customer_rating]])</f>
        <v>3.3</v>
      </c>
      <c r="T2112" t="s">
        <v>24</v>
      </c>
      <c r="V2112">
        <f>IF(BBDD_fashion_boutique[[#This Row],[is_returned]]="False",0,1)</f>
        <v>0</v>
      </c>
      <c r="W2112">
        <f>IF(BBDD_fashion_boutique[[#This Row],[is_returned]]="True",0,BBDD_fashion_boutique[[#This Row],[current_price]])</f>
        <v>84.97</v>
      </c>
      <c r="X2112" t="str">
        <f>IF(BBDD_fashion_boutique[[#This Row],[return_reason]]="","No return",BBDD_fashion_boutique[[#This Row],[return_reason]])</f>
        <v>No return</v>
      </c>
      <c r="Y2112">
        <f>IF(IFERROR(VLOOKUP(BBDD_fashion_boutique[[#This Row],[product_id]],A2113:A4288,1,FALSE),0),1,0)</f>
        <v>0</v>
      </c>
    </row>
    <row r="2113" spans="1:25" x14ac:dyDescent="0.3">
      <c r="A2113" t="s">
        <v>2172</v>
      </c>
      <c r="B2113" t="s">
        <v>32</v>
      </c>
      <c r="C2113" t="s">
        <v>49</v>
      </c>
      <c r="D2113" t="s">
        <v>68</v>
      </c>
      <c r="F2113" t="str">
        <f>IF(BBDD_fashion_boutique[[#This Row],[category]]="Accessories","Accesorio",IF(BBDD_fashion_boutique[[#This Row],[size]]="","Desconocido",BBDD_fashion_boutique[[#This Row],[size]]))</f>
        <v>Accesorio</v>
      </c>
      <c r="G2113" t="s">
        <v>76</v>
      </c>
      <c r="H2113" s="2">
        <v>41.04</v>
      </c>
      <c r="I2113">
        <v>0</v>
      </c>
      <c r="J2113" s="5">
        <f>BBDD_fashion_boutique[[#This Row],[markdown_percentage]]/100</f>
        <v>0</v>
      </c>
      <c r="K2113" s="2">
        <v>41.04</v>
      </c>
      <c r="L2113" s="2">
        <f>BBDD_fashion_boutique[[#This Row],[original_price]]-BBDD_fashion_boutique[[#This Row],[current_price]]</f>
        <v>0</v>
      </c>
      <c r="M2113" s="1">
        <v>45875</v>
      </c>
      <c r="N2113" s="1" t="str">
        <f>PROPER(TEXT(BBDD_fashion_boutique[[#This Row],[purchase_date]],"dddd"))</f>
        <v>Miércoles</v>
      </c>
      <c r="O2113" s="1" t="str">
        <f>PROPER(TEXT(BBDD_fashion_boutique[[#This Row],[purchase_date]],"mmmm"))</f>
        <v>Agosto</v>
      </c>
      <c r="P2113" s="4">
        <v>43</v>
      </c>
      <c r="R2113" t="str">
        <f>IF(BBDD_fashion_boutique[[#This Row],[stock_quantity]]&gt;9,"Ok",IF(BBDD_fashion_boutique[[#This Row],[stock_quantity]]=0,"Agotado","Pocas Unidades"))</f>
        <v>Ok</v>
      </c>
      <c r="S2113" s="3" t="str">
        <f>IF(BBDD_fashion_boutique[[#This Row],[customer_rating]]="","No valorado",BBDD_fashion_boutique[[#This Row],[customer_rating]])</f>
        <v>No valorado</v>
      </c>
      <c r="T2113" t="s">
        <v>24</v>
      </c>
      <c r="V2113">
        <f>IF(BBDD_fashion_boutique[[#This Row],[is_returned]]="False",0,1)</f>
        <v>0</v>
      </c>
      <c r="W2113">
        <f>IF(BBDD_fashion_boutique[[#This Row],[is_returned]]="True",0,BBDD_fashion_boutique[[#This Row],[current_price]])</f>
        <v>41.04</v>
      </c>
      <c r="X2113" t="str">
        <f>IF(BBDD_fashion_boutique[[#This Row],[return_reason]]="","No return",BBDD_fashion_boutique[[#This Row],[return_reason]])</f>
        <v>No return</v>
      </c>
      <c r="Y2113">
        <f>IF(IFERROR(VLOOKUP(BBDD_fashion_boutique[[#This Row],[product_id]],A2114:A4289,1,FALSE),0),1,0)</f>
        <v>0</v>
      </c>
    </row>
    <row r="2114" spans="1:25" x14ac:dyDescent="0.3">
      <c r="A2114" t="s">
        <v>2173</v>
      </c>
      <c r="B2114" t="s">
        <v>19</v>
      </c>
      <c r="C2114" t="s">
        <v>81</v>
      </c>
      <c r="D2114" t="s">
        <v>39</v>
      </c>
      <c r="E2114" t="s">
        <v>64</v>
      </c>
      <c r="F2114" t="str">
        <f>IF(BBDD_fashion_boutique[[#This Row],[category]]="Accessories","Accesorio",IF(BBDD_fashion_boutique[[#This Row],[size]]="","Desconocido",BBDD_fashion_boutique[[#This Row],[size]]))</f>
        <v>M</v>
      </c>
      <c r="G2114" t="s">
        <v>30</v>
      </c>
      <c r="H2114" s="2">
        <v>169.98</v>
      </c>
      <c r="I2114">
        <v>5.8</v>
      </c>
      <c r="J2114" s="5">
        <f>BBDD_fashion_boutique[[#This Row],[markdown_percentage]]/100</f>
        <v>5.7999999999999996E-2</v>
      </c>
      <c r="K2114" s="2">
        <v>160.12</v>
      </c>
      <c r="L2114" s="2">
        <f>BBDD_fashion_boutique[[#This Row],[original_price]]-BBDD_fashion_boutique[[#This Row],[current_price]]</f>
        <v>9.8599999999999852</v>
      </c>
      <c r="M2114" s="1">
        <v>45875</v>
      </c>
      <c r="N2114" s="1" t="str">
        <f>PROPER(TEXT(BBDD_fashion_boutique[[#This Row],[purchase_date]],"dddd"))</f>
        <v>Miércoles</v>
      </c>
      <c r="O2114" s="1" t="str">
        <f>PROPER(TEXT(BBDD_fashion_boutique[[#This Row],[purchase_date]],"mmmm"))</f>
        <v>Agosto</v>
      </c>
      <c r="P2114" s="4">
        <v>12</v>
      </c>
      <c r="Q2114" s="2">
        <v>2.1</v>
      </c>
      <c r="R2114" t="str">
        <f>IF(BBDD_fashion_boutique[[#This Row],[stock_quantity]]&gt;9,"Ok",IF(BBDD_fashion_boutique[[#This Row],[stock_quantity]]=0,"Agotado","Pocas Unidades"))</f>
        <v>Ok</v>
      </c>
      <c r="S2114" s="3">
        <f>IF(BBDD_fashion_boutique[[#This Row],[customer_rating]]="","No valorado",BBDD_fashion_boutique[[#This Row],[customer_rating]])</f>
        <v>2.1</v>
      </c>
      <c r="T2114" t="s">
        <v>24</v>
      </c>
      <c r="V2114">
        <f>IF(BBDD_fashion_boutique[[#This Row],[is_returned]]="False",0,1)</f>
        <v>0</v>
      </c>
      <c r="W2114">
        <f>IF(BBDD_fashion_boutique[[#This Row],[is_returned]]="True",0,BBDD_fashion_boutique[[#This Row],[current_price]])</f>
        <v>160.12</v>
      </c>
      <c r="X2114" t="str">
        <f>IF(BBDD_fashion_boutique[[#This Row],[return_reason]]="","No return",BBDD_fashion_boutique[[#This Row],[return_reason]])</f>
        <v>No return</v>
      </c>
      <c r="Y2114">
        <f>IF(IFERROR(VLOOKUP(BBDD_fashion_boutique[[#This Row],[product_id]],A2115:A4290,1,FALSE),0),1,0)</f>
        <v>0</v>
      </c>
    </row>
    <row r="2115" spans="1:25" x14ac:dyDescent="0.3">
      <c r="A2115" t="s">
        <v>2174</v>
      </c>
      <c r="B2115" t="s">
        <v>32</v>
      </c>
      <c r="C2115" t="s">
        <v>49</v>
      </c>
      <c r="D2115" t="s">
        <v>28</v>
      </c>
      <c r="F2115" t="str">
        <f>IF(BBDD_fashion_boutique[[#This Row],[category]]="Accessories","Accesorio",IF(BBDD_fashion_boutique[[#This Row],[size]]="","Desconocido",BBDD_fashion_boutique[[#This Row],[size]]))</f>
        <v>Accesorio</v>
      </c>
      <c r="G2115" t="s">
        <v>23</v>
      </c>
      <c r="H2115" s="2">
        <v>66.12</v>
      </c>
      <c r="I2115">
        <v>51</v>
      </c>
      <c r="J2115" s="5">
        <f>BBDD_fashion_boutique[[#This Row],[markdown_percentage]]/100</f>
        <v>0.51</v>
      </c>
      <c r="K2115" s="2">
        <v>32.4</v>
      </c>
      <c r="L2115" s="2">
        <f>BBDD_fashion_boutique[[#This Row],[original_price]]-BBDD_fashion_boutique[[#This Row],[current_price]]</f>
        <v>33.720000000000006</v>
      </c>
      <c r="M2115" s="1">
        <v>45875</v>
      </c>
      <c r="N2115" s="1" t="str">
        <f>PROPER(TEXT(BBDD_fashion_boutique[[#This Row],[purchase_date]],"dddd"))</f>
        <v>Miércoles</v>
      </c>
      <c r="O2115" s="1" t="str">
        <f>PROPER(TEXT(BBDD_fashion_boutique[[#This Row],[purchase_date]],"mmmm"))</f>
        <v>Agosto</v>
      </c>
      <c r="P2115" s="4">
        <v>17</v>
      </c>
      <c r="Q2115" s="2">
        <v>2.2000000000000002</v>
      </c>
      <c r="R2115" t="str">
        <f>IF(BBDD_fashion_boutique[[#This Row],[stock_quantity]]&gt;9,"Ok",IF(BBDD_fashion_boutique[[#This Row],[stock_quantity]]=0,"Agotado","Pocas Unidades"))</f>
        <v>Ok</v>
      </c>
      <c r="S2115" s="3">
        <f>IF(BBDD_fashion_boutique[[#This Row],[customer_rating]]="","No valorado",BBDD_fashion_boutique[[#This Row],[customer_rating]])</f>
        <v>2.2000000000000002</v>
      </c>
      <c r="T2115" t="s">
        <v>24</v>
      </c>
      <c r="V2115">
        <f>IF(BBDD_fashion_boutique[[#This Row],[is_returned]]="False",0,1)</f>
        <v>0</v>
      </c>
      <c r="W2115">
        <f>IF(BBDD_fashion_boutique[[#This Row],[is_returned]]="True",0,BBDD_fashion_boutique[[#This Row],[current_price]])</f>
        <v>32.4</v>
      </c>
      <c r="X2115" t="str">
        <f>IF(BBDD_fashion_boutique[[#This Row],[return_reason]]="","No return",BBDD_fashion_boutique[[#This Row],[return_reason]])</f>
        <v>No return</v>
      </c>
      <c r="Y2115">
        <f>IF(IFERROR(VLOOKUP(BBDD_fashion_boutique[[#This Row],[product_id]],A2116:A4291,1,FALSE),0),1,0)</f>
        <v>0</v>
      </c>
    </row>
    <row r="2116" spans="1:25" x14ac:dyDescent="0.3">
      <c r="A2116" t="s">
        <v>2175</v>
      </c>
      <c r="B2116" t="s">
        <v>48</v>
      </c>
      <c r="C2116" t="s">
        <v>37</v>
      </c>
      <c r="D2116" t="s">
        <v>21</v>
      </c>
      <c r="E2116" t="s">
        <v>45</v>
      </c>
      <c r="F2116" t="str">
        <f>IF(BBDD_fashion_boutique[[#This Row],[category]]="Accessories","Accesorio",IF(BBDD_fashion_boutique[[#This Row],[size]]="","Desconocido",BBDD_fashion_boutique[[#This Row],[size]]))</f>
        <v>S</v>
      </c>
      <c r="G2116" t="s">
        <v>72</v>
      </c>
      <c r="H2116" s="2">
        <v>139.87</v>
      </c>
      <c r="I2116">
        <v>14.5</v>
      </c>
      <c r="J2116" s="5">
        <f>BBDD_fashion_boutique[[#This Row],[markdown_percentage]]/100</f>
        <v>0.14499999999999999</v>
      </c>
      <c r="K2116" s="2">
        <v>119.59</v>
      </c>
      <c r="L2116" s="2">
        <f>BBDD_fashion_boutique[[#This Row],[original_price]]-BBDD_fashion_boutique[[#This Row],[current_price]]</f>
        <v>20.28</v>
      </c>
      <c r="M2116" s="1">
        <v>45548</v>
      </c>
      <c r="N2116" s="1" t="str">
        <f>PROPER(TEXT(BBDD_fashion_boutique[[#This Row],[purchase_date]],"dddd"))</f>
        <v>Viernes</v>
      </c>
      <c r="O2116" s="1" t="str">
        <f>PROPER(TEXT(BBDD_fashion_boutique[[#This Row],[purchase_date]],"mmmm"))</f>
        <v>Septiembre</v>
      </c>
      <c r="P2116" s="4">
        <v>13</v>
      </c>
      <c r="Q2116" s="2">
        <v>1.3</v>
      </c>
      <c r="R2116" t="str">
        <f>IF(BBDD_fashion_boutique[[#This Row],[stock_quantity]]&gt;9,"Ok",IF(BBDD_fashion_boutique[[#This Row],[stock_quantity]]=0,"Agotado","Pocas Unidades"))</f>
        <v>Ok</v>
      </c>
      <c r="S2116" s="3">
        <f>IF(BBDD_fashion_boutique[[#This Row],[customer_rating]]="","No valorado",BBDD_fashion_boutique[[#This Row],[customer_rating]])</f>
        <v>1.3</v>
      </c>
      <c r="T2116" t="s">
        <v>24</v>
      </c>
      <c r="V2116">
        <f>IF(BBDD_fashion_boutique[[#This Row],[is_returned]]="False",0,1)</f>
        <v>0</v>
      </c>
      <c r="W2116">
        <f>IF(BBDD_fashion_boutique[[#This Row],[is_returned]]="True",0,BBDD_fashion_boutique[[#This Row],[current_price]])</f>
        <v>119.59</v>
      </c>
      <c r="X2116" t="str">
        <f>IF(BBDD_fashion_boutique[[#This Row],[return_reason]]="","No return",BBDD_fashion_boutique[[#This Row],[return_reason]])</f>
        <v>No return</v>
      </c>
      <c r="Y2116">
        <f>IF(IFERROR(VLOOKUP(BBDD_fashion_boutique[[#This Row],[product_id]],A2117:A4292,1,FALSE),0),1,0)</f>
        <v>0</v>
      </c>
    </row>
    <row r="2117" spans="1:25" x14ac:dyDescent="0.3">
      <c r="A2117" t="s">
        <v>2176</v>
      </c>
      <c r="B2117" t="s">
        <v>32</v>
      </c>
      <c r="C2117" t="s">
        <v>20</v>
      </c>
      <c r="D2117" t="s">
        <v>28</v>
      </c>
      <c r="F2117" t="str">
        <f>IF(BBDD_fashion_boutique[[#This Row],[category]]="Accessories","Accesorio",IF(BBDD_fashion_boutique[[#This Row],[size]]="","Desconocido",BBDD_fashion_boutique[[#This Row],[size]]))</f>
        <v>Accesorio</v>
      </c>
      <c r="G2117" t="s">
        <v>30</v>
      </c>
      <c r="H2117" s="2">
        <v>70.23</v>
      </c>
      <c r="I2117">
        <v>49.9</v>
      </c>
      <c r="J2117" s="5">
        <f>BBDD_fashion_boutique[[#This Row],[markdown_percentage]]/100</f>
        <v>0.499</v>
      </c>
      <c r="K2117" s="2">
        <v>35.19</v>
      </c>
      <c r="L2117" s="2">
        <f>BBDD_fashion_boutique[[#This Row],[original_price]]-BBDD_fashion_boutique[[#This Row],[current_price]]</f>
        <v>35.040000000000006</v>
      </c>
      <c r="M2117" s="1">
        <v>45875</v>
      </c>
      <c r="N2117" s="1" t="str">
        <f>PROPER(TEXT(BBDD_fashion_boutique[[#This Row],[purchase_date]],"dddd"))</f>
        <v>Miércoles</v>
      </c>
      <c r="O2117" s="1" t="str">
        <f>PROPER(TEXT(BBDD_fashion_boutique[[#This Row],[purchase_date]],"mmmm"))</f>
        <v>Agosto</v>
      </c>
      <c r="P2117" s="4">
        <v>0</v>
      </c>
      <c r="Q2117" s="2">
        <v>4.5999999999999996</v>
      </c>
      <c r="R2117" t="str">
        <f>IF(BBDD_fashion_boutique[[#This Row],[stock_quantity]]&gt;9,"Ok",IF(BBDD_fashion_boutique[[#This Row],[stock_quantity]]=0,"Agotado","Pocas Unidades"))</f>
        <v>Agotado</v>
      </c>
      <c r="S2117" s="3">
        <f>IF(BBDD_fashion_boutique[[#This Row],[customer_rating]]="","No valorado",BBDD_fashion_boutique[[#This Row],[customer_rating]])</f>
        <v>4.5999999999999996</v>
      </c>
      <c r="T2117" t="s">
        <v>41</v>
      </c>
      <c r="U2117" t="s">
        <v>84</v>
      </c>
      <c r="V2117">
        <f>IF(BBDD_fashion_boutique[[#This Row],[is_returned]]="False",0,1)</f>
        <v>1</v>
      </c>
      <c r="W2117">
        <f>IF(BBDD_fashion_boutique[[#This Row],[is_returned]]="True",0,BBDD_fashion_boutique[[#This Row],[current_price]])</f>
        <v>0</v>
      </c>
      <c r="X2117" t="str">
        <f>IF(BBDD_fashion_boutique[[#This Row],[return_reason]]="","No return",BBDD_fashion_boutique[[#This Row],[return_reason]])</f>
        <v>Damaged</v>
      </c>
      <c r="Y2117">
        <f>IF(IFERROR(VLOOKUP(BBDD_fashion_boutique[[#This Row],[product_id]],A2118:A4293,1,FALSE),0),1,0)</f>
        <v>0</v>
      </c>
    </row>
    <row r="2118" spans="1:25" x14ac:dyDescent="0.3">
      <c r="A2118" t="s">
        <v>2177</v>
      </c>
      <c r="B2118" t="s">
        <v>35</v>
      </c>
      <c r="C2118" t="s">
        <v>20</v>
      </c>
      <c r="D2118" t="s">
        <v>28</v>
      </c>
      <c r="E2118" t="s">
        <v>22</v>
      </c>
      <c r="F2118" t="str">
        <f>IF(BBDD_fashion_boutique[[#This Row],[category]]="Accessories","Accesorio",IF(BBDD_fashion_boutique[[#This Row],[size]]="","Desconocido",BBDD_fashion_boutique[[#This Row],[size]]))</f>
        <v>XL</v>
      </c>
      <c r="G2118" t="s">
        <v>50</v>
      </c>
      <c r="H2118" s="2">
        <v>129.9</v>
      </c>
      <c r="I2118">
        <v>39.9</v>
      </c>
      <c r="J2118" s="5">
        <f>BBDD_fashion_boutique[[#This Row],[markdown_percentage]]/100</f>
        <v>0.39899999999999997</v>
      </c>
      <c r="K2118" s="2">
        <v>78.069999999999993</v>
      </c>
      <c r="L2118" s="2">
        <f>BBDD_fashion_boutique[[#This Row],[original_price]]-BBDD_fashion_boutique[[#This Row],[current_price]]</f>
        <v>51.830000000000013</v>
      </c>
      <c r="M2118" s="1">
        <v>45875</v>
      </c>
      <c r="N2118" s="1" t="str">
        <f>PROPER(TEXT(BBDD_fashion_boutique[[#This Row],[purchase_date]],"dddd"))</f>
        <v>Miércoles</v>
      </c>
      <c r="O2118" s="1" t="str">
        <f>PROPER(TEXT(BBDD_fashion_boutique[[#This Row],[purchase_date]],"mmmm"))</f>
        <v>Agosto</v>
      </c>
      <c r="P2118" s="4">
        <v>28</v>
      </c>
      <c r="Q2118" s="2">
        <v>1.3</v>
      </c>
      <c r="R2118" t="str">
        <f>IF(BBDD_fashion_boutique[[#This Row],[stock_quantity]]&gt;9,"Ok",IF(BBDD_fashion_boutique[[#This Row],[stock_quantity]]=0,"Agotado","Pocas Unidades"))</f>
        <v>Ok</v>
      </c>
      <c r="S2118" s="3">
        <f>IF(BBDD_fashion_boutique[[#This Row],[customer_rating]]="","No valorado",BBDD_fashion_boutique[[#This Row],[customer_rating]])</f>
        <v>1.3</v>
      </c>
      <c r="T2118" t="s">
        <v>24</v>
      </c>
      <c r="V2118">
        <f>IF(BBDD_fashion_boutique[[#This Row],[is_returned]]="False",0,1)</f>
        <v>0</v>
      </c>
      <c r="W2118">
        <f>IF(BBDD_fashion_boutique[[#This Row],[is_returned]]="True",0,BBDD_fashion_boutique[[#This Row],[current_price]])</f>
        <v>78.069999999999993</v>
      </c>
      <c r="X2118" t="str">
        <f>IF(BBDD_fashion_boutique[[#This Row],[return_reason]]="","No return",BBDD_fashion_boutique[[#This Row],[return_reason]])</f>
        <v>No return</v>
      </c>
      <c r="Y2118">
        <f>IF(IFERROR(VLOOKUP(BBDD_fashion_boutique[[#This Row],[product_id]],A2119:A4294,1,FALSE),0),1,0)</f>
        <v>0</v>
      </c>
    </row>
    <row r="2119" spans="1:25" x14ac:dyDescent="0.3">
      <c r="A2119" t="s">
        <v>2178</v>
      </c>
      <c r="B2119" t="s">
        <v>44</v>
      </c>
      <c r="C2119" t="s">
        <v>20</v>
      </c>
      <c r="D2119" t="s">
        <v>21</v>
      </c>
      <c r="E2119" t="s">
        <v>29</v>
      </c>
      <c r="F2119" t="str">
        <f>IF(BBDD_fashion_boutique[[#This Row],[category]]="Accessories","Accesorio",IF(BBDD_fashion_boutique[[#This Row],[size]]="","Desconocido",BBDD_fashion_boutique[[#This Row],[size]]))</f>
        <v>L</v>
      </c>
      <c r="G2119" t="s">
        <v>62</v>
      </c>
      <c r="H2119" s="2">
        <v>75.78</v>
      </c>
      <c r="I2119">
        <v>0</v>
      </c>
      <c r="J2119" s="5">
        <f>BBDD_fashion_boutique[[#This Row],[markdown_percentage]]/100</f>
        <v>0</v>
      </c>
      <c r="K2119" s="2">
        <v>75.78</v>
      </c>
      <c r="L2119" s="2">
        <f>BBDD_fashion_boutique[[#This Row],[original_price]]-BBDD_fashion_boutique[[#This Row],[current_price]]</f>
        <v>0</v>
      </c>
      <c r="M2119" s="1">
        <v>45685</v>
      </c>
      <c r="N2119" s="1" t="str">
        <f>PROPER(TEXT(BBDD_fashion_boutique[[#This Row],[purchase_date]],"dddd"))</f>
        <v>Martes</v>
      </c>
      <c r="O2119" s="1" t="str">
        <f>PROPER(TEXT(BBDD_fashion_boutique[[#This Row],[purchase_date]],"mmmm"))</f>
        <v>Enero</v>
      </c>
      <c r="P2119" s="4">
        <v>12</v>
      </c>
      <c r="Q2119" s="2">
        <v>3.6</v>
      </c>
      <c r="R2119" t="str">
        <f>IF(BBDD_fashion_boutique[[#This Row],[stock_quantity]]&gt;9,"Ok",IF(BBDD_fashion_boutique[[#This Row],[stock_quantity]]=0,"Agotado","Pocas Unidades"))</f>
        <v>Ok</v>
      </c>
      <c r="S2119" s="3">
        <f>IF(BBDD_fashion_boutique[[#This Row],[customer_rating]]="","No valorado",BBDD_fashion_boutique[[#This Row],[customer_rating]])</f>
        <v>3.6</v>
      </c>
      <c r="T2119" t="s">
        <v>24</v>
      </c>
      <c r="V2119">
        <f>IF(BBDD_fashion_boutique[[#This Row],[is_returned]]="False",0,1)</f>
        <v>0</v>
      </c>
      <c r="W2119">
        <f>IF(BBDD_fashion_boutique[[#This Row],[is_returned]]="True",0,BBDD_fashion_boutique[[#This Row],[current_price]])</f>
        <v>75.78</v>
      </c>
      <c r="X2119" t="str">
        <f>IF(BBDD_fashion_boutique[[#This Row],[return_reason]]="","No return",BBDD_fashion_boutique[[#This Row],[return_reason]])</f>
        <v>No return</v>
      </c>
      <c r="Y2119">
        <f>IF(IFERROR(VLOOKUP(BBDD_fashion_boutique[[#This Row],[product_id]],A2120:A4295,1,FALSE),0),1,0)</f>
        <v>0</v>
      </c>
    </row>
    <row r="2120" spans="1:25" x14ac:dyDescent="0.3">
      <c r="A2120" t="s">
        <v>2179</v>
      </c>
      <c r="B2120" t="s">
        <v>44</v>
      </c>
      <c r="C2120" t="s">
        <v>54</v>
      </c>
      <c r="D2120" t="s">
        <v>28</v>
      </c>
      <c r="E2120" t="s">
        <v>64</v>
      </c>
      <c r="F2120" t="str">
        <f>IF(BBDD_fashion_boutique[[#This Row],[category]]="Accessories","Accesorio",IF(BBDD_fashion_boutique[[#This Row],[size]]="","Desconocido",BBDD_fashion_boutique[[#This Row],[size]]))</f>
        <v>M</v>
      </c>
      <c r="G2120" t="s">
        <v>62</v>
      </c>
      <c r="H2120" s="2">
        <v>93.41</v>
      </c>
      <c r="I2120">
        <v>0</v>
      </c>
      <c r="J2120" s="5">
        <f>BBDD_fashion_boutique[[#This Row],[markdown_percentage]]/100</f>
        <v>0</v>
      </c>
      <c r="K2120" s="2">
        <v>93.41</v>
      </c>
      <c r="L2120" s="2">
        <f>BBDD_fashion_boutique[[#This Row],[original_price]]-BBDD_fashion_boutique[[#This Row],[current_price]]</f>
        <v>0</v>
      </c>
      <c r="M2120" s="1">
        <v>45875</v>
      </c>
      <c r="N2120" s="1" t="str">
        <f>PROPER(TEXT(BBDD_fashion_boutique[[#This Row],[purchase_date]],"dddd"))</f>
        <v>Miércoles</v>
      </c>
      <c r="O2120" s="1" t="str">
        <f>PROPER(TEXT(BBDD_fashion_boutique[[#This Row],[purchase_date]],"mmmm"))</f>
        <v>Agosto</v>
      </c>
      <c r="P2120" s="4">
        <v>4</v>
      </c>
      <c r="Q2120" s="2">
        <v>3.2</v>
      </c>
      <c r="R2120" t="str">
        <f>IF(BBDD_fashion_boutique[[#This Row],[stock_quantity]]&gt;9,"Ok",IF(BBDD_fashion_boutique[[#This Row],[stock_quantity]]=0,"Agotado","Pocas Unidades"))</f>
        <v>Pocas Unidades</v>
      </c>
      <c r="S2120" s="3">
        <f>IF(BBDD_fashion_boutique[[#This Row],[customer_rating]]="","No valorado",BBDD_fashion_boutique[[#This Row],[customer_rating]])</f>
        <v>3.2</v>
      </c>
      <c r="T2120" t="s">
        <v>41</v>
      </c>
      <c r="U2120" t="s">
        <v>79</v>
      </c>
      <c r="V2120">
        <f>IF(BBDD_fashion_boutique[[#This Row],[is_returned]]="False",0,1)</f>
        <v>1</v>
      </c>
      <c r="W2120">
        <f>IF(BBDD_fashion_boutique[[#This Row],[is_returned]]="True",0,BBDD_fashion_boutique[[#This Row],[current_price]])</f>
        <v>0</v>
      </c>
      <c r="X2120" t="str">
        <f>IF(BBDD_fashion_boutique[[#This Row],[return_reason]]="","No return",BBDD_fashion_boutique[[#This Row],[return_reason]])</f>
        <v>Size Issue</v>
      </c>
      <c r="Y2120">
        <f>IF(IFERROR(VLOOKUP(BBDD_fashion_boutique[[#This Row],[product_id]],A2121:A4296,1,FALSE),0),1,0)</f>
        <v>0</v>
      </c>
    </row>
    <row r="2121" spans="1:25" x14ac:dyDescent="0.3">
      <c r="A2121" t="s">
        <v>2180</v>
      </c>
      <c r="B2121" t="s">
        <v>26</v>
      </c>
      <c r="C2121" t="s">
        <v>37</v>
      </c>
      <c r="D2121" t="s">
        <v>21</v>
      </c>
      <c r="E2121" t="s">
        <v>29</v>
      </c>
      <c r="F2121" t="str">
        <f>IF(BBDD_fashion_boutique[[#This Row],[category]]="Accessories","Accesorio",IF(BBDD_fashion_boutique[[#This Row],[size]]="","Desconocido",BBDD_fashion_boutique[[#This Row],[size]]))</f>
        <v>L</v>
      </c>
      <c r="G2121" t="s">
        <v>23</v>
      </c>
      <c r="H2121" s="2">
        <v>66.900000000000006</v>
      </c>
      <c r="I2121">
        <v>0</v>
      </c>
      <c r="J2121" s="5">
        <f>BBDD_fashion_boutique[[#This Row],[markdown_percentage]]/100</f>
        <v>0</v>
      </c>
      <c r="K2121" s="2">
        <v>66.900000000000006</v>
      </c>
      <c r="L2121" s="2">
        <f>BBDD_fashion_boutique[[#This Row],[original_price]]-BBDD_fashion_boutique[[#This Row],[current_price]]</f>
        <v>0</v>
      </c>
      <c r="M2121" s="1">
        <v>45784</v>
      </c>
      <c r="N2121" s="1" t="str">
        <f>PROPER(TEXT(BBDD_fashion_boutique[[#This Row],[purchase_date]],"dddd"))</f>
        <v>Miércoles</v>
      </c>
      <c r="O2121" s="1" t="str">
        <f>PROPER(TEXT(BBDD_fashion_boutique[[#This Row],[purchase_date]],"mmmm"))</f>
        <v>Mayo</v>
      </c>
      <c r="P2121" s="4">
        <v>1</v>
      </c>
      <c r="Q2121" s="2">
        <v>2.8</v>
      </c>
      <c r="R2121" t="str">
        <f>IF(BBDD_fashion_boutique[[#This Row],[stock_quantity]]&gt;9,"Ok",IF(BBDD_fashion_boutique[[#This Row],[stock_quantity]]=0,"Agotado","Pocas Unidades"))</f>
        <v>Pocas Unidades</v>
      </c>
      <c r="S2121" s="3">
        <f>IF(BBDD_fashion_boutique[[#This Row],[customer_rating]]="","No valorado",BBDD_fashion_boutique[[#This Row],[customer_rating]])</f>
        <v>2.8</v>
      </c>
      <c r="T2121" t="s">
        <v>24</v>
      </c>
      <c r="V2121">
        <f>IF(BBDD_fashion_boutique[[#This Row],[is_returned]]="False",0,1)</f>
        <v>0</v>
      </c>
      <c r="W2121">
        <f>IF(BBDD_fashion_boutique[[#This Row],[is_returned]]="True",0,BBDD_fashion_boutique[[#This Row],[current_price]])</f>
        <v>66.900000000000006</v>
      </c>
      <c r="X2121" t="str">
        <f>IF(BBDD_fashion_boutique[[#This Row],[return_reason]]="","No return",BBDD_fashion_boutique[[#This Row],[return_reason]])</f>
        <v>No return</v>
      </c>
      <c r="Y2121">
        <f>IF(IFERROR(VLOOKUP(BBDD_fashion_boutique[[#This Row],[product_id]],A2122:A4297,1,FALSE),0),1,0)</f>
        <v>0</v>
      </c>
    </row>
    <row r="2122" spans="1:25" x14ac:dyDescent="0.3">
      <c r="A2122" t="s">
        <v>2181</v>
      </c>
      <c r="B2122" t="s">
        <v>26</v>
      </c>
      <c r="C2122" t="s">
        <v>49</v>
      </c>
      <c r="D2122" t="s">
        <v>39</v>
      </c>
      <c r="E2122" t="s">
        <v>29</v>
      </c>
      <c r="F2122" t="str">
        <f>IF(BBDD_fashion_boutique[[#This Row],[category]]="Accessories","Accesorio",IF(BBDD_fashion_boutique[[#This Row],[size]]="","Desconocido",BBDD_fashion_boutique[[#This Row],[size]]))</f>
        <v>L</v>
      </c>
      <c r="G2122" t="s">
        <v>52</v>
      </c>
      <c r="H2122" s="2">
        <v>110.45</v>
      </c>
      <c r="I2122">
        <v>6.6</v>
      </c>
      <c r="J2122" s="5">
        <f>BBDD_fashion_boutique[[#This Row],[markdown_percentage]]/100</f>
        <v>6.6000000000000003E-2</v>
      </c>
      <c r="K2122" s="2">
        <v>103.16</v>
      </c>
      <c r="L2122" s="2">
        <f>BBDD_fashion_boutique[[#This Row],[original_price]]-BBDD_fashion_boutique[[#This Row],[current_price]]</f>
        <v>7.2900000000000063</v>
      </c>
      <c r="M2122" s="1">
        <v>45875</v>
      </c>
      <c r="N2122" s="1" t="str">
        <f>PROPER(TEXT(BBDD_fashion_boutique[[#This Row],[purchase_date]],"dddd"))</f>
        <v>Miércoles</v>
      </c>
      <c r="O2122" s="1" t="str">
        <f>PROPER(TEXT(BBDD_fashion_boutique[[#This Row],[purchase_date]],"mmmm"))</f>
        <v>Agosto</v>
      </c>
      <c r="P2122" s="4">
        <v>6</v>
      </c>
      <c r="R2122" t="str">
        <f>IF(BBDD_fashion_boutique[[#This Row],[stock_quantity]]&gt;9,"Ok",IF(BBDD_fashion_boutique[[#This Row],[stock_quantity]]=0,"Agotado","Pocas Unidades"))</f>
        <v>Pocas Unidades</v>
      </c>
      <c r="S2122" s="3" t="str">
        <f>IF(BBDD_fashion_boutique[[#This Row],[customer_rating]]="","No valorado",BBDD_fashion_boutique[[#This Row],[customer_rating]])</f>
        <v>No valorado</v>
      </c>
      <c r="T2122" t="s">
        <v>24</v>
      </c>
      <c r="V2122">
        <f>IF(BBDD_fashion_boutique[[#This Row],[is_returned]]="False",0,1)</f>
        <v>0</v>
      </c>
      <c r="W2122">
        <f>IF(BBDD_fashion_boutique[[#This Row],[is_returned]]="True",0,BBDD_fashion_boutique[[#This Row],[current_price]])</f>
        <v>103.16</v>
      </c>
      <c r="X2122" t="str">
        <f>IF(BBDD_fashion_boutique[[#This Row],[return_reason]]="","No return",BBDD_fashion_boutique[[#This Row],[return_reason]])</f>
        <v>No return</v>
      </c>
      <c r="Y2122">
        <f>IF(IFERROR(VLOOKUP(BBDD_fashion_boutique[[#This Row],[product_id]],A2123:A4298,1,FALSE),0),1,0)</f>
        <v>0</v>
      </c>
    </row>
    <row r="2123" spans="1:25" x14ac:dyDescent="0.3">
      <c r="A2123" t="s">
        <v>2182</v>
      </c>
      <c r="B2123" t="s">
        <v>44</v>
      </c>
      <c r="C2123" t="s">
        <v>20</v>
      </c>
      <c r="D2123" t="s">
        <v>39</v>
      </c>
      <c r="E2123" t="s">
        <v>29</v>
      </c>
      <c r="F2123" t="str">
        <f>IF(BBDD_fashion_boutique[[#This Row],[category]]="Accessories","Accesorio",IF(BBDD_fashion_boutique[[#This Row],[size]]="","Desconocido",BBDD_fashion_boutique[[#This Row],[size]]))</f>
        <v>L</v>
      </c>
      <c r="G2123" t="s">
        <v>46</v>
      </c>
      <c r="H2123" s="2">
        <v>52.73</v>
      </c>
      <c r="I2123">
        <v>0</v>
      </c>
      <c r="J2123" s="5">
        <f>BBDD_fashion_boutique[[#This Row],[markdown_percentage]]/100</f>
        <v>0</v>
      </c>
      <c r="K2123" s="2">
        <v>52.73</v>
      </c>
      <c r="L2123" s="2">
        <f>BBDD_fashion_boutique[[#This Row],[original_price]]-BBDD_fashion_boutique[[#This Row],[current_price]]</f>
        <v>0</v>
      </c>
      <c r="M2123" s="1">
        <v>45875</v>
      </c>
      <c r="N2123" s="1" t="str">
        <f>PROPER(TEXT(BBDD_fashion_boutique[[#This Row],[purchase_date]],"dddd"))</f>
        <v>Miércoles</v>
      </c>
      <c r="O2123" s="1" t="str">
        <f>PROPER(TEXT(BBDD_fashion_boutique[[#This Row],[purchase_date]],"mmmm"))</f>
        <v>Agosto</v>
      </c>
      <c r="P2123" s="4">
        <v>10</v>
      </c>
      <c r="Q2123" s="2">
        <v>4.5</v>
      </c>
      <c r="R2123" t="str">
        <f>IF(BBDD_fashion_boutique[[#This Row],[stock_quantity]]&gt;9,"Ok",IF(BBDD_fashion_boutique[[#This Row],[stock_quantity]]=0,"Agotado","Pocas Unidades"))</f>
        <v>Ok</v>
      </c>
      <c r="S2123" s="3">
        <f>IF(BBDD_fashion_boutique[[#This Row],[customer_rating]]="","No valorado",BBDD_fashion_boutique[[#This Row],[customer_rating]])</f>
        <v>4.5</v>
      </c>
      <c r="T2123" t="s">
        <v>24</v>
      </c>
      <c r="V2123">
        <f>IF(BBDD_fashion_boutique[[#This Row],[is_returned]]="False",0,1)</f>
        <v>0</v>
      </c>
      <c r="W2123">
        <f>IF(BBDD_fashion_boutique[[#This Row],[is_returned]]="True",0,BBDD_fashion_boutique[[#This Row],[current_price]])</f>
        <v>52.73</v>
      </c>
      <c r="X2123" t="str">
        <f>IF(BBDD_fashion_boutique[[#This Row],[return_reason]]="","No return",BBDD_fashion_boutique[[#This Row],[return_reason]])</f>
        <v>No return</v>
      </c>
      <c r="Y2123">
        <f>IF(IFERROR(VLOOKUP(BBDD_fashion_boutique[[#This Row],[product_id]],A2124:A4299,1,FALSE),0),1,0)</f>
        <v>0</v>
      </c>
    </row>
    <row r="2124" spans="1:25" x14ac:dyDescent="0.3">
      <c r="A2124" t="s">
        <v>2183</v>
      </c>
      <c r="B2124" t="s">
        <v>19</v>
      </c>
      <c r="C2124" t="s">
        <v>59</v>
      </c>
      <c r="D2124" t="s">
        <v>39</v>
      </c>
      <c r="E2124" t="s">
        <v>29</v>
      </c>
      <c r="F2124" t="str">
        <f>IF(BBDD_fashion_boutique[[#This Row],[category]]="Accessories","Accesorio",IF(BBDD_fashion_boutique[[#This Row],[size]]="","Desconocido",BBDD_fashion_boutique[[#This Row],[size]]))</f>
        <v>L</v>
      </c>
      <c r="G2124" t="s">
        <v>50</v>
      </c>
      <c r="H2124" s="2">
        <v>89.13</v>
      </c>
      <c r="I2124">
        <v>0</v>
      </c>
      <c r="J2124" s="5">
        <f>BBDD_fashion_boutique[[#This Row],[markdown_percentage]]/100</f>
        <v>0</v>
      </c>
      <c r="K2124" s="2">
        <v>89.13</v>
      </c>
      <c r="L2124" s="2">
        <f>BBDD_fashion_boutique[[#This Row],[original_price]]-BBDD_fashion_boutique[[#This Row],[current_price]]</f>
        <v>0</v>
      </c>
      <c r="M2124" s="1">
        <v>45875</v>
      </c>
      <c r="N2124" s="1" t="str">
        <f>PROPER(TEXT(BBDD_fashion_boutique[[#This Row],[purchase_date]],"dddd"))</f>
        <v>Miércoles</v>
      </c>
      <c r="O2124" s="1" t="str">
        <f>PROPER(TEXT(BBDD_fashion_boutique[[#This Row],[purchase_date]],"mmmm"))</f>
        <v>Agosto</v>
      </c>
      <c r="P2124" s="4">
        <v>17</v>
      </c>
      <c r="Q2124" s="2">
        <v>4.0999999999999996</v>
      </c>
      <c r="R2124" t="str">
        <f>IF(BBDD_fashion_boutique[[#This Row],[stock_quantity]]&gt;9,"Ok",IF(BBDD_fashion_boutique[[#This Row],[stock_quantity]]=0,"Agotado","Pocas Unidades"))</f>
        <v>Ok</v>
      </c>
      <c r="S2124" s="3">
        <f>IF(BBDD_fashion_boutique[[#This Row],[customer_rating]]="","No valorado",BBDD_fashion_boutique[[#This Row],[customer_rating]])</f>
        <v>4.0999999999999996</v>
      </c>
      <c r="T2124" t="s">
        <v>24</v>
      </c>
      <c r="V2124">
        <f>IF(BBDD_fashion_boutique[[#This Row],[is_returned]]="False",0,1)</f>
        <v>0</v>
      </c>
      <c r="W2124">
        <f>IF(BBDD_fashion_boutique[[#This Row],[is_returned]]="True",0,BBDD_fashion_boutique[[#This Row],[current_price]])</f>
        <v>89.13</v>
      </c>
      <c r="X2124" t="str">
        <f>IF(BBDD_fashion_boutique[[#This Row],[return_reason]]="","No return",BBDD_fashion_boutique[[#This Row],[return_reason]])</f>
        <v>No return</v>
      </c>
      <c r="Y2124">
        <f>IF(IFERROR(VLOOKUP(BBDD_fashion_boutique[[#This Row],[product_id]],A2125:A4300,1,FALSE),0),1,0)</f>
        <v>0</v>
      </c>
    </row>
    <row r="2125" spans="1:25" x14ac:dyDescent="0.3">
      <c r="A2125" t="s">
        <v>2184</v>
      </c>
      <c r="B2125" t="s">
        <v>19</v>
      </c>
      <c r="C2125" t="s">
        <v>37</v>
      </c>
      <c r="D2125" t="s">
        <v>68</v>
      </c>
      <c r="E2125" t="s">
        <v>29</v>
      </c>
      <c r="F2125" t="str">
        <f>IF(BBDD_fashion_boutique[[#This Row],[category]]="Accessories","Accesorio",IF(BBDD_fashion_boutique[[#This Row],[size]]="","Desconocido",BBDD_fashion_boutique[[#This Row],[size]]))</f>
        <v>L</v>
      </c>
      <c r="G2125" t="s">
        <v>52</v>
      </c>
      <c r="H2125" s="2">
        <v>171.78</v>
      </c>
      <c r="I2125">
        <v>44.1</v>
      </c>
      <c r="J2125" s="5">
        <f>BBDD_fashion_boutique[[#This Row],[markdown_percentage]]/100</f>
        <v>0.441</v>
      </c>
      <c r="K2125" s="2">
        <v>96.03</v>
      </c>
      <c r="L2125" s="2">
        <f>BBDD_fashion_boutique[[#This Row],[original_price]]-BBDD_fashion_boutique[[#This Row],[current_price]]</f>
        <v>75.75</v>
      </c>
      <c r="M2125" s="1">
        <v>45875</v>
      </c>
      <c r="N2125" s="1" t="str">
        <f>PROPER(TEXT(BBDD_fashion_boutique[[#This Row],[purchase_date]],"dddd"))</f>
        <v>Miércoles</v>
      </c>
      <c r="O2125" s="1" t="str">
        <f>PROPER(TEXT(BBDD_fashion_boutique[[#This Row],[purchase_date]],"mmmm"))</f>
        <v>Agosto</v>
      </c>
      <c r="P2125" s="4">
        <v>25</v>
      </c>
      <c r="R2125" t="str">
        <f>IF(BBDD_fashion_boutique[[#This Row],[stock_quantity]]&gt;9,"Ok",IF(BBDD_fashion_boutique[[#This Row],[stock_quantity]]=0,"Agotado","Pocas Unidades"))</f>
        <v>Ok</v>
      </c>
      <c r="S2125" s="3" t="str">
        <f>IF(BBDD_fashion_boutique[[#This Row],[customer_rating]]="","No valorado",BBDD_fashion_boutique[[#This Row],[customer_rating]])</f>
        <v>No valorado</v>
      </c>
      <c r="T2125" t="s">
        <v>41</v>
      </c>
      <c r="U2125" t="s">
        <v>42</v>
      </c>
      <c r="V2125">
        <f>IF(BBDD_fashion_boutique[[#This Row],[is_returned]]="False",0,1)</f>
        <v>1</v>
      </c>
      <c r="W2125">
        <f>IF(BBDD_fashion_boutique[[#This Row],[is_returned]]="True",0,BBDD_fashion_boutique[[#This Row],[current_price]])</f>
        <v>0</v>
      </c>
      <c r="X2125" t="str">
        <f>IF(BBDD_fashion_boutique[[#This Row],[return_reason]]="","No return",BBDD_fashion_boutique[[#This Row],[return_reason]])</f>
        <v>Color Mismatch</v>
      </c>
      <c r="Y2125">
        <f>IF(IFERROR(VLOOKUP(BBDD_fashion_boutique[[#This Row],[product_id]],A2126:A4301,1,FALSE),0),1,0)</f>
        <v>0</v>
      </c>
    </row>
    <row r="2126" spans="1:25" x14ac:dyDescent="0.3">
      <c r="A2126" t="s">
        <v>2185</v>
      </c>
      <c r="B2126" t="s">
        <v>35</v>
      </c>
      <c r="C2126" t="s">
        <v>67</v>
      </c>
      <c r="D2126" t="s">
        <v>28</v>
      </c>
      <c r="E2126" t="s">
        <v>64</v>
      </c>
      <c r="F2126" t="str">
        <f>IF(BBDD_fashion_boutique[[#This Row],[category]]="Accessories","Accesorio",IF(BBDD_fashion_boutique[[#This Row],[size]]="","Desconocido",BBDD_fashion_boutique[[#This Row],[size]]))</f>
        <v>M</v>
      </c>
      <c r="G2126" t="s">
        <v>30</v>
      </c>
      <c r="H2126" s="2">
        <v>129</v>
      </c>
      <c r="I2126">
        <v>0</v>
      </c>
      <c r="J2126" s="5">
        <f>BBDD_fashion_boutique[[#This Row],[markdown_percentage]]/100</f>
        <v>0</v>
      </c>
      <c r="K2126" s="2">
        <v>129</v>
      </c>
      <c r="L2126" s="2">
        <f>BBDD_fashion_boutique[[#This Row],[original_price]]-BBDD_fashion_boutique[[#This Row],[current_price]]</f>
        <v>0</v>
      </c>
      <c r="M2126" s="1">
        <v>45875</v>
      </c>
      <c r="N2126" s="1" t="str">
        <f>PROPER(TEXT(BBDD_fashion_boutique[[#This Row],[purchase_date]],"dddd"))</f>
        <v>Miércoles</v>
      </c>
      <c r="O2126" s="1" t="str">
        <f>PROPER(TEXT(BBDD_fashion_boutique[[#This Row],[purchase_date]],"mmmm"))</f>
        <v>Agosto</v>
      </c>
      <c r="P2126" s="4">
        <v>13</v>
      </c>
      <c r="Q2126" s="2">
        <v>3.8</v>
      </c>
      <c r="R2126" t="str">
        <f>IF(BBDD_fashion_boutique[[#This Row],[stock_quantity]]&gt;9,"Ok",IF(BBDD_fashion_boutique[[#This Row],[stock_quantity]]=0,"Agotado","Pocas Unidades"))</f>
        <v>Ok</v>
      </c>
      <c r="S2126" s="3">
        <f>IF(BBDD_fashion_boutique[[#This Row],[customer_rating]]="","No valorado",BBDD_fashion_boutique[[#This Row],[customer_rating]])</f>
        <v>3.8</v>
      </c>
      <c r="T2126" t="s">
        <v>41</v>
      </c>
      <c r="U2126" t="s">
        <v>121</v>
      </c>
      <c r="V2126">
        <f>IF(BBDD_fashion_boutique[[#This Row],[is_returned]]="False",0,1)</f>
        <v>1</v>
      </c>
      <c r="W2126">
        <f>IF(BBDD_fashion_boutique[[#This Row],[is_returned]]="True",0,BBDD_fashion_boutique[[#This Row],[current_price]])</f>
        <v>0</v>
      </c>
      <c r="X2126" t="str">
        <f>IF(BBDD_fashion_boutique[[#This Row],[return_reason]]="","No return",BBDD_fashion_boutique[[#This Row],[return_reason]])</f>
        <v>Changed Mind</v>
      </c>
      <c r="Y2126">
        <f>IF(IFERROR(VLOOKUP(BBDD_fashion_boutique[[#This Row],[product_id]],A2127:A4302,1,FALSE),0),1,0)</f>
        <v>0</v>
      </c>
    </row>
    <row r="2127" spans="1:25" x14ac:dyDescent="0.3">
      <c r="A2127" t="s">
        <v>2186</v>
      </c>
      <c r="B2127" t="s">
        <v>35</v>
      </c>
      <c r="C2127" t="s">
        <v>20</v>
      </c>
      <c r="D2127" t="s">
        <v>68</v>
      </c>
      <c r="E2127" t="s">
        <v>61</v>
      </c>
      <c r="F2127" t="str">
        <f>IF(BBDD_fashion_boutique[[#This Row],[category]]="Accessories","Accesorio",IF(BBDD_fashion_boutique[[#This Row],[size]]="","Desconocido",BBDD_fashion_boutique[[#This Row],[size]]))</f>
        <v>XS</v>
      </c>
      <c r="G2127" t="s">
        <v>76</v>
      </c>
      <c r="H2127" s="2">
        <v>160.59</v>
      </c>
      <c r="I2127">
        <v>0</v>
      </c>
      <c r="J2127" s="5">
        <f>BBDD_fashion_boutique[[#This Row],[markdown_percentage]]/100</f>
        <v>0</v>
      </c>
      <c r="K2127" s="2">
        <v>160.59</v>
      </c>
      <c r="L2127" s="2">
        <f>BBDD_fashion_boutique[[#This Row],[original_price]]-BBDD_fashion_boutique[[#This Row],[current_price]]</f>
        <v>0</v>
      </c>
      <c r="M2127" s="1">
        <v>45875</v>
      </c>
      <c r="N2127" s="1" t="str">
        <f>PROPER(TEXT(BBDD_fashion_boutique[[#This Row],[purchase_date]],"dddd"))</f>
        <v>Miércoles</v>
      </c>
      <c r="O2127" s="1" t="str">
        <f>PROPER(TEXT(BBDD_fashion_boutique[[#This Row],[purchase_date]],"mmmm"))</f>
        <v>Agosto</v>
      </c>
      <c r="P2127" s="4">
        <v>8</v>
      </c>
      <c r="Q2127" s="2">
        <v>2.9</v>
      </c>
      <c r="R2127" t="str">
        <f>IF(BBDD_fashion_boutique[[#This Row],[stock_quantity]]&gt;9,"Ok",IF(BBDD_fashion_boutique[[#This Row],[stock_quantity]]=0,"Agotado","Pocas Unidades"))</f>
        <v>Pocas Unidades</v>
      </c>
      <c r="S2127" s="3">
        <f>IF(BBDD_fashion_boutique[[#This Row],[customer_rating]]="","No valorado",BBDD_fashion_boutique[[#This Row],[customer_rating]])</f>
        <v>2.9</v>
      </c>
      <c r="T2127" t="s">
        <v>24</v>
      </c>
      <c r="V2127">
        <f>IF(BBDD_fashion_boutique[[#This Row],[is_returned]]="False",0,1)</f>
        <v>0</v>
      </c>
      <c r="W2127">
        <f>IF(BBDD_fashion_boutique[[#This Row],[is_returned]]="True",0,BBDD_fashion_boutique[[#This Row],[current_price]])</f>
        <v>160.59</v>
      </c>
      <c r="X2127" t="str">
        <f>IF(BBDD_fashion_boutique[[#This Row],[return_reason]]="","No return",BBDD_fashion_boutique[[#This Row],[return_reason]])</f>
        <v>No return</v>
      </c>
      <c r="Y2127">
        <f>IF(IFERROR(VLOOKUP(BBDD_fashion_boutique[[#This Row],[product_id]],A2128:A4303,1,FALSE),0),1,0)</f>
        <v>0</v>
      </c>
    </row>
    <row r="2128" spans="1:25" x14ac:dyDescent="0.3">
      <c r="A2128" t="s">
        <v>2187</v>
      </c>
      <c r="B2128" t="s">
        <v>26</v>
      </c>
      <c r="C2128" t="s">
        <v>37</v>
      </c>
      <c r="D2128" t="s">
        <v>68</v>
      </c>
      <c r="E2128" t="s">
        <v>29</v>
      </c>
      <c r="F2128" t="str">
        <f>IF(BBDD_fashion_boutique[[#This Row],[category]]="Accessories","Accesorio",IF(BBDD_fashion_boutique[[#This Row],[size]]="","Desconocido",BBDD_fashion_boutique[[#This Row],[size]]))</f>
        <v>L</v>
      </c>
      <c r="G2128" t="s">
        <v>23</v>
      </c>
      <c r="H2128" s="2">
        <v>56.38</v>
      </c>
      <c r="I2128">
        <v>0</v>
      </c>
      <c r="J2128" s="5">
        <f>BBDD_fashion_boutique[[#This Row],[markdown_percentage]]/100</f>
        <v>0</v>
      </c>
      <c r="K2128" s="2">
        <v>56.38</v>
      </c>
      <c r="L2128" s="2">
        <f>BBDD_fashion_boutique[[#This Row],[original_price]]-BBDD_fashion_boutique[[#This Row],[current_price]]</f>
        <v>0</v>
      </c>
      <c r="M2128" s="1">
        <v>45875</v>
      </c>
      <c r="N2128" s="1" t="str">
        <f>PROPER(TEXT(BBDD_fashion_boutique[[#This Row],[purchase_date]],"dddd"))</f>
        <v>Miércoles</v>
      </c>
      <c r="O2128" s="1" t="str">
        <f>PROPER(TEXT(BBDD_fashion_boutique[[#This Row],[purchase_date]],"mmmm"))</f>
        <v>Agosto</v>
      </c>
      <c r="P2128" s="4">
        <v>9</v>
      </c>
      <c r="R2128" t="str">
        <f>IF(BBDD_fashion_boutique[[#This Row],[stock_quantity]]&gt;9,"Ok",IF(BBDD_fashion_boutique[[#This Row],[stock_quantity]]=0,"Agotado","Pocas Unidades"))</f>
        <v>Pocas Unidades</v>
      </c>
      <c r="S2128" s="3" t="str">
        <f>IF(BBDD_fashion_boutique[[#This Row],[customer_rating]]="","No valorado",BBDD_fashion_boutique[[#This Row],[customer_rating]])</f>
        <v>No valorado</v>
      </c>
      <c r="T2128" t="s">
        <v>24</v>
      </c>
      <c r="V2128">
        <f>IF(BBDD_fashion_boutique[[#This Row],[is_returned]]="False",0,1)</f>
        <v>0</v>
      </c>
      <c r="W2128">
        <f>IF(BBDD_fashion_boutique[[#This Row],[is_returned]]="True",0,BBDD_fashion_boutique[[#This Row],[current_price]])</f>
        <v>56.38</v>
      </c>
      <c r="X2128" t="str">
        <f>IF(BBDD_fashion_boutique[[#This Row],[return_reason]]="","No return",BBDD_fashion_boutique[[#This Row],[return_reason]])</f>
        <v>No return</v>
      </c>
      <c r="Y2128">
        <f>IF(IFERROR(VLOOKUP(BBDD_fashion_boutique[[#This Row],[product_id]],A2129:A4304,1,FALSE),0),1,0)</f>
        <v>0</v>
      </c>
    </row>
    <row r="2129" spans="1:25" x14ac:dyDescent="0.3">
      <c r="A2129" t="s">
        <v>2188</v>
      </c>
      <c r="B2129" t="s">
        <v>19</v>
      </c>
      <c r="C2129" t="s">
        <v>67</v>
      </c>
      <c r="D2129" t="s">
        <v>28</v>
      </c>
      <c r="E2129" t="s">
        <v>29</v>
      </c>
      <c r="F2129" t="str">
        <f>IF(BBDD_fashion_boutique[[#This Row],[category]]="Accessories","Accesorio",IF(BBDD_fashion_boutique[[#This Row],[size]]="","Desconocido",BBDD_fashion_boutique[[#This Row],[size]]))</f>
        <v>L</v>
      </c>
      <c r="G2129" t="s">
        <v>52</v>
      </c>
      <c r="H2129" s="2">
        <v>109.2</v>
      </c>
      <c r="I2129">
        <v>26.6</v>
      </c>
      <c r="J2129" s="5">
        <f>BBDD_fashion_boutique[[#This Row],[markdown_percentage]]/100</f>
        <v>0.26600000000000001</v>
      </c>
      <c r="K2129" s="2">
        <v>80.150000000000006</v>
      </c>
      <c r="L2129" s="2">
        <f>BBDD_fashion_boutique[[#This Row],[original_price]]-BBDD_fashion_boutique[[#This Row],[current_price]]</f>
        <v>29.049999999999997</v>
      </c>
      <c r="M2129" s="1">
        <v>45875</v>
      </c>
      <c r="N2129" s="1" t="str">
        <f>PROPER(TEXT(BBDD_fashion_boutique[[#This Row],[purchase_date]],"dddd"))</f>
        <v>Miércoles</v>
      </c>
      <c r="O2129" s="1" t="str">
        <f>PROPER(TEXT(BBDD_fashion_boutique[[#This Row],[purchase_date]],"mmmm"))</f>
        <v>Agosto</v>
      </c>
      <c r="P2129" s="4">
        <v>21</v>
      </c>
      <c r="Q2129" s="2">
        <v>3.9</v>
      </c>
      <c r="R2129" t="str">
        <f>IF(BBDD_fashion_boutique[[#This Row],[stock_quantity]]&gt;9,"Ok",IF(BBDD_fashion_boutique[[#This Row],[stock_quantity]]=0,"Agotado","Pocas Unidades"))</f>
        <v>Ok</v>
      </c>
      <c r="S2129" s="3">
        <f>IF(BBDD_fashion_boutique[[#This Row],[customer_rating]]="","No valorado",BBDD_fashion_boutique[[#This Row],[customer_rating]])</f>
        <v>3.9</v>
      </c>
      <c r="T2129" t="s">
        <v>41</v>
      </c>
      <c r="U2129" t="s">
        <v>89</v>
      </c>
      <c r="V2129">
        <f>IF(BBDD_fashion_boutique[[#This Row],[is_returned]]="False",0,1)</f>
        <v>1</v>
      </c>
      <c r="W2129">
        <f>IF(BBDD_fashion_boutique[[#This Row],[is_returned]]="True",0,BBDD_fashion_boutique[[#This Row],[current_price]])</f>
        <v>0</v>
      </c>
      <c r="X2129" t="str">
        <f>IF(BBDD_fashion_boutique[[#This Row],[return_reason]]="","No return",BBDD_fashion_boutique[[#This Row],[return_reason]])</f>
        <v>Quality Issue</v>
      </c>
      <c r="Y2129">
        <f>IF(IFERROR(VLOOKUP(BBDD_fashion_boutique[[#This Row],[product_id]],A2130:A4305,1,FALSE),0),1,0)</f>
        <v>0</v>
      </c>
    </row>
    <row r="2130" spans="1:25" x14ac:dyDescent="0.3">
      <c r="A2130" t="s">
        <v>2189</v>
      </c>
      <c r="B2130" t="s">
        <v>32</v>
      </c>
      <c r="C2130" t="s">
        <v>27</v>
      </c>
      <c r="D2130" t="s">
        <v>21</v>
      </c>
      <c r="F2130" t="str">
        <f>IF(BBDD_fashion_boutique[[#This Row],[category]]="Accessories","Accesorio",IF(BBDD_fashion_boutique[[#This Row],[size]]="","Desconocido",BBDD_fashion_boutique[[#This Row],[size]]))</f>
        <v>Accesorio</v>
      </c>
      <c r="G2130" t="s">
        <v>30</v>
      </c>
      <c r="H2130" s="2">
        <v>21.43</v>
      </c>
      <c r="I2130">
        <v>0</v>
      </c>
      <c r="J2130" s="5">
        <f>BBDD_fashion_boutique[[#This Row],[markdown_percentage]]/100</f>
        <v>0</v>
      </c>
      <c r="K2130" s="2">
        <v>21.43</v>
      </c>
      <c r="L2130" s="2">
        <f>BBDD_fashion_boutique[[#This Row],[original_price]]-BBDD_fashion_boutique[[#This Row],[current_price]]</f>
        <v>0</v>
      </c>
      <c r="M2130" s="1">
        <v>45691</v>
      </c>
      <c r="N2130" s="1" t="str">
        <f>PROPER(TEXT(BBDD_fashion_boutique[[#This Row],[purchase_date]],"dddd"))</f>
        <v>Lunes</v>
      </c>
      <c r="O2130" s="1" t="str">
        <f>PROPER(TEXT(BBDD_fashion_boutique[[#This Row],[purchase_date]],"mmmm"))</f>
        <v>Febrero</v>
      </c>
      <c r="P2130" s="4">
        <v>38</v>
      </c>
      <c r="Q2130" s="2">
        <v>1.9</v>
      </c>
      <c r="R2130" t="str">
        <f>IF(BBDD_fashion_boutique[[#This Row],[stock_quantity]]&gt;9,"Ok",IF(BBDD_fashion_boutique[[#This Row],[stock_quantity]]=0,"Agotado","Pocas Unidades"))</f>
        <v>Ok</v>
      </c>
      <c r="S2130" s="3">
        <f>IF(BBDD_fashion_boutique[[#This Row],[customer_rating]]="","No valorado",BBDD_fashion_boutique[[#This Row],[customer_rating]])</f>
        <v>1.9</v>
      </c>
      <c r="T2130" t="s">
        <v>24</v>
      </c>
      <c r="V2130">
        <f>IF(BBDD_fashion_boutique[[#This Row],[is_returned]]="False",0,1)</f>
        <v>0</v>
      </c>
      <c r="W2130">
        <f>IF(BBDD_fashion_boutique[[#This Row],[is_returned]]="True",0,BBDD_fashion_boutique[[#This Row],[current_price]])</f>
        <v>21.43</v>
      </c>
      <c r="X2130" t="str">
        <f>IF(BBDD_fashion_boutique[[#This Row],[return_reason]]="","No return",BBDD_fashion_boutique[[#This Row],[return_reason]])</f>
        <v>No return</v>
      </c>
      <c r="Y2130">
        <f>IF(IFERROR(VLOOKUP(BBDD_fashion_boutique[[#This Row],[product_id]],A2131:A4306,1,FALSE),0),1,0)</f>
        <v>0</v>
      </c>
    </row>
    <row r="2131" spans="1:25" x14ac:dyDescent="0.3">
      <c r="A2131" t="s">
        <v>2190</v>
      </c>
      <c r="B2131" t="s">
        <v>35</v>
      </c>
      <c r="C2131" t="s">
        <v>54</v>
      </c>
      <c r="D2131" t="s">
        <v>28</v>
      </c>
      <c r="E2131" t="s">
        <v>64</v>
      </c>
      <c r="F2131" t="str">
        <f>IF(BBDD_fashion_boutique[[#This Row],[category]]="Accessories","Accesorio",IF(BBDD_fashion_boutique[[#This Row],[size]]="","Desconocido",BBDD_fashion_boutique[[#This Row],[size]]))</f>
        <v>M</v>
      </c>
      <c r="G2131" t="s">
        <v>72</v>
      </c>
      <c r="H2131" s="2">
        <v>87.11</v>
      </c>
      <c r="I2131">
        <v>0</v>
      </c>
      <c r="J2131" s="5">
        <f>BBDD_fashion_boutique[[#This Row],[markdown_percentage]]/100</f>
        <v>0</v>
      </c>
      <c r="K2131" s="2">
        <v>87.11</v>
      </c>
      <c r="L2131" s="2">
        <f>BBDD_fashion_boutique[[#This Row],[original_price]]-BBDD_fashion_boutique[[#This Row],[current_price]]</f>
        <v>0</v>
      </c>
      <c r="M2131" s="1">
        <v>45875</v>
      </c>
      <c r="N2131" s="1" t="str">
        <f>PROPER(TEXT(BBDD_fashion_boutique[[#This Row],[purchase_date]],"dddd"))</f>
        <v>Miércoles</v>
      </c>
      <c r="O2131" s="1" t="str">
        <f>PROPER(TEXT(BBDD_fashion_boutique[[#This Row],[purchase_date]],"mmmm"))</f>
        <v>Agosto</v>
      </c>
      <c r="P2131" s="4">
        <v>36</v>
      </c>
      <c r="Q2131" s="2">
        <v>2.2999999999999998</v>
      </c>
      <c r="R2131" t="str">
        <f>IF(BBDD_fashion_boutique[[#This Row],[stock_quantity]]&gt;9,"Ok",IF(BBDD_fashion_boutique[[#This Row],[stock_quantity]]=0,"Agotado","Pocas Unidades"))</f>
        <v>Ok</v>
      </c>
      <c r="S2131" s="3">
        <f>IF(BBDD_fashion_boutique[[#This Row],[customer_rating]]="","No valorado",BBDD_fashion_boutique[[#This Row],[customer_rating]])</f>
        <v>2.2999999999999998</v>
      </c>
      <c r="T2131" t="s">
        <v>24</v>
      </c>
      <c r="V2131">
        <f>IF(BBDD_fashion_boutique[[#This Row],[is_returned]]="False",0,1)</f>
        <v>0</v>
      </c>
      <c r="W2131">
        <f>IF(BBDD_fashion_boutique[[#This Row],[is_returned]]="True",0,BBDD_fashion_boutique[[#This Row],[current_price]])</f>
        <v>87.11</v>
      </c>
      <c r="X2131" t="str">
        <f>IF(BBDD_fashion_boutique[[#This Row],[return_reason]]="","No return",BBDD_fashion_boutique[[#This Row],[return_reason]])</f>
        <v>No return</v>
      </c>
      <c r="Y2131">
        <f>IF(IFERROR(VLOOKUP(BBDD_fashion_boutique[[#This Row],[product_id]],A2132:A4307,1,FALSE),0),1,0)</f>
        <v>0</v>
      </c>
    </row>
    <row r="2132" spans="1:25" x14ac:dyDescent="0.3">
      <c r="A2132" t="s">
        <v>2191</v>
      </c>
      <c r="B2132" t="s">
        <v>32</v>
      </c>
      <c r="C2132" t="s">
        <v>81</v>
      </c>
      <c r="D2132" t="s">
        <v>39</v>
      </c>
      <c r="F2132" t="str">
        <f>IF(BBDD_fashion_boutique[[#This Row],[category]]="Accessories","Accesorio",IF(BBDD_fashion_boutique[[#This Row],[size]]="","Desconocido",BBDD_fashion_boutique[[#This Row],[size]]))</f>
        <v>Accesorio</v>
      </c>
      <c r="G2132" t="s">
        <v>70</v>
      </c>
      <c r="H2132" s="2">
        <v>36.29</v>
      </c>
      <c r="I2132">
        <v>0</v>
      </c>
      <c r="J2132" s="5">
        <f>BBDD_fashion_boutique[[#This Row],[markdown_percentage]]/100</f>
        <v>0</v>
      </c>
      <c r="K2132" s="2">
        <v>36.29</v>
      </c>
      <c r="L2132" s="2">
        <f>BBDD_fashion_boutique[[#This Row],[original_price]]-BBDD_fashion_boutique[[#This Row],[current_price]]</f>
        <v>0</v>
      </c>
      <c r="M2132" s="1">
        <v>45875</v>
      </c>
      <c r="N2132" s="1" t="str">
        <f>PROPER(TEXT(BBDD_fashion_boutique[[#This Row],[purchase_date]],"dddd"))</f>
        <v>Miércoles</v>
      </c>
      <c r="O2132" s="1" t="str">
        <f>PROPER(TEXT(BBDD_fashion_boutique[[#This Row],[purchase_date]],"mmmm"))</f>
        <v>Agosto</v>
      </c>
      <c r="P2132" s="4">
        <v>47</v>
      </c>
      <c r="Q2132" s="2">
        <v>2.8</v>
      </c>
      <c r="R2132" t="str">
        <f>IF(BBDD_fashion_boutique[[#This Row],[stock_quantity]]&gt;9,"Ok",IF(BBDD_fashion_boutique[[#This Row],[stock_quantity]]=0,"Agotado","Pocas Unidades"))</f>
        <v>Ok</v>
      </c>
      <c r="S2132" s="3">
        <f>IF(BBDD_fashion_boutique[[#This Row],[customer_rating]]="","No valorado",BBDD_fashion_boutique[[#This Row],[customer_rating]])</f>
        <v>2.8</v>
      </c>
      <c r="T2132" t="s">
        <v>24</v>
      </c>
      <c r="V2132">
        <f>IF(BBDD_fashion_boutique[[#This Row],[is_returned]]="False",0,1)</f>
        <v>0</v>
      </c>
      <c r="W2132">
        <f>IF(BBDD_fashion_boutique[[#This Row],[is_returned]]="True",0,BBDD_fashion_boutique[[#This Row],[current_price]])</f>
        <v>36.29</v>
      </c>
      <c r="X2132" t="str">
        <f>IF(BBDD_fashion_boutique[[#This Row],[return_reason]]="","No return",BBDD_fashion_boutique[[#This Row],[return_reason]])</f>
        <v>No return</v>
      </c>
      <c r="Y2132">
        <f>IF(IFERROR(VLOOKUP(BBDD_fashion_boutique[[#This Row],[product_id]],A2133:A4308,1,FALSE),0),1,0)</f>
        <v>0</v>
      </c>
    </row>
    <row r="2133" spans="1:25" x14ac:dyDescent="0.3">
      <c r="A2133" t="s">
        <v>2192</v>
      </c>
      <c r="B2133" t="s">
        <v>48</v>
      </c>
      <c r="C2133" t="s">
        <v>54</v>
      </c>
      <c r="D2133" t="s">
        <v>21</v>
      </c>
      <c r="E2133" t="s">
        <v>64</v>
      </c>
      <c r="F2133" t="str">
        <f>IF(BBDD_fashion_boutique[[#This Row],[category]]="Accessories","Accesorio",IF(BBDD_fashion_boutique[[#This Row],[size]]="","Desconocido",BBDD_fashion_boutique[[#This Row],[size]]))</f>
        <v>M</v>
      </c>
      <c r="G2133" t="s">
        <v>52</v>
      </c>
      <c r="H2133" s="2">
        <v>105.59</v>
      </c>
      <c r="I2133">
        <v>0</v>
      </c>
      <c r="J2133" s="5">
        <f>BBDD_fashion_boutique[[#This Row],[markdown_percentage]]/100</f>
        <v>0</v>
      </c>
      <c r="K2133" s="2">
        <v>105.59</v>
      </c>
      <c r="L2133" s="2">
        <f>BBDD_fashion_boutique[[#This Row],[original_price]]-BBDD_fashion_boutique[[#This Row],[current_price]]</f>
        <v>0</v>
      </c>
      <c r="M2133" s="1">
        <v>45835</v>
      </c>
      <c r="N2133" s="1" t="str">
        <f>PROPER(TEXT(BBDD_fashion_boutique[[#This Row],[purchase_date]],"dddd"))</f>
        <v>Viernes</v>
      </c>
      <c r="O2133" s="1" t="str">
        <f>PROPER(TEXT(BBDD_fashion_boutique[[#This Row],[purchase_date]],"mmmm"))</f>
        <v>Junio</v>
      </c>
      <c r="P2133" s="4">
        <v>37</v>
      </c>
      <c r="Q2133" s="2">
        <v>4.7</v>
      </c>
      <c r="R2133" t="str">
        <f>IF(BBDD_fashion_boutique[[#This Row],[stock_quantity]]&gt;9,"Ok",IF(BBDD_fashion_boutique[[#This Row],[stock_quantity]]=0,"Agotado","Pocas Unidades"))</f>
        <v>Ok</v>
      </c>
      <c r="S2133" s="3">
        <f>IF(BBDD_fashion_boutique[[#This Row],[customer_rating]]="","No valorado",BBDD_fashion_boutique[[#This Row],[customer_rating]])</f>
        <v>4.7</v>
      </c>
      <c r="T2133" t="s">
        <v>24</v>
      </c>
      <c r="V2133">
        <f>IF(BBDD_fashion_boutique[[#This Row],[is_returned]]="False",0,1)</f>
        <v>0</v>
      </c>
      <c r="W2133">
        <f>IF(BBDD_fashion_boutique[[#This Row],[is_returned]]="True",0,BBDD_fashion_boutique[[#This Row],[current_price]])</f>
        <v>105.59</v>
      </c>
      <c r="X2133" t="str">
        <f>IF(BBDD_fashion_boutique[[#This Row],[return_reason]]="","No return",BBDD_fashion_boutique[[#This Row],[return_reason]])</f>
        <v>No return</v>
      </c>
      <c r="Y2133">
        <f>IF(IFERROR(VLOOKUP(BBDD_fashion_boutique[[#This Row],[product_id]],A2134:A4309,1,FALSE),0),1,0)</f>
        <v>0</v>
      </c>
    </row>
    <row r="2134" spans="1:25" x14ac:dyDescent="0.3">
      <c r="A2134" t="s">
        <v>2193</v>
      </c>
      <c r="B2134" t="s">
        <v>48</v>
      </c>
      <c r="C2134" t="s">
        <v>20</v>
      </c>
      <c r="D2134" t="s">
        <v>39</v>
      </c>
      <c r="E2134" t="s">
        <v>45</v>
      </c>
      <c r="F2134" t="str">
        <f>IF(BBDD_fashion_boutique[[#This Row],[category]]="Accessories","Accesorio",IF(BBDD_fashion_boutique[[#This Row],[size]]="","Desconocido",BBDD_fashion_boutique[[#This Row],[size]]))</f>
        <v>S</v>
      </c>
      <c r="G2134" t="s">
        <v>33</v>
      </c>
      <c r="H2134" s="2">
        <v>93.5</v>
      </c>
      <c r="I2134">
        <v>0</v>
      </c>
      <c r="J2134" s="5">
        <f>BBDD_fashion_boutique[[#This Row],[markdown_percentage]]/100</f>
        <v>0</v>
      </c>
      <c r="K2134" s="2">
        <v>93.5</v>
      </c>
      <c r="L2134" s="2">
        <f>BBDD_fashion_boutique[[#This Row],[original_price]]-BBDD_fashion_boutique[[#This Row],[current_price]]</f>
        <v>0</v>
      </c>
      <c r="M2134" s="1">
        <v>45875</v>
      </c>
      <c r="N2134" s="1" t="str">
        <f>PROPER(TEXT(BBDD_fashion_boutique[[#This Row],[purchase_date]],"dddd"))</f>
        <v>Miércoles</v>
      </c>
      <c r="O2134" s="1" t="str">
        <f>PROPER(TEXT(BBDD_fashion_boutique[[#This Row],[purchase_date]],"mmmm"))</f>
        <v>Agosto</v>
      </c>
      <c r="P2134" s="4">
        <v>4</v>
      </c>
      <c r="Q2134" s="2">
        <v>3.7</v>
      </c>
      <c r="R2134" t="str">
        <f>IF(BBDD_fashion_boutique[[#This Row],[stock_quantity]]&gt;9,"Ok",IF(BBDD_fashion_boutique[[#This Row],[stock_quantity]]=0,"Agotado","Pocas Unidades"))</f>
        <v>Pocas Unidades</v>
      </c>
      <c r="S2134" s="3">
        <f>IF(BBDD_fashion_boutique[[#This Row],[customer_rating]]="","No valorado",BBDD_fashion_boutique[[#This Row],[customer_rating]])</f>
        <v>3.7</v>
      </c>
      <c r="T2134" t="s">
        <v>24</v>
      </c>
      <c r="V2134">
        <f>IF(BBDD_fashion_boutique[[#This Row],[is_returned]]="False",0,1)</f>
        <v>0</v>
      </c>
      <c r="W2134">
        <f>IF(BBDD_fashion_boutique[[#This Row],[is_returned]]="True",0,BBDD_fashion_boutique[[#This Row],[current_price]])</f>
        <v>93.5</v>
      </c>
      <c r="X2134" t="str">
        <f>IF(BBDD_fashion_boutique[[#This Row],[return_reason]]="","No return",BBDD_fashion_boutique[[#This Row],[return_reason]])</f>
        <v>No return</v>
      </c>
      <c r="Y2134">
        <f>IF(IFERROR(VLOOKUP(BBDD_fashion_boutique[[#This Row],[product_id]],A2135:A4310,1,FALSE),0),1,0)</f>
        <v>0</v>
      </c>
    </row>
    <row r="2135" spans="1:25" x14ac:dyDescent="0.3">
      <c r="A2135" t="s">
        <v>2194</v>
      </c>
      <c r="B2135" t="s">
        <v>32</v>
      </c>
      <c r="C2135" t="s">
        <v>59</v>
      </c>
      <c r="D2135" t="s">
        <v>28</v>
      </c>
      <c r="F2135" t="str">
        <f>IF(BBDD_fashion_boutique[[#This Row],[category]]="Accessories","Accesorio",IF(BBDD_fashion_boutique[[#This Row],[size]]="","Desconocido",BBDD_fashion_boutique[[#This Row],[size]]))</f>
        <v>Accesorio</v>
      </c>
      <c r="G2135" t="s">
        <v>33</v>
      </c>
      <c r="H2135" s="2">
        <v>41.72</v>
      </c>
      <c r="I2135">
        <v>9.5</v>
      </c>
      <c r="J2135" s="5">
        <f>BBDD_fashion_boutique[[#This Row],[markdown_percentage]]/100</f>
        <v>9.5000000000000001E-2</v>
      </c>
      <c r="K2135" s="2">
        <v>37.76</v>
      </c>
      <c r="L2135" s="2">
        <f>BBDD_fashion_boutique[[#This Row],[original_price]]-BBDD_fashion_boutique[[#This Row],[current_price]]</f>
        <v>3.9600000000000009</v>
      </c>
      <c r="M2135" s="1">
        <v>45875</v>
      </c>
      <c r="N2135" s="1" t="str">
        <f>PROPER(TEXT(BBDD_fashion_boutique[[#This Row],[purchase_date]],"dddd"))</f>
        <v>Miércoles</v>
      </c>
      <c r="O2135" s="1" t="str">
        <f>PROPER(TEXT(BBDD_fashion_boutique[[#This Row],[purchase_date]],"mmmm"))</f>
        <v>Agosto</v>
      </c>
      <c r="P2135" s="4">
        <v>9</v>
      </c>
      <c r="Q2135" s="2">
        <v>3.9</v>
      </c>
      <c r="R2135" t="str">
        <f>IF(BBDD_fashion_boutique[[#This Row],[stock_quantity]]&gt;9,"Ok",IF(BBDD_fashion_boutique[[#This Row],[stock_quantity]]=0,"Agotado","Pocas Unidades"))</f>
        <v>Pocas Unidades</v>
      </c>
      <c r="S2135" s="3">
        <f>IF(BBDD_fashion_boutique[[#This Row],[customer_rating]]="","No valorado",BBDD_fashion_boutique[[#This Row],[customer_rating]])</f>
        <v>3.9</v>
      </c>
      <c r="T2135" t="s">
        <v>24</v>
      </c>
      <c r="V2135">
        <f>IF(BBDD_fashion_boutique[[#This Row],[is_returned]]="False",0,1)</f>
        <v>0</v>
      </c>
      <c r="W2135">
        <f>IF(BBDD_fashion_boutique[[#This Row],[is_returned]]="True",0,BBDD_fashion_boutique[[#This Row],[current_price]])</f>
        <v>37.76</v>
      </c>
      <c r="X2135" t="str">
        <f>IF(BBDD_fashion_boutique[[#This Row],[return_reason]]="","No return",BBDD_fashion_boutique[[#This Row],[return_reason]])</f>
        <v>No return</v>
      </c>
      <c r="Y2135">
        <f>IF(IFERROR(VLOOKUP(BBDD_fashion_boutique[[#This Row],[product_id]],A2136:A4311,1,FALSE),0),1,0)</f>
        <v>0</v>
      </c>
    </row>
    <row r="2136" spans="1:25" x14ac:dyDescent="0.3">
      <c r="A2136" t="s">
        <v>2195</v>
      </c>
      <c r="B2136" t="s">
        <v>32</v>
      </c>
      <c r="C2136" t="s">
        <v>49</v>
      </c>
      <c r="D2136" t="s">
        <v>68</v>
      </c>
      <c r="F2136" t="str">
        <f>IF(BBDD_fashion_boutique[[#This Row],[category]]="Accessories","Accesorio",IF(BBDD_fashion_boutique[[#This Row],[size]]="","Desconocido",BBDD_fashion_boutique[[#This Row],[size]]))</f>
        <v>Accesorio</v>
      </c>
      <c r="G2136" t="s">
        <v>23</v>
      </c>
      <c r="H2136" s="2">
        <v>74.540000000000006</v>
      </c>
      <c r="I2136">
        <v>58.1</v>
      </c>
      <c r="J2136" s="5">
        <f>BBDD_fashion_boutique[[#This Row],[markdown_percentage]]/100</f>
        <v>0.58099999999999996</v>
      </c>
      <c r="K2136" s="2">
        <v>31.23</v>
      </c>
      <c r="L2136" s="2">
        <f>BBDD_fashion_boutique[[#This Row],[original_price]]-BBDD_fashion_boutique[[#This Row],[current_price]]</f>
        <v>43.31</v>
      </c>
      <c r="M2136" s="1">
        <v>45875</v>
      </c>
      <c r="N2136" s="1" t="str">
        <f>PROPER(TEXT(BBDD_fashion_boutique[[#This Row],[purchase_date]],"dddd"))</f>
        <v>Miércoles</v>
      </c>
      <c r="O2136" s="1" t="str">
        <f>PROPER(TEXT(BBDD_fashion_boutique[[#This Row],[purchase_date]],"mmmm"))</f>
        <v>Agosto</v>
      </c>
      <c r="P2136" s="4">
        <v>35</v>
      </c>
      <c r="Q2136" s="2">
        <v>4.8</v>
      </c>
      <c r="R2136" t="str">
        <f>IF(BBDD_fashion_boutique[[#This Row],[stock_quantity]]&gt;9,"Ok",IF(BBDD_fashion_boutique[[#This Row],[stock_quantity]]=0,"Agotado","Pocas Unidades"))</f>
        <v>Ok</v>
      </c>
      <c r="S2136" s="3">
        <f>IF(BBDD_fashion_boutique[[#This Row],[customer_rating]]="","No valorado",BBDD_fashion_boutique[[#This Row],[customer_rating]])</f>
        <v>4.8</v>
      </c>
      <c r="T2136" t="s">
        <v>24</v>
      </c>
      <c r="V2136">
        <f>IF(BBDD_fashion_boutique[[#This Row],[is_returned]]="False",0,1)</f>
        <v>0</v>
      </c>
      <c r="W2136">
        <f>IF(BBDD_fashion_boutique[[#This Row],[is_returned]]="True",0,BBDD_fashion_boutique[[#This Row],[current_price]])</f>
        <v>31.23</v>
      </c>
      <c r="X2136" t="str">
        <f>IF(BBDD_fashion_boutique[[#This Row],[return_reason]]="","No return",BBDD_fashion_boutique[[#This Row],[return_reason]])</f>
        <v>No return</v>
      </c>
      <c r="Y2136">
        <f>IF(IFERROR(VLOOKUP(BBDD_fashion_boutique[[#This Row],[product_id]],A2137:A4312,1,FALSE),0),1,0)</f>
        <v>0</v>
      </c>
    </row>
    <row r="2137" spans="1:25" x14ac:dyDescent="0.3">
      <c r="A2137" t="s">
        <v>2196</v>
      </c>
      <c r="B2137" t="s">
        <v>48</v>
      </c>
      <c r="C2137" t="s">
        <v>27</v>
      </c>
      <c r="D2137" t="s">
        <v>21</v>
      </c>
      <c r="F2137" t="str">
        <f>IF(BBDD_fashion_boutique[[#This Row],[category]]="Accessories","Accesorio",IF(BBDD_fashion_boutique[[#This Row],[size]]="","Desconocido",BBDD_fashion_boutique[[#This Row],[size]]))</f>
        <v>Desconocido</v>
      </c>
      <c r="G2137" t="s">
        <v>50</v>
      </c>
      <c r="H2137" s="2">
        <v>85.49</v>
      </c>
      <c r="I2137">
        <v>0</v>
      </c>
      <c r="J2137" s="5">
        <f>BBDD_fashion_boutique[[#This Row],[markdown_percentage]]/100</f>
        <v>0</v>
      </c>
      <c r="K2137" s="2">
        <v>85.49</v>
      </c>
      <c r="L2137" s="2">
        <f>BBDD_fashion_boutique[[#This Row],[original_price]]-BBDD_fashion_boutique[[#This Row],[current_price]]</f>
        <v>0</v>
      </c>
      <c r="M2137" s="1">
        <v>45642</v>
      </c>
      <c r="N2137" s="1" t="str">
        <f>PROPER(TEXT(BBDD_fashion_boutique[[#This Row],[purchase_date]],"dddd"))</f>
        <v>Lunes</v>
      </c>
      <c r="O2137" s="1" t="str">
        <f>PROPER(TEXT(BBDD_fashion_boutique[[#This Row],[purchase_date]],"mmmm"))</f>
        <v>Diciembre</v>
      </c>
      <c r="P2137" s="4">
        <v>0</v>
      </c>
      <c r="Q2137" s="2">
        <v>3.7</v>
      </c>
      <c r="R2137" t="str">
        <f>IF(BBDD_fashion_boutique[[#This Row],[stock_quantity]]&gt;9,"Ok",IF(BBDD_fashion_boutique[[#This Row],[stock_quantity]]=0,"Agotado","Pocas Unidades"))</f>
        <v>Agotado</v>
      </c>
      <c r="S2137" s="3">
        <f>IF(BBDD_fashion_boutique[[#This Row],[customer_rating]]="","No valorado",BBDD_fashion_boutique[[#This Row],[customer_rating]])</f>
        <v>3.7</v>
      </c>
      <c r="T2137" t="s">
        <v>24</v>
      </c>
      <c r="V2137">
        <f>IF(BBDD_fashion_boutique[[#This Row],[is_returned]]="False",0,1)</f>
        <v>0</v>
      </c>
      <c r="W2137">
        <f>IF(BBDD_fashion_boutique[[#This Row],[is_returned]]="True",0,BBDD_fashion_boutique[[#This Row],[current_price]])</f>
        <v>85.49</v>
      </c>
      <c r="X2137" t="str">
        <f>IF(BBDD_fashion_boutique[[#This Row],[return_reason]]="","No return",BBDD_fashion_boutique[[#This Row],[return_reason]])</f>
        <v>No return</v>
      </c>
      <c r="Y2137">
        <f>IF(IFERROR(VLOOKUP(BBDD_fashion_boutique[[#This Row],[product_id]],A2138:A4313,1,FALSE),0),1,0)</f>
        <v>0</v>
      </c>
    </row>
    <row r="2138" spans="1:25" x14ac:dyDescent="0.3">
      <c r="A2138" t="s">
        <v>2197</v>
      </c>
      <c r="B2138" t="s">
        <v>48</v>
      </c>
      <c r="C2138" t="s">
        <v>20</v>
      </c>
      <c r="D2138" t="s">
        <v>68</v>
      </c>
      <c r="E2138" t="s">
        <v>64</v>
      </c>
      <c r="F2138" t="str">
        <f>IF(BBDD_fashion_boutique[[#This Row],[category]]="Accessories","Accesorio",IF(BBDD_fashion_boutique[[#This Row],[size]]="","Desconocido",BBDD_fashion_boutique[[#This Row],[size]]))</f>
        <v>M</v>
      </c>
      <c r="G2138" t="s">
        <v>52</v>
      </c>
      <c r="H2138" s="2">
        <v>131.05000000000001</v>
      </c>
      <c r="I2138">
        <v>0</v>
      </c>
      <c r="J2138" s="5">
        <f>BBDD_fashion_boutique[[#This Row],[markdown_percentage]]/100</f>
        <v>0</v>
      </c>
      <c r="K2138" s="2">
        <v>131.05000000000001</v>
      </c>
      <c r="L2138" s="2">
        <f>BBDD_fashion_boutique[[#This Row],[original_price]]-BBDD_fashion_boutique[[#This Row],[current_price]]</f>
        <v>0</v>
      </c>
      <c r="M2138" s="1">
        <v>45875</v>
      </c>
      <c r="N2138" s="1" t="str">
        <f>PROPER(TEXT(BBDD_fashion_boutique[[#This Row],[purchase_date]],"dddd"))</f>
        <v>Miércoles</v>
      </c>
      <c r="O2138" s="1" t="str">
        <f>PROPER(TEXT(BBDD_fashion_boutique[[#This Row],[purchase_date]],"mmmm"))</f>
        <v>Agosto</v>
      </c>
      <c r="P2138" s="4">
        <v>23</v>
      </c>
      <c r="Q2138" s="2">
        <v>4.9000000000000004</v>
      </c>
      <c r="R2138" t="str">
        <f>IF(BBDD_fashion_boutique[[#This Row],[stock_quantity]]&gt;9,"Ok",IF(BBDD_fashion_boutique[[#This Row],[stock_quantity]]=0,"Agotado","Pocas Unidades"))</f>
        <v>Ok</v>
      </c>
      <c r="S2138" s="3">
        <f>IF(BBDD_fashion_boutique[[#This Row],[customer_rating]]="","No valorado",BBDD_fashion_boutique[[#This Row],[customer_rating]])</f>
        <v>4.9000000000000004</v>
      </c>
      <c r="T2138" t="s">
        <v>24</v>
      </c>
      <c r="V2138">
        <f>IF(BBDD_fashion_boutique[[#This Row],[is_returned]]="False",0,1)</f>
        <v>0</v>
      </c>
      <c r="W2138">
        <f>IF(BBDD_fashion_boutique[[#This Row],[is_returned]]="True",0,BBDD_fashion_boutique[[#This Row],[current_price]])</f>
        <v>131.05000000000001</v>
      </c>
      <c r="X2138" t="str">
        <f>IF(BBDD_fashion_boutique[[#This Row],[return_reason]]="","No return",BBDD_fashion_boutique[[#This Row],[return_reason]])</f>
        <v>No return</v>
      </c>
      <c r="Y2138">
        <f>IF(IFERROR(VLOOKUP(BBDD_fashion_boutique[[#This Row],[product_id]],A2139:A4314,1,FALSE),0),1,0)</f>
        <v>0</v>
      </c>
    </row>
    <row r="2139" spans="1:25" x14ac:dyDescent="0.3">
      <c r="A2139" t="s">
        <v>2198</v>
      </c>
      <c r="B2139" t="s">
        <v>44</v>
      </c>
      <c r="C2139" t="s">
        <v>81</v>
      </c>
      <c r="D2139" t="s">
        <v>68</v>
      </c>
      <c r="E2139" t="s">
        <v>22</v>
      </c>
      <c r="F2139" t="str">
        <f>IF(BBDD_fashion_boutique[[#This Row],[category]]="Accessories","Accesorio",IF(BBDD_fashion_boutique[[#This Row],[size]]="","Desconocido",BBDD_fashion_boutique[[#This Row],[size]]))</f>
        <v>XL</v>
      </c>
      <c r="G2139" t="s">
        <v>30</v>
      </c>
      <c r="H2139" s="2">
        <v>63.5</v>
      </c>
      <c r="I2139">
        <v>0</v>
      </c>
      <c r="J2139" s="5">
        <f>BBDD_fashion_boutique[[#This Row],[markdown_percentage]]/100</f>
        <v>0</v>
      </c>
      <c r="K2139" s="2">
        <v>63.5</v>
      </c>
      <c r="L2139" s="2">
        <f>BBDD_fashion_boutique[[#This Row],[original_price]]-BBDD_fashion_boutique[[#This Row],[current_price]]</f>
        <v>0</v>
      </c>
      <c r="M2139" s="1">
        <v>45875</v>
      </c>
      <c r="N2139" s="1" t="str">
        <f>PROPER(TEXT(BBDD_fashion_boutique[[#This Row],[purchase_date]],"dddd"))</f>
        <v>Miércoles</v>
      </c>
      <c r="O2139" s="1" t="str">
        <f>PROPER(TEXT(BBDD_fashion_boutique[[#This Row],[purchase_date]],"mmmm"))</f>
        <v>Agosto</v>
      </c>
      <c r="P2139" s="4">
        <v>17</v>
      </c>
      <c r="Q2139" s="2">
        <v>2.6</v>
      </c>
      <c r="R2139" t="str">
        <f>IF(BBDD_fashion_boutique[[#This Row],[stock_quantity]]&gt;9,"Ok",IF(BBDD_fashion_boutique[[#This Row],[stock_quantity]]=0,"Agotado","Pocas Unidades"))</f>
        <v>Ok</v>
      </c>
      <c r="S2139" s="3">
        <f>IF(BBDD_fashion_boutique[[#This Row],[customer_rating]]="","No valorado",BBDD_fashion_boutique[[#This Row],[customer_rating]])</f>
        <v>2.6</v>
      </c>
      <c r="T2139" t="s">
        <v>24</v>
      </c>
      <c r="V2139">
        <f>IF(BBDD_fashion_boutique[[#This Row],[is_returned]]="False",0,1)</f>
        <v>0</v>
      </c>
      <c r="W2139">
        <f>IF(BBDD_fashion_boutique[[#This Row],[is_returned]]="True",0,BBDD_fashion_boutique[[#This Row],[current_price]])</f>
        <v>63.5</v>
      </c>
      <c r="X2139" t="str">
        <f>IF(BBDD_fashion_boutique[[#This Row],[return_reason]]="","No return",BBDD_fashion_boutique[[#This Row],[return_reason]])</f>
        <v>No return</v>
      </c>
      <c r="Y2139">
        <f>IF(IFERROR(VLOOKUP(BBDD_fashion_boutique[[#This Row],[product_id]],A2140:A4315,1,FALSE),0),1,0)</f>
        <v>0</v>
      </c>
    </row>
    <row r="2140" spans="1:25" x14ac:dyDescent="0.3">
      <c r="A2140" t="s">
        <v>2199</v>
      </c>
      <c r="B2140" t="s">
        <v>26</v>
      </c>
      <c r="C2140" t="s">
        <v>27</v>
      </c>
      <c r="D2140" t="s">
        <v>39</v>
      </c>
      <c r="E2140" t="s">
        <v>64</v>
      </c>
      <c r="F2140" t="str">
        <f>IF(BBDD_fashion_boutique[[#This Row],[category]]="Accessories","Accesorio",IF(BBDD_fashion_boutique[[#This Row],[size]]="","Desconocido",BBDD_fashion_boutique[[#This Row],[size]]))</f>
        <v>M</v>
      </c>
      <c r="G2140" t="s">
        <v>62</v>
      </c>
      <c r="H2140" s="2">
        <v>75.540000000000006</v>
      </c>
      <c r="I2140">
        <v>0</v>
      </c>
      <c r="J2140" s="5">
        <f>BBDD_fashion_boutique[[#This Row],[markdown_percentage]]/100</f>
        <v>0</v>
      </c>
      <c r="K2140" s="2">
        <v>75.540000000000006</v>
      </c>
      <c r="L2140" s="2">
        <f>BBDD_fashion_boutique[[#This Row],[original_price]]-BBDD_fashion_boutique[[#This Row],[current_price]]</f>
        <v>0</v>
      </c>
      <c r="M2140" s="1">
        <v>45875</v>
      </c>
      <c r="N2140" s="1" t="str">
        <f>PROPER(TEXT(BBDD_fashion_boutique[[#This Row],[purchase_date]],"dddd"))</f>
        <v>Miércoles</v>
      </c>
      <c r="O2140" s="1" t="str">
        <f>PROPER(TEXT(BBDD_fashion_boutique[[#This Row],[purchase_date]],"mmmm"))</f>
        <v>Agosto</v>
      </c>
      <c r="P2140" s="4">
        <v>7</v>
      </c>
      <c r="Q2140" s="2">
        <v>3.3</v>
      </c>
      <c r="R2140" t="str">
        <f>IF(BBDD_fashion_boutique[[#This Row],[stock_quantity]]&gt;9,"Ok",IF(BBDD_fashion_boutique[[#This Row],[stock_quantity]]=0,"Agotado","Pocas Unidades"))</f>
        <v>Pocas Unidades</v>
      </c>
      <c r="S2140" s="3">
        <f>IF(BBDD_fashion_boutique[[#This Row],[customer_rating]]="","No valorado",BBDD_fashion_boutique[[#This Row],[customer_rating]])</f>
        <v>3.3</v>
      </c>
      <c r="T2140" t="s">
        <v>24</v>
      </c>
      <c r="V2140">
        <f>IF(BBDD_fashion_boutique[[#This Row],[is_returned]]="False",0,1)</f>
        <v>0</v>
      </c>
      <c r="W2140">
        <f>IF(BBDD_fashion_boutique[[#This Row],[is_returned]]="True",0,BBDD_fashion_boutique[[#This Row],[current_price]])</f>
        <v>75.540000000000006</v>
      </c>
      <c r="X2140" t="str">
        <f>IF(BBDD_fashion_boutique[[#This Row],[return_reason]]="","No return",BBDD_fashion_boutique[[#This Row],[return_reason]])</f>
        <v>No return</v>
      </c>
      <c r="Y2140">
        <f>IF(IFERROR(VLOOKUP(BBDD_fashion_boutique[[#This Row],[product_id]],A2141:A4316,1,FALSE),0),1,0)</f>
        <v>0</v>
      </c>
    </row>
    <row r="2141" spans="1:25" x14ac:dyDescent="0.3">
      <c r="A2141" t="s">
        <v>2200</v>
      </c>
      <c r="B2141" t="s">
        <v>26</v>
      </c>
      <c r="C2141" t="s">
        <v>49</v>
      </c>
      <c r="D2141" t="s">
        <v>39</v>
      </c>
      <c r="E2141" t="s">
        <v>55</v>
      </c>
      <c r="F2141" t="str">
        <f>IF(BBDD_fashion_boutique[[#This Row],[category]]="Accessories","Accesorio",IF(BBDD_fashion_boutique[[#This Row],[size]]="","Desconocido",BBDD_fashion_boutique[[#This Row],[size]]))</f>
        <v>XXL</v>
      </c>
      <c r="G2141" t="s">
        <v>62</v>
      </c>
      <c r="H2141" s="2">
        <v>110.77</v>
      </c>
      <c r="I2141">
        <v>0</v>
      </c>
      <c r="J2141" s="5">
        <f>BBDD_fashion_boutique[[#This Row],[markdown_percentage]]/100</f>
        <v>0</v>
      </c>
      <c r="K2141" s="2">
        <v>110.77</v>
      </c>
      <c r="L2141" s="2">
        <f>BBDD_fashion_boutique[[#This Row],[original_price]]-BBDD_fashion_boutique[[#This Row],[current_price]]</f>
        <v>0</v>
      </c>
      <c r="M2141" s="1">
        <v>45875</v>
      </c>
      <c r="N2141" s="1" t="str">
        <f>PROPER(TEXT(BBDD_fashion_boutique[[#This Row],[purchase_date]],"dddd"))</f>
        <v>Miércoles</v>
      </c>
      <c r="O2141" s="1" t="str">
        <f>PROPER(TEXT(BBDD_fashion_boutique[[#This Row],[purchase_date]],"mmmm"))</f>
        <v>Agosto</v>
      </c>
      <c r="P2141" s="4">
        <v>48</v>
      </c>
      <c r="Q2141" s="2">
        <v>2.6</v>
      </c>
      <c r="R2141" t="str">
        <f>IF(BBDD_fashion_boutique[[#This Row],[stock_quantity]]&gt;9,"Ok",IF(BBDD_fashion_boutique[[#This Row],[stock_quantity]]=0,"Agotado","Pocas Unidades"))</f>
        <v>Ok</v>
      </c>
      <c r="S2141" s="3">
        <f>IF(BBDD_fashion_boutique[[#This Row],[customer_rating]]="","No valorado",BBDD_fashion_boutique[[#This Row],[customer_rating]])</f>
        <v>2.6</v>
      </c>
      <c r="T2141" t="s">
        <v>24</v>
      </c>
      <c r="V2141">
        <f>IF(BBDD_fashion_boutique[[#This Row],[is_returned]]="False",0,1)</f>
        <v>0</v>
      </c>
      <c r="W2141">
        <f>IF(BBDD_fashion_boutique[[#This Row],[is_returned]]="True",0,BBDD_fashion_boutique[[#This Row],[current_price]])</f>
        <v>110.77</v>
      </c>
      <c r="X2141" t="str">
        <f>IF(BBDD_fashion_boutique[[#This Row],[return_reason]]="","No return",BBDD_fashion_boutique[[#This Row],[return_reason]])</f>
        <v>No return</v>
      </c>
      <c r="Y2141">
        <f>IF(IFERROR(VLOOKUP(BBDD_fashion_boutique[[#This Row],[product_id]],A2142:A4317,1,FALSE),0),1,0)</f>
        <v>0</v>
      </c>
    </row>
    <row r="2142" spans="1:25" x14ac:dyDescent="0.3">
      <c r="A2142" t="s">
        <v>2201</v>
      </c>
      <c r="B2142" t="s">
        <v>35</v>
      </c>
      <c r="C2142" t="s">
        <v>49</v>
      </c>
      <c r="D2142" t="s">
        <v>68</v>
      </c>
      <c r="E2142" t="s">
        <v>64</v>
      </c>
      <c r="F2142" t="str">
        <f>IF(BBDD_fashion_boutique[[#This Row],[category]]="Accessories","Accesorio",IF(BBDD_fashion_boutique[[#This Row],[size]]="","Desconocido",BBDD_fashion_boutique[[#This Row],[size]]))</f>
        <v>M</v>
      </c>
      <c r="G2142" t="s">
        <v>40</v>
      </c>
      <c r="H2142" s="2">
        <v>190.71</v>
      </c>
      <c r="I2142">
        <v>6.3</v>
      </c>
      <c r="J2142" s="5">
        <f>BBDD_fashion_boutique[[#This Row],[markdown_percentage]]/100</f>
        <v>6.3E-2</v>
      </c>
      <c r="K2142" s="2">
        <v>178.7</v>
      </c>
      <c r="L2142" s="2">
        <f>BBDD_fashion_boutique[[#This Row],[original_price]]-BBDD_fashion_boutique[[#This Row],[current_price]]</f>
        <v>12.010000000000019</v>
      </c>
      <c r="M2142" s="1">
        <v>45875</v>
      </c>
      <c r="N2142" s="1" t="str">
        <f>PROPER(TEXT(BBDD_fashion_boutique[[#This Row],[purchase_date]],"dddd"))</f>
        <v>Miércoles</v>
      </c>
      <c r="O2142" s="1" t="str">
        <f>PROPER(TEXT(BBDD_fashion_boutique[[#This Row],[purchase_date]],"mmmm"))</f>
        <v>Agosto</v>
      </c>
      <c r="P2142" s="4">
        <v>1</v>
      </c>
      <c r="Q2142" s="2">
        <v>2</v>
      </c>
      <c r="R2142" t="str">
        <f>IF(BBDD_fashion_boutique[[#This Row],[stock_quantity]]&gt;9,"Ok",IF(BBDD_fashion_boutique[[#This Row],[stock_quantity]]=0,"Agotado","Pocas Unidades"))</f>
        <v>Pocas Unidades</v>
      </c>
      <c r="S2142" s="3">
        <f>IF(BBDD_fashion_boutique[[#This Row],[customer_rating]]="","No valorado",BBDD_fashion_boutique[[#This Row],[customer_rating]])</f>
        <v>2</v>
      </c>
      <c r="T2142" t="s">
        <v>24</v>
      </c>
      <c r="V2142">
        <f>IF(BBDD_fashion_boutique[[#This Row],[is_returned]]="False",0,1)</f>
        <v>0</v>
      </c>
      <c r="W2142">
        <f>IF(BBDD_fashion_boutique[[#This Row],[is_returned]]="True",0,BBDD_fashion_boutique[[#This Row],[current_price]])</f>
        <v>178.7</v>
      </c>
      <c r="X2142" t="str">
        <f>IF(BBDD_fashion_boutique[[#This Row],[return_reason]]="","No return",BBDD_fashion_boutique[[#This Row],[return_reason]])</f>
        <v>No return</v>
      </c>
      <c r="Y2142">
        <f>IF(IFERROR(VLOOKUP(BBDD_fashion_boutique[[#This Row],[product_id]],A2143:A4318,1,FALSE),0),1,0)</f>
        <v>0</v>
      </c>
    </row>
    <row r="2143" spans="1:25" x14ac:dyDescent="0.3">
      <c r="A2143" t="s">
        <v>2202</v>
      </c>
      <c r="B2143" t="s">
        <v>26</v>
      </c>
      <c r="C2143" t="s">
        <v>49</v>
      </c>
      <c r="D2143" t="s">
        <v>39</v>
      </c>
      <c r="E2143" t="s">
        <v>29</v>
      </c>
      <c r="F2143" t="str">
        <f>IF(BBDD_fashion_boutique[[#This Row],[category]]="Accessories","Accesorio",IF(BBDD_fashion_boutique[[#This Row],[size]]="","Desconocido",BBDD_fashion_boutique[[#This Row],[size]]))</f>
        <v>L</v>
      </c>
      <c r="G2143" t="s">
        <v>40</v>
      </c>
      <c r="H2143" s="2">
        <v>100.56</v>
      </c>
      <c r="I2143">
        <v>17.3</v>
      </c>
      <c r="J2143" s="5">
        <f>BBDD_fashion_boutique[[#This Row],[markdown_percentage]]/100</f>
        <v>0.17300000000000001</v>
      </c>
      <c r="K2143" s="2">
        <v>83.16</v>
      </c>
      <c r="L2143" s="2">
        <f>BBDD_fashion_boutique[[#This Row],[original_price]]-BBDD_fashion_boutique[[#This Row],[current_price]]</f>
        <v>17.400000000000006</v>
      </c>
      <c r="M2143" s="1">
        <v>45875</v>
      </c>
      <c r="N2143" s="1" t="str">
        <f>PROPER(TEXT(BBDD_fashion_boutique[[#This Row],[purchase_date]],"dddd"))</f>
        <v>Miércoles</v>
      </c>
      <c r="O2143" s="1" t="str">
        <f>PROPER(TEXT(BBDD_fashion_boutique[[#This Row],[purchase_date]],"mmmm"))</f>
        <v>Agosto</v>
      </c>
      <c r="P2143" s="4">
        <v>21</v>
      </c>
      <c r="Q2143" s="2">
        <v>3.6</v>
      </c>
      <c r="R2143" t="str">
        <f>IF(BBDD_fashion_boutique[[#This Row],[stock_quantity]]&gt;9,"Ok",IF(BBDD_fashion_boutique[[#This Row],[stock_quantity]]=0,"Agotado","Pocas Unidades"))</f>
        <v>Ok</v>
      </c>
      <c r="S2143" s="3">
        <f>IF(BBDD_fashion_boutique[[#This Row],[customer_rating]]="","No valorado",BBDD_fashion_boutique[[#This Row],[customer_rating]])</f>
        <v>3.6</v>
      </c>
      <c r="T2143" t="s">
        <v>24</v>
      </c>
      <c r="V2143">
        <f>IF(BBDD_fashion_boutique[[#This Row],[is_returned]]="False",0,1)</f>
        <v>0</v>
      </c>
      <c r="W2143">
        <f>IF(BBDD_fashion_boutique[[#This Row],[is_returned]]="True",0,BBDD_fashion_boutique[[#This Row],[current_price]])</f>
        <v>83.16</v>
      </c>
      <c r="X2143" t="str">
        <f>IF(BBDD_fashion_boutique[[#This Row],[return_reason]]="","No return",BBDD_fashion_boutique[[#This Row],[return_reason]])</f>
        <v>No return</v>
      </c>
      <c r="Y2143">
        <f>IF(IFERROR(VLOOKUP(BBDD_fashion_boutique[[#This Row],[product_id]],A2144:A4319,1,FALSE),0),1,0)</f>
        <v>0</v>
      </c>
    </row>
    <row r="2144" spans="1:25" x14ac:dyDescent="0.3">
      <c r="A2144" t="s">
        <v>2203</v>
      </c>
      <c r="B2144" t="s">
        <v>19</v>
      </c>
      <c r="C2144" t="s">
        <v>81</v>
      </c>
      <c r="D2144" t="s">
        <v>68</v>
      </c>
      <c r="E2144" t="s">
        <v>55</v>
      </c>
      <c r="F2144" t="str">
        <f>IF(BBDD_fashion_boutique[[#This Row],[category]]="Accessories","Accesorio",IF(BBDD_fashion_boutique[[#This Row],[size]]="","Desconocido",BBDD_fashion_boutique[[#This Row],[size]]))</f>
        <v>XXL</v>
      </c>
      <c r="G2144" t="s">
        <v>30</v>
      </c>
      <c r="H2144" s="2">
        <v>221.59</v>
      </c>
      <c r="I2144">
        <v>8.6</v>
      </c>
      <c r="J2144" s="5">
        <f>BBDD_fashion_boutique[[#This Row],[markdown_percentage]]/100</f>
        <v>8.5999999999999993E-2</v>
      </c>
      <c r="K2144" s="2">
        <v>202.53</v>
      </c>
      <c r="L2144" s="2">
        <f>BBDD_fashion_boutique[[#This Row],[original_price]]-BBDD_fashion_boutique[[#This Row],[current_price]]</f>
        <v>19.060000000000002</v>
      </c>
      <c r="M2144" s="1">
        <v>45875</v>
      </c>
      <c r="N2144" s="1" t="str">
        <f>PROPER(TEXT(BBDD_fashion_boutique[[#This Row],[purchase_date]],"dddd"))</f>
        <v>Miércoles</v>
      </c>
      <c r="O2144" s="1" t="str">
        <f>PROPER(TEXT(BBDD_fashion_boutique[[#This Row],[purchase_date]],"mmmm"))</f>
        <v>Agosto</v>
      </c>
      <c r="P2144" s="4">
        <v>5</v>
      </c>
      <c r="R2144" t="str">
        <f>IF(BBDD_fashion_boutique[[#This Row],[stock_quantity]]&gt;9,"Ok",IF(BBDD_fashion_boutique[[#This Row],[stock_quantity]]=0,"Agotado","Pocas Unidades"))</f>
        <v>Pocas Unidades</v>
      </c>
      <c r="S2144" s="3" t="str">
        <f>IF(BBDD_fashion_boutique[[#This Row],[customer_rating]]="","No valorado",BBDD_fashion_boutique[[#This Row],[customer_rating]])</f>
        <v>No valorado</v>
      </c>
      <c r="T2144" t="s">
        <v>24</v>
      </c>
      <c r="V2144">
        <f>IF(BBDD_fashion_boutique[[#This Row],[is_returned]]="False",0,1)</f>
        <v>0</v>
      </c>
      <c r="W2144">
        <f>IF(BBDD_fashion_boutique[[#This Row],[is_returned]]="True",0,BBDD_fashion_boutique[[#This Row],[current_price]])</f>
        <v>202.53</v>
      </c>
      <c r="X2144" t="str">
        <f>IF(BBDD_fashion_boutique[[#This Row],[return_reason]]="","No return",BBDD_fashion_boutique[[#This Row],[return_reason]])</f>
        <v>No return</v>
      </c>
      <c r="Y2144">
        <f>IF(IFERROR(VLOOKUP(BBDD_fashion_boutique[[#This Row],[product_id]],A2145:A4320,1,FALSE),0),1,0)</f>
        <v>0</v>
      </c>
    </row>
    <row r="2145" spans="1:25" x14ac:dyDescent="0.3">
      <c r="A2145" t="s">
        <v>2204</v>
      </c>
      <c r="B2145" t="s">
        <v>44</v>
      </c>
      <c r="C2145" t="s">
        <v>67</v>
      </c>
      <c r="D2145" t="s">
        <v>68</v>
      </c>
      <c r="E2145" t="s">
        <v>29</v>
      </c>
      <c r="F2145" t="str">
        <f>IF(BBDD_fashion_boutique[[#This Row],[category]]="Accessories","Accesorio",IF(BBDD_fashion_boutique[[#This Row],[size]]="","Desconocido",BBDD_fashion_boutique[[#This Row],[size]]))</f>
        <v>L</v>
      </c>
      <c r="G2145" t="s">
        <v>62</v>
      </c>
      <c r="H2145" s="2">
        <v>55.21</v>
      </c>
      <c r="I2145">
        <v>0</v>
      </c>
      <c r="J2145" s="5">
        <f>BBDD_fashion_boutique[[#This Row],[markdown_percentage]]/100</f>
        <v>0</v>
      </c>
      <c r="K2145" s="2">
        <v>55.21</v>
      </c>
      <c r="L2145" s="2">
        <f>BBDD_fashion_boutique[[#This Row],[original_price]]-BBDD_fashion_boutique[[#This Row],[current_price]]</f>
        <v>0</v>
      </c>
      <c r="M2145" s="1">
        <v>45875</v>
      </c>
      <c r="N2145" s="1" t="str">
        <f>PROPER(TEXT(BBDD_fashion_boutique[[#This Row],[purchase_date]],"dddd"))</f>
        <v>Miércoles</v>
      </c>
      <c r="O2145" s="1" t="str">
        <f>PROPER(TEXT(BBDD_fashion_boutique[[#This Row],[purchase_date]],"mmmm"))</f>
        <v>Agosto</v>
      </c>
      <c r="P2145" s="4">
        <v>21</v>
      </c>
      <c r="Q2145" s="2">
        <v>1.8</v>
      </c>
      <c r="R2145" t="str">
        <f>IF(BBDD_fashion_boutique[[#This Row],[stock_quantity]]&gt;9,"Ok",IF(BBDD_fashion_boutique[[#This Row],[stock_quantity]]=0,"Agotado","Pocas Unidades"))</f>
        <v>Ok</v>
      </c>
      <c r="S2145" s="3">
        <f>IF(BBDD_fashion_boutique[[#This Row],[customer_rating]]="","No valorado",BBDD_fashion_boutique[[#This Row],[customer_rating]])</f>
        <v>1.8</v>
      </c>
      <c r="T2145" t="s">
        <v>41</v>
      </c>
      <c r="U2145" t="s">
        <v>131</v>
      </c>
      <c r="V2145">
        <f>IF(BBDD_fashion_boutique[[#This Row],[is_returned]]="False",0,1)</f>
        <v>1</v>
      </c>
      <c r="W2145">
        <f>IF(BBDD_fashion_boutique[[#This Row],[is_returned]]="True",0,BBDD_fashion_boutique[[#This Row],[current_price]])</f>
        <v>0</v>
      </c>
      <c r="X2145" t="str">
        <f>IF(BBDD_fashion_boutique[[#This Row],[return_reason]]="","No return",BBDD_fashion_boutique[[#This Row],[return_reason]])</f>
        <v>Wrong Item</v>
      </c>
      <c r="Y2145">
        <f>IF(IFERROR(VLOOKUP(BBDD_fashion_boutique[[#This Row],[product_id]],A2146:A4321,1,FALSE),0),1,0)</f>
        <v>0</v>
      </c>
    </row>
    <row r="2146" spans="1:25" x14ac:dyDescent="0.3">
      <c r="A2146" t="s">
        <v>2205</v>
      </c>
      <c r="B2146" t="s">
        <v>32</v>
      </c>
      <c r="C2146" t="s">
        <v>27</v>
      </c>
      <c r="D2146" t="s">
        <v>39</v>
      </c>
      <c r="F2146" t="str">
        <f>IF(BBDD_fashion_boutique[[#This Row],[category]]="Accessories","Accesorio",IF(BBDD_fashion_boutique[[#This Row],[size]]="","Desconocido",BBDD_fashion_boutique[[#This Row],[size]]))</f>
        <v>Accesorio</v>
      </c>
      <c r="G2146" t="s">
        <v>33</v>
      </c>
      <c r="H2146" s="2">
        <v>17.87</v>
      </c>
      <c r="I2146">
        <v>0</v>
      </c>
      <c r="J2146" s="5">
        <f>BBDD_fashion_boutique[[#This Row],[markdown_percentage]]/100</f>
        <v>0</v>
      </c>
      <c r="K2146" s="2">
        <v>17.87</v>
      </c>
      <c r="L2146" s="2">
        <f>BBDD_fashion_boutique[[#This Row],[original_price]]-BBDD_fashion_boutique[[#This Row],[current_price]]</f>
        <v>0</v>
      </c>
      <c r="M2146" s="1">
        <v>45875</v>
      </c>
      <c r="N2146" s="1" t="str">
        <f>PROPER(TEXT(BBDD_fashion_boutique[[#This Row],[purchase_date]],"dddd"))</f>
        <v>Miércoles</v>
      </c>
      <c r="O2146" s="1" t="str">
        <f>PROPER(TEXT(BBDD_fashion_boutique[[#This Row],[purchase_date]],"mmmm"))</f>
        <v>Agosto</v>
      </c>
      <c r="P2146" s="4">
        <v>47</v>
      </c>
      <c r="R2146" t="str">
        <f>IF(BBDD_fashion_boutique[[#This Row],[stock_quantity]]&gt;9,"Ok",IF(BBDD_fashion_boutique[[#This Row],[stock_quantity]]=0,"Agotado","Pocas Unidades"))</f>
        <v>Ok</v>
      </c>
      <c r="S2146" s="3" t="str">
        <f>IF(BBDD_fashion_boutique[[#This Row],[customer_rating]]="","No valorado",BBDD_fashion_boutique[[#This Row],[customer_rating]])</f>
        <v>No valorado</v>
      </c>
      <c r="T2146" t="s">
        <v>24</v>
      </c>
      <c r="V2146">
        <f>IF(BBDD_fashion_boutique[[#This Row],[is_returned]]="False",0,1)</f>
        <v>0</v>
      </c>
      <c r="W2146">
        <f>IF(BBDD_fashion_boutique[[#This Row],[is_returned]]="True",0,BBDD_fashion_boutique[[#This Row],[current_price]])</f>
        <v>17.87</v>
      </c>
      <c r="X2146" t="str">
        <f>IF(BBDD_fashion_boutique[[#This Row],[return_reason]]="","No return",BBDD_fashion_boutique[[#This Row],[return_reason]])</f>
        <v>No return</v>
      </c>
      <c r="Y2146">
        <f>IF(IFERROR(VLOOKUP(BBDD_fashion_boutique[[#This Row],[product_id]],A2147:A4322,1,FALSE),0),1,0)</f>
        <v>0</v>
      </c>
    </row>
    <row r="2147" spans="1:25" x14ac:dyDescent="0.3">
      <c r="A2147" t="s">
        <v>2206</v>
      </c>
      <c r="B2147" t="s">
        <v>44</v>
      </c>
      <c r="C2147" t="s">
        <v>27</v>
      </c>
      <c r="D2147" t="s">
        <v>68</v>
      </c>
      <c r="E2147" t="s">
        <v>61</v>
      </c>
      <c r="F2147" t="str">
        <f>IF(BBDD_fashion_boutique[[#This Row],[category]]="Accessories","Accesorio",IF(BBDD_fashion_boutique[[#This Row],[size]]="","Desconocido",BBDD_fashion_boutique[[#This Row],[size]]))</f>
        <v>XS</v>
      </c>
      <c r="G2147" t="s">
        <v>30</v>
      </c>
      <c r="H2147" s="2">
        <v>56.57</v>
      </c>
      <c r="I2147">
        <v>0</v>
      </c>
      <c r="J2147" s="5">
        <f>BBDD_fashion_boutique[[#This Row],[markdown_percentage]]/100</f>
        <v>0</v>
      </c>
      <c r="K2147" s="2">
        <v>56.57</v>
      </c>
      <c r="L2147" s="2">
        <f>BBDD_fashion_boutique[[#This Row],[original_price]]-BBDD_fashion_boutique[[#This Row],[current_price]]</f>
        <v>0</v>
      </c>
      <c r="M2147" s="1">
        <v>45875</v>
      </c>
      <c r="N2147" s="1" t="str">
        <f>PROPER(TEXT(BBDD_fashion_boutique[[#This Row],[purchase_date]],"dddd"))</f>
        <v>Miércoles</v>
      </c>
      <c r="O2147" s="1" t="str">
        <f>PROPER(TEXT(BBDD_fashion_boutique[[#This Row],[purchase_date]],"mmmm"))</f>
        <v>Agosto</v>
      </c>
      <c r="P2147" s="4">
        <v>43</v>
      </c>
      <c r="Q2147" s="2">
        <v>4.4000000000000004</v>
      </c>
      <c r="R2147" t="str">
        <f>IF(BBDD_fashion_boutique[[#This Row],[stock_quantity]]&gt;9,"Ok",IF(BBDD_fashion_boutique[[#This Row],[stock_quantity]]=0,"Agotado","Pocas Unidades"))</f>
        <v>Ok</v>
      </c>
      <c r="S2147" s="3">
        <f>IF(BBDD_fashion_boutique[[#This Row],[customer_rating]]="","No valorado",BBDD_fashion_boutique[[#This Row],[customer_rating]])</f>
        <v>4.4000000000000004</v>
      </c>
      <c r="T2147" t="s">
        <v>41</v>
      </c>
      <c r="U2147" t="s">
        <v>79</v>
      </c>
      <c r="V2147">
        <f>IF(BBDD_fashion_boutique[[#This Row],[is_returned]]="False",0,1)</f>
        <v>1</v>
      </c>
      <c r="W2147">
        <f>IF(BBDD_fashion_boutique[[#This Row],[is_returned]]="True",0,BBDD_fashion_boutique[[#This Row],[current_price]])</f>
        <v>0</v>
      </c>
      <c r="X2147" t="str">
        <f>IF(BBDD_fashion_boutique[[#This Row],[return_reason]]="","No return",BBDD_fashion_boutique[[#This Row],[return_reason]])</f>
        <v>Size Issue</v>
      </c>
      <c r="Y2147">
        <f>IF(IFERROR(VLOOKUP(BBDD_fashion_boutique[[#This Row],[product_id]],A2148:A4323,1,FALSE),0),1,0)</f>
        <v>0</v>
      </c>
    </row>
    <row r="2148" spans="1:25" x14ac:dyDescent="0.3">
      <c r="A2148" t="s">
        <v>2207</v>
      </c>
      <c r="B2148" t="s">
        <v>32</v>
      </c>
      <c r="C2148" t="s">
        <v>67</v>
      </c>
      <c r="D2148" t="s">
        <v>21</v>
      </c>
      <c r="F2148" t="str">
        <f>IF(BBDD_fashion_boutique[[#This Row],[category]]="Accessories","Accesorio",IF(BBDD_fashion_boutique[[#This Row],[size]]="","Desconocido",BBDD_fashion_boutique[[#This Row],[size]]))</f>
        <v>Accesorio</v>
      </c>
      <c r="G2148" t="s">
        <v>72</v>
      </c>
      <c r="H2148" s="2">
        <v>47.74</v>
      </c>
      <c r="I2148">
        <v>0</v>
      </c>
      <c r="J2148" s="5">
        <f>BBDD_fashion_boutique[[#This Row],[markdown_percentage]]/100</f>
        <v>0</v>
      </c>
      <c r="K2148" s="2">
        <v>47.74</v>
      </c>
      <c r="L2148" s="2">
        <f>BBDD_fashion_boutique[[#This Row],[original_price]]-BBDD_fashion_boutique[[#This Row],[current_price]]</f>
        <v>0</v>
      </c>
      <c r="M2148" s="1">
        <v>45651</v>
      </c>
      <c r="N2148" s="1" t="str">
        <f>PROPER(TEXT(BBDD_fashion_boutique[[#This Row],[purchase_date]],"dddd"))</f>
        <v>Miércoles</v>
      </c>
      <c r="O2148" s="1" t="str">
        <f>PROPER(TEXT(BBDD_fashion_boutique[[#This Row],[purchase_date]],"mmmm"))</f>
        <v>Diciembre</v>
      </c>
      <c r="P2148" s="4">
        <v>17</v>
      </c>
      <c r="Q2148" s="2">
        <v>2.9</v>
      </c>
      <c r="R2148" t="str">
        <f>IF(BBDD_fashion_boutique[[#This Row],[stock_quantity]]&gt;9,"Ok",IF(BBDD_fashion_boutique[[#This Row],[stock_quantity]]=0,"Agotado","Pocas Unidades"))</f>
        <v>Ok</v>
      </c>
      <c r="S2148" s="3">
        <f>IF(BBDD_fashion_boutique[[#This Row],[customer_rating]]="","No valorado",BBDD_fashion_boutique[[#This Row],[customer_rating]])</f>
        <v>2.9</v>
      </c>
      <c r="T2148" t="s">
        <v>24</v>
      </c>
      <c r="V2148">
        <f>IF(BBDD_fashion_boutique[[#This Row],[is_returned]]="False",0,1)</f>
        <v>0</v>
      </c>
      <c r="W2148">
        <f>IF(BBDD_fashion_boutique[[#This Row],[is_returned]]="True",0,BBDD_fashion_boutique[[#This Row],[current_price]])</f>
        <v>47.74</v>
      </c>
      <c r="X2148" t="str">
        <f>IF(BBDD_fashion_boutique[[#This Row],[return_reason]]="","No return",BBDD_fashion_boutique[[#This Row],[return_reason]])</f>
        <v>No return</v>
      </c>
      <c r="Y2148">
        <f>IF(IFERROR(VLOOKUP(BBDD_fashion_boutique[[#This Row],[product_id]],A2149:A4324,1,FALSE),0),1,0)</f>
        <v>0</v>
      </c>
    </row>
    <row r="2149" spans="1:25" x14ac:dyDescent="0.3">
      <c r="A2149" t="s">
        <v>2208</v>
      </c>
      <c r="B2149" t="s">
        <v>48</v>
      </c>
      <c r="C2149" t="s">
        <v>37</v>
      </c>
      <c r="D2149" t="s">
        <v>39</v>
      </c>
      <c r="E2149" t="s">
        <v>64</v>
      </c>
      <c r="F2149" t="str">
        <f>IF(BBDD_fashion_boutique[[#This Row],[category]]="Accessories","Accesorio",IF(BBDD_fashion_boutique[[#This Row],[size]]="","Desconocido",BBDD_fashion_boutique[[#This Row],[size]]))</f>
        <v>M</v>
      </c>
      <c r="G2149" t="s">
        <v>70</v>
      </c>
      <c r="H2149" s="2">
        <v>152.88</v>
      </c>
      <c r="I2149">
        <v>8.9</v>
      </c>
      <c r="J2149" s="5">
        <f>BBDD_fashion_boutique[[#This Row],[markdown_percentage]]/100</f>
        <v>8.900000000000001E-2</v>
      </c>
      <c r="K2149" s="2">
        <v>139.27000000000001</v>
      </c>
      <c r="L2149" s="2">
        <f>BBDD_fashion_boutique[[#This Row],[original_price]]-BBDD_fashion_boutique[[#This Row],[current_price]]</f>
        <v>13.609999999999985</v>
      </c>
      <c r="M2149" s="1">
        <v>45875</v>
      </c>
      <c r="N2149" s="1" t="str">
        <f>PROPER(TEXT(BBDD_fashion_boutique[[#This Row],[purchase_date]],"dddd"))</f>
        <v>Miércoles</v>
      </c>
      <c r="O2149" s="1" t="str">
        <f>PROPER(TEXT(BBDD_fashion_boutique[[#This Row],[purchase_date]],"mmmm"))</f>
        <v>Agosto</v>
      </c>
      <c r="P2149" s="4">
        <v>19</v>
      </c>
      <c r="Q2149" s="2">
        <v>2.2000000000000002</v>
      </c>
      <c r="R2149" t="str">
        <f>IF(BBDD_fashion_boutique[[#This Row],[stock_quantity]]&gt;9,"Ok",IF(BBDD_fashion_boutique[[#This Row],[stock_quantity]]=0,"Agotado","Pocas Unidades"))</f>
        <v>Ok</v>
      </c>
      <c r="S2149" s="3">
        <f>IF(BBDD_fashion_boutique[[#This Row],[customer_rating]]="","No valorado",BBDD_fashion_boutique[[#This Row],[customer_rating]])</f>
        <v>2.2000000000000002</v>
      </c>
      <c r="T2149" t="s">
        <v>24</v>
      </c>
      <c r="V2149">
        <f>IF(BBDD_fashion_boutique[[#This Row],[is_returned]]="False",0,1)</f>
        <v>0</v>
      </c>
      <c r="W2149">
        <f>IF(BBDD_fashion_boutique[[#This Row],[is_returned]]="True",0,BBDD_fashion_boutique[[#This Row],[current_price]])</f>
        <v>139.27000000000001</v>
      </c>
      <c r="X2149" t="str">
        <f>IF(BBDD_fashion_boutique[[#This Row],[return_reason]]="","No return",BBDD_fashion_boutique[[#This Row],[return_reason]])</f>
        <v>No return</v>
      </c>
      <c r="Y2149">
        <f>IF(IFERROR(VLOOKUP(BBDD_fashion_boutique[[#This Row],[product_id]],A2150:A4325,1,FALSE),0),1,0)</f>
        <v>0</v>
      </c>
    </row>
    <row r="2150" spans="1:25" x14ac:dyDescent="0.3">
      <c r="A2150" t="s">
        <v>2209</v>
      </c>
      <c r="B2150" t="s">
        <v>19</v>
      </c>
      <c r="C2150" t="s">
        <v>37</v>
      </c>
      <c r="D2150" t="s">
        <v>28</v>
      </c>
      <c r="E2150" t="s">
        <v>64</v>
      </c>
      <c r="F2150" t="str">
        <f>IF(BBDD_fashion_boutique[[#This Row],[category]]="Accessories","Accesorio",IF(BBDD_fashion_boutique[[#This Row],[size]]="","Desconocido",BBDD_fashion_boutique[[#This Row],[size]]))</f>
        <v>M</v>
      </c>
      <c r="G2150" t="s">
        <v>62</v>
      </c>
      <c r="H2150" s="2">
        <v>199.61</v>
      </c>
      <c r="I2150">
        <v>37.700000000000003</v>
      </c>
      <c r="J2150" s="5">
        <f>BBDD_fashion_boutique[[#This Row],[markdown_percentage]]/100</f>
        <v>0.377</v>
      </c>
      <c r="K2150" s="2">
        <v>124.36</v>
      </c>
      <c r="L2150" s="2">
        <f>BBDD_fashion_boutique[[#This Row],[original_price]]-BBDD_fashion_boutique[[#This Row],[current_price]]</f>
        <v>75.250000000000014</v>
      </c>
      <c r="M2150" s="1">
        <v>45875</v>
      </c>
      <c r="N2150" s="1" t="str">
        <f>PROPER(TEXT(BBDD_fashion_boutique[[#This Row],[purchase_date]],"dddd"))</f>
        <v>Miércoles</v>
      </c>
      <c r="O2150" s="1" t="str">
        <f>PROPER(TEXT(BBDD_fashion_boutique[[#This Row],[purchase_date]],"mmmm"))</f>
        <v>Agosto</v>
      </c>
      <c r="P2150" s="4">
        <v>6</v>
      </c>
      <c r="R2150" t="str">
        <f>IF(BBDD_fashion_boutique[[#This Row],[stock_quantity]]&gt;9,"Ok",IF(BBDD_fashion_boutique[[#This Row],[stock_quantity]]=0,"Agotado","Pocas Unidades"))</f>
        <v>Pocas Unidades</v>
      </c>
      <c r="S2150" s="3" t="str">
        <f>IF(BBDD_fashion_boutique[[#This Row],[customer_rating]]="","No valorado",BBDD_fashion_boutique[[#This Row],[customer_rating]])</f>
        <v>No valorado</v>
      </c>
      <c r="T2150" t="s">
        <v>24</v>
      </c>
      <c r="V2150">
        <f>IF(BBDD_fashion_boutique[[#This Row],[is_returned]]="False",0,1)</f>
        <v>0</v>
      </c>
      <c r="W2150">
        <f>IF(BBDD_fashion_boutique[[#This Row],[is_returned]]="True",0,BBDD_fashion_boutique[[#This Row],[current_price]])</f>
        <v>124.36</v>
      </c>
      <c r="X2150" t="str">
        <f>IF(BBDD_fashion_boutique[[#This Row],[return_reason]]="","No return",BBDD_fashion_boutique[[#This Row],[return_reason]])</f>
        <v>No return</v>
      </c>
      <c r="Y2150">
        <f>IF(IFERROR(VLOOKUP(BBDD_fashion_boutique[[#This Row],[product_id]],A2151:A4326,1,FALSE),0),1,0)</f>
        <v>0</v>
      </c>
    </row>
    <row r="2151" spans="1:25" x14ac:dyDescent="0.3">
      <c r="A2151" t="s">
        <v>2210</v>
      </c>
      <c r="B2151" t="s">
        <v>32</v>
      </c>
      <c r="C2151" t="s">
        <v>67</v>
      </c>
      <c r="D2151" t="s">
        <v>68</v>
      </c>
      <c r="F2151" t="str">
        <f>IF(BBDD_fashion_boutique[[#This Row],[category]]="Accessories","Accesorio",IF(BBDD_fashion_boutique[[#This Row],[size]]="","Desconocido",BBDD_fashion_boutique[[#This Row],[size]]))</f>
        <v>Accesorio</v>
      </c>
      <c r="G2151" t="s">
        <v>46</v>
      </c>
      <c r="H2151" s="2">
        <v>57.25</v>
      </c>
      <c r="I2151">
        <v>0</v>
      </c>
      <c r="J2151" s="5">
        <f>BBDD_fashion_boutique[[#This Row],[markdown_percentage]]/100</f>
        <v>0</v>
      </c>
      <c r="K2151" s="2">
        <v>57.25</v>
      </c>
      <c r="L2151" s="2">
        <f>BBDD_fashion_boutique[[#This Row],[original_price]]-BBDD_fashion_boutique[[#This Row],[current_price]]</f>
        <v>0</v>
      </c>
      <c r="M2151" s="1">
        <v>45875</v>
      </c>
      <c r="N2151" s="1" t="str">
        <f>PROPER(TEXT(BBDD_fashion_boutique[[#This Row],[purchase_date]],"dddd"))</f>
        <v>Miércoles</v>
      </c>
      <c r="O2151" s="1" t="str">
        <f>PROPER(TEXT(BBDD_fashion_boutique[[#This Row],[purchase_date]],"mmmm"))</f>
        <v>Agosto</v>
      </c>
      <c r="P2151" s="4">
        <v>22</v>
      </c>
      <c r="Q2151" s="2">
        <v>5</v>
      </c>
      <c r="R2151" t="str">
        <f>IF(BBDD_fashion_boutique[[#This Row],[stock_quantity]]&gt;9,"Ok",IF(BBDD_fashion_boutique[[#This Row],[stock_quantity]]=0,"Agotado","Pocas Unidades"))</f>
        <v>Ok</v>
      </c>
      <c r="S2151" s="3">
        <f>IF(BBDD_fashion_boutique[[#This Row],[customer_rating]]="","No valorado",BBDD_fashion_boutique[[#This Row],[customer_rating]])</f>
        <v>5</v>
      </c>
      <c r="T2151" t="s">
        <v>24</v>
      </c>
      <c r="V2151">
        <f>IF(BBDD_fashion_boutique[[#This Row],[is_returned]]="False",0,1)</f>
        <v>0</v>
      </c>
      <c r="W2151">
        <f>IF(BBDD_fashion_boutique[[#This Row],[is_returned]]="True",0,BBDD_fashion_boutique[[#This Row],[current_price]])</f>
        <v>57.25</v>
      </c>
      <c r="X2151" t="str">
        <f>IF(BBDD_fashion_boutique[[#This Row],[return_reason]]="","No return",BBDD_fashion_boutique[[#This Row],[return_reason]])</f>
        <v>No return</v>
      </c>
      <c r="Y2151">
        <f>IF(IFERROR(VLOOKUP(BBDD_fashion_boutique[[#This Row],[product_id]],A2152:A4327,1,FALSE),0),1,0)</f>
        <v>0</v>
      </c>
    </row>
    <row r="2152" spans="1:25" x14ac:dyDescent="0.3">
      <c r="A2152" t="s">
        <v>2211</v>
      </c>
      <c r="B2152" t="s">
        <v>48</v>
      </c>
      <c r="C2152" t="s">
        <v>54</v>
      </c>
      <c r="D2152" t="s">
        <v>39</v>
      </c>
      <c r="E2152" t="s">
        <v>22</v>
      </c>
      <c r="F2152" t="str">
        <f>IF(BBDD_fashion_boutique[[#This Row],[category]]="Accessories","Accesorio",IF(BBDD_fashion_boutique[[#This Row],[size]]="","Desconocido",BBDD_fashion_boutique[[#This Row],[size]]))</f>
        <v>XL</v>
      </c>
      <c r="G2152" t="s">
        <v>50</v>
      </c>
      <c r="H2152" s="2">
        <v>134.41</v>
      </c>
      <c r="I2152">
        <v>55.3</v>
      </c>
      <c r="J2152" s="5">
        <f>BBDD_fashion_boutique[[#This Row],[markdown_percentage]]/100</f>
        <v>0.55299999999999994</v>
      </c>
      <c r="K2152" s="2">
        <v>60.08</v>
      </c>
      <c r="L2152" s="2">
        <f>BBDD_fashion_boutique[[#This Row],[original_price]]-BBDD_fashion_boutique[[#This Row],[current_price]]</f>
        <v>74.33</v>
      </c>
      <c r="M2152" s="1">
        <v>45875</v>
      </c>
      <c r="N2152" s="1" t="str">
        <f>PROPER(TEXT(BBDD_fashion_boutique[[#This Row],[purchase_date]],"dddd"))</f>
        <v>Miércoles</v>
      </c>
      <c r="O2152" s="1" t="str">
        <f>PROPER(TEXT(BBDD_fashion_boutique[[#This Row],[purchase_date]],"mmmm"))</f>
        <v>Agosto</v>
      </c>
      <c r="P2152" s="4">
        <v>12</v>
      </c>
      <c r="Q2152" s="2">
        <v>3.2</v>
      </c>
      <c r="R2152" t="str">
        <f>IF(BBDD_fashion_boutique[[#This Row],[stock_quantity]]&gt;9,"Ok",IF(BBDD_fashion_boutique[[#This Row],[stock_quantity]]=0,"Agotado","Pocas Unidades"))</f>
        <v>Ok</v>
      </c>
      <c r="S2152" s="3">
        <f>IF(BBDD_fashion_boutique[[#This Row],[customer_rating]]="","No valorado",BBDD_fashion_boutique[[#This Row],[customer_rating]])</f>
        <v>3.2</v>
      </c>
      <c r="T2152" t="s">
        <v>24</v>
      </c>
      <c r="V2152">
        <f>IF(BBDD_fashion_boutique[[#This Row],[is_returned]]="False",0,1)</f>
        <v>0</v>
      </c>
      <c r="W2152">
        <f>IF(BBDD_fashion_boutique[[#This Row],[is_returned]]="True",0,BBDD_fashion_boutique[[#This Row],[current_price]])</f>
        <v>60.08</v>
      </c>
      <c r="X2152" t="str">
        <f>IF(BBDD_fashion_boutique[[#This Row],[return_reason]]="","No return",BBDD_fashion_boutique[[#This Row],[return_reason]])</f>
        <v>No return</v>
      </c>
      <c r="Y2152">
        <f>IF(IFERROR(VLOOKUP(BBDD_fashion_boutique[[#This Row],[product_id]],A2153:A4328,1,FALSE),0),1,0)</f>
        <v>0</v>
      </c>
    </row>
    <row r="2153" spans="1:25" x14ac:dyDescent="0.3">
      <c r="A2153" t="s">
        <v>2212</v>
      </c>
      <c r="B2153" t="s">
        <v>44</v>
      </c>
      <c r="C2153" t="s">
        <v>59</v>
      </c>
      <c r="D2153" t="s">
        <v>39</v>
      </c>
      <c r="E2153" t="s">
        <v>45</v>
      </c>
      <c r="F2153" t="str">
        <f>IF(BBDD_fashion_boutique[[#This Row],[category]]="Accessories","Accesorio",IF(BBDD_fashion_boutique[[#This Row],[size]]="","Desconocido",BBDD_fashion_boutique[[#This Row],[size]]))</f>
        <v>S</v>
      </c>
      <c r="G2153" t="s">
        <v>76</v>
      </c>
      <c r="H2153" s="2">
        <v>111.43</v>
      </c>
      <c r="I2153">
        <v>43.5</v>
      </c>
      <c r="J2153" s="5">
        <f>BBDD_fashion_boutique[[#This Row],[markdown_percentage]]/100</f>
        <v>0.435</v>
      </c>
      <c r="K2153" s="2">
        <v>62.96</v>
      </c>
      <c r="L2153" s="2">
        <f>BBDD_fashion_boutique[[#This Row],[original_price]]-BBDD_fashion_boutique[[#This Row],[current_price]]</f>
        <v>48.470000000000006</v>
      </c>
      <c r="M2153" s="1">
        <v>45875</v>
      </c>
      <c r="N2153" s="1" t="str">
        <f>PROPER(TEXT(BBDD_fashion_boutique[[#This Row],[purchase_date]],"dddd"))</f>
        <v>Miércoles</v>
      </c>
      <c r="O2153" s="1" t="str">
        <f>PROPER(TEXT(BBDD_fashion_boutique[[#This Row],[purchase_date]],"mmmm"))</f>
        <v>Agosto</v>
      </c>
      <c r="P2153" s="4">
        <v>22</v>
      </c>
      <c r="Q2153" s="2">
        <v>4.8</v>
      </c>
      <c r="R2153" t="str">
        <f>IF(BBDD_fashion_boutique[[#This Row],[stock_quantity]]&gt;9,"Ok",IF(BBDD_fashion_boutique[[#This Row],[stock_quantity]]=0,"Agotado","Pocas Unidades"))</f>
        <v>Ok</v>
      </c>
      <c r="S2153" s="3">
        <f>IF(BBDD_fashion_boutique[[#This Row],[customer_rating]]="","No valorado",BBDD_fashion_boutique[[#This Row],[customer_rating]])</f>
        <v>4.8</v>
      </c>
      <c r="T2153" t="s">
        <v>24</v>
      </c>
      <c r="V2153">
        <f>IF(BBDD_fashion_boutique[[#This Row],[is_returned]]="False",0,1)</f>
        <v>0</v>
      </c>
      <c r="W2153">
        <f>IF(BBDD_fashion_boutique[[#This Row],[is_returned]]="True",0,BBDD_fashion_boutique[[#This Row],[current_price]])</f>
        <v>62.96</v>
      </c>
      <c r="X2153" t="str">
        <f>IF(BBDD_fashion_boutique[[#This Row],[return_reason]]="","No return",BBDD_fashion_boutique[[#This Row],[return_reason]])</f>
        <v>No return</v>
      </c>
      <c r="Y2153">
        <f>IF(IFERROR(VLOOKUP(BBDD_fashion_boutique[[#This Row],[product_id]],A2154:A4329,1,FALSE),0),1,0)</f>
        <v>0</v>
      </c>
    </row>
    <row r="2154" spans="1:25" x14ac:dyDescent="0.3">
      <c r="A2154" t="s">
        <v>2213</v>
      </c>
      <c r="B2154" t="s">
        <v>32</v>
      </c>
      <c r="C2154" t="s">
        <v>27</v>
      </c>
      <c r="D2154" t="s">
        <v>21</v>
      </c>
      <c r="F2154" t="str">
        <f>IF(BBDD_fashion_boutique[[#This Row],[category]]="Accessories","Accesorio",IF(BBDD_fashion_boutique[[#This Row],[size]]="","Desconocido",BBDD_fashion_boutique[[#This Row],[size]]))</f>
        <v>Accesorio</v>
      </c>
      <c r="G2154" t="s">
        <v>76</v>
      </c>
      <c r="H2154" s="2">
        <v>15.36</v>
      </c>
      <c r="I2154">
        <v>36.799999999999997</v>
      </c>
      <c r="J2154" s="5">
        <f>BBDD_fashion_boutique[[#This Row],[markdown_percentage]]/100</f>
        <v>0.36799999999999999</v>
      </c>
      <c r="K2154" s="2">
        <v>9.7100000000000009</v>
      </c>
      <c r="L2154" s="2">
        <f>BBDD_fashion_boutique[[#This Row],[original_price]]-BBDD_fashion_boutique[[#This Row],[current_price]]</f>
        <v>5.6499999999999986</v>
      </c>
      <c r="M2154" s="1">
        <v>45776</v>
      </c>
      <c r="N2154" s="1" t="str">
        <f>PROPER(TEXT(BBDD_fashion_boutique[[#This Row],[purchase_date]],"dddd"))</f>
        <v>Martes</v>
      </c>
      <c r="O2154" s="1" t="str">
        <f>PROPER(TEXT(BBDD_fashion_boutique[[#This Row],[purchase_date]],"mmmm"))</f>
        <v>Abril</v>
      </c>
      <c r="P2154" s="4">
        <v>46</v>
      </c>
      <c r="Q2154" s="2">
        <v>2.2999999999999998</v>
      </c>
      <c r="R2154" t="str">
        <f>IF(BBDD_fashion_boutique[[#This Row],[stock_quantity]]&gt;9,"Ok",IF(BBDD_fashion_boutique[[#This Row],[stock_quantity]]=0,"Agotado","Pocas Unidades"))</f>
        <v>Ok</v>
      </c>
      <c r="S2154" s="3">
        <f>IF(BBDD_fashion_boutique[[#This Row],[customer_rating]]="","No valorado",BBDD_fashion_boutique[[#This Row],[customer_rating]])</f>
        <v>2.2999999999999998</v>
      </c>
      <c r="T2154" t="s">
        <v>24</v>
      </c>
      <c r="V2154">
        <f>IF(BBDD_fashion_boutique[[#This Row],[is_returned]]="False",0,1)</f>
        <v>0</v>
      </c>
      <c r="W2154">
        <f>IF(BBDD_fashion_boutique[[#This Row],[is_returned]]="True",0,BBDD_fashion_boutique[[#This Row],[current_price]])</f>
        <v>9.7100000000000009</v>
      </c>
      <c r="X2154" t="str">
        <f>IF(BBDD_fashion_boutique[[#This Row],[return_reason]]="","No return",BBDD_fashion_boutique[[#This Row],[return_reason]])</f>
        <v>No return</v>
      </c>
      <c r="Y2154">
        <f>IF(IFERROR(VLOOKUP(BBDD_fashion_boutique[[#This Row],[product_id]],A2155:A4330,1,FALSE),0),1,0)</f>
        <v>0</v>
      </c>
    </row>
    <row r="2155" spans="1:25" x14ac:dyDescent="0.3">
      <c r="A2155" t="s">
        <v>2214</v>
      </c>
      <c r="B2155" t="s">
        <v>26</v>
      </c>
      <c r="C2155" t="s">
        <v>67</v>
      </c>
      <c r="D2155" t="s">
        <v>39</v>
      </c>
      <c r="E2155" t="s">
        <v>22</v>
      </c>
      <c r="F2155" t="str">
        <f>IF(BBDD_fashion_boutique[[#This Row],[category]]="Accessories","Accesorio",IF(BBDD_fashion_boutique[[#This Row],[size]]="","Desconocido",BBDD_fashion_boutique[[#This Row],[size]]))</f>
        <v>XL</v>
      </c>
      <c r="G2155" t="s">
        <v>33</v>
      </c>
      <c r="H2155" s="2">
        <v>100.03</v>
      </c>
      <c r="I2155">
        <v>51.8</v>
      </c>
      <c r="J2155" s="5">
        <f>BBDD_fashion_boutique[[#This Row],[markdown_percentage]]/100</f>
        <v>0.51800000000000002</v>
      </c>
      <c r="K2155" s="2">
        <v>48.21</v>
      </c>
      <c r="L2155" s="2">
        <f>BBDD_fashion_boutique[[#This Row],[original_price]]-BBDD_fashion_boutique[[#This Row],[current_price]]</f>
        <v>51.82</v>
      </c>
      <c r="M2155" s="1">
        <v>45875</v>
      </c>
      <c r="N2155" s="1" t="str">
        <f>PROPER(TEXT(BBDD_fashion_boutique[[#This Row],[purchase_date]],"dddd"))</f>
        <v>Miércoles</v>
      </c>
      <c r="O2155" s="1" t="str">
        <f>PROPER(TEXT(BBDD_fashion_boutique[[#This Row],[purchase_date]],"mmmm"))</f>
        <v>Agosto</v>
      </c>
      <c r="P2155" s="4">
        <v>43</v>
      </c>
      <c r="Q2155" s="2">
        <v>5</v>
      </c>
      <c r="R2155" t="str">
        <f>IF(BBDD_fashion_boutique[[#This Row],[stock_quantity]]&gt;9,"Ok",IF(BBDD_fashion_boutique[[#This Row],[stock_quantity]]=0,"Agotado","Pocas Unidades"))</f>
        <v>Ok</v>
      </c>
      <c r="S2155" s="3">
        <f>IF(BBDD_fashion_boutique[[#This Row],[customer_rating]]="","No valorado",BBDD_fashion_boutique[[#This Row],[customer_rating]])</f>
        <v>5</v>
      </c>
      <c r="T2155" t="s">
        <v>24</v>
      </c>
      <c r="V2155">
        <f>IF(BBDD_fashion_boutique[[#This Row],[is_returned]]="False",0,1)</f>
        <v>0</v>
      </c>
      <c r="W2155">
        <f>IF(BBDD_fashion_boutique[[#This Row],[is_returned]]="True",0,BBDD_fashion_boutique[[#This Row],[current_price]])</f>
        <v>48.21</v>
      </c>
      <c r="X2155" t="str">
        <f>IF(BBDD_fashion_boutique[[#This Row],[return_reason]]="","No return",BBDD_fashion_boutique[[#This Row],[return_reason]])</f>
        <v>No return</v>
      </c>
      <c r="Y2155">
        <f>IF(IFERROR(VLOOKUP(BBDD_fashion_boutique[[#This Row],[product_id]],A2156:A4331,1,FALSE),0),1,0)</f>
        <v>0</v>
      </c>
    </row>
    <row r="2156" spans="1:25" x14ac:dyDescent="0.3">
      <c r="A2156" t="s">
        <v>2215</v>
      </c>
      <c r="B2156" t="s">
        <v>35</v>
      </c>
      <c r="C2156" t="s">
        <v>27</v>
      </c>
      <c r="D2156" t="s">
        <v>68</v>
      </c>
      <c r="E2156" t="s">
        <v>45</v>
      </c>
      <c r="F2156" t="str">
        <f>IF(BBDD_fashion_boutique[[#This Row],[category]]="Accessories","Accesorio",IF(BBDD_fashion_boutique[[#This Row],[size]]="","Desconocido",BBDD_fashion_boutique[[#This Row],[size]]))</f>
        <v>S</v>
      </c>
      <c r="G2156" t="s">
        <v>33</v>
      </c>
      <c r="H2156" s="2">
        <v>173.75</v>
      </c>
      <c r="I2156">
        <v>19.2</v>
      </c>
      <c r="J2156" s="5">
        <f>BBDD_fashion_boutique[[#This Row],[markdown_percentage]]/100</f>
        <v>0.192</v>
      </c>
      <c r="K2156" s="2">
        <v>140.38999999999999</v>
      </c>
      <c r="L2156" s="2">
        <f>BBDD_fashion_boutique[[#This Row],[original_price]]-BBDD_fashion_boutique[[#This Row],[current_price]]</f>
        <v>33.360000000000014</v>
      </c>
      <c r="M2156" s="1">
        <v>45875</v>
      </c>
      <c r="N2156" s="1" t="str">
        <f>PROPER(TEXT(BBDD_fashion_boutique[[#This Row],[purchase_date]],"dddd"))</f>
        <v>Miércoles</v>
      </c>
      <c r="O2156" s="1" t="str">
        <f>PROPER(TEXT(BBDD_fashion_boutique[[#This Row],[purchase_date]],"mmmm"))</f>
        <v>Agosto</v>
      </c>
      <c r="P2156" s="4">
        <v>38</v>
      </c>
      <c r="R2156" t="str">
        <f>IF(BBDD_fashion_boutique[[#This Row],[stock_quantity]]&gt;9,"Ok",IF(BBDD_fashion_boutique[[#This Row],[stock_quantity]]=0,"Agotado","Pocas Unidades"))</f>
        <v>Ok</v>
      </c>
      <c r="S2156" s="3" t="str">
        <f>IF(BBDD_fashion_boutique[[#This Row],[customer_rating]]="","No valorado",BBDD_fashion_boutique[[#This Row],[customer_rating]])</f>
        <v>No valorado</v>
      </c>
      <c r="T2156" t="s">
        <v>24</v>
      </c>
      <c r="V2156">
        <f>IF(BBDD_fashion_boutique[[#This Row],[is_returned]]="False",0,1)</f>
        <v>0</v>
      </c>
      <c r="W2156">
        <f>IF(BBDD_fashion_boutique[[#This Row],[is_returned]]="True",0,BBDD_fashion_boutique[[#This Row],[current_price]])</f>
        <v>140.38999999999999</v>
      </c>
      <c r="X2156" t="str">
        <f>IF(BBDD_fashion_boutique[[#This Row],[return_reason]]="","No return",BBDD_fashion_boutique[[#This Row],[return_reason]])</f>
        <v>No return</v>
      </c>
      <c r="Y2156">
        <f>IF(IFERROR(VLOOKUP(BBDD_fashion_boutique[[#This Row],[product_id]],A2157:A4332,1,FALSE),0),1,0)</f>
        <v>0</v>
      </c>
    </row>
    <row r="2157" spans="1:25" x14ac:dyDescent="0.3">
      <c r="A2157" t="s">
        <v>2216</v>
      </c>
      <c r="B2157" t="s">
        <v>44</v>
      </c>
      <c r="C2157" t="s">
        <v>67</v>
      </c>
      <c r="D2157" t="s">
        <v>28</v>
      </c>
      <c r="E2157" t="s">
        <v>22</v>
      </c>
      <c r="F2157" t="str">
        <f>IF(BBDD_fashion_boutique[[#This Row],[category]]="Accessories","Accesorio",IF(BBDD_fashion_boutique[[#This Row],[size]]="","Desconocido",BBDD_fashion_boutique[[#This Row],[size]]))</f>
        <v>XL</v>
      </c>
      <c r="G2157" t="s">
        <v>52</v>
      </c>
      <c r="H2157" s="2">
        <v>37.979999999999997</v>
      </c>
      <c r="I2157">
        <v>15.2</v>
      </c>
      <c r="J2157" s="5">
        <f>BBDD_fashion_boutique[[#This Row],[markdown_percentage]]/100</f>
        <v>0.152</v>
      </c>
      <c r="K2157" s="2">
        <v>32.21</v>
      </c>
      <c r="L2157" s="2">
        <f>BBDD_fashion_boutique[[#This Row],[original_price]]-BBDD_fashion_boutique[[#This Row],[current_price]]</f>
        <v>5.769999999999996</v>
      </c>
      <c r="M2157" s="1">
        <v>45875</v>
      </c>
      <c r="N2157" s="1" t="str">
        <f>PROPER(TEXT(BBDD_fashion_boutique[[#This Row],[purchase_date]],"dddd"))</f>
        <v>Miércoles</v>
      </c>
      <c r="O2157" s="1" t="str">
        <f>PROPER(TEXT(BBDD_fashion_boutique[[#This Row],[purchase_date]],"mmmm"))</f>
        <v>Agosto</v>
      </c>
      <c r="P2157" s="4">
        <v>25</v>
      </c>
      <c r="Q2157" s="2">
        <v>3.6</v>
      </c>
      <c r="R2157" t="str">
        <f>IF(BBDD_fashion_boutique[[#This Row],[stock_quantity]]&gt;9,"Ok",IF(BBDD_fashion_boutique[[#This Row],[stock_quantity]]=0,"Agotado","Pocas Unidades"))</f>
        <v>Ok</v>
      </c>
      <c r="S2157" s="3">
        <f>IF(BBDD_fashion_boutique[[#This Row],[customer_rating]]="","No valorado",BBDD_fashion_boutique[[#This Row],[customer_rating]])</f>
        <v>3.6</v>
      </c>
      <c r="T2157" t="s">
        <v>24</v>
      </c>
      <c r="V2157">
        <f>IF(BBDD_fashion_boutique[[#This Row],[is_returned]]="False",0,1)</f>
        <v>0</v>
      </c>
      <c r="W2157">
        <f>IF(BBDD_fashion_boutique[[#This Row],[is_returned]]="True",0,BBDD_fashion_boutique[[#This Row],[current_price]])</f>
        <v>32.21</v>
      </c>
      <c r="X2157" t="str">
        <f>IF(BBDD_fashion_boutique[[#This Row],[return_reason]]="","No return",BBDD_fashion_boutique[[#This Row],[return_reason]])</f>
        <v>No return</v>
      </c>
      <c r="Y2157">
        <f>IF(IFERROR(VLOOKUP(BBDD_fashion_boutique[[#This Row],[product_id]],A2158:A4333,1,FALSE),0),1,0)</f>
        <v>0</v>
      </c>
    </row>
    <row r="2158" spans="1:25" x14ac:dyDescent="0.3">
      <c r="A2158" t="s">
        <v>2217</v>
      </c>
      <c r="B2158" t="s">
        <v>48</v>
      </c>
      <c r="C2158" t="s">
        <v>81</v>
      </c>
      <c r="D2158" t="s">
        <v>68</v>
      </c>
      <c r="E2158" t="s">
        <v>64</v>
      </c>
      <c r="F2158" t="str">
        <f>IF(BBDD_fashion_boutique[[#This Row],[category]]="Accessories","Accesorio",IF(BBDD_fashion_boutique[[#This Row],[size]]="","Desconocido",BBDD_fashion_boutique[[#This Row],[size]]))</f>
        <v>M</v>
      </c>
      <c r="G2158" t="s">
        <v>33</v>
      </c>
      <c r="H2158" s="2">
        <v>154.11000000000001</v>
      </c>
      <c r="I2158">
        <v>0</v>
      </c>
      <c r="J2158" s="5">
        <f>BBDD_fashion_boutique[[#This Row],[markdown_percentage]]/100</f>
        <v>0</v>
      </c>
      <c r="K2158" s="2">
        <v>154.11000000000001</v>
      </c>
      <c r="L2158" s="2">
        <f>BBDD_fashion_boutique[[#This Row],[original_price]]-BBDD_fashion_boutique[[#This Row],[current_price]]</f>
        <v>0</v>
      </c>
      <c r="M2158" s="1">
        <v>45875</v>
      </c>
      <c r="N2158" s="1" t="str">
        <f>PROPER(TEXT(BBDD_fashion_boutique[[#This Row],[purchase_date]],"dddd"))</f>
        <v>Miércoles</v>
      </c>
      <c r="O2158" s="1" t="str">
        <f>PROPER(TEXT(BBDD_fashion_boutique[[#This Row],[purchase_date]],"mmmm"))</f>
        <v>Agosto</v>
      </c>
      <c r="P2158" s="4">
        <v>50</v>
      </c>
      <c r="Q2158" s="2">
        <v>3.1</v>
      </c>
      <c r="R2158" t="str">
        <f>IF(BBDD_fashion_boutique[[#This Row],[stock_quantity]]&gt;9,"Ok",IF(BBDD_fashion_boutique[[#This Row],[stock_quantity]]=0,"Agotado","Pocas Unidades"))</f>
        <v>Ok</v>
      </c>
      <c r="S2158" s="3">
        <f>IF(BBDD_fashion_boutique[[#This Row],[customer_rating]]="","No valorado",BBDD_fashion_boutique[[#This Row],[customer_rating]])</f>
        <v>3.1</v>
      </c>
      <c r="T2158" t="s">
        <v>24</v>
      </c>
      <c r="V2158">
        <f>IF(BBDD_fashion_boutique[[#This Row],[is_returned]]="False",0,1)</f>
        <v>0</v>
      </c>
      <c r="W2158">
        <f>IF(BBDD_fashion_boutique[[#This Row],[is_returned]]="True",0,BBDD_fashion_boutique[[#This Row],[current_price]])</f>
        <v>154.11000000000001</v>
      </c>
      <c r="X2158" t="str">
        <f>IF(BBDD_fashion_boutique[[#This Row],[return_reason]]="","No return",BBDD_fashion_boutique[[#This Row],[return_reason]])</f>
        <v>No return</v>
      </c>
      <c r="Y2158">
        <f>IF(IFERROR(VLOOKUP(BBDD_fashion_boutique[[#This Row],[product_id]],A2159:A4334,1,FALSE),0),1,0)</f>
        <v>0</v>
      </c>
    </row>
    <row r="2159" spans="1:25" x14ac:dyDescent="0.3">
      <c r="A2159" t="s">
        <v>2218</v>
      </c>
      <c r="B2159" t="s">
        <v>32</v>
      </c>
      <c r="C2159" t="s">
        <v>59</v>
      </c>
      <c r="D2159" t="s">
        <v>21</v>
      </c>
      <c r="F2159" t="str">
        <f>IF(BBDD_fashion_boutique[[#This Row],[category]]="Accessories","Accesorio",IF(BBDD_fashion_boutique[[#This Row],[size]]="","Desconocido",BBDD_fashion_boutique[[#This Row],[size]]))</f>
        <v>Accesorio</v>
      </c>
      <c r="G2159" t="s">
        <v>72</v>
      </c>
      <c r="H2159" s="2">
        <v>69.8</v>
      </c>
      <c r="I2159">
        <v>46.9</v>
      </c>
      <c r="J2159" s="5">
        <f>BBDD_fashion_boutique[[#This Row],[markdown_percentage]]/100</f>
        <v>0.46899999999999997</v>
      </c>
      <c r="K2159" s="2">
        <v>37.06</v>
      </c>
      <c r="L2159" s="2">
        <f>BBDD_fashion_boutique[[#This Row],[original_price]]-BBDD_fashion_boutique[[#This Row],[current_price]]</f>
        <v>32.739999999999995</v>
      </c>
      <c r="M2159" s="1">
        <v>45586</v>
      </c>
      <c r="N2159" s="1" t="str">
        <f>PROPER(TEXT(BBDD_fashion_boutique[[#This Row],[purchase_date]],"dddd"))</f>
        <v>Lunes</v>
      </c>
      <c r="O2159" s="1" t="str">
        <f>PROPER(TEXT(BBDD_fashion_boutique[[#This Row],[purchase_date]],"mmmm"))</f>
        <v>Octubre</v>
      </c>
      <c r="P2159" s="4">
        <v>26</v>
      </c>
      <c r="Q2159" s="2">
        <v>3.8</v>
      </c>
      <c r="R2159" t="str">
        <f>IF(BBDD_fashion_boutique[[#This Row],[stock_quantity]]&gt;9,"Ok",IF(BBDD_fashion_boutique[[#This Row],[stock_quantity]]=0,"Agotado","Pocas Unidades"))</f>
        <v>Ok</v>
      </c>
      <c r="S2159" s="3">
        <f>IF(BBDD_fashion_boutique[[#This Row],[customer_rating]]="","No valorado",BBDD_fashion_boutique[[#This Row],[customer_rating]])</f>
        <v>3.8</v>
      </c>
      <c r="T2159" t="s">
        <v>24</v>
      </c>
      <c r="V2159">
        <f>IF(BBDD_fashion_boutique[[#This Row],[is_returned]]="False",0,1)</f>
        <v>0</v>
      </c>
      <c r="W2159">
        <f>IF(BBDD_fashion_boutique[[#This Row],[is_returned]]="True",0,BBDD_fashion_boutique[[#This Row],[current_price]])</f>
        <v>37.06</v>
      </c>
      <c r="X2159" t="str">
        <f>IF(BBDD_fashion_boutique[[#This Row],[return_reason]]="","No return",BBDD_fashion_boutique[[#This Row],[return_reason]])</f>
        <v>No return</v>
      </c>
      <c r="Y2159">
        <f>IF(IFERROR(VLOOKUP(BBDD_fashion_boutique[[#This Row],[product_id]],A2160:A4335,1,FALSE),0),1,0)</f>
        <v>0</v>
      </c>
    </row>
    <row r="2160" spans="1:25" x14ac:dyDescent="0.3">
      <c r="A2160" t="s">
        <v>2219</v>
      </c>
      <c r="B2160" t="s">
        <v>48</v>
      </c>
      <c r="C2160" t="s">
        <v>67</v>
      </c>
      <c r="D2160" t="s">
        <v>28</v>
      </c>
      <c r="E2160" t="s">
        <v>55</v>
      </c>
      <c r="F2160" t="str">
        <f>IF(BBDD_fashion_boutique[[#This Row],[category]]="Accessories","Accesorio",IF(BBDD_fashion_boutique[[#This Row],[size]]="","Desconocido",BBDD_fashion_boutique[[#This Row],[size]]))</f>
        <v>XXL</v>
      </c>
      <c r="G2160" t="s">
        <v>46</v>
      </c>
      <c r="H2160" s="2">
        <v>171.16</v>
      </c>
      <c r="I2160">
        <v>0</v>
      </c>
      <c r="J2160" s="5">
        <f>BBDD_fashion_boutique[[#This Row],[markdown_percentage]]/100</f>
        <v>0</v>
      </c>
      <c r="K2160" s="2">
        <v>171.16</v>
      </c>
      <c r="L2160" s="2">
        <f>BBDD_fashion_boutique[[#This Row],[original_price]]-BBDD_fashion_boutique[[#This Row],[current_price]]</f>
        <v>0</v>
      </c>
      <c r="M2160" s="1">
        <v>45875</v>
      </c>
      <c r="N2160" s="1" t="str">
        <f>PROPER(TEXT(BBDD_fashion_boutique[[#This Row],[purchase_date]],"dddd"))</f>
        <v>Miércoles</v>
      </c>
      <c r="O2160" s="1" t="str">
        <f>PROPER(TEXT(BBDD_fashion_boutique[[#This Row],[purchase_date]],"mmmm"))</f>
        <v>Agosto</v>
      </c>
      <c r="P2160" s="4">
        <v>26</v>
      </c>
      <c r="Q2160" s="2">
        <v>4.3</v>
      </c>
      <c r="R2160" t="str">
        <f>IF(BBDD_fashion_boutique[[#This Row],[stock_quantity]]&gt;9,"Ok",IF(BBDD_fashion_boutique[[#This Row],[stock_quantity]]=0,"Agotado","Pocas Unidades"))</f>
        <v>Ok</v>
      </c>
      <c r="S2160" s="3">
        <f>IF(BBDD_fashion_boutique[[#This Row],[customer_rating]]="","No valorado",BBDD_fashion_boutique[[#This Row],[customer_rating]])</f>
        <v>4.3</v>
      </c>
      <c r="T2160" t="s">
        <v>24</v>
      </c>
      <c r="V2160">
        <f>IF(BBDD_fashion_boutique[[#This Row],[is_returned]]="False",0,1)</f>
        <v>0</v>
      </c>
      <c r="W2160">
        <f>IF(BBDD_fashion_boutique[[#This Row],[is_returned]]="True",0,BBDD_fashion_boutique[[#This Row],[current_price]])</f>
        <v>171.16</v>
      </c>
      <c r="X2160" t="str">
        <f>IF(BBDD_fashion_boutique[[#This Row],[return_reason]]="","No return",BBDD_fashion_boutique[[#This Row],[return_reason]])</f>
        <v>No return</v>
      </c>
      <c r="Y2160">
        <f>IF(IFERROR(VLOOKUP(BBDD_fashion_boutique[[#This Row],[product_id]],A2161:A4336,1,FALSE),0),1,0)</f>
        <v>0</v>
      </c>
    </row>
    <row r="2161" spans="1:25" x14ac:dyDescent="0.3">
      <c r="A2161" t="s">
        <v>2220</v>
      </c>
      <c r="B2161" t="s">
        <v>19</v>
      </c>
      <c r="C2161" t="s">
        <v>20</v>
      </c>
      <c r="D2161" t="s">
        <v>68</v>
      </c>
      <c r="E2161" t="s">
        <v>55</v>
      </c>
      <c r="F2161" t="str">
        <f>IF(BBDD_fashion_boutique[[#This Row],[category]]="Accessories","Accesorio",IF(BBDD_fashion_boutique[[#This Row],[size]]="","Desconocido",BBDD_fashion_boutique[[#This Row],[size]]))</f>
        <v>XXL</v>
      </c>
      <c r="G2161" t="s">
        <v>40</v>
      </c>
      <c r="H2161" s="2">
        <v>118.57</v>
      </c>
      <c r="I2161">
        <v>0</v>
      </c>
      <c r="J2161" s="5">
        <f>BBDD_fashion_boutique[[#This Row],[markdown_percentage]]/100</f>
        <v>0</v>
      </c>
      <c r="K2161" s="2">
        <v>118.57</v>
      </c>
      <c r="L2161" s="2">
        <f>BBDD_fashion_boutique[[#This Row],[original_price]]-BBDD_fashion_boutique[[#This Row],[current_price]]</f>
        <v>0</v>
      </c>
      <c r="M2161" s="1">
        <v>45875</v>
      </c>
      <c r="N2161" s="1" t="str">
        <f>PROPER(TEXT(BBDD_fashion_boutique[[#This Row],[purchase_date]],"dddd"))</f>
        <v>Miércoles</v>
      </c>
      <c r="O2161" s="1" t="str">
        <f>PROPER(TEXT(BBDD_fashion_boutique[[#This Row],[purchase_date]],"mmmm"))</f>
        <v>Agosto</v>
      </c>
      <c r="P2161" s="4">
        <v>6</v>
      </c>
      <c r="Q2161" s="2">
        <v>1.4</v>
      </c>
      <c r="R2161" t="str">
        <f>IF(BBDD_fashion_boutique[[#This Row],[stock_quantity]]&gt;9,"Ok",IF(BBDD_fashion_boutique[[#This Row],[stock_quantity]]=0,"Agotado","Pocas Unidades"))</f>
        <v>Pocas Unidades</v>
      </c>
      <c r="S2161" s="3">
        <f>IF(BBDD_fashion_boutique[[#This Row],[customer_rating]]="","No valorado",BBDD_fashion_boutique[[#This Row],[customer_rating]])</f>
        <v>1.4</v>
      </c>
      <c r="T2161" t="s">
        <v>41</v>
      </c>
      <c r="U2161" t="s">
        <v>89</v>
      </c>
      <c r="V2161">
        <f>IF(BBDD_fashion_boutique[[#This Row],[is_returned]]="False",0,1)</f>
        <v>1</v>
      </c>
      <c r="W2161">
        <f>IF(BBDD_fashion_boutique[[#This Row],[is_returned]]="True",0,BBDD_fashion_boutique[[#This Row],[current_price]])</f>
        <v>0</v>
      </c>
      <c r="X2161" t="str">
        <f>IF(BBDD_fashion_boutique[[#This Row],[return_reason]]="","No return",BBDD_fashion_boutique[[#This Row],[return_reason]])</f>
        <v>Quality Issue</v>
      </c>
      <c r="Y2161">
        <f>IF(IFERROR(VLOOKUP(BBDD_fashion_boutique[[#This Row],[product_id]],A2162:A4337,1,FALSE),0),1,0)</f>
        <v>0</v>
      </c>
    </row>
    <row r="2162" spans="1:25" x14ac:dyDescent="0.3">
      <c r="A2162" t="s">
        <v>2221</v>
      </c>
      <c r="B2162" t="s">
        <v>48</v>
      </c>
      <c r="C2162" t="s">
        <v>49</v>
      </c>
      <c r="D2162" t="s">
        <v>28</v>
      </c>
      <c r="E2162" t="s">
        <v>55</v>
      </c>
      <c r="F2162" t="str">
        <f>IF(BBDD_fashion_boutique[[#This Row],[category]]="Accessories","Accesorio",IF(BBDD_fashion_boutique[[#This Row],[size]]="","Desconocido",BBDD_fashion_boutique[[#This Row],[size]]))</f>
        <v>XXL</v>
      </c>
      <c r="G2162" t="s">
        <v>30</v>
      </c>
      <c r="H2162" s="2">
        <v>118.46</v>
      </c>
      <c r="I2162">
        <v>0</v>
      </c>
      <c r="J2162" s="5">
        <f>BBDD_fashion_boutique[[#This Row],[markdown_percentage]]/100</f>
        <v>0</v>
      </c>
      <c r="K2162" s="2">
        <v>118.46</v>
      </c>
      <c r="L2162" s="2">
        <f>BBDD_fashion_boutique[[#This Row],[original_price]]-BBDD_fashion_boutique[[#This Row],[current_price]]</f>
        <v>0</v>
      </c>
      <c r="M2162" s="1">
        <v>45875</v>
      </c>
      <c r="N2162" s="1" t="str">
        <f>PROPER(TEXT(BBDD_fashion_boutique[[#This Row],[purchase_date]],"dddd"))</f>
        <v>Miércoles</v>
      </c>
      <c r="O2162" s="1" t="str">
        <f>PROPER(TEXT(BBDD_fashion_boutique[[#This Row],[purchase_date]],"mmmm"))</f>
        <v>Agosto</v>
      </c>
      <c r="P2162" s="4">
        <v>40</v>
      </c>
      <c r="Q2162" s="2">
        <v>2.2999999999999998</v>
      </c>
      <c r="R2162" t="str">
        <f>IF(BBDD_fashion_boutique[[#This Row],[stock_quantity]]&gt;9,"Ok",IF(BBDD_fashion_boutique[[#This Row],[stock_quantity]]=0,"Agotado","Pocas Unidades"))</f>
        <v>Ok</v>
      </c>
      <c r="S2162" s="3">
        <f>IF(BBDD_fashion_boutique[[#This Row],[customer_rating]]="","No valorado",BBDD_fashion_boutique[[#This Row],[customer_rating]])</f>
        <v>2.2999999999999998</v>
      </c>
      <c r="T2162" t="s">
        <v>24</v>
      </c>
      <c r="V2162">
        <f>IF(BBDD_fashion_boutique[[#This Row],[is_returned]]="False",0,1)</f>
        <v>0</v>
      </c>
      <c r="W2162">
        <f>IF(BBDD_fashion_boutique[[#This Row],[is_returned]]="True",0,BBDD_fashion_boutique[[#This Row],[current_price]])</f>
        <v>118.46</v>
      </c>
      <c r="X2162" t="str">
        <f>IF(BBDD_fashion_boutique[[#This Row],[return_reason]]="","No return",BBDD_fashion_boutique[[#This Row],[return_reason]])</f>
        <v>No return</v>
      </c>
      <c r="Y2162">
        <f>IF(IFERROR(VLOOKUP(BBDD_fashion_boutique[[#This Row],[product_id]],A2163:A4338,1,FALSE),0),1,0)</f>
        <v>0</v>
      </c>
    </row>
    <row r="2163" spans="1:25" x14ac:dyDescent="0.3">
      <c r="A2163" t="s">
        <v>2222</v>
      </c>
      <c r="B2163" t="s">
        <v>35</v>
      </c>
      <c r="C2163" t="s">
        <v>20</v>
      </c>
      <c r="D2163" t="s">
        <v>68</v>
      </c>
      <c r="E2163" t="s">
        <v>29</v>
      </c>
      <c r="F2163" t="str">
        <f>IF(BBDD_fashion_boutique[[#This Row],[category]]="Accessories","Accesorio",IF(BBDD_fashion_boutique[[#This Row],[size]]="","Desconocido",BBDD_fashion_boutique[[#This Row],[size]]))</f>
        <v>L</v>
      </c>
      <c r="G2163" t="s">
        <v>52</v>
      </c>
      <c r="H2163" s="2">
        <v>122.7</v>
      </c>
      <c r="I2163">
        <v>0</v>
      </c>
      <c r="J2163" s="5">
        <f>BBDD_fashion_boutique[[#This Row],[markdown_percentage]]/100</f>
        <v>0</v>
      </c>
      <c r="K2163" s="2">
        <v>122.7</v>
      </c>
      <c r="L2163" s="2">
        <f>BBDD_fashion_boutique[[#This Row],[original_price]]-BBDD_fashion_boutique[[#This Row],[current_price]]</f>
        <v>0</v>
      </c>
      <c r="M2163" s="1">
        <v>45875</v>
      </c>
      <c r="N2163" s="1" t="str">
        <f>PROPER(TEXT(BBDD_fashion_boutique[[#This Row],[purchase_date]],"dddd"))</f>
        <v>Miércoles</v>
      </c>
      <c r="O2163" s="1" t="str">
        <f>PROPER(TEXT(BBDD_fashion_boutique[[#This Row],[purchase_date]],"mmmm"))</f>
        <v>Agosto</v>
      </c>
      <c r="P2163" s="4">
        <v>9</v>
      </c>
      <c r="R2163" t="str">
        <f>IF(BBDD_fashion_boutique[[#This Row],[stock_quantity]]&gt;9,"Ok",IF(BBDD_fashion_boutique[[#This Row],[stock_quantity]]=0,"Agotado","Pocas Unidades"))</f>
        <v>Pocas Unidades</v>
      </c>
      <c r="S2163" s="3" t="str">
        <f>IF(BBDD_fashion_boutique[[#This Row],[customer_rating]]="","No valorado",BBDD_fashion_boutique[[#This Row],[customer_rating]])</f>
        <v>No valorado</v>
      </c>
      <c r="T2163" t="s">
        <v>24</v>
      </c>
      <c r="V2163">
        <f>IF(BBDD_fashion_boutique[[#This Row],[is_returned]]="False",0,1)</f>
        <v>0</v>
      </c>
      <c r="W2163">
        <f>IF(BBDD_fashion_boutique[[#This Row],[is_returned]]="True",0,BBDD_fashion_boutique[[#This Row],[current_price]])</f>
        <v>122.7</v>
      </c>
      <c r="X2163" t="str">
        <f>IF(BBDD_fashion_boutique[[#This Row],[return_reason]]="","No return",BBDD_fashion_boutique[[#This Row],[return_reason]])</f>
        <v>No return</v>
      </c>
      <c r="Y2163">
        <f>IF(IFERROR(VLOOKUP(BBDD_fashion_boutique[[#This Row],[product_id]],A2164:A4339,1,FALSE),0),1,0)</f>
        <v>0</v>
      </c>
    </row>
    <row r="2164" spans="1:25" x14ac:dyDescent="0.3">
      <c r="A2164" t="s">
        <v>2223</v>
      </c>
      <c r="B2164" t="s">
        <v>32</v>
      </c>
      <c r="C2164" t="s">
        <v>67</v>
      </c>
      <c r="D2164" t="s">
        <v>21</v>
      </c>
      <c r="F2164" t="str">
        <f>IF(BBDD_fashion_boutique[[#This Row],[category]]="Accessories","Accesorio",IF(BBDD_fashion_boutique[[#This Row],[size]]="","Desconocido",BBDD_fashion_boutique[[#This Row],[size]]))</f>
        <v>Accesorio</v>
      </c>
      <c r="G2164" t="s">
        <v>33</v>
      </c>
      <c r="H2164" s="2">
        <v>68.2</v>
      </c>
      <c r="I2164">
        <v>0</v>
      </c>
      <c r="J2164" s="5">
        <f>BBDD_fashion_boutique[[#This Row],[markdown_percentage]]/100</f>
        <v>0</v>
      </c>
      <c r="K2164" s="2">
        <v>68.2</v>
      </c>
      <c r="L2164" s="2">
        <f>BBDD_fashion_boutique[[#This Row],[original_price]]-BBDD_fashion_boutique[[#This Row],[current_price]]</f>
        <v>0</v>
      </c>
      <c r="M2164" s="1">
        <v>45752</v>
      </c>
      <c r="N2164" s="1" t="str">
        <f>PROPER(TEXT(BBDD_fashion_boutique[[#This Row],[purchase_date]],"dddd"))</f>
        <v>Sábado</v>
      </c>
      <c r="O2164" s="1" t="str">
        <f>PROPER(TEXT(BBDD_fashion_boutique[[#This Row],[purchase_date]],"mmmm"))</f>
        <v>Abril</v>
      </c>
      <c r="P2164" s="4">
        <v>2</v>
      </c>
      <c r="Q2164" s="2">
        <v>3.8</v>
      </c>
      <c r="R2164" t="str">
        <f>IF(BBDD_fashion_boutique[[#This Row],[stock_quantity]]&gt;9,"Ok",IF(BBDD_fashion_boutique[[#This Row],[stock_quantity]]=0,"Agotado","Pocas Unidades"))</f>
        <v>Pocas Unidades</v>
      </c>
      <c r="S2164" s="3">
        <f>IF(BBDD_fashion_boutique[[#This Row],[customer_rating]]="","No valorado",BBDD_fashion_boutique[[#This Row],[customer_rating]])</f>
        <v>3.8</v>
      </c>
      <c r="T2164" t="s">
        <v>24</v>
      </c>
      <c r="V2164">
        <f>IF(BBDD_fashion_boutique[[#This Row],[is_returned]]="False",0,1)</f>
        <v>0</v>
      </c>
      <c r="W2164">
        <f>IF(BBDD_fashion_boutique[[#This Row],[is_returned]]="True",0,BBDD_fashion_boutique[[#This Row],[current_price]])</f>
        <v>68.2</v>
      </c>
      <c r="X2164" t="str">
        <f>IF(BBDD_fashion_boutique[[#This Row],[return_reason]]="","No return",BBDD_fashion_boutique[[#This Row],[return_reason]])</f>
        <v>No return</v>
      </c>
      <c r="Y2164">
        <f>IF(IFERROR(VLOOKUP(BBDD_fashion_boutique[[#This Row],[product_id]],A2165:A4340,1,FALSE),0),1,0)</f>
        <v>0</v>
      </c>
    </row>
    <row r="2165" spans="1:25" x14ac:dyDescent="0.3">
      <c r="A2165" t="s">
        <v>2224</v>
      </c>
      <c r="B2165" t="s">
        <v>35</v>
      </c>
      <c r="C2165" t="s">
        <v>54</v>
      </c>
      <c r="D2165" t="s">
        <v>21</v>
      </c>
      <c r="E2165" t="s">
        <v>22</v>
      </c>
      <c r="F2165" t="str">
        <f>IF(BBDD_fashion_boutique[[#This Row],[category]]="Accessories","Accesorio",IF(BBDD_fashion_boutique[[#This Row],[size]]="","Desconocido",BBDD_fashion_boutique[[#This Row],[size]]))</f>
        <v>XL</v>
      </c>
      <c r="G2165" t="s">
        <v>40</v>
      </c>
      <c r="H2165" s="2">
        <v>178.56</v>
      </c>
      <c r="I2165">
        <v>0</v>
      </c>
      <c r="J2165" s="5">
        <f>BBDD_fashion_boutique[[#This Row],[markdown_percentage]]/100</f>
        <v>0</v>
      </c>
      <c r="K2165" s="2">
        <v>178.56</v>
      </c>
      <c r="L2165" s="2">
        <f>BBDD_fashion_boutique[[#This Row],[original_price]]-BBDD_fashion_boutique[[#This Row],[current_price]]</f>
        <v>0</v>
      </c>
      <c r="M2165" s="1">
        <v>45732</v>
      </c>
      <c r="N2165" s="1" t="str">
        <f>PROPER(TEXT(BBDD_fashion_boutique[[#This Row],[purchase_date]],"dddd"))</f>
        <v>Domingo</v>
      </c>
      <c r="O2165" s="1" t="str">
        <f>PROPER(TEXT(BBDD_fashion_boutique[[#This Row],[purchase_date]],"mmmm"))</f>
        <v>Marzo</v>
      </c>
      <c r="P2165" s="4">
        <v>46</v>
      </c>
      <c r="Q2165" s="2">
        <v>2.6</v>
      </c>
      <c r="R2165" t="str">
        <f>IF(BBDD_fashion_boutique[[#This Row],[stock_quantity]]&gt;9,"Ok",IF(BBDD_fashion_boutique[[#This Row],[stock_quantity]]=0,"Agotado","Pocas Unidades"))</f>
        <v>Ok</v>
      </c>
      <c r="S2165" s="3">
        <f>IF(BBDD_fashion_boutique[[#This Row],[customer_rating]]="","No valorado",BBDD_fashion_boutique[[#This Row],[customer_rating]])</f>
        <v>2.6</v>
      </c>
      <c r="T2165" t="s">
        <v>24</v>
      </c>
      <c r="V2165">
        <f>IF(BBDD_fashion_boutique[[#This Row],[is_returned]]="False",0,1)</f>
        <v>0</v>
      </c>
      <c r="W2165">
        <f>IF(BBDD_fashion_boutique[[#This Row],[is_returned]]="True",0,BBDD_fashion_boutique[[#This Row],[current_price]])</f>
        <v>178.56</v>
      </c>
      <c r="X2165" t="str">
        <f>IF(BBDD_fashion_boutique[[#This Row],[return_reason]]="","No return",BBDD_fashion_boutique[[#This Row],[return_reason]])</f>
        <v>No return</v>
      </c>
      <c r="Y2165">
        <f>IF(IFERROR(VLOOKUP(BBDD_fashion_boutique[[#This Row],[product_id]],A2166:A4341,1,FALSE),0),1,0)</f>
        <v>0</v>
      </c>
    </row>
    <row r="2166" spans="1:25" x14ac:dyDescent="0.3">
      <c r="A2166" t="s">
        <v>2225</v>
      </c>
      <c r="B2166" t="s">
        <v>32</v>
      </c>
      <c r="C2166" t="s">
        <v>27</v>
      </c>
      <c r="D2166" t="s">
        <v>68</v>
      </c>
      <c r="F2166" t="str">
        <f>IF(BBDD_fashion_boutique[[#This Row],[category]]="Accessories","Accesorio",IF(BBDD_fashion_boutique[[#This Row],[size]]="","Desconocido",BBDD_fashion_boutique[[#This Row],[size]]))</f>
        <v>Accesorio</v>
      </c>
      <c r="G2166" t="s">
        <v>52</v>
      </c>
      <c r="H2166" s="2">
        <v>30.46</v>
      </c>
      <c r="I2166">
        <v>31.4</v>
      </c>
      <c r="J2166" s="5">
        <f>BBDD_fashion_boutique[[#This Row],[markdown_percentage]]/100</f>
        <v>0.314</v>
      </c>
      <c r="K2166" s="2">
        <v>20.9</v>
      </c>
      <c r="L2166" s="2">
        <f>BBDD_fashion_boutique[[#This Row],[original_price]]-BBDD_fashion_boutique[[#This Row],[current_price]]</f>
        <v>9.5600000000000023</v>
      </c>
      <c r="M2166" s="1">
        <v>45875</v>
      </c>
      <c r="N2166" s="1" t="str">
        <f>PROPER(TEXT(BBDD_fashion_boutique[[#This Row],[purchase_date]],"dddd"))</f>
        <v>Miércoles</v>
      </c>
      <c r="O2166" s="1" t="str">
        <f>PROPER(TEXT(BBDD_fashion_boutique[[#This Row],[purchase_date]],"mmmm"))</f>
        <v>Agosto</v>
      </c>
      <c r="P2166" s="4">
        <v>40</v>
      </c>
      <c r="Q2166" s="2">
        <v>2.4</v>
      </c>
      <c r="R2166" t="str">
        <f>IF(BBDD_fashion_boutique[[#This Row],[stock_quantity]]&gt;9,"Ok",IF(BBDD_fashion_boutique[[#This Row],[stock_quantity]]=0,"Agotado","Pocas Unidades"))</f>
        <v>Ok</v>
      </c>
      <c r="S2166" s="3">
        <f>IF(BBDD_fashion_boutique[[#This Row],[customer_rating]]="","No valorado",BBDD_fashion_boutique[[#This Row],[customer_rating]])</f>
        <v>2.4</v>
      </c>
      <c r="T2166" t="s">
        <v>24</v>
      </c>
      <c r="V2166">
        <f>IF(BBDD_fashion_boutique[[#This Row],[is_returned]]="False",0,1)</f>
        <v>0</v>
      </c>
      <c r="W2166">
        <f>IF(BBDD_fashion_boutique[[#This Row],[is_returned]]="True",0,BBDD_fashion_boutique[[#This Row],[current_price]])</f>
        <v>20.9</v>
      </c>
      <c r="X2166" t="str">
        <f>IF(BBDD_fashion_boutique[[#This Row],[return_reason]]="","No return",BBDD_fashion_boutique[[#This Row],[return_reason]])</f>
        <v>No return</v>
      </c>
      <c r="Y2166">
        <f>IF(IFERROR(VLOOKUP(BBDD_fashion_boutique[[#This Row],[product_id]],A2167:A4342,1,FALSE),0),1,0)</f>
        <v>0</v>
      </c>
    </row>
    <row r="2167" spans="1:25" x14ac:dyDescent="0.3">
      <c r="A2167" t="s">
        <v>2226</v>
      </c>
      <c r="B2167" t="s">
        <v>32</v>
      </c>
      <c r="C2167" t="s">
        <v>37</v>
      </c>
      <c r="D2167" t="s">
        <v>68</v>
      </c>
      <c r="F2167" t="str">
        <f>IF(BBDD_fashion_boutique[[#This Row],[category]]="Accessories","Accesorio",IF(BBDD_fashion_boutique[[#This Row],[size]]="","Desconocido",BBDD_fashion_boutique[[#This Row],[size]]))</f>
        <v>Accesorio</v>
      </c>
      <c r="G2167" t="s">
        <v>33</v>
      </c>
      <c r="H2167" s="2">
        <v>76.08</v>
      </c>
      <c r="I2167">
        <v>0</v>
      </c>
      <c r="J2167" s="5">
        <f>BBDD_fashion_boutique[[#This Row],[markdown_percentage]]/100</f>
        <v>0</v>
      </c>
      <c r="K2167" s="2">
        <v>76.08</v>
      </c>
      <c r="L2167" s="2">
        <f>BBDD_fashion_boutique[[#This Row],[original_price]]-BBDD_fashion_boutique[[#This Row],[current_price]]</f>
        <v>0</v>
      </c>
      <c r="M2167" s="1">
        <v>45875</v>
      </c>
      <c r="N2167" s="1" t="str">
        <f>PROPER(TEXT(BBDD_fashion_boutique[[#This Row],[purchase_date]],"dddd"))</f>
        <v>Miércoles</v>
      </c>
      <c r="O2167" s="1" t="str">
        <f>PROPER(TEXT(BBDD_fashion_boutique[[#This Row],[purchase_date]],"mmmm"))</f>
        <v>Agosto</v>
      </c>
      <c r="P2167" s="4">
        <v>6</v>
      </c>
      <c r="Q2167" s="2">
        <v>4.9000000000000004</v>
      </c>
      <c r="R2167" t="str">
        <f>IF(BBDD_fashion_boutique[[#This Row],[stock_quantity]]&gt;9,"Ok",IF(BBDD_fashion_boutique[[#This Row],[stock_quantity]]=0,"Agotado","Pocas Unidades"))</f>
        <v>Pocas Unidades</v>
      </c>
      <c r="S2167" s="3">
        <f>IF(BBDD_fashion_boutique[[#This Row],[customer_rating]]="","No valorado",BBDD_fashion_boutique[[#This Row],[customer_rating]])</f>
        <v>4.9000000000000004</v>
      </c>
      <c r="T2167" t="s">
        <v>24</v>
      </c>
      <c r="V2167">
        <f>IF(BBDD_fashion_boutique[[#This Row],[is_returned]]="False",0,1)</f>
        <v>0</v>
      </c>
      <c r="W2167">
        <f>IF(BBDD_fashion_boutique[[#This Row],[is_returned]]="True",0,BBDD_fashion_boutique[[#This Row],[current_price]])</f>
        <v>76.08</v>
      </c>
      <c r="X2167" t="str">
        <f>IF(BBDD_fashion_boutique[[#This Row],[return_reason]]="","No return",BBDD_fashion_boutique[[#This Row],[return_reason]])</f>
        <v>No return</v>
      </c>
      <c r="Y2167">
        <f>IF(IFERROR(VLOOKUP(BBDD_fashion_boutique[[#This Row],[product_id]],A2168:A4343,1,FALSE),0),1,0)</f>
        <v>0</v>
      </c>
    </row>
    <row r="2168" spans="1:25" x14ac:dyDescent="0.3">
      <c r="A2168" t="s">
        <v>2227</v>
      </c>
      <c r="B2168" t="s">
        <v>35</v>
      </c>
      <c r="C2168" t="s">
        <v>37</v>
      </c>
      <c r="D2168" t="s">
        <v>28</v>
      </c>
      <c r="E2168" t="s">
        <v>64</v>
      </c>
      <c r="F2168" t="str">
        <f>IF(BBDD_fashion_boutique[[#This Row],[category]]="Accessories","Accesorio",IF(BBDD_fashion_boutique[[#This Row],[size]]="","Desconocido",BBDD_fashion_boutique[[#This Row],[size]]))</f>
        <v>M</v>
      </c>
      <c r="G2168" t="s">
        <v>76</v>
      </c>
      <c r="H2168" s="2">
        <v>116.15</v>
      </c>
      <c r="I2168">
        <v>16.5</v>
      </c>
      <c r="J2168" s="5">
        <f>BBDD_fashion_boutique[[#This Row],[markdown_percentage]]/100</f>
        <v>0.16500000000000001</v>
      </c>
      <c r="K2168" s="2">
        <v>96.99</v>
      </c>
      <c r="L2168" s="2">
        <f>BBDD_fashion_boutique[[#This Row],[original_price]]-BBDD_fashion_boutique[[#This Row],[current_price]]</f>
        <v>19.160000000000011</v>
      </c>
      <c r="M2168" s="1">
        <v>45875</v>
      </c>
      <c r="N2168" s="1" t="str">
        <f>PROPER(TEXT(BBDD_fashion_boutique[[#This Row],[purchase_date]],"dddd"))</f>
        <v>Miércoles</v>
      </c>
      <c r="O2168" s="1" t="str">
        <f>PROPER(TEXT(BBDD_fashion_boutique[[#This Row],[purchase_date]],"mmmm"))</f>
        <v>Agosto</v>
      </c>
      <c r="P2168" s="4">
        <v>11</v>
      </c>
      <c r="Q2168" s="2">
        <v>3</v>
      </c>
      <c r="R2168" t="str">
        <f>IF(BBDD_fashion_boutique[[#This Row],[stock_quantity]]&gt;9,"Ok",IF(BBDD_fashion_boutique[[#This Row],[stock_quantity]]=0,"Agotado","Pocas Unidades"))</f>
        <v>Ok</v>
      </c>
      <c r="S2168" s="3">
        <f>IF(BBDD_fashion_boutique[[#This Row],[customer_rating]]="","No valorado",BBDD_fashion_boutique[[#This Row],[customer_rating]])</f>
        <v>3</v>
      </c>
      <c r="T2168" t="s">
        <v>24</v>
      </c>
      <c r="V2168">
        <f>IF(BBDD_fashion_boutique[[#This Row],[is_returned]]="False",0,1)</f>
        <v>0</v>
      </c>
      <c r="W2168">
        <f>IF(BBDD_fashion_boutique[[#This Row],[is_returned]]="True",0,BBDD_fashion_boutique[[#This Row],[current_price]])</f>
        <v>96.99</v>
      </c>
      <c r="X2168" t="str">
        <f>IF(BBDD_fashion_boutique[[#This Row],[return_reason]]="","No return",BBDD_fashion_boutique[[#This Row],[return_reason]])</f>
        <v>No return</v>
      </c>
      <c r="Y2168">
        <f>IF(IFERROR(VLOOKUP(BBDD_fashion_boutique[[#This Row],[product_id]],A2169:A4344,1,FALSE),0),1,0)</f>
        <v>0</v>
      </c>
    </row>
    <row r="2169" spans="1:25" x14ac:dyDescent="0.3">
      <c r="A2169" t="s">
        <v>2228</v>
      </c>
      <c r="B2169" t="s">
        <v>35</v>
      </c>
      <c r="C2169" t="s">
        <v>54</v>
      </c>
      <c r="D2169" t="s">
        <v>28</v>
      </c>
      <c r="E2169" t="s">
        <v>61</v>
      </c>
      <c r="F2169" t="str">
        <f>IF(BBDD_fashion_boutique[[#This Row],[category]]="Accessories","Accesorio",IF(BBDD_fashion_boutique[[#This Row],[size]]="","Desconocido",BBDD_fashion_boutique[[#This Row],[size]]))</f>
        <v>XS</v>
      </c>
      <c r="G2169" t="s">
        <v>40</v>
      </c>
      <c r="H2169" s="2">
        <v>98.22</v>
      </c>
      <c r="I2169">
        <v>0</v>
      </c>
      <c r="J2169" s="5">
        <f>BBDD_fashion_boutique[[#This Row],[markdown_percentage]]/100</f>
        <v>0</v>
      </c>
      <c r="K2169" s="2">
        <v>98.22</v>
      </c>
      <c r="L2169" s="2">
        <f>BBDD_fashion_boutique[[#This Row],[original_price]]-BBDD_fashion_boutique[[#This Row],[current_price]]</f>
        <v>0</v>
      </c>
      <c r="M2169" s="1">
        <v>45875</v>
      </c>
      <c r="N2169" s="1" t="str">
        <f>PROPER(TEXT(BBDD_fashion_boutique[[#This Row],[purchase_date]],"dddd"))</f>
        <v>Miércoles</v>
      </c>
      <c r="O2169" s="1" t="str">
        <f>PROPER(TEXT(BBDD_fashion_boutique[[#This Row],[purchase_date]],"mmmm"))</f>
        <v>Agosto</v>
      </c>
      <c r="P2169" s="4">
        <v>27</v>
      </c>
      <c r="Q2169" s="2">
        <v>3.3</v>
      </c>
      <c r="R2169" t="str">
        <f>IF(BBDD_fashion_boutique[[#This Row],[stock_quantity]]&gt;9,"Ok",IF(BBDD_fashion_boutique[[#This Row],[stock_quantity]]=0,"Agotado","Pocas Unidades"))</f>
        <v>Ok</v>
      </c>
      <c r="S2169" s="3">
        <f>IF(BBDD_fashion_boutique[[#This Row],[customer_rating]]="","No valorado",BBDD_fashion_boutique[[#This Row],[customer_rating]])</f>
        <v>3.3</v>
      </c>
      <c r="T2169" t="s">
        <v>24</v>
      </c>
      <c r="V2169">
        <f>IF(BBDD_fashion_boutique[[#This Row],[is_returned]]="False",0,1)</f>
        <v>0</v>
      </c>
      <c r="W2169">
        <f>IF(BBDD_fashion_boutique[[#This Row],[is_returned]]="True",0,BBDD_fashion_boutique[[#This Row],[current_price]])</f>
        <v>98.22</v>
      </c>
      <c r="X2169" t="str">
        <f>IF(BBDD_fashion_boutique[[#This Row],[return_reason]]="","No return",BBDD_fashion_boutique[[#This Row],[return_reason]])</f>
        <v>No return</v>
      </c>
      <c r="Y2169">
        <f>IF(IFERROR(VLOOKUP(BBDD_fashion_boutique[[#This Row],[product_id]],A2170:A4345,1,FALSE),0),1,0)</f>
        <v>0</v>
      </c>
    </row>
    <row r="2170" spans="1:25" x14ac:dyDescent="0.3">
      <c r="A2170" t="s">
        <v>2229</v>
      </c>
      <c r="B2170" t="s">
        <v>35</v>
      </c>
      <c r="C2170" t="s">
        <v>59</v>
      </c>
      <c r="D2170" t="s">
        <v>28</v>
      </c>
      <c r="F2170" t="str">
        <f>IF(BBDD_fashion_boutique[[#This Row],[category]]="Accessories","Accesorio",IF(BBDD_fashion_boutique[[#This Row],[size]]="","Desconocido",BBDD_fashion_boutique[[#This Row],[size]]))</f>
        <v>Desconocido</v>
      </c>
      <c r="G2170" t="s">
        <v>62</v>
      </c>
      <c r="H2170" s="2">
        <v>66.58</v>
      </c>
      <c r="I2170">
        <v>0</v>
      </c>
      <c r="J2170" s="5">
        <f>BBDD_fashion_boutique[[#This Row],[markdown_percentage]]/100</f>
        <v>0</v>
      </c>
      <c r="K2170" s="2">
        <v>66.58</v>
      </c>
      <c r="L2170" s="2">
        <f>BBDD_fashion_boutique[[#This Row],[original_price]]-BBDD_fashion_boutique[[#This Row],[current_price]]</f>
        <v>0</v>
      </c>
      <c r="M2170" s="1">
        <v>45875</v>
      </c>
      <c r="N2170" s="1" t="str">
        <f>PROPER(TEXT(BBDD_fashion_boutique[[#This Row],[purchase_date]],"dddd"))</f>
        <v>Miércoles</v>
      </c>
      <c r="O2170" s="1" t="str">
        <f>PROPER(TEXT(BBDD_fashion_boutique[[#This Row],[purchase_date]],"mmmm"))</f>
        <v>Agosto</v>
      </c>
      <c r="P2170" s="4">
        <v>45</v>
      </c>
      <c r="Q2170" s="2">
        <v>3.4</v>
      </c>
      <c r="R2170" t="str">
        <f>IF(BBDD_fashion_boutique[[#This Row],[stock_quantity]]&gt;9,"Ok",IF(BBDD_fashion_boutique[[#This Row],[stock_quantity]]=0,"Agotado","Pocas Unidades"))</f>
        <v>Ok</v>
      </c>
      <c r="S2170" s="3">
        <f>IF(BBDD_fashion_boutique[[#This Row],[customer_rating]]="","No valorado",BBDD_fashion_boutique[[#This Row],[customer_rating]])</f>
        <v>3.4</v>
      </c>
      <c r="T2170" t="s">
        <v>24</v>
      </c>
      <c r="V2170">
        <f>IF(BBDD_fashion_boutique[[#This Row],[is_returned]]="False",0,1)</f>
        <v>0</v>
      </c>
      <c r="W2170">
        <f>IF(BBDD_fashion_boutique[[#This Row],[is_returned]]="True",0,BBDD_fashion_boutique[[#This Row],[current_price]])</f>
        <v>66.58</v>
      </c>
      <c r="X2170" t="str">
        <f>IF(BBDD_fashion_boutique[[#This Row],[return_reason]]="","No return",BBDD_fashion_boutique[[#This Row],[return_reason]])</f>
        <v>No return</v>
      </c>
      <c r="Y2170">
        <f>IF(IFERROR(VLOOKUP(BBDD_fashion_boutique[[#This Row],[product_id]],A2171:A4346,1,FALSE),0),1,0)</f>
        <v>0</v>
      </c>
    </row>
    <row r="2171" spans="1:25" x14ac:dyDescent="0.3">
      <c r="A2171" t="s">
        <v>2230</v>
      </c>
      <c r="B2171" t="s">
        <v>32</v>
      </c>
      <c r="C2171" t="s">
        <v>27</v>
      </c>
      <c r="D2171" t="s">
        <v>21</v>
      </c>
      <c r="F2171" t="str">
        <f>IF(BBDD_fashion_boutique[[#This Row],[category]]="Accessories","Accesorio",IF(BBDD_fashion_boutique[[#This Row],[size]]="","Desconocido",BBDD_fashion_boutique[[#This Row],[size]]))</f>
        <v>Accesorio</v>
      </c>
      <c r="G2171" t="s">
        <v>62</v>
      </c>
      <c r="H2171" s="2">
        <v>69.22</v>
      </c>
      <c r="I2171">
        <v>0</v>
      </c>
      <c r="J2171" s="5">
        <f>BBDD_fashion_boutique[[#This Row],[markdown_percentage]]/100</f>
        <v>0</v>
      </c>
      <c r="K2171" s="2">
        <v>69.22</v>
      </c>
      <c r="L2171" s="2">
        <f>BBDD_fashion_boutique[[#This Row],[original_price]]-BBDD_fashion_boutique[[#This Row],[current_price]]</f>
        <v>0</v>
      </c>
      <c r="M2171" s="1">
        <v>45540</v>
      </c>
      <c r="N2171" s="1" t="str">
        <f>PROPER(TEXT(BBDD_fashion_boutique[[#This Row],[purchase_date]],"dddd"))</f>
        <v>Jueves</v>
      </c>
      <c r="O2171" s="1" t="str">
        <f>PROPER(TEXT(BBDD_fashion_boutique[[#This Row],[purchase_date]],"mmmm"))</f>
        <v>Septiembre</v>
      </c>
      <c r="P2171" s="4">
        <v>42</v>
      </c>
      <c r="Q2171" s="2">
        <v>3.8</v>
      </c>
      <c r="R2171" t="str">
        <f>IF(BBDD_fashion_boutique[[#This Row],[stock_quantity]]&gt;9,"Ok",IF(BBDD_fashion_boutique[[#This Row],[stock_quantity]]=0,"Agotado","Pocas Unidades"))</f>
        <v>Ok</v>
      </c>
      <c r="S2171" s="3">
        <f>IF(BBDD_fashion_boutique[[#This Row],[customer_rating]]="","No valorado",BBDD_fashion_boutique[[#This Row],[customer_rating]])</f>
        <v>3.8</v>
      </c>
      <c r="T2171" t="s">
        <v>24</v>
      </c>
      <c r="V2171">
        <f>IF(BBDD_fashion_boutique[[#This Row],[is_returned]]="False",0,1)</f>
        <v>0</v>
      </c>
      <c r="W2171">
        <f>IF(BBDD_fashion_boutique[[#This Row],[is_returned]]="True",0,BBDD_fashion_boutique[[#This Row],[current_price]])</f>
        <v>69.22</v>
      </c>
      <c r="X2171" t="str">
        <f>IF(BBDD_fashion_boutique[[#This Row],[return_reason]]="","No return",BBDD_fashion_boutique[[#This Row],[return_reason]])</f>
        <v>No return</v>
      </c>
      <c r="Y2171">
        <f>IF(IFERROR(VLOOKUP(BBDD_fashion_boutique[[#This Row],[product_id]],A2172:A4347,1,FALSE),0),1,0)</f>
        <v>0</v>
      </c>
    </row>
    <row r="2172" spans="1:25" x14ac:dyDescent="0.3">
      <c r="A2172" t="s">
        <v>2231</v>
      </c>
      <c r="B2172" t="s">
        <v>26</v>
      </c>
      <c r="C2172" t="s">
        <v>27</v>
      </c>
      <c r="D2172" t="s">
        <v>28</v>
      </c>
      <c r="E2172" t="s">
        <v>22</v>
      </c>
      <c r="F2172" t="str">
        <f>IF(BBDD_fashion_boutique[[#This Row],[category]]="Accessories","Accesorio",IF(BBDD_fashion_boutique[[#This Row],[size]]="","Desconocido",BBDD_fashion_boutique[[#This Row],[size]]))</f>
        <v>XL</v>
      </c>
      <c r="G2172" t="s">
        <v>33</v>
      </c>
      <c r="H2172" s="2">
        <v>85.01</v>
      </c>
      <c r="I2172">
        <v>0</v>
      </c>
      <c r="J2172" s="5">
        <f>BBDD_fashion_boutique[[#This Row],[markdown_percentage]]/100</f>
        <v>0</v>
      </c>
      <c r="K2172" s="2">
        <v>85.01</v>
      </c>
      <c r="L2172" s="2">
        <f>BBDD_fashion_boutique[[#This Row],[original_price]]-BBDD_fashion_boutique[[#This Row],[current_price]]</f>
        <v>0</v>
      </c>
      <c r="M2172" s="1">
        <v>45875</v>
      </c>
      <c r="N2172" s="1" t="str">
        <f>PROPER(TEXT(BBDD_fashion_boutique[[#This Row],[purchase_date]],"dddd"))</f>
        <v>Miércoles</v>
      </c>
      <c r="O2172" s="1" t="str">
        <f>PROPER(TEXT(BBDD_fashion_boutique[[#This Row],[purchase_date]],"mmmm"))</f>
        <v>Agosto</v>
      </c>
      <c r="P2172" s="4">
        <v>39</v>
      </c>
      <c r="Q2172" s="2">
        <v>4.3</v>
      </c>
      <c r="R2172" t="str">
        <f>IF(BBDD_fashion_boutique[[#This Row],[stock_quantity]]&gt;9,"Ok",IF(BBDD_fashion_boutique[[#This Row],[stock_quantity]]=0,"Agotado","Pocas Unidades"))</f>
        <v>Ok</v>
      </c>
      <c r="S2172" s="3">
        <f>IF(BBDD_fashion_boutique[[#This Row],[customer_rating]]="","No valorado",BBDD_fashion_boutique[[#This Row],[customer_rating]])</f>
        <v>4.3</v>
      </c>
      <c r="T2172" t="s">
        <v>24</v>
      </c>
      <c r="V2172">
        <f>IF(BBDD_fashion_boutique[[#This Row],[is_returned]]="False",0,1)</f>
        <v>0</v>
      </c>
      <c r="W2172">
        <f>IF(BBDD_fashion_boutique[[#This Row],[is_returned]]="True",0,BBDD_fashion_boutique[[#This Row],[current_price]])</f>
        <v>85.01</v>
      </c>
      <c r="X2172" t="str">
        <f>IF(BBDD_fashion_boutique[[#This Row],[return_reason]]="","No return",BBDD_fashion_boutique[[#This Row],[return_reason]])</f>
        <v>No return</v>
      </c>
      <c r="Y2172">
        <f>IF(IFERROR(VLOOKUP(BBDD_fashion_boutique[[#This Row],[product_id]],A2173:A4348,1,FALSE),0),1,0)</f>
        <v>0</v>
      </c>
    </row>
    <row r="2173" spans="1:25" x14ac:dyDescent="0.3">
      <c r="A2173" t="s">
        <v>2232</v>
      </c>
      <c r="B2173" t="s">
        <v>26</v>
      </c>
      <c r="C2173" t="s">
        <v>49</v>
      </c>
      <c r="D2173" t="s">
        <v>68</v>
      </c>
      <c r="E2173" t="s">
        <v>22</v>
      </c>
      <c r="F2173" t="str">
        <f>IF(BBDD_fashion_boutique[[#This Row],[category]]="Accessories","Accesorio",IF(BBDD_fashion_boutique[[#This Row],[size]]="","Desconocido",BBDD_fashion_boutique[[#This Row],[size]]))</f>
        <v>XL</v>
      </c>
      <c r="G2173" t="s">
        <v>33</v>
      </c>
      <c r="H2173" s="2">
        <v>31.41</v>
      </c>
      <c r="I2173">
        <v>0</v>
      </c>
      <c r="J2173" s="5">
        <f>BBDD_fashion_boutique[[#This Row],[markdown_percentage]]/100</f>
        <v>0</v>
      </c>
      <c r="K2173" s="2">
        <v>31.41</v>
      </c>
      <c r="L2173" s="2">
        <f>BBDD_fashion_boutique[[#This Row],[original_price]]-BBDD_fashion_boutique[[#This Row],[current_price]]</f>
        <v>0</v>
      </c>
      <c r="M2173" s="1">
        <v>45875</v>
      </c>
      <c r="N2173" s="1" t="str">
        <f>PROPER(TEXT(BBDD_fashion_boutique[[#This Row],[purchase_date]],"dddd"))</f>
        <v>Miércoles</v>
      </c>
      <c r="O2173" s="1" t="str">
        <f>PROPER(TEXT(BBDD_fashion_boutique[[#This Row],[purchase_date]],"mmmm"))</f>
        <v>Agosto</v>
      </c>
      <c r="P2173" s="4">
        <v>10</v>
      </c>
      <c r="Q2173" s="2">
        <v>2.1</v>
      </c>
      <c r="R2173" t="str">
        <f>IF(BBDD_fashion_boutique[[#This Row],[stock_quantity]]&gt;9,"Ok",IF(BBDD_fashion_boutique[[#This Row],[stock_quantity]]=0,"Agotado","Pocas Unidades"))</f>
        <v>Ok</v>
      </c>
      <c r="S2173" s="3">
        <f>IF(BBDD_fashion_boutique[[#This Row],[customer_rating]]="","No valorado",BBDD_fashion_boutique[[#This Row],[customer_rating]])</f>
        <v>2.1</v>
      </c>
      <c r="T2173" t="s">
        <v>24</v>
      </c>
      <c r="V2173">
        <f>IF(BBDD_fashion_boutique[[#This Row],[is_returned]]="False",0,1)</f>
        <v>0</v>
      </c>
      <c r="W2173">
        <f>IF(BBDD_fashion_boutique[[#This Row],[is_returned]]="True",0,BBDD_fashion_boutique[[#This Row],[current_price]])</f>
        <v>31.41</v>
      </c>
      <c r="X2173" t="str">
        <f>IF(BBDD_fashion_boutique[[#This Row],[return_reason]]="","No return",BBDD_fashion_boutique[[#This Row],[return_reason]])</f>
        <v>No return</v>
      </c>
      <c r="Y2173">
        <f>IF(IFERROR(VLOOKUP(BBDD_fashion_boutique[[#This Row],[product_id]],A2174:A4349,1,FALSE),0),1,0)</f>
        <v>0</v>
      </c>
    </row>
    <row r="2174" spans="1:25" x14ac:dyDescent="0.3">
      <c r="A2174" t="s">
        <v>2233</v>
      </c>
      <c r="B2174" t="s">
        <v>48</v>
      </c>
      <c r="C2174" t="s">
        <v>37</v>
      </c>
      <c r="D2174" t="s">
        <v>28</v>
      </c>
      <c r="E2174" t="s">
        <v>29</v>
      </c>
      <c r="F2174" t="str">
        <f>IF(BBDD_fashion_boutique[[#This Row],[category]]="Accessories","Accesorio",IF(BBDD_fashion_boutique[[#This Row],[size]]="","Desconocido",BBDD_fashion_boutique[[#This Row],[size]]))</f>
        <v>L</v>
      </c>
      <c r="G2174" t="s">
        <v>76</v>
      </c>
      <c r="H2174" s="2">
        <v>50.58</v>
      </c>
      <c r="I2174">
        <v>0</v>
      </c>
      <c r="J2174" s="5">
        <f>BBDD_fashion_boutique[[#This Row],[markdown_percentage]]/100</f>
        <v>0</v>
      </c>
      <c r="K2174" s="2">
        <v>50.58</v>
      </c>
      <c r="L2174" s="2">
        <f>BBDD_fashion_boutique[[#This Row],[original_price]]-BBDD_fashion_boutique[[#This Row],[current_price]]</f>
        <v>0</v>
      </c>
      <c r="M2174" s="1">
        <v>45875</v>
      </c>
      <c r="N2174" s="1" t="str">
        <f>PROPER(TEXT(BBDD_fashion_boutique[[#This Row],[purchase_date]],"dddd"))</f>
        <v>Miércoles</v>
      </c>
      <c r="O2174" s="1" t="str">
        <f>PROPER(TEXT(BBDD_fashion_boutique[[#This Row],[purchase_date]],"mmmm"))</f>
        <v>Agosto</v>
      </c>
      <c r="P2174" s="4">
        <v>1</v>
      </c>
      <c r="Q2174" s="2">
        <v>3.1</v>
      </c>
      <c r="R2174" t="str">
        <f>IF(BBDD_fashion_boutique[[#This Row],[stock_quantity]]&gt;9,"Ok",IF(BBDD_fashion_boutique[[#This Row],[stock_quantity]]=0,"Agotado","Pocas Unidades"))</f>
        <v>Pocas Unidades</v>
      </c>
      <c r="S2174" s="3">
        <f>IF(BBDD_fashion_boutique[[#This Row],[customer_rating]]="","No valorado",BBDD_fashion_boutique[[#This Row],[customer_rating]])</f>
        <v>3.1</v>
      </c>
      <c r="T2174" t="s">
        <v>41</v>
      </c>
      <c r="U2174" t="s">
        <v>121</v>
      </c>
      <c r="V2174">
        <f>IF(BBDD_fashion_boutique[[#This Row],[is_returned]]="False",0,1)</f>
        <v>1</v>
      </c>
      <c r="W2174">
        <f>IF(BBDD_fashion_boutique[[#This Row],[is_returned]]="True",0,BBDD_fashion_boutique[[#This Row],[current_price]])</f>
        <v>0</v>
      </c>
      <c r="X2174" t="str">
        <f>IF(BBDD_fashion_boutique[[#This Row],[return_reason]]="","No return",BBDD_fashion_boutique[[#This Row],[return_reason]])</f>
        <v>Changed Mind</v>
      </c>
      <c r="Y2174">
        <f>IF(IFERROR(VLOOKUP(BBDD_fashion_boutique[[#This Row],[product_id]],A2175:A4350,1,FALSE),0),1,0)</f>
        <v>0</v>
      </c>
    </row>
    <row r="2175" spans="1:25" x14ac:dyDescent="0.3">
      <c r="A2175" t="s">
        <v>2234</v>
      </c>
      <c r="B2175" t="s">
        <v>32</v>
      </c>
      <c r="C2175" t="s">
        <v>37</v>
      </c>
      <c r="D2175" t="s">
        <v>28</v>
      </c>
      <c r="F2175" t="str">
        <f>IF(BBDD_fashion_boutique[[#This Row],[category]]="Accessories","Accesorio",IF(BBDD_fashion_boutique[[#This Row],[size]]="","Desconocido",BBDD_fashion_boutique[[#This Row],[size]]))</f>
        <v>Accesorio</v>
      </c>
      <c r="G2175" t="s">
        <v>62</v>
      </c>
      <c r="H2175" s="2">
        <v>79.37</v>
      </c>
      <c r="I2175">
        <v>54.8</v>
      </c>
      <c r="J2175" s="5">
        <f>BBDD_fashion_boutique[[#This Row],[markdown_percentage]]/100</f>
        <v>0.54799999999999993</v>
      </c>
      <c r="K2175" s="2">
        <v>35.880000000000003</v>
      </c>
      <c r="L2175" s="2">
        <f>BBDD_fashion_boutique[[#This Row],[original_price]]-BBDD_fashion_boutique[[#This Row],[current_price]]</f>
        <v>43.49</v>
      </c>
      <c r="M2175" s="1">
        <v>45875</v>
      </c>
      <c r="N2175" s="1" t="str">
        <f>PROPER(TEXT(BBDD_fashion_boutique[[#This Row],[purchase_date]],"dddd"))</f>
        <v>Miércoles</v>
      </c>
      <c r="O2175" s="1" t="str">
        <f>PROPER(TEXT(BBDD_fashion_boutique[[#This Row],[purchase_date]],"mmmm"))</f>
        <v>Agosto</v>
      </c>
      <c r="P2175" s="4">
        <v>40</v>
      </c>
      <c r="Q2175" s="2">
        <v>2.6</v>
      </c>
      <c r="R2175" t="str">
        <f>IF(BBDD_fashion_boutique[[#This Row],[stock_quantity]]&gt;9,"Ok",IF(BBDD_fashion_boutique[[#This Row],[stock_quantity]]=0,"Agotado","Pocas Unidades"))</f>
        <v>Ok</v>
      </c>
      <c r="S2175" s="3">
        <f>IF(BBDD_fashion_boutique[[#This Row],[customer_rating]]="","No valorado",BBDD_fashion_boutique[[#This Row],[customer_rating]])</f>
        <v>2.6</v>
      </c>
      <c r="T2175" t="s">
        <v>24</v>
      </c>
      <c r="V2175">
        <f>IF(BBDD_fashion_boutique[[#This Row],[is_returned]]="False",0,1)</f>
        <v>0</v>
      </c>
      <c r="W2175">
        <f>IF(BBDD_fashion_boutique[[#This Row],[is_returned]]="True",0,BBDD_fashion_boutique[[#This Row],[current_price]])</f>
        <v>35.880000000000003</v>
      </c>
      <c r="X2175" t="str">
        <f>IF(BBDD_fashion_boutique[[#This Row],[return_reason]]="","No return",BBDD_fashion_boutique[[#This Row],[return_reason]])</f>
        <v>No return</v>
      </c>
      <c r="Y2175">
        <f>IF(IFERROR(VLOOKUP(BBDD_fashion_boutique[[#This Row],[product_id]],A2176:A4351,1,FALSE),0),1,0)</f>
        <v>0</v>
      </c>
    </row>
    <row r="2176" spans="1:25" x14ac:dyDescent="0.3">
      <c r="A2176" t="s">
        <v>2235</v>
      </c>
      <c r="B2176" t="s">
        <v>44</v>
      </c>
      <c r="C2176" t="s">
        <v>59</v>
      </c>
      <c r="D2176" t="s">
        <v>68</v>
      </c>
      <c r="E2176" t="s">
        <v>22</v>
      </c>
      <c r="F2176" t="str">
        <f>IF(BBDD_fashion_boutique[[#This Row],[category]]="Accessories","Accesorio",IF(BBDD_fashion_boutique[[#This Row],[size]]="","Desconocido",BBDD_fashion_boutique[[#This Row],[size]]))</f>
        <v>XL</v>
      </c>
      <c r="G2176" t="s">
        <v>30</v>
      </c>
      <c r="H2176" s="2">
        <v>105.52</v>
      </c>
      <c r="I2176">
        <v>0</v>
      </c>
      <c r="J2176" s="5">
        <f>BBDD_fashion_boutique[[#This Row],[markdown_percentage]]/100</f>
        <v>0</v>
      </c>
      <c r="K2176" s="2">
        <v>105.52</v>
      </c>
      <c r="L2176" s="2">
        <f>BBDD_fashion_boutique[[#This Row],[original_price]]-BBDD_fashion_boutique[[#This Row],[current_price]]</f>
        <v>0</v>
      </c>
      <c r="M2176" s="1">
        <v>45875</v>
      </c>
      <c r="N2176" s="1" t="str">
        <f>PROPER(TEXT(BBDD_fashion_boutique[[#This Row],[purchase_date]],"dddd"))</f>
        <v>Miércoles</v>
      </c>
      <c r="O2176" s="1" t="str">
        <f>PROPER(TEXT(BBDD_fashion_boutique[[#This Row],[purchase_date]],"mmmm"))</f>
        <v>Agosto</v>
      </c>
      <c r="P2176" s="4">
        <v>20</v>
      </c>
      <c r="Q2176" s="2">
        <v>4.9000000000000004</v>
      </c>
      <c r="R2176" t="str">
        <f>IF(BBDD_fashion_boutique[[#This Row],[stock_quantity]]&gt;9,"Ok",IF(BBDD_fashion_boutique[[#This Row],[stock_quantity]]=0,"Agotado","Pocas Unidades"))</f>
        <v>Ok</v>
      </c>
      <c r="S2176" s="3">
        <f>IF(BBDD_fashion_boutique[[#This Row],[customer_rating]]="","No valorado",BBDD_fashion_boutique[[#This Row],[customer_rating]])</f>
        <v>4.9000000000000004</v>
      </c>
      <c r="T2176" t="s">
        <v>41</v>
      </c>
      <c r="U2176" t="s">
        <v>79</v>
      </c>
      <c r="V2176">
        <f>IF(BBDD_fashion_boutique[[#This Row],[is_returned]]="False",0,1)</f>
        <v>1</v>
      </c>
      <c r="W2176">
        <f>IF(BBDD_fashion_boutique[[#This Row],[is_returned]]="True",0,BBDD_fashion_boutique[[#This Row],[current_price]])</f>
        <v>0</v>
      </c>
      <c r="X2176" t="str">
        <f>IF(BBDD_fashion_boutique[[#This Row],[return_reason]]="","No return",BBDD_fashion_boutique[[#This Row],[return_reason]])</f>
        <v>Size Issue</v>
      </c>
      <c r="Y2176">
        <f>IF(IFERROR(VLOOKUP(BBDD_fashion_boutique[[#This Row],[product_id]],A2177:A4352,1,FALSE),0),1,0)</f>
        <v>0</v>
      </c>
    </row>
    <row r="2177" spans="1:25" x14ac:dyDescent="0.3">
      <c r="A2177" t="s">
        <v>2236</v>
      </c>
      <c r="B2177" t="s">
        <v>35</v>
      </c>
      <c r="C2177" t="s">
        <v>59</v>
      </c>
      <c r="D2177" t="s">
        <v>68</v>
      </c>
      <c r="E2177" t="s">
        <v>55</v>
      </c>
      <c r="F2177" t="str">
        <f>IF(BBDD_fashion_boutique[[#This Row],[category]]="Accessories","Accesorio",IF(BBDD_fashion_boutique[[#This Row],[size]]="","Desconocido",BBDD_fashion_boutique[[#This Row],[size]]))</f>
        <v>XXL</v>
      </c>
      <c r="G2177" t="s">
        <v>40</v>
      </c>
      <c r="H2177" s="2">
        <v>154.02000000000001</v>
      </c>
      <c r="I2177">
        <v>0</v>
      </c>
      <c r="J2177" s="5">
        <f>BBDD_fashion_boutique[[#This Row],[markdown_percentage]]/100</f>
        <v>0</v>
      </c>
      <c r="K2177" s="2">
        <v>154.02000000000001</v>
      </c>
      <c r="L2177" s="2">
        <f>BBDD_fashion_boutique[[#This Row],[original_price]]-BBDD_fashion_boutique[[#This Row],[current_price]]</f>
        <v>0</v>
      </c>
      <c r="M2177" s="1">
        <v>45875</v>
      </c>
      <c r="N2177" s="1" t="str">
        <f>PROPER(TEXT(BBDD_fashion_boutique[[#This Row],[purchase_date]],"dddd"))</f>
        <v>Miércoles</v>
      </c>
      <c r="O2177" s="1" t="str">
        <f>PROPER(TEXT(BBDD_fashion_boutique[[#This Row],[purchase_date]],"mmmm"))</f>
        <v>Agosto</v>
      </c>
      <c r="P2177" s="4">
        <v>23</v>
      </c>
      <c r="Q2177" s="2">
        <v>1.3</v>
      </c>
      <c r="R2177" t="str">
        <f>IF(BBDD_fashion_boutique[[#This Row],[stock_quantity]]&gt;9,"Ok",IF(BBDD_fashion_boutique[[#This Row],[stock_quantity]]=0,"Agotado","Pocas Unidades"))</f>
        <v>Ok</v>
      </c>
      <c r="S2177" s="3">
        <f>IF(BBDD_fashion_boutique[[#This Row],[customer_rating]]="","No valorado",BBDD_fashion_boutique[[#This Row],[customer_rating]])</f>
        <v>1.3</v>
      </c>
      <c r="T2177" t="s">
        <v>24</v>
      </c>
      <c r="V2177">
        <f>IF(BBDD_fashion_boutique[[#This Row],[is_returned]]="False",0,1)</f>
        <v>0</v>
      </c>
      <c r="W2177">
        <f>IF(BBDD_fashion_boutique[[#This Row],[is_returned]]="True",0,BBDD_fashion_boutique[[#This Row],[current_price]])</f>
        <v>154.02000000000001</v>
      </c>
      <c r="X2177" t="str">
        <f>IF(BBDD_fashion_boutique[[#This Row],[return_reason]]="","No return",BBDD_fashion_boutique[[#This Row],[return_reason]])</f>
        <v>No return</v>
      </c>
      <c r="Y2177">
        <f>IF(IFERROR(VLOOKUP(BBDD_fashion_boutique[[#This Row],[product_id]],A2178:A4353,1,FALSE),0),1,0)</f>
        <v>0</v>
      </c>
    </row>
  </sheetData>
  <phoneticPr fontId="18" type="noConversion"/>
  <conditionalFormatting sqref="P1:P1048576">
    <cfRule type="cellIs" dxfId="73" priority="1" operator="equal">
      <formula>0</formula>
    </cfRule>
    <cfRule type="cellIs" dxfId="72" priority="2" operator="lessThan">
      <formula>10</formula>
    </cfRule>
  </conditionalFormatting>
  <conditionalFormatting sqref="P2:P2177">
    <cfRule type="cellIs" dxfId="71" priority="7" operator="lessThan">
      <formula>10</formula>
    </cfRule>
    <cfRule type="cellIs" dxfId="70" priority="8" operator="equal">
      <formula>10</formula>
    </cfRule>
    <cfRule type="cellIs" dxfId="69" priority="9" operator="greaterThan">
      <formula>10</formula>
    </cfRule>
  </conditionalFormatting>
  <conditionalFormatting sqref="R1:R1048576">
    <cfRule type="containsText" dxfId="68" priority="3" operator="containsText" text="Agotado">
      <formula>NOT(ISERROR(SEARCH("Agotado",R1)))</formula>
    </cfRule>
    <cfRule type="containsText" dxfId="67" priority="4" operator="containsText" text="Pocas Unidades">
      <formula>NOT(ISERROR(SEARCH("Pocas Unidades",R1)))</formula>
    </cfRule>
    <cfRule type="containsText" dxfId="66" priority="5" operator="containsText" text="Ok">
      <formula>NOT(ISERROR(SEARCH("Ok",R1)))</formula>
    </cfRule>
  </conditionalFormatting>
  <conditionalFormatting sqref="R2">
    <cfRule type="containsText" dxfId="65" priority="6" operator="containsText" text="Ok">
      <formula>NOT(ISERROR(SEARCH("Ok",R2)))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5EA93-407D-4B00-9020-EEB7D87732A5}">
  <sheetPr codeName="Hoja2"/>
  <dimension ref="B9:Z13"/>
  <sheetViews>
    <sheetView zoomScale="75" zoomScaleNormal="75" workbookViewId="0">
      <selection activeCell="L14" sqref="L14"/>
    </sheetView>
  </sheetViews>
  <sheetFormatPr baseColWidth="10" defaultRowHeight="14.4" x14ac:dyDescent="0.3"/>
  <sheetData>
    <row r="9" spans="2:26" x14ac:dyDescent="0.3">
      <c r="B9" t="s">
        <v>2237</v>
      </c>
      <c r="C9" t="s">
        <v>17</v>
      </c>
    </row>
    <row r="10" spans="2:26" x14ac:dyDescent="0.3">
      <c r="B10">
        <f>COUNTA(BBDD_fashion_boutique[product_id])</f>
        <v>2176</v>
      </c>
      <c r="C10">
        <f>SUM(BBDD_fashion_boutique[Duplicados])</f>
        <v>0</v>
      </c>
    </row>
    <row r="12" spans="2:26" x14ac:dyDescent="0.3">
      <c r="B12" t="str" cm="1">
        <f t="array" ref="B12:Z12">BBDD_fashion_boutique[#Headers]</f>
        <v>product_id</v>
      </c>
      <c r="C12" t="str">
        <v>category</v>
      </c>
      <c r="D12" t="str">
        <v>brand</v>
      </c>
      <c r="E12" t="str">
        <v>season</v>
      </c>
      <c r="F12" t="str">
        <v>size</v>
      </c>
      <c r="G12" t="str">
        <v>Size_Accesorio</v>
      </c>
      <c r="H12" t="str">
        <v>color</v>
      </c>
      <c r="I12" t="str">
        <v>original_price</v>
      </c>
      <c r="J12" t="str">
        <v>markdown_percentage</v>
      </c>
      <c r="K12" t="str">
        <v>Porcentaje_Descuento</v>
      </c>
      <c r="L12" t="str">
        <v>current_price</v>
      </c>
      <c r="M12" t="str">
        <v>Cantidad_Descuento</v>
      </c>
      <c r="N12" t="str">
        <v>purchase_date</v>
      </c>
      <c r="O12" t="str">
        <v>Día_Compra</v>
      </c>
      <c r="P12" t="str">
        <v>Mes_Compra</v>
      </c>
      <c r="Q12" t="str">
        <v>stock_quantity</v>
      </c>
      <c r="R12" t="str">
        <v>customer_rating</v>
      </c>
      <c r="S12" t="str">
        <v>Estado_Stock</v>
      </c>
      <c r="T12" t="str">
        <v>Customer_rating2</v>
      </c>
      <c r="U12" t="str">
        <v>is_returned</v>
      </c>
      <c r="V12" t="str">
        <v>return_reason</v>
      </c>
      <c r="W12" t="str">
        <v>Devuelto_Número</v>
      </c>
      <c r="X12" t="str">
        <v>Ingreso_Marca</v>
      </c>
      <c r="Y12" t="str">
        <v>Return_Reason2</v>
      </c>
      <c r="Z12" t="str">
        <v>Duplicados</v>
      </c>
    </row>
    <row r="13" spans="2:26" x14ac:dyDescent="0.3">
      <c r="B13">
        <f>COUNTBLANK(BBDD_fashion_boutique[product_id])</f>
        <v>0</v>
      </c>
      <c r="C13">
        <f>COUNTBLANK(BBDD_fashion_boutique[category])</f>
        <v>0</v>
      </c>
      <c r="D13">
        <f>COUNTBLANK(BBDD_fashion_boutique[brand])</f>
        <v>0</v>
      </c>
      <c r="E13">
        <f>COUNTBLANK(BBDD_fashion_boutique[season])</f>
        <v>0</v>
      </c>
      <c r="F13">
        <f>COUNTBLANK(BBDD_fashion_boutique[size])</f>
        <v>491</v>
      </c>
      <c r="G13">
        <f>COUNTBLANK(BBDD_fashion_boutique[Size_Accesorio])</f>
        <v>0</v>
      </c>
      <c r="H13">
        <f>COUNTBLANK(BBDD_fashion_boutique[color])</f>
        <v>0</v>
      </c>
      <c r="I13">
        <f>COUNTBLANK(BBDD_fashion_boutique[original_price])</f>
        <v>0</v>
      </c>
      <c r="J13">
        <f>COUNTBLANK(BBDD_fashion_boutique[markdown_percentage])</f>
        <v>0</v>
      </c>
      <c r="K13">
        <f>COUNTBLANK(BBDD_fashion_boutique[Porcentaje_Descuento])</f>
        <v>0</v>
      </c>
      <c r="L13">
        <f>COUNTBLANK(BBDD_fashion_boutique[current_price])</f>
        <v>0</v>
      </c>
      <c r="M13">
        <f>COUNTBLANK(BBDD_fashion_boutique[Cantidad_Descuento])</f>
        <v>0</v>
      </c>
      <c r="N13">
        <f>COUNTBLANK(BBDD_fashion_boutique[purchase_date])</f>
        <v>0</v>
      </c>
      <c r="O13">
        <f>COUNTBLANK(BBDD_fashion_boutique[Día_Compra])</f>
        <v>0</v>
      </c>
      <c r="P13">
        <f>COUNTBLANK(BBDD_fashion_boutique[Mes_Compra])</f>
        <v>0</v>
      </c>
      <c r="Q13">
        <f>COUNTBLANK(BBDD_fashion_boutique[stock_quantity])</f>
        <v>0</v>
      </c>
      <c r="R13">
        <f>COUNTBLANK(BBDD_fashion_boutique[customer_rating])</f>
        <v>362</v>
      </c>
      <c r="S13">
        <f>COUNTBLANK(BBDD_fashion_boutique[Estado_Stock])</f>
        <v>0</v>
      </c>
      <c r="T13">
        <f>COUNTBLANK(BBDD_fashion_boutique[Customer_rating2])</f>
        <v>0</v>
      </c>
      <c r="U13">
        <f>COUNTBLANK(BBDD_fashion_boutique[is_returned])</f>
        <v>0</v>
      </c>
      <c r="V13">
        <f>COUNTBLANK(BBDD_fashion_boutique[return_reason])</f>
        <v>1856</v>
      </c>
      <c r="W13">
        <f>COUNTBLANK(BBDD_fashion_boutique[Devuelto_Número])</f>
        <v>0</v>
      </c>
      <c r="X13">
        <f>COUNTBLANK(BBDD_fashion_boutique[Ingreso_Marca])</f>
        <v>0</v>
      </c>
      <c r="Y13">
        <f>COUNTBLANK(BBDD_fashion_boutique[Return_Reason2])</f>
        <v>0</v>
      </c>
      <c r="Z13">
        <f>COUNTBLANK(BBDD_fashion_boutique[Duplicados])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A8579-2B7D-43DE-B6FC-B65BD7AB3FF7}">
  <sheetPr codeName="Hoja3"/>
  <dimension ref="B2:K176"/>
  <sheetViews>
    <sheetView zoomScale="40" zoomScaleNormal="91" workbookViewId="0">
      <selection activeCell="C8" sqref="C8"/>
    </sheetView>
  </sheetViews>
  <sheetFormatPr baseColWidth="10" defaultRowHeight="14.4" x14ac:dyDescent="0.3"/>
  <cols>
    <col min="2" max="2" width="17.21875" bestFit="1" customWidth="1"/>
    <col min="3" max="3" width="27.109375" bestFit="1" customWidth="1"/>
    <col min="4" max="4" width="21.6640625" bestFit="1" customWidth="1"/>
    <col min="5" max="5" width="16.5546875" bestFit="1" customWidth="1"/>
    <col min="6" max="6" width="17.21875" bestFit="1" customWidth="1"/>
    <col min="7" max="7" width="28.44140625" bestFit="1" customWidth="1"/>
    <col min="8" max="8" width="17.88671875" bestFit="1" customWidth="1"/>
    <col min="9" max="9" width="16.5546875" bestFit="1" customWidth="1"/>
    <col min="10" max="10" width="17.21875" bestFit="1" customWidth="1"/>
    <col min="11" max="11" width="28.44140625" bestFit="1" customWidth="1"/>
    <col min="12" max="12" width="23.77734375" bestFit="1" customWidth="1"/>
    <col min="25" max="26" width="28" bestFit="1" customWidth="1"/>
    <col min="28" max="28" width="24.77734375" bestFit="1" customWidth="1"/>
  </cols>
  <sheetData>
    <row r="2" spans="2:10" x14ac:dyDescent="0.3">
      <c r="B2" t="s">
        <v>2247</v>
      </c>
      <c r="F2" t="s">
        <v>2268</v>
      </c>
      <c r="H2" t="s">
        <v>2275</v>
      </c>
      <c r="J2" t="s">
        <v>2276</v>
      </c>
    </row>
    <row r="3" spans="2:10" x14ac:dyDescent="0.3">
      <c r="B3">
        <v>2176</v>
      </c>
      <c r="F3">
        <v>159502.63000000003</v>
      </c>
      <c r="H3" s="8">
        <v>0.14705882352941177</v>
      </c>
      <c r="J3" s="2">
        <v>73.300840992647068</v>
      </c>
    </row>
    <row r="4" spans="2:10" x14ac:dyDescent="0.3">
      <c r="B4">
        <f>GETPIVOTDATA("product_id",$B$2)</f>
        <v>2176</v>
      </c>
      <c r="F4" s="12">
        <f>GETPIVOTDATA("Ingreso_Marca",$F$2)</f>
        <v>159502.63000000003</v>
      </c>
      <c r="H4" s="10">
        <f>GETPIVOTDATA("Devuelto_Número",$H$2)</f>
        <v>0.14705882352941177</v>
      </c>
      <c r="J4" s="12">
        <f>GETPIVOTDATA("Ingreso_Marca",$J$2)</f>
        <v>73.300840992647068</v>
      </c>
    </row>
    <row r="6" spans="2:10" x14ac:dyDescent="0.3">
      <c r="B6" s="6" t="s">
        <v>2245</v>
      </c>
      <c r="C6" t="s">
        <v>2247</v>
      </c>
      <c r="F6" s="6" t="s">
        <v>2245</v>
      </c>
      <c r="G6" t="s">
        <v>2268</v>
      </c>
    </row>
    <row r="7" spans="2:10" x14ac:dyDescent="0.3">
      <c r="B7" s="7" t="s">
        <v>59</v>
      </c>
      <c r="C7">
        <v>257</v>
      </c>
      <c r="F7" s="7" t="s">
        <v>59</v>
      </c>
      <c r="G7">
        <v>17391.88</v>
      </c>
    </row>
    <row r="8" spans="2:10" x14ac:dyDescent="0.3">
      <c r="B8" s="7" t="s">
        <v>37</v>
      </c>
      <c r="C8">
        <v>285</v>
      </c>
      <c r="F8" s="7" t="s">
        <v>37</v>
      </c>
      <c r="G8">
        <v>21376.660000000014</v>
      </c>
    </row>
    <row r="9" spans="2:10" x14ac:dyDescent="0.3">
      <c r="B9" s="7" t="s">
        <v>81</v>
      </c>
      <c r="C9">
        <v>250</v>
      </c>
      <c r="F9" s="7" t="s">
        <v>81</v>
      </c>
      <c r="G9">
        <v>18061.239999999987</v>
      </c>
    </row>
    <row r="10" spans="2:10" x14ac:dyDescent="0.3">
      <c r="B10" s="7" t="s">
        <v>67</v>
      </c>
      <c r="C10">
        <v>244</v>
      </c>
      <c r="F10" s="7" t="s">
        <v>67</v>
      </c>
      <c r="G10">
        <v>15802.240000000002</v>
      </c>
    </row>
    <row r="11" spans="2:10" x14ac:dyDescent="0.3">
      <c r="B11" s="7" t="s">
        <v>54</v>
      </c>
      <c r="C11">
        <v>283</v>
      </c>
      <c r="F11" s="7" t="s">
        <v>54</v>
      </c>
      <c r="G11">
        <v>20882.020000000008</v>
      </c>
    </row>
    <row r="12" spans="2:10" x14ac:dyDescent="0.3">
      <c r="B12" s="7" t="s">
        <v>49</v>
      </c>
      <c r="C12">
        <v>284</v>
      </c>
      <c r="F12" s="7" t="s">
        <v>49</v>
      </c>
      <c r="G12">
        <v>22281.430000000011</v>
      </c>
    </row>
    <row r="13" spans="2:10" x14ac:dyDescent="0.3">
      <c r="B13" s="7" t="s">
        <v>27</v>
      </c>
      <c r="C13">
        <v>260</v>
      </c>
      <c r="F13" s="7" t="s">
        <v>27</v>
      </c>
      <c r="G13">
        <v>20969.759999999998</v>
      </c>
    </row>
    <row r="14" spans="2:10" x14ac:dyDescent="0.3">
      <c r="B14" s="7" t="s">
        <v>20</v>
      </c>
      <c r="C14">
        <v>313</v>
      </c>
      <c r="F14" s="7" t="s">
        <v>20</v>
      </c>
      <c r="G14" s="2">
        <v>22737.4</v>
      </c>
    </row>
    <row r="15" spans="2:10" x14ac:dyDescent="0.3">
      <c r="B15" s="7" t="s">
        <v>2246</v>
      </c>
      <c r="C15">
        <v>2176</v>
      </c>
      <c r="F15" s="7" t="s">
        <v>2246</v>
      </c>
      <c r="G15">
        <v>159502.63</v>
      </c>
    </row>
    <row r="26" spans="2:7" x14ac:dyDescent="0.3">
      <c r="B26" s="6" t="s">
        <v>2245</v>
      </c>
      <c r="C26" t="s">
        <v>2247</v>
      </c>
      <c r="F26" s="6" t="s">
        <v>2245</v>
      </c>
      <c r="G26" t="s">
        <v>2268</v>
      </c>
    </row>
    <row r="27" spans="2:7" x14ac:dyDescent="0.3">
      <c r="B27" s="7" t="s">
        <v>48</v>
      </c>
      <c r="C27">
        <v>317</v>
      </c>
      <c r="F27" s="7" t="s">
        <v>32</v>
      </c>
      <c r="G27">
        <v>15058.939999999999</v>
      </c>
    </row>
    <row r="28" spans="2:7" x14ac:dyDescent="0.3">
      <c r="B28" s="7" t="s">
        <v>19</v>
      </c>
      <c r="C28">
        <v>334</v>
      </c>
      <c r="F28" s="7" t="s">
        <v>44</v>
      </c>
      <c r="G28">
        <v>20474.36</v>
      </c>
    </row>
    <row r="29" spans="2:7" x14ac:dyDescent="0.3">
      <c r="B29" s="7" t="s">
        <v>26</v>
      </c>
      <c r="C29">
        <v>359</v>
      </c>
      <c r="F29" s="7" t="s">
        <v>26</v>
      </c>
      <c r="G29">
        <v>20841.859999999982</v>
      </c>
    </row>
    <row r="30" spans="2:7" x14ac:dyDescent="0.3">
      <c r="B30" s="7" t="s">
        <v>35</v>
      </c>
      <c r="C30">
        <v>372</v>
      </c>
      <c r="F30" s="7" t="s">
        <v>48</v>
      </c>
      <c r="G30">
        <v>26806.609999999997</v>
      </c>
    </row>
    <row r="31" spans="2:7" x14ac:dyDescent="0.3">
      <c r="B31" s="7" t="s">
        <v>44</v>
      </c>
      <c r="C31">
        <v>392</v>
      </c>
      <c r="F31" s="7" t="s">
        <v>35</v>
      </c>
      <c r="G31">
        <v>35179.429999999986</v>
      </c>
    </row>
    <row r="32" spans="2:7" x14ac:dyDescent="0.3">
      <c r="B32" s="7" t="s">
        <v>32</v>
      </c>
      <c r="C32">
        <v>402</v>
      </c>
      <c r="F32" s="7" t="s">
        <v>19</v>
      </c>
      <c r="G32">
        <v>41141.430000000008</v>
      </c>
    </row>
    <row r="33" spans="2:7" x14ac:dyDescent="0.3">
      <c r="B33" s="7" t="s">
        <v>2246</v>
      </c>
      <c r="C33">
        <v>2176</v>
      </c>
      <c r="F33" s="7" t="s">
        <v>2246</v>
      </c>
      <c r="G33">
        <v>159502.63</v>
      </c>
    </row>
    <row r="44" spans="2:7" x14ac:dyDescent="0.3">
      <c r="B44" s="6" t="s">
        <v>2245</v>
      </c>
      <c r="C44" t="s">
        <v>2247</v>
      </c>
      <c r="F44" s="6" t="s">
        <v>2245</v>
      </c>
      <c r="G44" t="s">
        <v>2268</v>
      </c>
    </row>
    <row r="45" spans="2:7" x14ac:dyDescent="0.3">
      <c r="B45" s="7" t="s">
        <v>39</v>
      </c>
      <c r="C45">
        <v>544</v>
      </c>
      <c r="F45" s="7" t="s">
        <v>39</v>
      </c>
      <c r="G45">
        <v>41994.890000000007</v>
      </c>
    </row>
    <row r="46" spans="2:7" x14ac:dyDescent="0.3">
      <c r="B46" s="7" t="s">
        <v>28</v>
      </c>
      <c r="C46">
        <v>522</v>
      </c>
      <c r="F46" s="7" t="s">
        <v>28</v>
      </c>
      <c r="G46">
        <v>37336.110000000015</v>
      </c>
    </row>
    <row r="47" spans="2:7" x14ac:dyDescent="0.3">
      <c r="B47" s="7" t="s">
        <v>21</v>
      </c>
      <c r="C47">
        <v>535</v>
      </c>
      <c r="F47" s="7" t="s">
        <v>21</v>
      </c>
      <c r="G47">
        <v>40043.939999999973</v>
      </c>
    </row>
    <row r="48" spans="2:7" x14ac:dyDescent="0.3">
      <c r="B48" s="7" t="s">
        <v>68</v>
      </c>
      <c r="C48">
        <v>575</v>
      </c>
      <c r="F48" s="7" t="s">
        <v>68</v>
      </c>
      <c r="G48">
        <v>40127.689999999995</v>
      </c>
    </row>
    <row r="49" spans="2:7" x14ac:dyDescent="0.3">
      <c r="B49" s="7" t="s">
        <v>2246</v>
      </c>
      <c r="C49">
        <v>2176</v>
      </c>
      <c r="F49" s="7" t="s">
        <v>2246</v>
      </c>
      <c r="G49">
        <v>159502.63</v>
      </c>
    </row>
    <row r="60" spans="2:7" x14ac:dyDescent="0.3">
      <c r="B60" s="6" t="s">
        <v>2245</v>
      </c>
      <c r="C60" t="s">
        <v>2247</v>
      </c>
      <c r="F60" s="6" t="s">
        <v>2245</v>
      </c>
      <c r="G60" t="s">
        <v>2268</v>
      </c>
    </row>
    <row r="61" spans="2:7" x14ac:dyDescent="0.3">
      <c r="B61" s="7" t="s">
        <v>33</v>
      </c>
      <c r="C61">
        <v>216</v>
      </c>
      <c r="F61" s="7" t="s">
        <v>33</v>
      </c>
      <c r="G61">
        <v>14731.779999999995</v>
      </c>
    </row>
    <row r="62" spans="2:7" x14ac:dyDescent="0.3">
      <c r="B62" s="7" t="s">
        <v>52</v>
      </c>
      <c r="C62">
        <v>222</v>
      </c>
      <c r="F62" s="7" t="s">
        <v>52</v>
      </c>
      <c r="G62">
        <v>16254.759999999998</v>
      </c>
    </row>
    <row r="63" spans="2:7" x14ac:dyDescent="0.3">
      <c r="B63" s="7" t="s">
        <v>30</v>
      </c>
      <c r="C63">
        <v>204</v>
      </c>
      <c r="F63" s="7" t="s">
        <v>30</v>
      </c>
      <c r="G63">
        <v>15838.409999999996</v>
      </c>
    </row>
    <row r="64" spans="2:7" x14ac:dyDescent="0.3">
      <c r="B64" s="7" t="s">
        <v>23</v>
      </c>
      <c r="C64">
        <v>212</v>
      </c>
      <c r="F64" s="7" t="s">
        <v>23</v>
      </c>
      <c r="G64">
        <v>15043.680000000002</v>
      </c>
    </row>
    <row r="65" spans="2:7" x14ac:dyDescent="0.3">
      <c r="B65" s="7" t="s">
        <v>40</v>
      </c>
      <c r="C65">
        <v>207</v>
      </c>
      <c r="F65" s="7" t="s">
        <v>40</v>
      </c>
      <c r="G65" s="2">
        <v>16631.000000000004</v>
      </c>
    </row>
    <row r="66" spans="2:7" x14ac:dyDescent="0.3">
      <c r="B66" s="7" t="s">
        <v>2246</v>
      </c>
      <c r="C66">
        <v>1061</v>
      </c>
      <c r="F66" s="7" t="s">
        <v>2246</v>
      </c>
      <c r="G66">
        <v>78499.62999999999</v>
      </c>
    </row>
    <row r="83" spans="2:7" x14ac:dyDescent="0.3">
      <c r="B83" s="6" t="s">
        <v>2245</v>
      </c>
      <c r="C83" t="s">
        <v>2247</v>
      </c>
      <c r="F83" s="6" t="s">
        <v>2245</v>
      </c>
      <c r="G83" t="s">
        <v>2247</v>
      </c>
    </row>
    <row r="84" spans="2:7" x14ac:dyDescent="0.3">
      <c r="B84" s="7" t="s">
        <v>2248</v>
      </c>
      <c r="C84">
        <v>41</v>
      </c>
      <c r="F84" s="7" t="s">
        <v>2260</v>
      </c>
      <c r="G84">
        <v>68</v>
      </c>
    </row>
    <row r="85" spans="2:7" x14ac:dyDescent="0.3">
      <c r="B85" s="7" t="s">
        <v>2249</v>
      </c>
      <c r="C85">
        <v>37</v>
      </c>
      <c r="F85" s="7" t="s">
        <v>2261</v>
      </c>
      <c r="G85">
        <v>79</v>
      </c>
    </row>
    <row r="86" spans="2:7" x14ac:dyDescent="0.3">
      <c r="B86" s="7" t="s">
        <v>2250</v>
      </c>
      <c r="C86">
        <v>41</v>
      </c>
      <c r="F86" s="7" t="s">
        <v>2262</v>
      </c>
      <c r="G86">
        <v>1720</v>
      </c>
    </row>
    <row r="87" spans="2:7" x14ac:dyDescent="0.3">
      <c r="B87" s="7" t="s">
        <v>2251</v>
      </c>
      <c r="C87">
        <v>57</v>
      </c>
      <c r="F87" s="7" t="s">
        <v>2263</v>
      </c>
      <c r="G87">
        <v>81</v>
      </c>
    </row>
    <row r="88" spans="2:7" x14ac:dyDescent="0.3">
      <c r="B88" s="7" t="s">
        <v>2252</v>
      </c>
      <c r="C88">
        <v>48</v>
      </c>
      <c r="F88" s="7" t="s">
        <v>2264</v>
      </c>
      <c r="G88">
        <v>100</v>
      </c>
    </row>
    <row r="89" spans="2:7" x14ac:dyDescent="0.3">
      <c r="B89" s="7" t="s">
        <v>2253</v>
      </c>
      <c r="C89">
        <v>32</v>
      </c>
      <c r="F89" s="7" t="s">
        <v>2265</v>
      </c>
      <c r="G89">
        <v>76</v>
      </c>
    </row>
    <row r="90" spans="2:7" x14ac:dyDescent="0.3">
      <c r="B90" s="7" t="s">
        <v>2254</v>
      </c>
      <c r="C90">
        <v>54</v>
      </c>
      <c r="F90" s="7" t="s">
        <v>2266</v>
      </c>
      <c r="G90">
        <v>52</v>
      </c>
    </row>
    <row r="91" spans="2:7" x14ac:dyDescent="0.3">
      <c r="B91" s="7" t="s">
        <v>2255</v>
      </c>
      <c r="C91">
        <v>1681</v>
      </c>
      <c r="F91" s="7" t="s">
        <v>2246</v>
      </c>
      <c r="G91">
        <v>2176</v>
      </c>
    </row>
    <row r="92" spans="2:7" x14ac:dyDescent="0.3">
      <c r="B92" s="7" t="s">
        <v>2256</v>
      </c>
      <c r="C92">
        <v>58</v>
      </c>
    </row>
    <row r="93" spans="2:7" x14ac:dyDescent="0.3">
      <c r="B93" s="7" t="s">
        <v>2257</v>
      </c>
      <c r="C93">
        <v>46</v>
      </c>
    </row>
    <row r="94" spans="2:7" x14ac:dyDescent="0.3">
      <c r="B94" s="7" t="s">
        <v>2258</v>
      </c>
      <c r="C94">
        <v>40</v>
      </c>
    </row>
    <row r="95" spans="2:7" x14ac:dyDescent="0.3">
      <c r="B95" s="7" t="s">
        <v>2259</v>
      </c>
      <c r="C95">
        <v>41</v>
      </c>
    </row>
    <row r="96" spans="2:7" x14ac:dyDescent="0.3">
      <c r="B96" s="7" t="s">
        <v>2246</v>
      </c>
      <c r="C96">
        <v>2176</v>
      </c>
    </row>
    <row r="107" spans="2:11" x14ac:dyDescent="0.3">
      <c r="B107" s="6" t="s">
        <v>2245</v>
      </c>
      <c r="C107" t="s">
        <v>2274</v>
      </c>
      <c r="F107" s="6" t="s">
        <v>2245</v>
      </c>
      <c r="G107" t="s">
        <v>2272</v>
      </c>
      <c r="J107" s="6" t="s">
        <v>2245</v>
      </c>
      <c r="K107" t="s">
        <v>2272</v>
      </c>
    </row>
    <row r="108" spans="2:11" x14ac:dyDescent="0.3">
      <c r="B108" s="7" t="s">
        <v>59</v>
      </c>
      <c r="C108" s="2">
        <v>3.0942857142857156</v>
      </c>
      <c r="F108" s="7" t="s">
        <v>59</v>
      </c>
      <c r="G108">
        <v>51</v>
      </c>
      <c r="J108" s="7" t="s">
        <v>131</v>
      </c>
      <c r="K108">
        <v>47</v>
      </c>
    </row>
    <row r="109" spans="2:11" x14ac:dyDescent="0.3">
      <c r="B109" s="7" t="s">
        <v>37</v>
      </c>
      <c r="C109" s="2">
        <v>3.0059071729957809</v>
      </c>
      <c r="F109" s="7" t="s">
        <v>37</v>
      </c>
      <c r="G109">
        <v>47</v>
      </c>
      <c r="J109" s="7" t="s">
        <v>79</v>
      </c>
      <c r="K109">
        <v>60</v>
      </c>
    </row>
    <row r="110" spans="2:11" x14ac:dyDescent="0.3">
      <c r="B110" s="7" t="s">
        <v>81</v>
      </c>
      <c r="C110" s="2">
        <v>2.9698113207547192</v>
      </c>
      <c r="F110" s="7" t="s">
        <v>81</v>
      </c>
      <c r="G110">
        <v>34</v>
      </c>
      <c r="J110" s="7" t="s">
        <v>89</v>
      </c>
      <c r="K110">
        <v>55</v>
      </c>
    </row>
    <row r="111" spans="2:11" x14ac:dyDescent="0.3">
      <c r="B111" s="7" t="s">
        <v>67</v>
      </c>
      <c r="C111" s="2">
        <v>3.0346733668341694</v>
      </c>
      <c r="F111" s="7" t="s">
        <v>67</v>
      </c>
      <c r="G111">
        <v>36</v>
      </c>
      <c r="J111" s="7" t="s">
        <v>84</v>
      </c>
      <c r="K111">
        <v>44</v>
      </c>
    </row>
    <row r="112" spans="2:11" x14ac:dyDescent="0.3">
      <c r="B112" s="7" t="s">
        <v>54</v>
      </c>
      <c r="C112" s="2">
        <v>3.0364806866952789</v>
      </c>
      <c r="F112" s="7" t="s">
        <v>54</v>
      </c>
      <c r="G112">
        <v>39</v>
      </c>
      <c r="J112" s="7" t="s">
        <v>42</v>
      </c>
      <c r="K112">
        <v>46</v>
      </c>
    </row>
    <row r="113" spans="2:11" x14ac:dyDescent="0.3">
      <c r="B113" s="7" t="s">
        <v>49</v>
      </c>
      <c r="C113" s="2">
        <v>2.777499999999999</v>
      </c>
      <c r="F113" s="7" t="s">
        <v>49</v>
      </c>
      <c r="G113">
        <v>32</v>
      </c>
      <c r="J113" s="7" t="s">
        <v>121</v>
      </c>
      <c r="K113">
        <v>68</v>
      </c>
    </row>
    <row r="114" spans="2:11" x14ac:dyDescent="0.3">
      <c r="B114" s="7" t="s">
        <v>27</v>
      </c>
      <c r="C114" s="2">
        <v>3.1105990783410111</v>
      </c>
      <c r="F114" s="7" t="s">
        <v>27</v>
      </c>
      <c r="G114">
        <v>33</v>
      </c>
      <c r="J114" s="7" t="s">
        <v>2246</v>
      </c>
      <c r="K114">
        <v>320</v>
      </c>
    </row>
    <row r="115" spans="2:11" x14ac:dyDescent="0.3">
      <c r="B115" s="7" t="s">
        <v>20</v>
      </c>
      <c r="C115" s="2">
        <v>2.90563909774436</v>
      </c>
      <c r="F115" s="7" t="s">
        <v>20</v>
      </c>
      <c r="G115">
        <v>48</v>
      </c>
    </row>
    <row r="116" spans="2:11" x14ac:dyDescent="0.3">
      <c r="B116" s="7" t="s">
        <v>2246</v>
      </c>
      <c r="C116" s="2">
        <v>2.9866041896361675</v>
      </c>
      <c r="F116" s="7" t="s">
        <v>2246</v>
      </c>
      <c r="G116">
        <v>320</v>
      </c>
    </row>
    <row r="127" spans="2:11" x14ac:dyDescent="0.3">
      <c r="B127" s="6" t="s">
        <v>2245</v>
      </c>
      <c r="C127" t="s">
        <v>2267</v>
      </c>
    </row>
    <row r="128" spans="2:11" x14ac:dyDescent="0.3">
      <c r="B128" s="7" t="s">
        <v>59</v>
      </c>
      <c r="C128" s="2">
        <v>2581.1899999999991</v>
      </c>
    </row>
    <row r="129" spans="2:3" x14ac:dyDescent="0.3">
      <c r="B129" s="7" t="s">
        <v>37</v>
      </c>
      <c r="C129" s="2">
        <v>3540.58</v>
      </c>
    </row>
    <row r="130" spans="2:3" x14ac:dyDescent="0.3">
      <c r="B130" s="7" t="s">
        <v>81</v>
      </c>
      <c r="C130" s="2">
        <v>3261.3899999999994</v>
      </c>
    </row>
    <row r="131" spans="2:3" x14ac:dyDescent="0.3">
      <c r="B131" s="7" t="s">
        <v>67</v>
      </c>
      <c r="C131" s="2">
        <v>3274.8999999999987</v>
      </c>
    </row>
    <row r="132" spans="2:3" x14ac:dyDescent="0.3">
      <c r="B132" s="7" t="s">
        <v>54</v>
      </c>
      <c r="C132" s="2">
        <v>3396.0500000000006</v>
      </c>
    </row>
    <row r="133" spans="2:3" x14ac:dyDescent="0.3">
      <c r="B133" s="7" t="s">
        <v>49</v>
      </c>
      <c r="C133" s="2">
        <v>3621.5000000000005</v>
      </c>
    </row>
    <row r="134" spans="2:3" x14ac:dyDescent="0.3">
      <c r="B134" s="7" t="s">
        <v>27</v>
      </c>
      <c r="C134" s="2">
        <v>2361.4299999999998</v>
      </c>
    </row>
    <row r="135" spans="2:3" x14ac:dyDescent="0.3">
      <c r="B135" s="7" t="s">
        <v>20</v>
      </c>
      <c r="C135" s="2">
        <v>3423.78</v>
      </c>
    </row>
    <row r="136" spans="2:3" x14ac:dyDescent="0.3">
      <c r="B136" s="7" t="s">
        <v>2246</v>
      </c>
      <c r="C136" s="2">
        <v>25460.82</v>
      </c>
    </row>
    <row r="147" spans="2:3" x14ac:dyDescent="0.3">
      <c r="B147" s="6" t="s">
        <v>2245</v>
      </c>
      <c r="C147" t="s">
        <v>2247</v>
      </c>
    </row>
    <row r="148" spans="2:3" x14ac:dyDescent="0.3">
      <c r="B148" s="7" t="s">
        <v>61</v>
      </c>
      <c r="C148">
        <v>301</v>
      </c>
    </row>
    <row r="149" spans="2:3" x14ac:dyDescent="0.3">
      <c r="B149" s="7" t="s">
        <v>45</v>
      </c>
      <c r="C149">
        <v>294</v>
      </c>
    </row>
    <row r="150" spans="2:3" x14ac:dyDescent="0.3">
      <c r="B150" s="7" t="s">
        <v>64</v>
      </c>
      <c r="C150">
        <v>255</v>
      </c>
    </row>
    <row r="151" spans="2:3" x14ac:dyDescent="0.3">
      <c r="B151" s="7" t="s">
        <v>29</v>
      </c>
      <c r="C151">
        <v>273</v>
      </c>
    </row>
    <row r="152" spans="2:3" x14ac:dyDescent="0.3">
      <c r="B152" s="7" t="s">
        <v>22</v>
      </c>
      <c r="C152">
        <v>283</v>
      </c>
    </row>
    <row r="153" spans="2:3" x14ac:dyDescent="0.3">
      <c r="B153" s="7" t="s">
        <v>55</v>
      </c>
      <c r="C153">
        <v>279</v>
      </c>
    </row>
    <row r="154" spans="2:3" x14ac:dyDescent="0.3">
      <c r="B154" s="7" t="s">
        <v>2269</v>
      </c>
      <c r="C154">
        <v>402</v>
      </c>
    </row>
    <row r="155" spans="2:3" x14ac:dyDescent="0.3">
      <c r="B155" s="7" t="s">
        <v>2270</v>
      </c>
      <c r="C155">
        <v>89</v>
      </c>
    </row>
    <row r="156" spans="2:3" x14ac:dyDescent="0.3">
      <c r="B156" s="7" t="s">
        <v>2246</v>
      </c>
      <c r="C156">
        <v>2176</v>
      </c>
    </row>
    <row r="165" spans="2:3" x14ac:dyDescent="0.3">
      <c r="B165" s="6" t="s">
        <v>8</v>
      </c>
      <c r="C165" t="s">
        <v>2271</v>
      </c>
    </row>
    <row r="167" spans="2:3" x14ac:dyDescent="0.3">
      <c r="B167" s="6" t="s">
        <v>2245</v>
      </c>
      <c r="C167" t="s">
        <v>2273</v>
      </c>
    </row>
    <row r="168" spans="2:3" x14ac:dyDescent="0.3">
      <c r="B168" s="7" t="s">
        <v>59</v>
      </c>
      <c r="C168" s="9">
        <v>31.26808510638298</v>
      </c>
    </row>
    <row r="169" spans="2:3" x14ac:dyDescent="0.3">
      <c r="B169" s="7" t="s">
        <v>37</v>
      </c>
      <c r="C169" s="9">
        <v>31.607142857142861</v>
      </c>
    </row>
    <row r="170" spans="2:3" x14ac:dyDescent="0.3">
      <c r="B170" s="7" t="s">
        <v>81</v>
      </c>
      <c r="C170" s="9">
        <v>32.468627450980392</v>
      </c>
    </row>
    <row r="171" spans="2:3" x14ac:dyDescent="0.3">
      <c r="B171" s="7" t="s">
        <v>67</v>
      </c>
      <c r="C171" s="9">
        <v>31.881481481481494</v>
      </c>
    </row>
    <row r="172" spans="2:3" x14ac:dyDescent="0.3">
      <c r="B172" s="7" t="s">
        <v>54</v>
      </c>
      <c r="C172" s="9">
        <v>30.442982456140356</v>
      </c>
    </row>
    <row r="173" spans="2:3" x14ac:dyDescent="0.3">
      <c r="B173" s="7" t="s">
        <v>49</v>
      </c>
      <c r="C173" s="9">
        <v>29.250000000000004</v>
      </c>
    </row>
    <row r="174" spans="2:3" x14ac:dyDescent="0.3">
      <c r="B174" s="7" t="s">
        <v>27</v>
      </c>
      <c r="C174" s="9">
        <v>24.873118279569891</v>
      </c>
    </row>
    <row r="175" spans="2:3" x14ac:dyDescent="0.3">
      <c r="B175" s="7" t="s">
        <v>20</v>
      </c>
      <c r="C175" s="9">
        <v>28.870229007633597</v>
      </c>
    </row>
    <row r="176" spans="2:3" x14ac:dyDescent="0.3">
      <c r="B176" s="7" t="s">
        <v>2246</v>
      </c>
      <c r="C176" s="9">
        <v>30.09897494305239</v>
      </c>
    </row>
  </sheetData>
  <pageMargins left="0.7" right="0.7" top="0.75" bottom="0.75" header="0.3" footer="0.3"/>
  <drawing r:id="rId2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29B1C-D464-4B8D-8AB0-E0B7D3BD9177}">
  <sheetPr codeName="Hoja4"/>
  <dimension ref="A2:U176"/>
  <sheetViews>
    <sheetView zoomScale="49" zoomScaleNormal="235" workbookViewId="0"/>
  </sheetViews>
  <sheetFormatPr baseColWidth="10" defaultRowHeight="14.4" x14ac:dyDescent="0.3"/>
  <cols>
    <col min="2" max="2" width="25.33203125" bestFit="1" customWidth="1"/>
    <col min="3" max="3" width="30" bestFit="1" customWidth="1"/>
    <col min="4" max="4" width="21.44140625" bestFit="1" customWidth="1"/>
    <col min="5" max="5" width="16.5546875" bestFit="1" customWidth="1"/>
    <col min="6" max="6" width="17.21875" bestFit="1" customWidth="1"/>
    <col min="7" max="7" width="27.6640625" bestFit="1" customWidth="1"/>
    <col min="8" max="8" width="25" bestFit="1" customWidth="1"/>
    <col min="9" max="9" width="16.5546875" bestFit="1" customWidth="1"/>
    <col min="10" max="10" width="25.33203125" bestFit="1" customWidth="1"/>
    <col min="11" max="11" width="28.44140625" bestFit="1" customWidth="1"/>
    <col min="12" max="12" width="23.77734375" bestFit="1" customWidth="1"/>
    <col min="17" max="17" width="30.109375" bestFit="1" customWidth="1"/>
    <col min="18" max="18" width="16.77734375" bestFit="1" customWidth="1"/>
    <col min="19" max="19" width="19.6640625" bestFit="1" customWidth="1"/>
    <col min="20" max="20" width="15.88671875" bestFit="1" customWidth="1"/>
    <col min="21" max="21" width="18.6640625" bestFit="1" customWidth="1"/>
    <col min="25" max="26" width="28" bestFit="1" customWidth="1"/>
    <col min="28" max="28" width="24.77734375" bestFit="1" customWidth="1"/>
  </cols>
  <sheetData>
    <row r="2" spans="2:21" x14ac:dyDescent="0.3">
      <c r="B2" t="s">
        <v>2247</v>
      </c>
      <c r="F2" t="s">
        <v>2268</v>
      </c>
      <c r="H2" t="s">
        <v>2275</v>
      </c>
      <c r="J2" t="s">
        <v>2276</v>
      </c>
      <c r="O2" t="s">
        <v>2268</v>
      </c>
      <c r="Q2" t="str">
        <f>_xlfn.CONCAT("Análisis ",O2," Fashion Boutique")</f>
        <v>Análisis Ingresos Fashion Boutique</v>
      </c>
      <c r="R2" t="str">
        <f>_xlfn.CONCAT('tablas_dinámicas (2)'!O2," por Marca")</f>
        <v>Ingresos por Marca</v>
      </c>
      <c r="S2" t="str">
        <f>_xlfn.CONCAT(O2," por Categoría")</f>
        <v>Ingresos por Categoría</v>
      </c>
      <c r="T2" t="str">
        <f>_xlfn.CONCAT(O2," por Color")</f>
        <v>Ingresos por Color</v>
      </c>
      <c r="U2" t="str">
        <f>_xlfn.CONCAT(O2," por Estación")</f>
        <v>Ingresos por Estación</v>
      </c>
    </row>
    <row r="3" spans="2:21" x14ac:dyDescent="0.3">
      <c r="B3">
        <v>2176</v>
      </c>
      <c r="F3">
        <v>159502.63000000003</v>
      </c>
      <c r="H3" s="8">
        <v>0.14705882352941177</v>
      </c>
      <c r="J3" s="2">
        <v>73.300840992647068</v>
      </c>
    </row>
    <row r="4" spans="2:21" x14ac:dyDescent="0.3">
      <c r="B4">
        <f>GETPIVOTDATA("product_id",$B$2)</f>
        <v>2176</v>
      </c>
      <c r="F4" s="12">
        <f>GETPIVOTDATA("Ingreso_Marca",$F$2)</f>
        <v>159502.63000000003</v>
      </c>
      <c r="H4" s="10">
        <f>GETPIVOTDATA("Devuelto_Número",$H$2)</f>
        <v>0.14705882352941177</v>
      </c>
      <c r="J4" s="12">
        <f>GETPIVOTDATA("Ingreso_Marca",$J$2)</f>
        <v>73.300840992647068</v>
      </c>
    </row>
    <row r="6" spans="2:21" x14ac:dyDescent="0.3">
      <c r="B6" s="6" t="s">
        <v>2245</v>
      </c>
      <c r="C6" t="s">
        <v>2278</v>
      </c>
    </row>
    <row r="7" spans="2:21" x14ac:dyDescent="0.3">
      <c r="B7" s="7" t="s">
        <v>59</v>
      </c>
      <c r="C7" s="19">
        <v>17391.88</v>
      </c>
    </row>
    <row r="8" spans="2:21" x14ac:dyDescent="0.3">
      <c r="B8" s="7" t="s">
        <v>37</v>
      </c>
      <c r="C8" s="19">
        <v>21376.660000000014</v>
      </c>
    </row>
    <row r="9" spans="2:21" x14ac:dyDescent="0.3">
      <c r="B9" s="7" t="s">
        <v>81</v>
      </c>
      <c r="C9" s="19">
        <v>18061.239999999987</v>
      </c>
    </row>
    <row r="10" spans="2:21" x14ac:dyDescent="0.3">
      <c r="B10" s="7" t="s">
        <v>67</v>
      </c>
      <c r="C10" s="19">
        <v>15802.240000000002</v>
      </c>
    </row>
    <row r="11" spans="2:21" x14ac:dyDescent="0.3">
      <c r="B11" s="7" t="s">
        <v>54</v>
      </c>
      <c r="C11" s="19">
        <v>20882.020000000008</v>
      </c>
    </row>
    <row r="12" spans="2:21" x14ac:dyDescent="0.3">
      <c r="B12" s="7" t="s">
        <v>49</v>
      </c>
      <c r="C12" s="19">
        <v>22281.430000000011</v>
      </c>
    </row>
    <row r="13" spans="2:21" x14ac:dyDescent="0.3">
      <c r="B13" s="7" t="s">
        <v>27</v>
      </c>
      <c r="C13" s="19">
        <v>20969.759999999998</v>
      </c>
    </row>
    <row r="14" spans="2:21" x14ac:dyDescent="0.3">
      <c r="B14" s="7" t="s">
        <v>20</v>
      </c>
      <c r="C14" s="19">
        <v>22737.4</v>
      </c>
    </row>
    <row r="15" spans="2:21" x14ac:dyDescent="0.3">
      <c r="B15" s="7" t="s">
        <v>2246</v>
      </c>
      <c r="C15" s="19">
        <v>159502.63</v>
      </c>
    </row>
    <row r="26" spans="2:3" x14ac:dyDescent="0.3">
      <c r="B26" s="6" t="s">
        <v>2245</v>
      </c>
      <c r="C26" t="s">
        <v>2278</v>
      </c>
    </row>
    <row r="27" spans="2:3" x14ac:dyDescent="0.3">
      <c r="B27" s="7" t="s">
        <v>48</v>
      </c>
      <c r="C27" s="19">
        <v>26806.609999999997</v>
      </c>
    </row>
    <row r="28" spans="2:3" x14ac:dyDescent="0.3">
      <c r="B28" s="7" t="s">
        <v>19</v>
      </c>
      <c r="C28" s="19">
        <v>41141.430000000008</v>
      </c>
    </row>
    <row r="29" spans="2:3" x14ac:dyDescent="0.3">
      <c r="B29" s="7" t="s">
        <v>26</v>
      </c>
      <c r="C29" s="19">
        <v>20841.859999999982</v>
      </c>
    </row>
    <row r="30" spans="2:3" x14ac:dyDescent="0.3">
      <c r="B30" s="7" t="s">
        <v>35</v>
      </c>
      <c r="C30" s="19">
        <v>35179.429999999986</v>
      </c>
    </row>
    <row r="31" spans="2:3" x14ac:dyDescent="0.3">
      <c r="B31" s="7" t="s">
        <v>44</v>
      </c>
      <c r="C31" s="19">
        <v>20474.36</v>
      </c>
    </row>
    <row r="32" spans="2:3" x14ac:dyDescent="0.3">
      <c r="B32" s="7" t="s">
        <v>32</v>
      </c>
      <c r="C32" s="19">
        <v>15058.939999999999</v>
      </c>
    </row>
    <row r="33" spans="2:3" x14ac:dyDescent="0.3">
      <c r="B33" s="7" t="s">
        <v>2246</v>
      </c>
      <c r="C33" s="19">
        <v>159502.63</v>
      </c>
    </row>
    <row r="44" spans="2:3" x14ac:dyDescent="0.3">
      <c r="B44" s="6" t="s">
        <v>2245</v>
      </c>
      <c r="C44" t="s">
        <v>2278</v>
      </c>
    </row>
    <row r="45" spans="2:3" x14ac:dyDescent="0.3">
      <c r="B45" s="7" t="s">
        <v>39</v>
      </c>
      <c r="C45" s="19">
        <v>41994.890000000007</v>
      </c>
    </row>
    <row r="46" spans="2:3" x14ac:dyDescent="0.3">
      <c r="B46" s="7" t="s">
        <v>28</v>
      </c>
      <c r="C46" s="19">
        <v>37336.110000000015</v>
      </c>
    </row>
    <row r="47" spans="2:3" x14ac:dyDescent="0.3">
      <c r="B47" s="7" t="s">
        <v>21</v>
      </c>
      <c r="C47" s="19">
        <v>40043.939999999973</v>
      </c>
    </row>
    <row r="48" spans="2:3" x14ac:dyDescent="0.3">
      <c r="B48" s="7" t="s">
        <v>68</v>
      </c>
      <c r="C48" s="19">
        <v>40127.689999999995</v>
      </c>
    </row>
    <row r="49" spans="2:3" x14ac:dyDescent="0.3">
      <c r="B49" s="7" t="s">
        <v>2246</v>
      </c>
      <c r="C49" s="19">
        <v>159502.63</v>
      </c>
    </row>
    <row r="60" spans="2:3" x14ac:dyDescent="0.3">
      <c r="B60" s="6" t="s">
        <v>2245</v>
      </c>
      <c r="C60" t="s">
        <v>2278</v>
      </c>
    </row>
    <row r="61" spans="2:3" x14ac:dyDescent="0.3">
      <c r="B61" s="7" t="s">
        <v>33</v>
      </c>
      <c r="C61" s="19">
        <v>14731.779999999995</v>
      </c>
    </row>
    <row r="62" spans="2:3" x14ac:dyDescent="0.3">
      <c r="B62" s="7" t="s">
        <v>52</v>
      </c>
      <c r="C62" s="19">
        <v>16254.759999999998</v>
      </c>
    </row>
    <row r="63" spans="2:3" x14ac:dyDescent="0.3">
      <c r="B63" s="7" t="s">
        <v>30</v>
      </c>
      <c r="C63" s="19">
        <v>15838.409999999996</v>
      </c>
    </row>
    <row r="64" spans="2:3" x14ac:dyDescent="0.3">
      <c r="B64" s="7" t="s">
        <v>23</v>
      </c>
      <c r="C64" s="19">
        <v>15043.680000000002</v>
      </c>
    </row>
    <row r="65" spans="2:3" x14ac:dyDescent="0.3">
      <c r="B65" s="7" t="s">
        <v>40</v>
      </c>
      <c r="C65" s="19">
        <v>16631.000000000004</v>
      </c>
    </row>
    <row r="66" spans="2:3" x14ac:dyDescent="0.3">
      <c r="B66" s="7" t="s">
        <v>2246</v>
      </c>
      <c r="C66" s="19">
        <v>78499.62999999999</v>
      </c>
    </row>
    <row r="83" spans="2:7" x14ac:dyDescent="0.3">
      <c r="B83" s="6" t="s">
        <v>2245</v>
      </c>
      <c r="C83" t="s">
        <v>2247</v>
      </c>
      <c r="F83" s="6" t="s">
        <v>2245</v>
      </c>
      <c r="G83" t="s">
        <v>2247</v>
      </c>
    </row>
    <row r="84" spans="2:7" x14ac:dyDescent="0.3">
      <c r="B84" s="7" t="s">
        <v>2248</v>
      </c>
      <c r="C84">
        <v>41</v>
      </c>
      <c r="F84" s="7" t="s">
        <v>2260</v>
      </c>
      <c r="G84">
        <v>68</v>
      </c>
    </row>
    <row r="85" spans="2:7" x14ac:dyDescent="0.3">
      <c r="B85" s="7" t="s">
        <v>2249</v>
      </c>
      <c r="C85">
        <v>37</v>
      </c>
      <c r="F85" s="7" t="s">
        <v>2261</v>
      </c>
      <c r="G85">
        <v>79</v>
      </c>
    </row>
    <row r="86" spans="2:7" x14ac:dyDescent="0.3">
      <c r="B86" s="7" t="s">
        <v>2250</v>
      </c>
      <c r="C86">
        <v>41</v>
      </c>
      <c r="F86" s="7" t="s">
        <v>2262</v>
      </c>
      <c r="G86">
        <v>1720</v>
      </c>
    </row>
    <row r="87" spans="2:7" x14ac:dyDescent="0.3">
      <c r="B87" s="7" t="s">
        <v>2251</v>
      </c>
      <c r="C87">
        <v>57</v>
      </c>
      <c r="F87" s="7" t="s">
        <v>2263</v>
      </c>
      <c r="G87">
        <v>81</v>
      </c>
    </row>
    <row r="88" spans="2:7" x14ac:dyDescent="0.3">
      <c r="B88" s="7" t="s">
        <v>2252</v>
      </c>
      <c r="C88">
        <v>48</v>
      </c>
      <c r="F88" s="7" t="s">
        <v>2264</v>
      </c>
      <c r="G88">
        <v>100</v>
      </c>
    </row>
    <row r="89" spans="2:7" x14ac:dyDescent="0.3">
      <c r="B89" s="7" t="s">
        <v>2253</v>
      </c>
      <c r="C89">
        <v>32</v>
      </c>
      <c r="F89" s="7" t="s">
        <v>2265</v>
      </c>
      <c r="G89">
        <v>76</v>
      </c>
    </row>
    <row r="90" spans="2:7" x14ac:dyDescent="0.3">
      <c r="B90" s="7" t="s">
        <v>2254</v>
      </c>
      <c r="C90">
        <v>54</v>
      </c>
      <c r="F90" s="7" t="s">
        <v>2266</v>
      </c>
      <c r="G90">
        <v>52</v>
      </c>
    </row>
    <row r="91" spans="2:7" x14ac:dyDescent="0.3">
      <c r="B91" s="7" t="s">
        <v>2255</v>
      </c>
      <c r="C91">
        <v>1681</v>
      </c>
      <c r="F91" s="7" t="s">
        <v>2246</v>
      </c>
      <c r="G91">
        <v>2176</v>
      </c>
    </row>
    <row r="92" spans="2:7" x14ac:dyDescent="0.3">
      <c r="B92" s="7" t="s">
        <v>2256</v>
      </c>
      <c r="C92">
        <v>58</v>
      </c>
    </row>
    <row r="93" spans="2:7" x14ac:dyDescent="0.3">
      <c r="B93" s="7" t="s">
        <v>2257</v>
      </c>
      <c r="C93">
        <v>46</v>
      </c>
    </row>
    <row r="94" spans="2:7" x14ac:dyDescent="0.3">
      <c r="B94" s="7" t="s">
        <v>2258</v>
      </c>
      <c r="C94">
        <v>40</v>
      </c>
    </row>
    <row r="95" spans="2:7" x14ac:dyDescent="0.3">
      <c r="B95" s="7" t="s">
        <v>2259</v>
      </c>
      <c r="C95">
        <v>41</v>
      </c>
    </row>
    <row r="96" spans="2:7" x14ac:dyDescent="0.3">
      <c r="B96" s="7" t="s">
        <v>2246</v>
      </c>
      <c r="C96">
        <v>2176</v>
      </c>
    </row>
    <row r="107" spans="2:11" x14ac:dyDescent="0.3">
      <c r="B107" s="18" t="s">
        <v>2277</v>
      </c>
      <c r="C107" s="14" t="s">
        <v>2274</v>
      </c>
      <c r="F107" s="6" t="s">
        <v>2245</v>
      </c>
      <c r="G107" t="s">
        <v>2272</v>
      </c>
      <c r="J107" s="6" t="s">
        <v>2245</v>
      </c>
      <c r="K107" t="s">
        <v>2272</v>
      </c>
    </row>
    <row r="108" spans="2:11" x14ac:dyDescent="0.3">
      <c r="B108" s="15" t="s">
        <v>59</v>
      </c>
      <c r="C108" s="16">
        <v>3.0942857142857156</v>
      </c>
      <c r="F108" s="7" t="s">
        <v>59</v>
      </c>
      <c r="G108">
        <v>51</v>
      </c>
      <c r="J108" s="7" t="s">
        <v>131</v>
      </c>
      <c r="K108" s="19">
        <v>47</v>
      </c>
    </row>
    <row r="109" spans="2:11" x14ac:dyDescent="0.3">
      <c r="B109" s="15" t="s">
        <v>37</v>
      </c>
      <c r="C109" s="16">
        <v>3.0059071729957809</v>
      </c>
      <c r="F109" s="7" t="s">
        <v>37</v>
      </c>
      <c r="G109">
        <v>47</v>
      </c>
      <c r="J109" s="7" t="s">
        <v>79</v>
      </c>
      <c r="K109" s="19">
        <v>60</v>
      </c>
    </row>
    <row r="110" spans="2:11" x14ac:dyDescent="0.3">
      <c r="B110" s="15" t="s">
        <v>81</v>
      </c>
      <c r="C110" s="16">
        <v>2.9698113207547192</v>
      </c>
      <c r="F110" s="7" t="s">
        <v>81</v>
      </c>
      <c r="G110">
        <v>34</v>
      </c>
      <c r="J110" s="7" t="s">
        <v>89</v>
      </c>
      <c r="K110" s="19">
        <v>55</v>
      </c>
    </row>
    <row r="111" spans="2:11" x14ac:dyDescent="0.3">
      <c r="B111" s="15" t="s">
        <v>67</v>
      </c>
      <c r="C111" s="16">
        <v>3.0346733668341694</v>
      </c>
      <c r="F111" s="7" t="s">
        <v>67</v>
      </c>
      <c r="G111">
        <v>36</v>
      </c>
      <c r="J111" s="7" t="s">
        <v>84</v>
      </c>
      <c r="K111" s="19">
        <v>44</v>
      </c>
    </row>
    <row r="112" spans="2:11" x14ac:dyDescent="0.3">
      <c r="B112" s="15" t="s">
        <v>54</v>
      </c>
      <c r="C112" s="16">
        <v>3.0364806866952789</v>
      </c>
      <c r="F112" s="7" t="s">
        <v>54</v>
      </c>
      <c r="G112">
        <v>39</v>
      </c>
      <c r="J112" s="7" t="s">
        <v>42</v>
      </c>
      <c r="K112" s="19">
        <v>46</v>
      </c>
    </row>
    <row r="113" spans="1:11" x14ac:dyDescent="0.3">
      <c r="B113" s="15" t="s">
        <v>49</v>
      </c>
      <c r="C113" s="16">
        <v>2.777499999999999</v>
      </c>
      <c r="F113" s="7" t="s">
        <v>49</v>
      </c>
      <c r="G113">
        <v>32</v>
      </c>
      <c r="J113" s="7" t="s">
        <v>121</v>
      </c>
      <c r="K113" s="19">
        <v>68</v>
      </c>
    </row>
    <row r="114" spans="1:11" x14ac:dyDescent="0.3">
      <c r="A114" s="13"/>
      <c r="B114" s="15" t="s">
        <v>27</v>
      </c>
      <c r="C114" s="16">
        <v>3.1105990783410111</v>
      </c>
      <c r="F114" s="7" t="s">
        <v>27</v>
      </c>
      <c r="G114">
        <v>33</v>
      </c>
      <c r="J114" s="7" t="s">
        <v>2246</v>
      </c>
      <c r="K114" s="19">
        <v>320</v>
      </c>
    </row>
    <row r="115" spans="1:11" x14ac:dyDescent="0.3">
      <c r="B115" s="15" t="s">
        <v>20</v>
      </c>
      <c r="C115" s="16">
        <v>2.90563909774436</v>
      </c>
      <c r="F115" s="7" t="s">
        <v>20</v>
      </c>
      <c r="G115">
        <v>48</v>
      </c>
    </row>
    <row r="116" spans="1:11" x14ac:dyDescent="0.3">
      <c r="B116" s="17" t="s">
        <v>2246</v>
      </c>
      <c r="C116" s="16">
        <v>2.9866041896361675</v>
      </c>
      <c r="F116" s="7" t="s">
        <v>2246</v>
      </c>
      <c r="G116">
        <v>320</v>
      </c>
    </row>
    <row r="127" spans="1:11" x14ac:dyDescent="0.3">
      <c r="B127" s="6" t="s">
        <v>2245</v>
      </c>
      <c r="C127" t="s">
        <v>2267</v>
      </c>
    </row>
    <row r="128" spans="1:11" x14ac:dyDescent="0.3">
      <c r="B128" s="7" t="s">
        <v>59</v>
      </c>
      <c r="C128" s="2">
        <v>2581.1899999999991</v>
      </c>
    </row>
    <row r="129" spans="2:3" x14ac:dyDescent="0.3">
      <c r="B129" s="7" t="s">
        <v>37</v>
      </c>
      <c r="C129" s="2">
        <v>3540.58</v>
      </c>
    </row>
    <row r="130" spans="2:3" x14ac:dyDescent="0.3">
      <c r="B130" s="7" t="s">
        <v>81</v>
      </c>
      <c r="C130" s="2">
        <v>3261.3899999999994</v>
      </c>
    </row>
    <row r="131" spans="2:3" x14ac:dyDescent="0.3">
      <c r="B131" s="7" t="s">
        <v>67</v>
      </c>
      <c r="C131" s="2">
        <v>3274.8999999999987</v>
      </c>
    </row>
    <row r="132" spans="2:3" x14ac:dyDescent="0.3">
      <c r="B132" s="7" t="s">
        <v>54</v>
      </c>
      <c r="C132" s="2">
        <v>3396.0500000000006</v>
      </c>
    </row>
    <row r="133" spans="2:3" x14ac:dyDescent="0.3">
      <c r="B133" s="7" t="s">
        <v>49</v>
      </c>
      <c r="C133" s="2">
        <v>3621.5000000000005</v>
      </c>
    </row>
    <row r="134" spans="2:3" x14ac:dyDescent="0.3">
      <c r="B134" s="7" t="s">
        <v>27</v>
      </c>
      <c r="C134" s="2">
        <v>2361.4299999999998</v>
      </c>
    </row>
    <row r="135" spans="2:3" x14ac:dyDescent="0.3">
      <c r="B135" s="7" t="s">
        <v>20</v>
      </c>
      <c r="C135" s="2">
        <v>3423.78</v>
      </c>
    </row>
    <row r="136" spans="2:3" x14ac:dyDescent="0.3">
      <c r="B136" s="7" t="s">
        <v>2246</v>
      </c>
      <c r="C136" s="2">
        <v>25460.82</v>
      </c>
    </row>
    <row r="147" spans="2:3" x14ac:dyDescent="0.3">
      <c r="B147" s="6" t="s">
        <v>2245</v>
      </c>
      <c r="C147" t="s">
        <v>2247</v>
      </c>
    </row>
    <row r="148" spans="2:3" x14ac:dyDescent="0.3">
      <c r="B148" s="7" t="s">
        <v>61</v>
      </c>
      <c r="C148">
        <v>301</v>
      </c>
    </row>
    <row r="149" spans="2:3" x14ac:dyDescent="0.3">
      <c r="B149" s="7" t="s">
        <v>45</v>
      </c>
      <c r="C149">
        <v>294</v>
      </c>
    </row>
    <row r="150" spans="2:3" x14ac:dyDescent="0.3">
      <c r="B150" s="7" t="s">
        <v>64</v>
      </c>
      <c r="C150">
        <v>255</v>
      </c>
    </row>
    <row r="151" spans="2:3" x14ac:dyDescent="0.3">
      <c r="B151" s="7" t="s">
        <v>29</v>
      </c>
      <c r="C151">
        <v>273</v>
      </c>
    </row>
    <row r="152" spans="2:3" x14ac:dyDescent="0.3">
      <c r="B152" s="7" t="s">
        <v>22</v>
      </c>
      <c r="C152">
        <v>283</v>
      </c>
    </row>
    <row r="153" spans="2:3" x14ac:dyDescent="0.3">
      <c r="B153" s="7" t="s">
        <v>55</v>
      </c>
      <c r="C153">
        <v>279</v>
      </c>
    </row>
    <row r="154" spans="2:3" x14ac:dyDescent="0.3">
      <c r="B154" s="7" t="s">
        <v>2269</v>
      </c>
      <c r="C154">
        <v>402</v>
      </c>
    </row>
    <row r="155" spans="2:3" x14ac:dyDescent="0.3">
      <c r="B155" s="7" t="s">
        <v>2270</v>
      </c>
      <c r="C155">
        <v>89</v>
      </c>
    </row>
    <row r="156" spans="2:3" x14ac:dyDescent="0.3">
      <c r="B156" s="7" t="s">
        <v>2246</v>
      </c>
      <c r="C156">
        <v>2176</v>
      </c>
    </row>
    <row r="165" spans="2:3" x14ac:dyDescent="0.3">
      <c r="B165" s="6" t="s">
        <v>8</v>
      </c>
      <c r="C165" t="s">
        <v>2271</v>
      </c>
    </row>
    <row r="167" spans="2:3" x14ac:dyDescent="0.3">
      <c r="B167" s="6" t="s">
        <v>2245</v>
      </c>
      <c r="C167" t="s">
        <v>2273</v>
      </c>
    </row>
    <row r="168" spans="2:3" x14ac:dyDescent="0.3">
      <c r="B168" s="7" t="s">
        <v>59</v>
      </c>
      <c r="C168" s="9">
        <v>31.26808510638298</v>
      </c>
    </row>
    <row r="169" spans="2:3" x14ac:dyDescent="0.3">
      <c r="B169" s="7" t="s">
        <v>37</v>
      </c>
      <c r="C169" s="9">
        <v>31.607142857142861</v>
      </c>
    </row>
    <row r="170" spans="2:3" x14ac:dyDescent="0.3">
      <c r="B170" s="7" t="s">
        <v>81</v>
      </c>
      <c r="C170" s="9">
        <v>32.468627450980392</v>
      </c>
    </row>
    <row r="171" spans="2:3" x14ac:dyDescent="0.3">
      <c r="B171" s="7" t="s">
        <v>67</v>
      </c>
      <c r="C171" s="9">
        <v>31.881481481481494</v>
      </c>
    </row>
    <row r="172" spans="2:3" x14ac:dyDescent="0.3">
      <c r="B172" s="7" t="s">
        <v>54</v>
      </c>
      <c r="C172" s="9">
        <v>30.442982456140356</v>
      </c>
    </row>
    <row r="173" spans="2:3" x14ac:dyDescent="0.3">
      <c r="B173" s="7" t="s">
        <v>49</v>
      </c>
      <c r="C173" s="9">
        <v>29.250000000000004</v>
      </c>
    </row>
    <row r="174" spans="2:3" x14ac:dyDescent="0.3">
      <c r="B174" s="7" t="s">
        <v>27</v>
      </c>
      <c r="C174" s="9">
        <v>24.873118279569891</v>
      </c>
    </row>
    <row r="175" spans="2:3" x14ac:dyDescent="0.3">
      <c r="B175" s="7" t="s">
        <v>20</v>
      </c>
      <c r="C175" s="9">
        <v>28.870229007633597</v>
      </c>
    </row>
    <row r="176" spans="2:3" x14ac:dyDescent="0.3">
      <c r="B176" s="7" t="s">
        <v>2246</v>
      </c>
      <c r="C176" s="9">
        <v>30.09897494305239</v>
      </c>
    </row>
  </sheetData>
  <pageMargins left="0.7" right="0.7" top="0.75" bottom="0.75" header="0.3" footer="0.3"/>
  <drawing r:id="rId17"/>
  <extLst>
    <ext xmlns:x14="http://schemas.microsoft.com/office/spreadsheetml/2009/9/main" uri="{A8765BA9-456A-4dab-B4F3-ACF838C121DE}">
      <x14:slicerList>
        <x14:slicer r:id="rId18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539A4-852E-4516-90CF-BB2BFABFB525}">
  <sheetPr codeName="Hoja5"/>
  <dimension ref="W33"/>
  <sheetViews>
    <sheetView showGridLines="0" tabSelected="1" zoomScale="62" zoomScaleNormal="89" workbookViewId="0">
      <selection activeCell="AB35" sqref="AB35"/>
    </sheetView>
  </sheetViews>
  <sheetFormatPr baseColWidth="10" defaultRowHeight="14.4" x14ac:dyDescent="0.3"/>
  <cols>
    <col min="1" max="1" width="4.44140625" customWidth="1"/>
    <col min="14" max="14" width="16.44140625" bestFit="1" customWidth="1"/>
    <col min="15" max="15" width="11.109375" bestFit="1" customWidth="1"/>
    <col min="16" max="16" width="10.33203125" bestFit="1" customWidth="1"/>
    <col min="17" max="17" width="12.5546875" bestFit="1" customWidth="1"/>
  </cols>
  <sheetData>
    <row r="33" spans="23:23" x14ac:dyDescent="0.3">
      <c r="W33" s="1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ngresos_Bueno">
                <anchor moveWithCells="1" sizeWithCells="1">
                  <from>
                    <xdr:col>19</xdr:col>
                    <xdr:colOff>693420</xdr:colOff>
                    <xdr:row>2</xdr:row>
                    <xdr:rowOff>152400</xdr:rowOff>
                  </from>
                  <to>
                    <xdr:col>21</xdr:col>
                    <xdr:colOff>670560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Ventas_bueno">
                <anchor moveWithCells="1" sizeWithCells="1">
                  <from>
                    <xdr:col>19</xdr:col>
                    <xdr:colOff>701040</xdr:colOff>
                    <xdr:row>5</xdr:row>
                    <xdr:rowOff>76200</xdr:rowOff>
                  </from>
                  <to>
                    <xdr:col>21</xdr:col>
                    <xdr:colOff>670560</xdr:colOff>
                    <xdr:row>7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9B95807F82B5E4DA5A1CB5F7498C113" ma:contentTypeVersion="9" ma:contentTypeDescription="Crear nuevo documento." ma:contentTypeScope="" ma:versionID="8915845c3b10d4c81ffe3ff3381cdb05">
  <xsd:schema xmlns:xsd="http://www.w3.org/2001/XMLSchema" xmlns:xs="http://www.w3.org/2001/XMLSchema" xmlns:p="http://schemas.microsoft.com/office/2006/metadata/properties" xmlns:ns3="db505fa1-8160-4e9b-b138-3300d0172f27" xmlns:ns4="497f126c-373c-4dc2-8261-6cc5d5b99e01" targetNamespace="http://schemas.microsoft.com/office/2006/metadata/properties" ma:root="true" ma:fieldsID="7027795441dcc32ed31250886379c2bc" ns3:_="" ns4:_="">
    <xsd:import namespace="db505fa1-8160-4e9b-b138-3300d0172f27"/>
    <xsd:import namespace="497f126c-373c-4dc2-8261-6cc5d5b99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505fa1-8160-4e9b-b138-3300d0172f2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7f126c-373c-4dc2-8261-6cc5d5b99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b505fa1-8160-4e9b-b138-3300d0172f2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B0CA1BD-E3EB-4482-88AB-EA4A7D021C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b505fa1-8160-4e9b-b138-3300d0172f27"/>
    <ds:schemaRef ds:uri="497f126c-373c-4dc2-8261-6cc5d5b99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1F5CFAA-2033-425F-820B-7505D305432B}">
  <ds:schemaRefs>
    <ds:schemaRef ds:uri="http://purl.org/dc/terms/"/>
    <ds:schemaRef ds:uri="http://schemas.microsoft.com/office/2006/metadata/properties"/>
    <ds:schemaRef ds:uri="497f126c-373c-4dc2-8261-6cc5d5b99e01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b505fa1-8160-4e9b-b138-3300d0172f2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FB995B8-BEFC-40A3-B21B-BBC95CBAAA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BBDD_fashion_boutique</vt:lpstr>
      <vt:lpstr>Hoja1</vt:lpstr>
      <vt:lpstr>tablas_dinámicas</vt:lpstr>
      <vt:lpstr>tablas_dinámicas (2)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 garcia martinez</dc:creator>
  <cp:lastModifiedBy>lucia garcia martinez</cp:lastModifiedBy>
  <dcterms:created xsi:type="dcterms:W3CDTF">2026-01-07T19:35:18Z</dcterms:created>
  <dcterms:modified xsi:type="dcterms:W3CDTF">2026-01-19T12:02:46Z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0x010100A9B95807F82B5E4DA5A1CB5F7498C113</vt:lpwstr>
  </property>
</Properties>
</file>